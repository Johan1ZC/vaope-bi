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Ventas\Produccion\"/>
    </mc:Choice>
  </mc:AlternateContent>
  <xr:revisionPtr revIDLastSave="0" documentId="13_ncr:1_{6C5D50C7-8791-402F-AC20-2B16B2314D48}" xr6:coauthVersionLast="47" xr6:coauthVersionMax="47" xr10:uidLastSave="{00000000-0000-0000-0000-000000000000}"/>
  <bookViews>
    <workbookView xWindow="-120" yWindow="-120" windowWidth="20730" windowHeight="11040" tabRatio="704" firstSheet="1" activeTab="5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6" r:id="rId4"/>
    <sheet name="Detalle3" sheetId="17" r:id="rId5"/>
    <sheet name="validaciones_json" sheetId="8" r:id="rId6"/>
    <sheet name="Checklist" sheetId="2" r:id="rId7"/>
    <sheet name="Detalle2" sheetId="10" state="hidden" r:id="rId8"/>
    <sheet name="Comparacion nuevos campos" sheetId="4" state="hidden" r:id="rId9"/>
  </sheets>
  <definedNames>
    <definedName name="_xlnm._FilterDatabase" localSheetId="0" hidden="1">FactClientes_InterfaceODOO!$A$1:$AK$87</definedName>
    <definedName name="_xlnm._FilterDatabase" localSheetId="2" hidden="1">facturas_con_items_json!$A$1:$AS$458</definedName>
  </definedNames>
  <calcPr calcId="191029"/>
  <pivotCaches>
    <pivotCache cacheId="2" r:id="rId10"/>
    <pivotCache cacheId="2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62" i="7" l="1"/>
  <c r="AS756" i="7"/>
  <c r="AS774" i="7"/>
  <c r="AS292" i="7"/>
  <c r="AS131" i="7"/>
  <c r="AS45" i="7"/>
  <c r="AS163" i="7"/>
  <c r="AS608" i="7"/>
  <c r="AS490" i="7"/>
  <c r="AS232" i="7"/>
  <c r="AS58" i="7"/>
  <c r="AS768" i="7"/>
  <c r="AS60" i="7"/>
  <c r="AS760" i="7"/>
  <c r="AS392" i="7"/>
  <c r="AS324" i="7"/>
  <c r="AS585" i="7"/>
  <c r="AS137" i="7"/>
  <c r="AS193" i="7"/>
  <c r="AS495" i="7"/>
  <c r="AS456" i="7"/>
  <c r="AS623" i="7"/>
  <c r="AS259" i="7"/>
  <c r="AS212" i="7"/>
  <c r="AS688" i="7"/>
  <c r="AS631" i="7"/>
  <c r="AS514" i="7"/>
  <c r="AS594" i="7"/>
  <c r="AS339" i="7"/>
  <c r="AS277" i="7"/>
  <c r="AS713" i="7"/>
  <c r="AS430" i="7"/>
  <c r="AS710" i="7"/>
  <c r="AS767" i="7"/>
  <c r="AS218" i="7"/>
  <c r="AS446" i="7"/>
  <c r="AS659" i="7"/>
  <c r="AS191" i="7"/>
  <c r="AS654" i="7"/>
  <c r="AS242" i="7"/>
  <c r="AS185" i="7"/>
  <c r="AS225" i="7"/>
  <c r="AS33" i="7"/>
  <c r="AS102" i="7"/>
  <c r="AS653" i="7"/>
  <c r="AS450" i="7"/>
  <c r="AS336" i="7"/>
  <c r="AS99" i="7"/>
  <c r="AS208" i="7"/>
  <c r="AS729" i="7"/>
  <c r="AS409" i="7"/>
  <c r="AS205" i="7"/>
  <c r="AS245" i="7"/>
  <c r="AS12" i="7"/>
  <c r="AS741" i="7"/>
  <c r="AS128" i="7"/>
  <c r="AS618" i="7"/>
  <c r="AS399" i="7"/>
  <c r="AS331" i="7"/>
  <c r="AS171" i="7"/>
  <c r="AS531" i="7"/>
  <c r="AS691" i="7"/>
  <c r="AS730" i="7"/>
  <c r="AS426" i="7"/>
  <c r="AS295" i="7"/>
  <c r="AS417" i="7"/>
  <c r="AS41" i="7"/>
  <c r="AS776" i="7"/>
  <c r="AS200" i="7"/>
  <c r="AS367" i="7"/>
  <c r="AS656" i="7"/>
  <c r="AS132" i="7"/>
  <c r="AS779" i="7"/>
  <c r="AS196" i="7"/>
  <c r="AS436" i="7"/>
  <c r="AS254" i="7"/>
  <c r="AS189" i="7"/>
  <c r="AS121" i="7"/>
  <c r="AS263" i="7"/>
  <c r="AS577" i="7"/>
  <c r="AS736" i="7"/>
  <c r="AS627" i="7"/>
  <c r="AS778" i="7"/>
  <c r="AS740" i="7"/>
  <c r="AS283" i="7"/>
  <c r="AS139" i="7"/>
  <c r="AS253" i="7"/>
  <c r="AS569" i="7"/>
  <c r="AS444" i="7"/>
  <c r="U16" i="8"/>
  <c r="U14" i="8"/>
  <c r="V13" i="8"/>
  <c r="V12" i="8"/>
  <c r="U13" i="8"/>
  <c r="U12" i="8"/>
  <c r="AS247" i="7"/>
  <c r="AS157" i="7"/>
  <c r="AS291" i="7"/>
  <c r="AS722" i="7"/>
  <c r="AS663" i="7"/>
  <c r="AS467" i="7"/>
  <c r="AS562" i="7"/>
  <c r="AS462" i="7"/>
  <c r="AS613" i="7"/>
  <c r="AS72" i="7"/>
  <c r="AS460" i="7"/>
  <c r="AS49" i="7"/>
  <c r="AS539" i="7"/>
  <c r="AS782" i="7"/>
  <c r="AS583" i="7"/>
  <c r="AS621" i="7"/>
  <c r="AS469" i="7"/>
  <c r="AS470" i="7"/>
  <c r="AS300" i="7"/>
  <c r="AS714" i="7"/>
  <c r="AS35" i="7"/>
  <c r="AS148" i="7"/>
  <c r="AS159" i="7"/>
  <c r="AS220" i="7"/>
  <c r="AS522" i="7"/>
  <c r="AS481" i="7"/>
  <c r="AS87" i="7"/>
  <c r="AS285" i="7"/>
  <c r="AS63" i="7"/>
  <c r="AS509" i="7"/>
  <c r="AS662" i="7"/>
  <c r="AS365" i="7"/>
  <c r="AS338" i="7"/>
  <c r="AS260" i="7"/>
  <c r="AS10" i="7"/>
  <c r="AS136" i="7"/>
  <c r="AS143" i="7"/>
  <c r="AS636" i="7"/>
  <c r="AS371" i="7"/>
  <c r="AS589" i="7"/>
  <c r="AS342" i="7"/>
  <c r="AS764" i="7"/>
  <c r="AS255" i="7"/>
  <c r="AS43" i="7"/>
  <c r="AS751" i="7"/>
  <c r="AS359" i="7"/>
  <c r="AS348" i="7"/>
  <c r="AS619" i="7"/>
  <c r="AS334" i="7"/>
  <c r="AS673" i="7"/>
  <c r="AS14" i="7"/>
  <c r="AS66" i="7"/>
  <c r="AS298" i="7"/>
  <c r="AS603" i="7"/>
  <c r="AS302" i="7"/>
  <c r="AS771" i="7"/>
  <c r="AS384" i="7"/>
  <c r="AS134" i="7"/>
  <c r="AS506" i="7"/>
  <c r="AS610" i="7"/>
  <c r="AS665" i="7"/>
  <c r="AS250" i="7"/>
  <c r="AS753" i="7"/>
  <c r="AS197" i="7"/>
  <c r="AS284" i="7"/>
  <c r="AS142" i="7"/>
  <c r="AS453" i="7"/>
  <c r="AS639" i="7"/>
  <c r="AS173" i="7"/>
  <c r="AS170" i="7"/>
  <c r="AS492" i="7"/>
  <c r="AS147" i="7"/>
  <c r="AS278" i="7"/>
  <c r="AS398" i="7"/>
  <c r="AS111" i="7"/>
  <c r="AS152" i="7"/>
  <c r="AS421" i="7"/>
  <c r="AS537" i="7"/>
  <c r="AS110" i="7"/>
  <c r="AS664" i="7"/>
  <c r="AS637" i="7"/>
  <c r="AS432" i="7"/>
  <c r="AS282" i="7"/>
  <c r="AS167" i="7"/>
  <c r="AS454" i="7"/>
  <c r="AS213" i="7"/>
  <c r="AS649" i="7"/>
  <c r="AS641" i="7"/>
  <c r="AS114" i="7"/>
  <c r="AS692" i="7"/>
  <c r="AS405" i="7"/>
  <c r="AS719" i="7"/>
  <c r="AS697" i="7"/>
  <c r="AS182" i="7"/>
  <c r="AS327" i="7"/>
  <c r="AS555" i="7"/>
  <c r="AS195" i="7"/>
  <c r="AS429" i="7"/>
  <c r="AS604" i="7"/>
  <c r="AS235" i="7"/>
  <c r="AS50" i="7"/>
  <c r="AS38" i="7"/>
  <c r="AS671" i="7"/>
  <c r="AS772" i="7"/>
  <c r="AS459" i="7"/>
  <c r="AS739" i="7"/>
  <c r="AS271" i="7"/>
  <c r="AS718" i="7"/>
  <c r="AS518" i="7"/>
  <c r="AS566" i="7"/>
  <c r="AS243" i="7"/>
  <c r="AS676" i="7"/>
  <c r="AS288" i="7"/>
  <c r="AS576" i="7"/>
  <c r="AS40" i="7"/>
  <c r="AS301" i="7"/>
  <c r="AS181" i="7"/>
  <c r="AS168" i="7"/>
  <c r="AS304" i="7"/>
  <c r="AS27" i="7"/>
  <c r="AS332" i="7"/>
  <c r="AS567" i="7"/>
  <c r="AS256" i="7"/>
  <c r="AS299" i="7"/>
  <c r="AS510" i="7"/>
  <c r="AS485" i="7"/>
  <c r="AS79" i="7"/>
  <c r="AS507" i="7"/>
  <c r="AS231" i="7"/>
  <c r="AS117" i="7"/>
  <c r="AS685" i="7"/>
  <c r="AS204" i="7"/>
  <c r="AS556" i="7"/>
  <c r="AS638" i="7"/>
  <c r="AS390" i="7"/>
  <c r="AS475" i="7"/>
  <c r="AS687" i="7"/>
  <c r="AS686" i="7"/>
  <c r="AS133" i="7"/>
  <c r="AS458" i="7"/>
  <c r="AS52" i="7"/>
  <c r="AS690" i="7"/>
  <c r="AS115" i="7"/>
  <c r="AS570" i="7"/>
  <c r="AS590" i="7"/>
  <c r="AS789" i="7"/>
  <c r="AS361" i="7"/>
  <c r="AS229" i="7"/>
  <c r="AS624" i="7"/>
  <c r="AS326" i="7"/>
  <c r="AS596" i="7"/>
  <c r="AS382" i="7"/>
  <c r="AS765" i="7"/>
  <c r="AS648" i="7"/>
  <c r="AS85" i="7"/>
  <c r="AS752" i="7"/>
  <c r="AS42" i="7"/>
  <c r="AS434" i="7"/>
  <c r="AS557" i="7"/>
  <c r="AS482" i="7"/>
  <c r="AS433" i="7"/>
  <c r="AS535" i="7"/>
  <c r="AS493" i="7"/>
  <c r="AS158" i="7"/>
  <c r="AS620" i="7"/>
  <c r="AS370" i="7"/>
  <c r="AS297" i="7"/>
  <c r="AS375" i="7"/>
  <c r="AS391" i="7"/>
  <c r="AS447" i="7"/>
  <c r="AS572" i="7"/>
  <c r="AS761" i="7"/>
  <c r="AS112" i="7"/>
  <c r="AS344" i="7"/>
  <c r="AS61" i="7"/>
  <c r="AS640" i="7"/>
  <c r="AS706" i="7"/>
  <c r="AS528" i="7"/>
  <c r="AS64" i="7"/>
  <c r="AS411" i="7"/>
  <c r="AS203" i="7"/>
  <c r="AS4" i="7"/>
  <c r="AS727" i="7"/>
  <c r="AS175" i="7"/>
  <c r="AS380" i="7"/>
  <c r="AS607" i="7"/>
  <c r="AS544" i="7"/>
  <c r="AS174" i="7"/>
  <c r="AS749" i="7"/>
  <c r="AS179" i="7"/>
  <c r="AS156" i="7"/>
  <c r="AS530" i="7"/>
  <c r="AS693" i="7"/>
  <c r="AS442" i="7"/>
  <c r="AS118" i="7"/>
  <c r="AS682" i="7"/>
  <c r="AS223" i="7"/>
  <c r="AS325" i="7"/>
  <c r="AS534" i="7"/>
  <c r="AS214" i="7"/>
  <c r="AS529" i="7"/>
  <c r="AS527" i="7"/>
  <c r="AS536" i="7"/>
  <c r="AS427" i="7"/>
  <c r="AS192" i="7"/>
  <c r="AS694" i="7"/>
  <c r="AS164" i="7"/>
  <c r="AS101" i="7"/>
  <c r="AS465" i="7"/>
  <c r="AS186" i="7"/>
  <c r="AS763" i="7"/>
  <c r="AS377" i="7"/>
  <c r="AS261" i="7"/>
  <c r="AS526" i="7"/>
  <c r="AS340" i="7"/>
  <c r="AS551" i="7"/>
  <c r="AS350" i="7"/>
  <c r="AS669" i="7"/>
  <c r="AS612" i="7"/>
  <c r="AS489" i="7"/>
  <c r="AS77" i="7"/>
  <c r="AS545" i="7"/>
  <c r="AS227" i="7"/>
  <c r="AS353" i="7"/>
  <c r="AS86" i="7"/>
  <c r="AS281" i="7"/>
  <c r="AS484" i="7"/>
  <c r="AS606" i="7"/>
  <c r="AS47" i="7"/>
  <c r="AS554" i="7"/>
  <c r="AS580" i="7"/>
  <c r="AS750" i="7"/>
  <c r="AS538" i="7"/>
  <c r="AS700" i="7"/>
  <c r="AS717" i="7"/>
  <c r="AS500" i="7"/>
  <c r="AS103" i="7"/>
  <c r="AS275" i="7"/>
  <c r="AS124" i="7"/>
  <c r="AS744" i="7"/>
  <c r="AS125" i="7"/>
  <c r="AS206" i="7"/>
  <c r="AS737" i="7"/>
  <c r="AS177" i="7"/>
  <c r="AS758" i="7"/>
  <c r="AS766" i="7"/>
  <c r="AS630" i="7"/>
  <c r="AS270" i="7"/>
  <c r="AS8" i="7"/>
  <c r="AS240" i="7"/>
  <c r="AS296" i="7"/>
  <c r="AS455" i="7"/>
  <c r="AS738" i="7"/>
  <c r="AS184" i="7"/>
  <c r="AS523" i="7"/>
  <c r="AS62" i="7"/>
  <c r="AS141" i="7"/>
  <c r="AS267" i="7"/>
  <c r="AS51" i="7"/>
  <c r="AS246" i="7"/>
  <c r="AS312" i="7"/>
  <c r="AS265" i="7"/>
  <c r="AS23" i="7"/>
  <c r="AS369" i="7"/>
  <c r="AS76" i="7"/>
  <c r="AS564" i="7"/>
  <c r="AS201" i="7"/>
  <c r="AS788" i="7"/>
  <c r="AS703" i="7"/>
  <c r="AS440" i="7"/>
  <c r="AS279" i="7"/>
  <c r="AS642" i="7"/>
  <c r="AS154" i="7"/>
  <c r="AS146" i="7"/>
  <c r="AS449" i="7"/>
  <c r="AS315" i="7"/>
  <c r="AS366" i="7"/>
  <c r="AS95" i="7"/>
  <c r="AS520" i="7"/>
  <c r="AS224" i="7"/>
  <c r="AS230" i="7"/>
  <c r="AS586" i="7"/>
  <c r="AS341" i="7"/>
  <c r="AS5" i="7"/>
  <c r="AS381" i="7"/>
  <c r="AS563" i="7"/>
  <c r="AS513" i="7"/>
  <c r="AS742" i="7"/>
  <c r="AS451" i="7"/>
  <c r="AS395" i="7"/>
  <c r="AS602" i="7"/>
  <c r="AS678" i="7"/>
  <c r="AS135" i="7"/>
  <c r="AS378" i="7"/>
  <c r="AS269" i="7"/>
  <c r="AS747" i="7"/>
  <c r="AS626" i="7"/>
  <c r="AS487" i="7"/>
  <c r="AS615" i="7"/>
  <c r="AS91" i="7"/>
  <c r="AS578" i="7"/>
  <c r="AS273" i="7"/>
  <c r="AS472" i="7"/>
  <c r="AS337" i="7"/>
  <c r="AS22" i="7"/>
  <c r="AS769" i="7"/>
  <c r="AS406" i="7"/>
  <c r="AS644" i="7"/>
  <c r="AS357" i="7"/>
  <c r="AS238" i="7"/>
  <c r="AS362" i="7"/>
  <c r="AS543" i="7"/>
  <c r="AS560" i="7"/>
  <c r="AS26" i="7"/>
  <c r="AS786" i="7"/>
  <c r="AS122" i="7"/>
  <c r="AS215" i="7"/>
  <c r="AS595" i="7"/>
  <c r="AS183" i="7"/>
  <c r="AS155" i="7"/>
  <c r="AS683" i="7"/>
  <c r="AS781" i="7"/>
  <c r="AS666" i="7"/>
  <c r="AS330" i="7"/>
  <c r="AS69" i="7"/>
  <c r="AS127" i="7"/>
  <c r="AS483" i="7"/>
  <c r="AS438" i="7"/>
  <c r="AS165" i="7"/>
  <c r="AS100" i="7"/>
  <c r="AS239" i="7"/>
  <c r="AS68" i="7"/>
  <c r="AS96" i="7"/>
  <c r="AS645" i="7"/>
  <c r="AS308" i="7"/>
  <c r="AS770" i="7"/>
  <c r="AS93" i="7"/>
  <c r="AS319" i="7"/>
  <c r="AS745" i="7"/>
  <c r="AS48" i="7"/>
  <c r="AS571" i="7"/>
  <c r="AS372" i="7"/>
  <c r="AS166" i="7"/>
  <c r="AS468" i="7"/>
  <c r="AS777" i="7"/>
  <c r="AS84" i="7"/>
  <c r="AS129" i="7"/>
  <c r="AS546" i="7"/>
  <c r="AS188" i="7"/>
  <c r="AS3" i="7"/>
  <c r="AS162" i="7"/>
  <c r="AS54" i="7"/>
  <c r="AS581" i="7"/>
  <c r="AS720" i="7"/>
  <c r="AS354" i="7"/>
  <c r="AS249" i="7"/>
  <c r="AS790" i="7"/>
  <c r="AS180" i="7"/>
  <c r="AS635" i="7"/>
  <c r="AS416" i="7"/>
  <c r="AS150" i="7"/>
  <c r="AS715" i="7"/>
  <c r="AS471" i="7"/>
  <c r="AS388" i="7"/>
  <c r="AS711" i="7"/>
  <c r="AS728" i="7"/>
  <c r="AS658" i="7"/>
  <c r="AS651" i="7"/>
  <c r="AS161" i="7"/>
  <c r="AS463" i="7"/>
  <c r="AS20" i="7"/>
  <c r="AS439" i="7"/>
  <c r="AS258" i="7"/>
  <c r="AS120" i="7"/>
  <c r="AS73" i="7"/>
  <c r="AS74" i="7"/>
  <c r="AS773" i="7"/>
  <c r="AS600" i="7"/>
  <c r="AS441" i="7"/>
  <c r="AS559" i="7"/>
  <c r="AS236" i="7"/>
  <c r="AS780" i="7"/>
  <c r="AS652" i="7"/>
  <c r="AS37" i="7"/>
  <c r="AS396" i="7"/>
  <c r="AS775" i="7"/>
  <c r="AS376" i="7"/>
  <c r="AS71" i="7"/>
  <c r="AS149" i="7"/>
  <c r="AS394" i="7"/>
  <c r="AS725" i="7"/>
  <c r="AS328" i="7"/>
  <c r="AS670" i="7"/>
  <c r="AS494" i="7"/>
  <c r="AS443" i="7"/>
  <c r="AS94" i="7"/>
  <c r="AS474" i="7"/>
  <c r="AS98" i="7"/>
  <c r="AS605" i="7"/>
  <c r="AS419" i="7"/>
  <c r="AS104" i="7"/>
  <c r="AS234" i="7"/>
  <c r="AS274" i="7"/>
  <c r="AS309" i="7"/>
  <c r="AS403" i="7"/>
  <c r="AS743" i="7"/>
  <c r="AS286" i="7"/>
  <c r="AS461" i="7"/>
  <c r="AS655" i="7"/>
  <c r="AS677" i="7"/>
  <c r="AS410" i="7"/>
  <c r="AS787" i="7"/>
  <c r="AS408" i="7"/>
  <c r="AS565" i="7"/>
  <c r="AS696" i="7"/>
  <c r="AS457" i="7"/>
  <c r="AS548" i="7"/>
  <c r="AS634" i="7"/>
  <c r="AS318" i="7"/>
  <c r="AS172" i="7"/>
  <c r="AS46" i="7"/>
  <c r="AS289" i="7"/>
  <c r="AS226" i="7"/>
  <c r="AS39" i="7"/>
  <c r="AS346" i="7"/>
  <c r="AS385" i="7"/>
  <c r="AS748" i="7"/>
  <c r="AS445" i="7"/>
  <c r="AS130" i="7"/>
  <c r="AS13" i="7"/>
  <c r="AS617" i="7"/>
  <c r="AS708" i="7"/>
  <c r="AS322" i="7"/>
  <c r="AS389" i="7"/>
  <c r="AS599" i="7"/>
  <c r="AS584" i="7"/>
  <c r="AS90" i="7"/>
  <c r="AS24" i="7"/>
  <c r="AS424" i="7"/>
  <c r="AS435" i="7"/>
  <c r="AS294" i="7"/>
  <c r="AS643" i="7"/>
  <c r="AS113" i="7"/>
  <c r="AS533" i="7"/>
  <c r="AS422" i="7"/>
  <c r="AS368" i="7"/>
  <c r="AS178" i="7"/>
  <c r="AS222" i="7"/>
  <c r="AS59" i="7"/>
  <c r="AS194" i="7"/>
  <c r="AS502" i="7"/>
  <c r="AS119" i="7"/>
  <c r="AS107" i="7"/>
  <c r="AS228" i="7"/>
  <c r="AS679" i="7"/>
  <c r="AS404" i="7"/>
  <c r="AS647" i="7"/>
  <c r="AS65" i="7"/>
  <c r="AS616" i="7"/>
  <c r="AS2" i="7"/>
  <c r="AS11" i="7"/>
  <c r="AS106" i="7"/>
  <c r="AS698" i="7"/>
  <c r="AS501" i="7"/>
  <c r="AS542" i="7"/>
  <c r="AS198" i="7"/>
  <c r="AS731" i="7"/>
  <c r="AS591" i="7"/>
  <c r="AS628" i="7"/>
  <c r="AS252" i="7"/>
  <c r="AS311" i="7"/>
  <c r="AS497" i="7"/>
  <c r="AS625" i="7"/>
  <c r="AS335" i="7"/>
  <c r="AS290" i="7"/>
  <c r="AS582" i="7"/>
  <c r="AS701" i="7"/>
  <c r="AS674" i="7"/>
  <c r="AS257" i="7"/>
  <c r="AS363" i="7"/>
  <c r="AS92" i="7"/>
  <c r="AS699" i="7"/>
  <c r="AS707" i="7"/>
  <c r="AS108" i="7"/>
  <c r="AS138" i="7"/>
  <c r="AS633" i="7"/>
  <c r="AS169" i="7"/>
  <c r="AS276" i="7"/>
  <c r="AS28" i="7"/>
  <c r="AS187" i="7"/>
  <c r="AS689" i="7"/>
  <c r="AS496" i="7"/>
  <c r="AS358" i="7"/>
  <c r="AS757" i="7"/>
  <c r="AS383" i="7"/>
  <c r="AS667" i="7"/>
  <c r="AS321" i="7"/>
  <c r="AS268" i="7"/>
  <c r="AS21" i="7"/>
  <c r="AS266" i="7"/>
  <c r="AS477" i="7"/>
  <c r="AS81" i="7"/>
  <c r="AS7" i="7"/>
  <c r="AS310" i="7"/>
  <c r="AS503" i="7"/>
  <c r="AS356" i="7"/>
  <c r="AS264" i="7"/>
  <c r="AS709" i="7"/>
  <c r="AS680" i="7"/>
  <c r="AS661" i="7"/>
  <c r="AS345" i="7"/>
  <c r="AS568" i="7"/>
  <c r="AS316" i="7"/>
  <c r="AS448" i="7"/>
  <c r="AS622" i="7"/>
  <c r="AS464" i="7"/>
  <c r="AS29" i="7"/>
  <c r="AS323" i="7"/>
  <c r="AS209" i="7"/>
  <c r="AS407" i="7"/>
  <c r="AS759" i="7"/>
  <c r="AS306" i="7"/>
  <c r="AS553" i="7"/>
  <c r="AS244" i="7"/>
  <c r="AS17" i="7"/>
  <c r="AS18" i="7"/>
  <c r="AS313" i="7"/>
  <c r="AS34" i="7"/>
  <c r="AS287" i="7"/>
  <c r="AS579" i="7"/>
  <c r="AS588" i="7"/>
  <c r="AS593" i="7"/>
  <c r="AS486" i="7"/>
  <c r="AS364" i="7"/>
  <c r="AS307" i="7"/>
  <c r="AS734" i="7"/>
  <c r="AS611" i="7"/>
  <c r="AS317" i="7"/>
  <c r="AS512" i="7"/>
  <c r="AS293" i="7"/>
  <c r="AS160" i="7"/>
  <c r="AS329" i="7"/>
  <c r="AS785" i="7"/>
  <c r="AS561" i="7"/>
  <c r="AS83" i="7"/>
  <c r="AS746" i="7"/>
  <c r="AS402" i="7"/>
  <c r="AS413" i="7"/>
  <c r="AS97" i="7"/>
  <c r="AS724" i="7"/>
  <c r="AS80" i="7"/>
  <c r="AS414" i="7"/>
  <c r="AS550" i="7"/>
  <c r="AS89" i="7"/>
  <c r="AS57" i="7"/>
  <c r="AS56" i="7"/>
  <c r="AS15" i="7"/>
  <c r="AS373" i="7"/>
  <c r="AS9" i="7"/>
  <c r="AS597" i="7"/>
  <c r="AS144" i="7"/>
  <c r="AS374" i="7"/>
  <c r="AS784" i="7"/>
  <c r="AS211" i="7"/>
  <c r="AS783" i="7"/>
  <c r="AS397" i="7"/>
  <c r="AS723" i="7"/>
  <c r="AS712" i="7"/>
  <c r="AS504" i="7"/>
  <c r="AS452" i="7"/>
  <c r="AS303" i="7"/>
  <c r="AS44" i="7"/>
  <c r="AS549" i="7"/>
  <c r="AS55" i="7"/>
  <c r="AS505" i="7"/>
  <c r="AS151" i="7"/>
  <c r="AS716" i="7"/>
  <c r="AS145" i="7"/>
  <c r="AS574" i="7"/>
  <c r="AS219" i="7"/>
  <c r="AS598" i="7"/>
  <c r="AS735" i="7"/>
  <c r="AS791" i="7"/>
  <c r="AS202" i="7"/>
  <c r="AS508" i="7"/>
  <c r="AS704" i="7"/>
  <c r="AS754" i="7"/>
  <c r="AS476" i="7"/>
  <c r="AS478" i="7"/>
  <c r="AS672" i="7"/>
  <c r="AS418" i="7"/>
  <c r="AS515" i="7"/>
  <c r="AS126" i="7"/>
  <c r="AS25" i="7"/>
  <c r="AS609" i="7"/>
  <c r="AS702" i="7"/>
  <c r="AS82" i="7"/>
  <c r="AS428" i="7"/>
  <c r="AS601" i="7"/>
  <c r="AS53" i="7"/>
  <c r="AS262" i="7"/>
  <c r="AS521" i="7"/>
  <c r="AS705" i="7"/>
  <c r="AS31" i="7"/>
  <c r="AS190" i="7"/>
  <c r="AS216" i="7"/>
  <c r="AS36" i="7"/>
  <c r="AS650" i="7"/>
  <c r="AS153" i="7"/>
  <c r="AS499" i="7"/>
  <c r="AS420" i="7"/>
  <c r="AS540" i="7"/>
  <c r="AS241" i="7"/>
  <c r="AS660" i="7"/>
  <c r="AS511" i="7"/>
  <c r="AS726" i="7"/>
  <c r="AS552" i="7"/>
  <c r="AS733" i="7"/>
  <c r="AS681" i="7"/>
  <c r="AS629" i="7"/>
  <c r="AS237" i="7"/>
  <c r="AS675" i="7"/>
  <c r="AS320" i="7"/>
  <c r="AS393" i="7"/>
  <c r="AS587" i="7"/>
  <c r="AS614" i="7"/>
  <c r="AS732" i="7"/>
  <c r="AS525" i="7"/>
  <c r="AS632" i="7"/>
  <c r="AS532" i="7"/>
  <c r="AS280" i="7"/>
  <c r="AS123" i="7"/>
  <c r="AS233" i="7"/>
  <c r="AS491" i="7"/>
  <c r="AS70" i="7"/>
  <c r="AS199" i="7"/>
  <c r="AS305" i="7"/>
  <c r="AS67" i="7"/>
  <c r="AS88" i="7"/>
  <c r="AS75" i="7"/>
  <c r="AS488" i="7"/>
  <c r="AS415" i="7"/>
  <c r="AS516" i="7"/>
  <c r="AS558" i="7"/>
  <c r="AS400" i="7"/>
  <c r="AS541" i="7"/>
  <c r="AS646" i="7"/>
  <c r="AS755" i="7"/>
  <c r="AS314" i="7"/>
  <c r="AS573" i="7"/>
  <c r="AS272" i="7"/>
  <c r="AS349" i="7"/>
  <c r="AS401" i="7"/>
  <c r="AS498" i="7"/>
  <c r="AS473" i="7"/>
  <c r="AS221" i="7"/>
  <c r="AS695" i="7"/>
  <c r="AS466" i="7"/>
  <c r="AS355" i="7"/>
  <c r="AS425" i="7"/>
  <c r="AS140" i="7"/>
  <c r="AS176" i="7"/>
  <c r="AS519" i="7"/>
  <c r="AS547" i="7"/>
  <c r="AS248" i="7"/>
  <c r="AS423" i="7"/>
  <c r="AS360" i="7"/>
  <c r="AS431" i="7"/>
  <c r="AS379" i="7"/>
  <c r="AS387" i="7"/>
  <c r="AS78" i="7"/>
  <c r="AS575" i="7"/>
  <c r="AS684" i="7"/>
  <c r="AS16" i="7"/>
  <c r="AS437" i="7"/>
  <c r="AS668" i="7"/>
  <c r="AS524" i="7"/>
  <c r="AS217" i="7"/>
  <c r="AS592" i="7"/>
  <c r="AS347" i="7"/>
  <c r="AS343" i="7"/>
  <c r="AS32" i="7"/>
  <c r="AS333" i="7"/>
  <c r="AS6" i="7"/>
  <c r="AS30" i="7"/>
  <c r="AS657" i="7"/>
  <c r="AS479" i="7"/>
  <c r="AS109" i="7"/>
  <c r="AS116" i="7"/>
  <c r="AS480" i="7"/>
  <c r="AS721" i="7"/>
  <c r="AS412" i="7"/>
  <c r="AS207" i="7"/>
  <c r="AS105" i="7"/>
  <c r="AS351" i="7"/>
  <c r="AS386" i="7"/>
  <c r="AS352" i="7"/>
  <c r="AS19" i="7"/>
  <c r="AS210" i="7"/>
  <c r="AS517" i="7"/>
  <c r="AS251" i="7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66" i="1"/>
  <c r="AK73" i="1"/>
  <c r="AK46" i="1"/>
  <c r="AK74" i="1"/>
  <c r="AK67" i="1"/>
  <c r="AK7" i="1"/>
  <c r="AK30" i="1"/>
  <c r="AK17" i="1"/>
  <c r="AK26" i="1"/>
  <c r="AK6" i="1"/>
  <c r="AK19" i="1"/>
  <c r="AK78" i="1"/>
  <c r="AK76" i="1"/>
  <c r="AK75" i="1"/>
  <c r="AK77" i="1"/>
  <c r="AK33" i="1"/>
  <c r="AK2" i="1"/>
  <c r="AK4" i="1"/>
  <c r="AK36" i="1"/>
  <c r="AK42" i="1"/>
  <c r="AK45" i="1"/>
  <c r="AK28" i="1"/>
  <c r="AK3" i="1"/>
  <c r="AK8" i="1"/>
  <c r="AK27" i="1"/>
  <c r="AK79" i="1"/>
  <c r="AK29" i="1"/>
  <c r="AK18" i="1"/>
  <c r="AK40" i="1"/>
  <c r="AK43" i="1"/>
  <c r="AK35" i="1"/>
  <c r="AK44" i="1"/>
  <c r="AK39" i="1"/>
  <c r="AK41" i="1"/>
  <c r="AK20" i="1"/>
  <c r="AK5" i="1"/>
  <c r="AK34" i="1"/>
  <c r="AK24" i="1"/>
  <c r="AK23" i="1"/>
  <c r="AK22" i="1"/>
  <c r="AK21" i="1"/>
  <c r="AK37" i="1"/>
  <c r="AK25" i="1"/>
  <c r="AK68" i="1"/>
  <c r="AK69" i="1"/>
  <c r="AK72" i="1"/>
  <c r="AK71" i="1"/>
  <c r="AK12" i="1"/>
  <c r="AK13" i="1"/>
  <c r="AK70" i="1"/>
  <c r="AK15" i="1"/>
  <c r="AK14" i="1"/>
  <c r="AK54" i="1"/>
  <c r="AK53" i="1"/>
  <c r="AK52" i="1"/>
  <c r="AK51" i="1"/>
  <c r="AK50" i="1"/>
  <c r="AK32" i="1"/>
  <c r="AK31" i="1"/>
  <c r="AK49" i="1"/>
  <c r="AK48" i="1"/>
  <c r="AK11" i="1"/>
  <c r="AK16" i="1"/>
  <c r="AK62" i="1"/>
  <c r="AK61" i="1"/>
  <c r="AK60" i="1"/>
  <c r="AK59" i="1"/>
  <c r="AK85" i="1"/>
  <c r="AK84" i="1"/>
  <c r="AK83" i="1"/>
  <c r="AK82" i="1"/>
  <c r="AK81" i="1"/>
  <c r="AK80" i="1"/>
  <c r="AK58" i="1"/>
  <c r="AK57" i="1"/>
  <c r="AK56" i="1"/>
  <c r="AK55" i="1"/>
  <c r="AK10" i="1"/>
  <c r="AK9" i="1"/>
  <c r="AK47" i="1"/>
  <c r="AK87" i="1"/>
  <c r="AK86" i="1"/>
  <c r="AK65" i="1"/>
  <c r="AK64" i="1"/>
  <c r="AK63" i="1"/>
</calcChain>
</file>

<file path=xl/sharedStrings.xml><?xml version="1.0" encoding="utf-8"?>
<sst xmlns="http://schemas.openxmlformats.org/spreadsheetml/2006/main" count="19795" uniqueCount="2793">
  <si>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</si>
  <si>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</si>
  <si>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</si>
  <si>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</si>
  <si>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</si>
  <si>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</si>
  <si>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</si>
  <si>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</si>
  <si>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</si>
  <si>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</si>
  <si>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</si>
  <si>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</si>
  <si>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</si>
  <si>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</si>
  <si>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</si>
  <si>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</si>
  <si>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</si>
  <si>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</si>
  <si>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</si>
  <si>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</si>
  <si>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</si>
  <si>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</si>
  <si>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</si>
  <si>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</si>
  <si>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</si>
  <si>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</si>
  <si>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</si>
  <si>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</si>
  <si>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</si>
  <si>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</si>
  <si>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</si>
  <si>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</si>
  <si>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</si>
  <si>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</si>
  <si>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</si>
  <si>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</si>
  <si>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</si>
  <si>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</si>
  <si>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</si>
  <si>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</si>
  <si>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</si>
  <si>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</si>
  <si>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</si>
  <si>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</si>
  <si>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</si>
  <si>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</si>
  <si>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</si>
  <si>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</si>
  <si>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</si>
  <si>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</si>
  <si>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</si>
  <si>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</si>
  <si>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</si>
  <si>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</si>
  <si>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</si>
  <si>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</si>
  <si>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</si>
  <si>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</si>
  <si>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</si>
  <si>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</si>
  <si>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</si>
  <si>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</si>
  <si>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</si>
  <si>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</si>
  <si>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</si>
  <si>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</si>
  <si>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</si>
  <si>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</si>
  <si>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</si>
  <si>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</si>
  <si>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</si>
  <si>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</si>
  <si>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</si>
  <si>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</si>
  <si>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</si>
  <si>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</si>
  <si>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</si>
  <si>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</si>
  <si>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</si>
  <si>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</si>
  <si>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</si>
  <si>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</si>
  <si>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</si>
  <si>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</si>
  <si>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</si>
  <si>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</si>
  <si>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</si>
  <si>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</si>
  <si>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</si>
  <si>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</si>
  <si>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</si>
  <si>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</si>
  <si>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</si>
  <si>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</si>
  <si>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</si>
  <si>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</si>
  <si>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</si>
  <si>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</si>
  <si>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</si>
  <si>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</si>
  <si>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</si>
  <si>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</si>
  <si>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</si>
  <si>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</si>
  <si>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Por enviar</t>
  </si>
  <si>
    <t>Error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</si>
  <si>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</si>
  <si>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</si>
  <si>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</si>
  <si>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</si>
  <si>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</si>
  <si>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</si>
  <si>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</si>
  <si>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</si>
  <si>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</si>
  <si>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</si>
  <si>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</si>
  <si>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</si>
  <si>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</si>
  <si>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</si>
  <si>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</si>
  <si>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</si>
  <si>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</si>
  <si>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</si>
  <si>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</si>
  <si>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</si>
  <si>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</si>
  <si>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</si>
  <si>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</si>
  <si>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</si>
  <si>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</si>
  <si>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</si>
  <si>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</si>
  <si>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</si>
  <si>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</si>
  <si>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</si>
  <si>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</si>
  <si>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</si>
  <si>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</si>
  <si>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</si>
  <si>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</si>
  <si>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</si>
  <si>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</si>
  <si>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</si>
  <si>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</si>
  <si>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</si>
  <si>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</si>
  <si>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</si>
  <si>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</si>
  <si>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</si>
  <si>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</si>
  <si>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</si>
  <si>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</si>
  <si>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</si>
  <si>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</si>
  <si>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</si>
  <si>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posted</t>
  </si>
  <si>
    <t>Publicado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</si>
  <si>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</si>
  <si>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</si>
  <si>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</si>
  <si>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</si>
  <si>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</si>
  <si>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</si>
  <si>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</si>
  <si>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</si>
  <si>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</si>
  <si>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</si>
  <si>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00000046</t>
  </si>
  <si>
    <t>[]</t>
  </si>
  <si>
    <t>00000045</t>
  </si>
  <si>
    <t>00000044</t>
  </si>
  <si>
    <t>00000043</t>
  </si>
  <si>
    <t>00000042</t>
  </si>
  <si>
    <t>00000041</t>
  </si>
  <si>
    <t>00000040</t>
  </si>
  <si>
    <t>00000039</t>
  </si>
  <si>
    <t>00000038</t>
  </si>
  <si>
    <t>00000036</t>
  </si>
  <si>
    <t>00000035</t>
  </si>
  <si>
    <t>00000033</t>
  </si>
  <si>
    <t>00000032</t>
  </si>
  <si>
    <t>00000030</t>
  </si>
  <si>
    <t>00000029</t>
  </si>
  <si>
    <t>00000028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</si>
  <si>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</si>
  <si>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</si>
  <si>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</si>
  <si>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</si>
  <si>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</si>
  <si>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</si>
  <si>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</si>
  <si>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</si>
  <si>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</si>
  <si>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</si>
  <si>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</si>
  <si>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</si>
  <si>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</si>
  <si>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</si>
  <si>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</si>
  <si>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</si>
  <si>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</si>
  <si>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</si>
  <si>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00000003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</si>
  <si>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</si>
  <si>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</si>
  <si>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</si>
  <si>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</si>
  <si>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</si>
  <si>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</si>
  <si>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</si>
  <si>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</si>
  <si>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</si>
  <si>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</si>
  <si>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</si>
  <si>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consu</t>
  </si>
  <si>
    <t>FB01</t>
  </si>
  <si>
    <t>COMISION CORTESIA - ACTUALIZACION GRAFICA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</si>
  <si>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</si>
  <si>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</si>
  <si>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</si>
  <si>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</si>
  <si>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</si>
  <si>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</si>
  <si>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</si>
  <si>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</si>
  <si>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</si>
  <si>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</si>
  <si>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F00100000104</t>
  </si>
  <si>
    <t>Detalles para Suma de item.total - UNIFICADO: (01) Factura F00100000104</t>
  </si>
  <si>
    <t>JSON</t>
  </si>
  <si>
    <t>DESCARGA ODOO</t>
  </si>
  <si>
    <t>not_paid</t>
  </si>
  <si>
    <t>nombre_empresa</t>
  </si>
  <si>
    <t>F FFI</t>
  </si>
  <si>
    <t>DIFUSION DE EVENTO NIV 1</t>
  </si>
  <si>
    <t xml:space="preserve">full color </t>
  </si>
  <si>
    <t>F FFI00000001</t>
  </si>
  <si>
    <t>Oct</t>
  </si>
  <si>
    <t>7012100 MercaderÃ­as-Venta Local-Terceros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</si>
  <si>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</si>
  <si>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[[{'cÃ³digo': 101, 'nom_distribucion': 'Validadores', 'sub_categoria': 'DELIVERY', 'porcentaje': '100.00'}, {'cÃ³digo': 102, 'nom_distribucion': 'Validadores', 'sub_categoria': 'IME', 'porcentaje': '100.00'}]]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</si>
  <si>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</t>
  </si>
  <si>
    <t>[[{'cÃ³digo': 101, 'nom_distribucion': 'Validadores', 'sub_categoria': 'DELIVERY', 'porcentaje': '100.00'}, {'cÃ³digo': 103, 'nom_distribucion': 'Validadores', 'sub_categoria': 'PERSONAL', 'porcentaje': '100.00'}]]</t>
  </si>
  <si>
    <t>[[{'cÃ³digo': 103, 'nom_distribucion': 'Validadores', 'sub_categoria': 'PERSONAL', 'porcentaje': '100.00'}]]</t>
  </si>
  <si>
    <t>[[{'cÃ³digo': 101, 'nom_distribucion': 'Validadores', 'sub_categoria': 'DELIVERY', 'porcentaje': '100.00'}]]</t>
  </si>
  <si>
    <t>Detalles para Suma de item.total - UNIFICADO: F FFI00000001</t>
  </si>
  <si>
    <t>Cuenta de UNIFICADO</t>
  </si>
  <si>
    <t xml:space="preserve"> 85 facturas unicas:</t>
  </si>
  <si>
    <t>Pruebas Johan:</t>
  </si>
  <si>
    <t>(01) Factura FB01-00000078</t>
  </si>
  <si>
    <t>Resultados</t>
  </si>
  <si>
    <t>Observaciones</t>
  </si>
  <si>
    <t>No se verifica la distribucion analitica</t>
  </si>
  <si>
    <t>Se agrega la distribucion analitica en una sola linea con 100% todos</t>
  </si>
  <si>
    <t>(01) Factura FB01-00000079</t>
  </si>
  <si>
    <t>Se verifica distribucuion analitica</t>
  </si>
  <si>
    <t>Se agrega la distribucion 1 area por cada linea con % correspondiente a la suma 100%</t>
  </si>
  <si>
    <t>(01) Factura FB01-00000080</t>
  </si>
  <si>
    <t>Se verifican datos en 2 de 3 productos</t>
  </si>
  <si>
    <t>Cumple el guardado de datos cuando se agregan distribuciones por fila y su % que el total sume 100%, los otros no</t>
  </si>
  <si>
    <t>Número</t>
  </si>
  <si>
    <t>Tipo de Documento</t>
  </si>
  <si>
    <t>(03) Boleta BOB1-00000030</t>
  </si>
  <si>
    <t>Trilogia Pxndx Festival III en Lince</t>
  </si>
  <si>
    <t>(03) Boleta</t>
  </si>
  <si>
    <t>STHIVEN RANDOLF GARCIA MEDINA</t>
  </si>
  <si>
    <t>Revertido</t>
  </si>
  <si>
    <t>(03) Boleta BOB1-00000029</t>
  </si>
  <si>
    <t>(03) Boleta BOB1-00000028</t>
  </si>
  <si>
    <t>Son del Duke y mucho más en el Crucero del Amor de SJL</t>
  </si>
  <si>
    <t>FIGUEROA ROSADO GABRIELA BRIYIT</t>
  </si>
  <si>
    <t>(03) Boleta BOB1-00000027</t>
  </si>
  <si>
    <t>(03) Boleta BOB1-00000026</t>
  </si>
  <si>
    <t>(03) Boleta BOB1-00000025</t>
  </si>
  <si>
    <t>(03) Boleta BOB1-00000024</t>
  </si>
  <si>
    <t>3er Aniversario Complejo Deportivo y Cultural Los Cumpas con Alegres de Bambamarca, Martin Vera y más en Puente Piedra</t>
  </si>
  <si>
    <t>ANGEL GABRIEL RODRÍGUEZ PINEDA</t>
  </si>
  <si>
    <t>(03) Boleta BOB1-00000023</t>
  </si>
  <si>
    <t>(03) Boleta BOB1-00000022</t>
  </si>
  <si>
    <t>Trilogía de Oro con Max Castro, William Luna y Marco Antonio en Pucallpa</t>
  </si>
  <si>
    <t>JOSELYN VERONICA GUTIERREZ HUANCA</t>
  </si>
  <si>
    <t>(03) Boleta BOB1-00000021</t>
  </si>
  <si>
    <t>(03) Boleta BOB1-00000020</t>
  </si>
  <si>
    <t>(03) Boleta BOB1-00000019</t>
  </si>
  <si>
    <t>(03) Boleta BOB1-00000018</t>
  </si>
  <si>
    <t>Primer Festival de la Música Latino Americana en Chiclayo</t>
  </si>
  <si>
    <t>MANUEL CARLOS AMIAS SHAPIAMA</t>
  </si>
  <si>
    <t>(03) Boleta BOB1-00000017</t>
  </si>
  <si>
    <t>(03) Boleta BOB1-00000016</t>
  </si>
  <si>
    <t>(03) Boleta BOB1-00000015</t>
  </si>
  <si>
    <t>(03) Boleta BOB1-00000014</t>
  </si>
  <si>
    <t>(03) Boleta BOB1-00000013</t>
  </si>
  <si>
    <t>(03) Boleta BOB1-00000012</t>
  </si>
  <si>
    <t>(03) Boleta BOB1-00000011</t>
  </si>
  <si>
    <t>(03) Boleta BOB1-00000010</t>
  </si>
  <si>
    <t>(01) Factura FOF1-00000046</t>
  </si>
  <si>
    <t>El Clásico de la Cumbia Norteña en Huancayo con Agua Marina y Walther Lozada &amp; Orquesta</t>
  </si>
  <si>
    <t>(01) Factura</t>
  </si>
  <si>
    <t>(01) Factura FOF1-00000045</t>
  </si>
  <si>
    <t>(01) Factura FOF1-00000044</t>
  </si>
  <si>
    <t>(01) Factura FOF1-00000043</t>
  </si>
  <si>
    <t>(01) Factura FOF1-00000042</t>
  </si>
  <si>
    <t>(01) Factura FOF1-00000041</t>
  </si>
  <si>
    <t>(01) Factura FOF1-00000040</t>
  </si>
  <si>
    <t>(01) Factura FOF1-00000039</t>
  </si>
  <si>
    <t>La Bella Luz y más en Ate Vitarte</t>
  </si>
  <si>
    <t>EMPRESA MUSICAL INTERNACIONAL LA BELLA LUZ E.I.R.L.</t>
  </si>
  <si>
    <t>(01) Factura FOF1-00000038</t>
  </si>
  <si>
    <t>(01) Factura FOF1-00000037</t>
  </si>
  <si>
    <t>Agua Marina en Pichanaki</t>
  </si>
  <si>
    <t>(01) Factura FOF1-00000036</t>
  </si>
  <si>
    <t>(01) Factura FOF1-00000035</t>
  </si>
  <si>
    <t>(01) Factura FOF1-00000034</t>
  </si>
  <si>
    <t>(01) Factura FOF1-00000033</t>
  </si>
  <si>
    <t>Amaranta en Cusco</t>
  </si>
  <si>
    <t>AMARANTA MUSIC CORP S.A.C.</t>
  </si>
  <si>
    <t>(01) Factura FOF1-00000032</t>
  </si>
  <si>
    <t>(01) Factura FOF1-00000031</t>
  </si>
  <si>
    <t>Amaranta en Juliaca</t>
  </si>
  <si>
    <t>(01) Factura FOF1-00000030</t>
  </si>
  <si>
    <t>(01) Factura FOF1-00000029</t>
  </si>
  <si>
    <t>(01) Factura FOF1-00000028</t>
  </si>
  <si>
    <t>Amaranta en Arequipa</t>
  </si>
  <si>
    <t>(01) Factura FOF1-00000027</t>
  </si>
  <si>
    <t>(01) Factura FOF1-00000026</t>
  </si>
  <si>
    <t>(01) Factura FOF1-00000025</t>
  </si>
  <si>
    <t>24 Aniversario de Victor Manuel del Perú, Max Castro, Milder Ore y más en Trujillo</t>
  </si>
  <si>
    <t>ALAN INVERSIONES &amp; REPRESENTACIONES S.A.C.</t>
  </si>
  <si>
    <t>(01) Factura FOF1-00000024</t>
  </si>
  <si>
    <t>(01) Factura FOF1-00000023</t>
  </si>
  <si>
    <t>La Bella Luz en Pachacamac</t>
  </si>
  <si>
    <t>(01) Factura FOF1-00000022</t>
  </si>
  <si>
    <t>(03) Boleta BOB1-00000009</t>
  </si>
  <si>
    <t>Agua Marina en Barranca</t>
  </si>
  <si>
    <t>JESUS MANUEL COTRINA CORPUS</t>
  </si>
  <si>
    <t>(01) Factura FOF1-00000021</t>
  </si>
  <si>
    <t>Desde Colombia Lil Silvio &amp; El Vega en Cajamarca</t>
  </si>
  <si>
    <t>RIVERA GUERRERO ANGGELA RINA</t>
  </si>
  <si>
    <t>(01) Factura FOF1-00000020</t>
  </si>
  <si>
    <t>(01) Factura FOF1-00000019</t>
  </si>
  <si>
    <t>Corazón Serrano en la Isla del Paraíso del Callao</t>
  </si>
  <si>
    <t>PROMOTORA M&amp;M S.R.L.</t>
  </si>
  <si>
    <t>(01) Factura FOF1-00000018</t>
  </si>
  <si>
    <t>(01) Factura FOF1-00000017</t>
  </si>
  <si>
    <t>(01) Factura FOF1-00000016</t>
  </si>
  <si>
    <t>(01) Factura FOF1-00000015</t>
  </si>
  <si>
    <t>(03) Boleta BOB1-00000008</t>
  </si>
  <si>
    <t>(03) Boleta BOB1-00000007</t>
  </si>
  <si>
    <t>(03) Boleta BOB1-00000006</t>
  </si>
  <si>
    <t>(03) Boleta BOB1-00000005</t>
  </si>
  <si>
    <t>(03) Boleta BOB1-00000004</t>
  </si>
  <si>
    <t>(01) Factura FOF1-00000014</t>
  </si>
  <si>
    <t>Feliz Día de la Suegra con la Bella Luz y más en El Huaralino</t>
  </si>
  <si>
    <t>(01) Factura FOF1-00000013</t>
  </si>
  <si>
    <t>(01) Factura FOF1-00000012</t>
  </si>
  <si>
    <t>(01) Factura FOF1-00000011</t>
  </si>
  <si>
    <t>(01) Factura FOF1-00000010</t>
  </si>
  <si>
    <t>Flor Pileña, Alegres de Bambarmarca y Victor Manuel en Cajabamba</t>
  </si>
  <si>
    <t>ESPECTACULOS MARCABALITO S.A.C.</t>
  </si>
  <si>
    <t>(01) Factura FOF1-00000009</t>
  </si>
  <si>
    <t>(01) Factura FOF1-00000008</t>
  </si>
  <si>
    <t>Feliz Aniversario Barranca con La Bella Luz</t>
  </si>
  <si>
    <t>(01) Factura FOF1-00000006</t>
  </si>
  <si>
    <t>(03) Boleta BOB1-00000003</t>
  </si>
  <si>
    <t>18° Aniversario de Illari del Cusco con Chinito del Ande, Osito Pardo, Los Puntos del Amor y más en Huaracondo de SJL</t>
  </si>
  <si>
    <t>JUAN EDGAR VENTURA MACAZANA</t>
  </si>
  <si>
    <t>(03) Boleta BOB1-00000002</t>
  </si>
  <si>
    <t>(01) Factura FOF1-00000004</t>
  </si>
  <si>
    <t>Corazón Serrano en Huacho</t>
  </si>
  <si>
    <t>(01) Factura FOF1-00000003</t>
  </si>
  <si>
    <t>(03) Boleta BOB1-00000001</t>
  </si>
  <si>
    <t>Atlético Torino vs Bagua FC - Copa Perú 2025</t>
  </si>
  <si>
    <t>JOSE MANUEL BACA ANTON PRESIDENTE DE LA LIGA DEPARTAMENTAL PIURA</t>
  </si>
  <si>
    <t>(01) Factura FOF1-00000002</t>
  </si>
  <si>
    <t>FFF1-221</t>
  </si>
  <si>
    <t>PERUVIAN PRODUCTIONS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</si>
  <si>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20250000000000527297266 error: Error en envio de documeto '&lt;/p&gt;</t>
  </si>
  <si>
    <t>FFF1-220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</si>
  <si>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20250000000000527297278 error: Error en envio de documeto '&lt;/p&gt;</t>
  </si>
  <si>
    <t>FFF1-219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</si>
  <si>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20250000000000527297296 error: Error en envio de documeto '&lt;/p&gt;</t>
  </si>
  <si>
    <t>FB01-1420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</si>
  <si>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20250000000000527297311 error: Error en envio de documeto '&lt;/p&gt;</t>
  </si>
  <si>
    <t>FB01-1419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</si>
  <si>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20250000000000527297322 error: Error en envio de documeto '&lt;/p&gt;</t>
  </si>
  <si>
    <t>FB01-1418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</si>
  <si>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20250000000000527297341 error: Error en envio de documeto '&lt;/p&gt;</t>
  </si>
  <si>
    <t>BB01-755</t>
  </si>
  <si>
    <t>RODRIGO ANTONIO QUISPE MONTAÑEZ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</si>
  <si>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20250000000000527297362 error: Error en envio de documeto '&lt;/p&gt;</t>
  </si>
  <si>
    <t>BB01-754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</si>
  <si>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20250000000000527297389 error: Error en envio de documeto '&lt;/p&gt;</t>
  </si>
  <si>
    <t>FB01-1417</t>
  </si>
  <si>
    <t>FIESTA KARIBEÑA SOCIEDAD ANONIMA CERRADA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</si>
  <si>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20250000000000527297440 error: Error en envio de documeto '&lt;/p&gt;</t>
  </si>
  <si>
    <t>FB01-1416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</si>
  <si>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20250000000000527297487 error: Error en envio de documeto '&lt;/p&gt;</t>
  </si>
  <si>
    <t>FB01-1415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</si>
  <si>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20250000000000527297555 error: Error en envio de documeto '&lt;/p&gt;</t>
  </si>
  <si>
    <t>FB01-1414</t>
  </si>
  <si>
    <t>MAKWA ENTERTAINMENT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</si>
  <si>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20250000000000527297561 error: Error en envio de documeto '&lt;/p&gt;</t>
  </si>
  <si>
    <t>FB01-1413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</si>
  <si>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20250000000000527297584 error: Error en envio de documeto '&lt;/p&gt;</t>
  </si>
  <si>
    <t>FB01-1412</t>
  </si>
  <si>
    <t>LA MATARINA PUENTE PIEDRA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</si>
  <si>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20250000000000527297607 error: Error en envio de documeto '&lt;/p&gt;</t>
  </si>
  <si>
    <t>FB01-1411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</si>
  <si>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20250000000000527297616 error: Error en envio de documeto '&lt;/p&gt;</t>
  </si>
  <si>
    <t>FB01-1410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</si>
  <si>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20250000000000527297643 error: Error en envio de documeto '&lt;/p&gt;</t>
  </si>
  <si>
    <t>FB01-1409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</si>
  <si>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20250000000000527297654 error: Error en envio de documeto '&lt;/p&gt;</t>
  </si>
  <si>
    <t>FB01-1408</t>
  </si>
  <si>
    <t>CONSORCIO CHUNGA &amp; ASOCIADOS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</si>
  <si>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20250000000000527297685 error: Error en envio de documeto '&lt;/p&gt;</t>
  </si>
  <si>
    <t>FB01-1407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</si>
  <si>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20250000000000527297699 error: Error en envio de documeto '&lt;/p&gt;</t>
  </si>
  <si>
    <t>FB01-1406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</si>
  <si>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20250000000000527297721 error: Error en envio de documeto '&lt;/p&gt;</t>
  </si>
  <si>
    <t>FB01-1405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</si>
  <si>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20250000000000527297736 error: Error en envio de documeto '&lt;/p&gt;</t>
  </si>
  <si>
    <t>FB01-1404</t>
  </si>
  <si>
    <t>COMPLEJO TURISTICO EL REMANSO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</si>
  <si>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20250000000000527297754 error: Error en envio de documeto '&lt;/p&gt;</t>
  </si>
  <si>
    <t>FB01-1403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</si>
  <si>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20250000000000527297770 error: Error en envio de documeto '&lt;/p&gt;</t>
  </si>
  <si>
    <t>FB01-1402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</si>
  <si>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20250000000000527297799 error: Error en envio de documeto '&lt;/p&gt;</t>
  </si>
  <si>
    <t>FB01-1401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</si>
  <si>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20250000000000527297823 error: Error en envio de documeto '&lt;/p&gt;</t>
  </si>
  <si>
    <t>FB01-1400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</si>
  <si>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20250000000000527297832 error: Error en envio de documeto '&lt;/p&gt;</t>
  </si>
  <si>
    <t>FB01-1399</t>
  </si>
  <si>
    <t>TARPUY PRODUCCIONES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</si>
  <si>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20250000000000527297847 error: Error en envio de documeto '&lt;/p&gt;</t>
  </si>
  <si>
    <t>FB01-1398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</si>
  <si>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20250000000000527297873 error: Error en envio de documeto '&lt;/p&gt;</t>
  </si>
  <si>
    <t>FB01-1397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</si>
  <si>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20250000000000527297907 error: Error en envio de documeto '&lt;/p&gt;</t>
  </si>
  <si>
    <t>FB01-1396</t>
  </si>
  <si>
    <t>SEVAFRA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</si>
  <si>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20250000000000527297922 error: Error en envio de documeto '&lt;/p&gt;</t>
  </si>
  <si>
    <t>FB01-1395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</si>
  <si>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20250000000000527297932 error: Error en envio de documeto '&lt;/p&gt;</t>
  </si>
  <si>
    <t>FB01-1394</t>
  </si>
  <si>
    <t>MULTISERVICIOS YATACO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</si>
  <si>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20250000000000527297937 error: Error en envio de documeto '&lt;/p&gt;</t>
  </si>
  <si>
    <t>FB01-1393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</si>
  <si>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20250000000000527297957 error: Error en envio de documeto '&lt;/p&gt;</t>
  </si>
  <si>
    <t>FB01-1392</t>
  </si>
  <si>
    <t>EL PADRINO DIVERSIONES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</si>
  <si>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20250000000000527297972 error: Error en envio de documeto '&lt;/p&gt;</t>
  </si>
  <si>
    <t>FB01-1391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</si>
  <si>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20250000000000527297981 error: Error en envio de documeto '&lt;/p&gt;</t>
  </si>
  <si>
    <t>FB01-1390</t>
  </si>
  <si>
    <t>INVERSIONES SAM &amp; ASOCIADOS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</si>
  <si>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20250000000000527297995 error: Error en envio de documeto '&lt;/p&gt;</t>
  </si>
  <si>
    <t>FB01-1389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</si>
  <si>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20250000000000527298005 error: Error en envio de documeto '&lt;/p&gt;</t>
  </si>
  <si>
    <t>FB01-1388</t>
  </si>
  <si>
    <t>NEGOCIACIONES Y PRODUCCIONES VEGA S.A.C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</si>
  <si>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20250000000000527298015 error: Error en envio de documeto '&lt;/p&gt;</t>
  </si>
  <si>
    <t>FB01-1387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</si>
  <si>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20250000000000527298026 error: Error en envio de documeto '&lt;/p&gt;</t>
  </si>
  <si>
    <t>FB01-1386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</si>
  <si>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20250000000000527298045 error: Error en envio de documeto '&lt;/p&gt;</t>
  </si>
  <si>
    <t>FB01-1385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</si>
  <si>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20250000000000527298067 error: Error en envio de documeto '&lt;/p&gt;</t>
  </si>
  <si>
    <t>FB01-1384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</si>
  <si>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20250000000000527298080 error: Error en envio de documeto '&lt;/p&gt;</t>
  </si>
  <si>
    <t>FB01-1383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</si>
  <si>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20250000000000527298094 error: Error en envio de documeto '&lt;/p&gt;</t>
  </si>
  <si>
    <t>FB01-1382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</si>
  <si>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20250000000000527298109 error: Error en envio de documeto '&lt;/p&gt;</t>
  </si>
  <si>
    <t>FB01-1381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</si>
  <si>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20250000000000527298131 error: Error en envio de documeto '&lt;/p&gt;</t>
  </si>
  <si>
    <t>FB01-1380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</si>
  <si>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20250000000000527298145 error: Error en envio de documeto '&lt;/p&gt;</t>
  </si>
  <si>
    <t>FB01-1379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</si>
  <si>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20250000000000527298166 error: Error en envio de documeto '&lt;/p&gt;</t>
  </si>
  <si>
    <t>FB01-1378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</si>
  <si>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20250000000000527298193 error: Error en envio de documeto '&lt;/p&gt;</t>
  </si>
  <si>
    <t>FB01-1377</t>
  </si>
  <si>
    <t>CARDANO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</si>
  <si>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20250000000000527298218 error: Error en envio de documeto '&lt;/p&gt;</t>
  </si>
  <si>
    <t>FB01-1376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</si>
  <si>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20250000000000527298233 error: Error en envio de documeto '&lt;/p&gt;</t>
  </si>
  <si>
    <t>FB01-1375</t>
  </si>
  <si>
    <t>JDA BUSINESS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</si>
  <si>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20250000000000527298249 error: Error en envio de documeto '&lt;/p&gt;</t>
  </si>
  <si>
    <t>FB01-1374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</si>
  <si>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20250000000000527298267 error: Error en envio de documeto '&lt;/p&gt;</t>
  </si>
  <si>
    <t>FB01-1373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</si>
  <si>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20250000000000527298278 error: Error en envio de documeto '&lt;/p&gt;</t>
  </si>
  <si>
    <t>FB01-1372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</si>
  <si>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20250000000000527298309 error: Error en envio de documeto '&lt;/p&gt;</t>
  </si>
  <si>
    <t>FB01-1371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</si>
  <si>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20250000000000527298336 error: Error en envio de documeto '&lt;/p&gt;</t>
  </si>
  <si>
    <t>FB01-1370</t>
  </si>
  <si>
    <t>RAMOS CRUZ MILAGRITOS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</si>
  <si>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20250000000000527298344 error: Error en envio de documeto '&lt;/p&gt;</t>
  </si>
  <si>
    <t>FB01-1369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</si>
  <si>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20250000000000527298355 error: Error en envio de documeto '&lt;/p&gt;</t>
  </si>
  <si>
    <t>FB01-1368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</si>
  <si>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20250000000000527298383 error: Error en envio de documeto '&lt;/p&gt;</t>
  </si>
  <si>
    <t>FB01-1367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</si>
  <si>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20250000000000527298403 error: Error en envio de documeto '&lt;/p&gt;</t>
  </si>
  <si>
    <t>FB01-1366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</si>
  <si>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20250000000000527298434 error: Error en envio de documeto '&lt;/p&gt;</t>
  </si>
  <si>
    <t>FB01-1365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</si>
  <si>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20250000000000527298446 error: Error en envio de documeto '&lt;/p&gt;</t>
  </si>
  <si>
    <t>FB01-1364</t>
  </si>
  <si>
    <t>TORRES TOVAR WILDER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</si>
  <si>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20250000000000527298475 error: Error en envio de documeto '&lt;/p&gt;</t>
  </si>
  <si>
    <t>FB01-1363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</si>
  <si>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20250000000000527298482 error: Error en envio de documeto '&lt;/p&gt;</t>
  </si>
  <si>
    <t>BB01-753</t>
  </si>
  <si>
    <t>EULALIA GAUDENCIA PEREZ CARHUAMACA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</si>
  <si>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20250000000000527298509 error: Error en envio de documeto '&lt;/p&gt;</t>
  </si>
  <si>
    <t>BB01-752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</si>
  <si>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20250000000000527298516 error: Error en envio de documeto '&lt;/p&gt;</t>
  </si>
  <si>
    <t>BB01-751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</si>
  <si>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20250000000000527298524 error: Error en envio de documeto '&lt;/p&gt;</t>
  </si>
  <si>
    <t>BB01-750</t>
  </si>
  <si>
    <t>JULIO MACHA MUNIVE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</si>
  <si>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20250000000000527298535 error: Error en envio de documeto '&lt;/p&gt;</t>
  </si>
  <si>
    <t>BB01-749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</si>
  <si>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20250000000000527298544 error: Error en envio de documeto '&lt;/p&gt;</t>
  </si>
  <si>
    <t>BB01-748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</si>
  <si>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20250000000000527298551 error: Error en envio de documeto '&lt;/p&gt;</t>
  </si>
  <si>
    <t>BB01-747</t>
  </si>
  <si>
    <t>YARIT ZARI ALANYA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</si>
  <si>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20250000000000527298572 error: Error en envio de documeto '&lt;/p&gt;</t>
  </si>
  <si>
    <t>BB01-746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</si>
  <si>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20250000000000527298582 error: Error en envio de documeto '&lt;/p&gt;</t>
  </si>
  <si>
    <t>BB01-745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</si>
  <si>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20250000000000527298619 error: Error en envio de documeto '&lt;/p&gt;</t>
  </si>
  <si>
    <t>BB01-744</t>
  </si>
  <si>
    <t>Erol Aylas Marquiño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</si>
  <si>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20250000000000527298642 error: Error en envio de documeto '&lt;/p&gt;</t>
  </si>
  <si>
    <t>BB01-743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</si>
  <si>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20250000000000527298655 error: Error en envio de documeto '&lt;/p&gt;</t>
  </si>
  <si>
    <t>BB01-742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</si>
  <si>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20250000000000527298667 error: Error en envio de documeto '&lt;/p&gt;</t>
  </si>
  <si>
    <t>BB01-741</t>
  </si>
  <si>
    <t>Humberto Ronald Mendoza Chacha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</si>
  <si>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20250000000000527298680 error: Error en envio de documeto '&lt;/p&gt;</t>
  </si>
  <si>
    <t>BB01-740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</si>
  <si>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20250000000000527298713 error: Error en envio de documeto '&lt;/p&gt;</t>
  </si>
  <si>
    <t>BB01-739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</si>
  <si>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20250000000000527298720 error: Error en envio de documeto '&lt;/p&gt;</t>
  </si>
  <si>
    <t>BB01-738</t>
  </si>
  <si>
    <t>Piero Macha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</si>
  <si>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20250000000000527298737 error: Error en envio de documeto '&lt;/p&gt;</t>
  </si>
  <si>
    <t>BB01-737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</si>
  <si>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20250000000000529184353 error: Error en envio de documeto '&lt;/p&gt;</t>
  </si>
  <si>
    <t>BB01-736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</si>
  <si>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20250000000000527298766 error: Error en envio de documeto '&lt;/p&gt;</t>
  </si>
  <si>
    <t>BB01-735</t>
  </si>
  <si>
    <t>GARELD ZAID HERRERA CARDENAS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</si>
  <si>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20250000000000527298775 error: Error en envio de documeto '&lt;/p&gt;</t>
  </si>
  <si>
    <t>BB01-734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</si>
  <si>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20250000000000527298782 error: Error en envio de documeto '&lt;/p&gt;</t>
  </si>
  <si>
    <t>BB01-733</t>
  </si>
  <si>
    <t>JAVIER ABEL SANCHEZ NUNTON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</si>
  <si>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20250000000000527298793 error: Error en envio de documeto '&lt;/p&gt;</t>
  </si>
  <si>
    <t>BB01-732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</si>
  <si>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20250000000000527298802 error: Error en envio de documeto '&lt;/p&gt;</t>
  </si>
  <si>
    <t>BB01-731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</si>
  <si>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20250000000000527298809 error: Error en envio de documeto '&lt;/p&gt;</t>
  </si>
  <si>
    <t>BB01-730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</si>
  <si>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20250000000000527298822 error: Error en envio de documeto '&lt;/p&gt;</t>
  </si>
  <si>
    <t>BB01-729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</si>
  <si>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20250000000000527298846 error: Error en envio de documeto '&lt;/p&gt;</t>
  </si>
  <si>
    <t>BB01-728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</si>
  <si>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20250000000000527298861 error: Error en envio de documeto '&lt;/p&gt;</t>
  </si>
  <si>
    <t>BB01-727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</si>
  <si>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20250000000000527298866 error: Error en envio de documeto '&lt;/p&gt;</t>
  </si>
  <si>
    <t>BB01-726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</si>
  <si>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20250000000000527298902 error: Error en envio de documeto '&lt;/p&gt;</t>
  </si>
  <si>
    <t>BB01-725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</si>
  <si>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20250000000000527298928 error: Error en envio de documeto '&lt;/p&gt;</t>
  </si>
  <si>
    <t>BB01-724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</si>
  <si>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20250000000000527298951 error: Error en envio de documeto '&lt;/p&gt;</t>
  </si>
  <si>
    <t>FB01-1362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</si>
  <si>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20250000000000527298960 error: Error en envio de documeto '&lt;/p&gt;</t>
  </si>
  <si>
    <t>FFF1-218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</si>
  <si>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20250000000000527298981 error: Error en envio de documeto '&lt;/p&gt;</t>
  </si>
  <si>
    <t>FB01-1361</t>
  </si>
  <si>
    <t>CHAMORRO AYALA ERIKA SOLEDAD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</si>
  <si>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20250000000000527298988 error: Error en envio de documeto '&lt;/p&gt;</t>
  </si>
  <si>
    <t>FB01-1360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</si>
  <si>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20250000000000527299004 error: Error en envio de documeto '&lt;/p&gt;</t>
  </si>
  <si>
    <t>BB01-721</t>
  </si>
  <si>
    <t>JHON DANNY BERNABLE BERNABLE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</si>
  <si>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20250000000000527299010 error: Error en envio de documeto '&lt;/p&gt;</t>
  </si>
  <si>
    <t>BB01-720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</si>
  <si>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20250000000000527299015 error: Error en envio de documeto '&lt;/p&gt;</t>
  </si>
  <si>
    <t>BB01-719</t>
  </si>
  <si>
    <t>SILVIA SEMIRA SANCHEZ SANGAMA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</si>
  <si>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20250000000000527299035 error: Error en envio de documeto '&lt;/p&gt;</t>
  </si>
  <si>
    <t>BB01-718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</si>
  <si>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20250000000000527299040 error: Error en envio de documeto '&lt;/p&gt;</t>
  </si>
  <si>
    <t>BB01-717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</si>
  <si>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20250000000000527299061 error: Error en envio de documeto '&lt;/p&gt;</t>
  </si>
  <si>
    <t>BB01-716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</si>
  <si>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20250000000000527299072 error: Error en envio de documeto '&lt;/p&gt;</t>
  </si>
  <si>
    <t>BB01-715</t>
  </si>
  <si>
    <t>ALEJANDRA FLORES TICONA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</si>
  <si>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20250000000000598888847 error: Error en envio de documento '&lt;/p&gt;</t>
  </si>
  <si>
    <t>BB01-714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</si>
  <si>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20250000000000527299108 error: Error en envio de documeto '&lt;/p&gt;</t>
  </si>
  <si>
    <t>BB01-713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</si>
  <si>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20250000000000527299117 error: Error en envio de documeto '&lt;/p&gt;</t>
  </si>
  <si>
    <t>BB01-712</t>
  </si>
  <si>
    <t>JORGE ANDRES RAMOS VILCAS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</si>
  <si>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20250000000000527299125 error: Error en envio de documeto '&lt;/p&gt;</t>
  </si>
  <si>
    <t>BB01-711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</si>
  <si>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20250000000000527299133 error: Error en envio de documeto '&lt;/p&gt;</t>
  </si>
  <si>
    <t>FB01-1359</t>
  </si>
  <si>
    <t>MOGROVEJO RAMOS ERWIN KERMER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</si>
  <si>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20250000000000527299139 error: Error en envio de documeto '&lt;/p&gt;</t>
  </si>
  <si>
    <t>FB01-1358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</si>
  <si>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20250000000000527299151 error: Error en envio de documeto '&lt;/p&gt;</t>
  </si>
  <si>
    <t>FB01-1357</t>
  </si>
  <si>
    <t>RESTAURANTE RECEPCIONES CHEPITA ROYAL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</si>
  <si>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20250000000000527299154 error: Error en envio de documeto '&lt;/p&gt;</t>
  </si>
  <si>
    <t>FB01-1356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</si>
  <si>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20250000000000527299161 error: Error en envio de documeto '&lt;/p&gt;</t>
  </si>
  <si>
    <t>FB01-1355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</si>
  <si>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20250000000000527299177 error: Error en envio de documeto '&lt;/p&gt;</t>
  </si>
  <si>
    <t>FB01-1354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</si>
  <si>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20250000000000527299192 error: Error en envio de documeto '&lt;/p&gt;</t>
  </si>
  <si>
    <t>FB01-1353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</si>
  <si>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20250000000000527299211 error: Error en envio de documeto '&lt;/p&gt;</t>
  </si>
  <si>
    <t>FB01-1352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</si>
  <si>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20250000000000527299216 error: Error en envio de documeto '&lt;/p&gt;</t>
  </si>
  <si>
    <t>FB01-1351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</si>
  <si>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20250000000000527299235 error: Error en envio de documeto '&lt;/p&gt;</t>
  </si>
  <si>
    <t>FB01-1350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</si>
  <si>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20250000000000527299239 error: Error en envio de documeto '&lt;/p&gt;</t>
  </si>
  <si>
    <t>FB01-1349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</si>
  <si>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20250000000000527299248 error: Error en envio de documeto '&lt;/p&gt;</t>
  </si>
  <si>
    <t>FB01-1348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</si>
  <si>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20250000000000527299262 error: Error en envio de documeto '&lt;/p&gt;</t>
  </si>
  <si>
    <t>FB01-1347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</si>
  <si>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20250000000000527299278 error: Error en envio de documeto '&lt;/p&gt;</t>
  </si>
  <si>
    <t>FB01-1346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</si>
  <si>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20250000000000527299297 error: Error en envio de documeto '&lt;/p&gt;</t>
  </si>
  <si>
    <t>FB01-1345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</si>
  <si>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20250000000000527299305 error: Error en envio de documeto '&lt;/p&gt;</t>
  </si>
  <si>
    <t>FB01-1344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</si>
  <si>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20250000000000527299331 error: Error en envio de documeto '&lt;/p&gt;</t>
  </si>
  <si>
    <t>FB01-1343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</si>
  <si>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20250000000000527299344 error: Error en envio de documeto '&lt;/p&gt;</t>
  </si>
  <si>
    <t>FB01-1342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</si>
  <si>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20250000000000527299351 error: Error en envio de documeto '&lt;/p&gt;</t>
  </si>
  <si>
    <t>FB01-1341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</si>
  <si>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20250000000000527299364 error: Error en envio de documeto '&lt;/p&gt;</t>
  </si>
  <si>
    <t>FB01-1340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</si>
  <si>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20250000000000527299373 error: Error en envio de documeto '&lt;/p&gt;</t>
  </si>
  <si>
    <t>FB01-1339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</si>
  <si>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20250000000000527299384 error: Error en envio de documeto '&lt;/p&gt;</t>
  </si>
  <si>
    <t>FB01-1338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</si>
  <si>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20250000000000527299398 error: Error en envio de documeto '&lt;/p&gt;</t>
  </si>
  <si>
    <t>FB01-1337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</si>
  <si>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20250000000000527299409 error: Error en envio de documeto '&lt;/p&gt;</t>
  </si>
  <si>
    <t>FB01-1336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</si>
  <si>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20250000000000527299424 error: Error en envio de documeto '&lt;/p&gt;</t>
  </si>
  <si>
    <t>FB01-1335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</si>
  <si>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20250000000000527299434 error: Error en envio de documeto '&lt;/p&gt;</t>
  </si>
  <si>
    <t>BB01-710</t>
  </si>
  <si>
    <t>MARIA ANTONELA GUERRERO GONZALES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</si>
  <si>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20250000000000527299442 error: Error en envio de documeto '&lt;/p&gt;</t>
  </si>
  <si>
    <t>BB01-709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</si>
  <si>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20250000000000527299452 error: Error en envio de documeto '&lt;/p&gt;</t>
  </si>
  <si>
    <t>BB01-708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</si>
  <si>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20250000000000527299456 error: Error en envio de documeto '&lt;/p&gt;</t>
  </si>
  <si>
    <t>BB01-707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</si>
  <si>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20250000000000527299470 error: Error en envio de documeto '&lt;/p&gt;</t>
  </si>
  <si>
    <t>FFF1-217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</si>
  <si>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20250000000000527299480 error: Error en envio de documeto '&lt;/p&gt;</t>
  </si>
  <si>
    <t>FB01-1334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</si>
  <si>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20250000000000527299486 error: Error en envio de documeto '&lt;/p&gt;</t>
  </si>
  <si>
    <t>FB01-1333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</si>
  <si>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20250000000000527299495 error: Error en envio de documeto '&lt;/p&gt;</t>
  </si>
  <si>
    <t>FB01-1332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</si>
  <si>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20250000000000527299513 error: Error en envio de documeto '&lt;/p&gt;</t>
  </si>
  <si>
    <t>FB01-1331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</si>
  <si>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20250000000000527299523 error: Error en envio de documeto '&lt;/p&gt;</t>
  </si>
  <si>
    <t>FB01-1330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</si>
  <si>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20250000000000527299534 error: Error en envio de documeto '&lt;/p&gt;</t>
  </si>
  <si>
    <t>FB01-1329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</si>
  <si>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20250000000000527299543 error: Error en envio de documeto '&lt;/p&gt;</t>
  </si>
  <si>
    <t>FB01-1328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</si>
  <si>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20250000000000527299549 error: Error en envio de documeto '&lt;/p&gt;</t>
  </si>
  <si>
    <t>FB01-1327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</si>
  <si>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20250000000000527299553 error: Error en envio de documeto '&lt;/p&gt;</t>
  </si>
  <si>
    <t>FB01-1326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</si>
  <si>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20250000000000527299559 error: Error en envio de documeto '&lt;/p&gt;</t>
  </si>
  <si>
    <t>FB01-1325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</si>
  <si>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20250000000000527299597 error: Error en envio de documeto '&lt;/p&gt;</t>
  </si>
  <si>
    <t>FB01-1324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</si>
  <si>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20250000000000527299615 error: Error en envio de documeto '&lt;/p&gt;</t>
  </si>
  <si>
    <t>FB01-1323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</si>
  <si>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20250000000000527299646 error: Error en envio de documeto '&lt;/p&gt;</t>
  </si>
  <si>
    <t>FB01-1322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</si>
  <si>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20250000000000527299675 error: Error en envio de documeto '&lt;/p&gt;</t>
  </si>
  <si>
    <t>FB01-1321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</si>
  <si>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20250000000000527299723 error: Error en envio de documeto '&lt;/p&gt;</t>
  </si>
  <si>
    <t>FB01-1320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</si>
  <si>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20250000000000527299748 error: Error en envio de documeto '&lt;/p&gt;</t>
  </si>
  <si>
    <t>FB01-1319</t>
  </si>
  <si>
    <t>EMPRESA PROMOTORA DE EVENTOS MAGDA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</si>
  <si>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20250000000000527299770 error: Error en envio de documeto '&lt;/p&gt;</t>
  </si>
  <si>
    <t>FB01-1318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</si>
  <si>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20250000000000527299796 error: Error en envio de documeto '&lt;/p&gt;</t>
  </si>
  <si>
    <t>FB01-1317</t>
  </si>
  <si>
    <t>3A BUSINESS EMPRESA INDIVIDUAL DE RESPONSABILIDAD LIMITADA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</si>
  <si>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20250000000000527299807 error: Error en envio de documeto '&lt;/p&gt;</t>
  </si>
  <si>
    <t>FB01-1316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</si>
  <si>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20250000000000527299824 error: Error en envio de documeto '&lt;/p&gt;</t>
  </si>
  <si>
    <t>FB01-1315</t>
  </si>
  <si>
    <t>JC SAN MARTIN EN SU SALSA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</si>
  <si>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20250000000000527299838 error: Error en envio de documeto '&lt;/p&gt;</t>
  </si>
  <si>
    <t>FB01-1314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</si>
  <si>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20250000000000527299851 error: Error en envio de documeto '&lt;/p&gt;</t>
  </si>
  <si>
    <t>FB01-1313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</si>
  <si>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20250000000000527299869 error: Error en envio de documeto '&lt;/p&gt;</t>
  </si>
  <si>
    <t>BB01-706</t>
  </si>
  <si>
    <t>MARIA ALICIA CORONADO MALUQUIS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</si>
  <si>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20250000000000527299887 error: Error en envio de documeto '&lt;/p&gt;</t>
  </si>
  <si>
    <t>BB01-705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</si>
  <si>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20250000000000527299903 error: Error en envio de documeto '&lt;/p&gt;</t>
  </si>
  <si>
    <t>BB01-704</t>
  </si>
  <si>
    <t>ORLANDO ALDAIR POMACAJA CARVO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</si>
  <si>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20250000000000527299911 error: Error en envio de documeto '&lt;/p&gt;</t>
  </si>
  <si>
    <t>BB01-703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</si>
  <si>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20250000000000527299929 error: Error en envio de documeto '&lt;/p&gt;</t>
  </si>
  <si>
    <t>BB01-702</t>
  </si>
  <si>
    <t>NAHOMY TRILCE CHAMORRO TORRES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</si>
  <si>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20250000000000527299943 error: Error en envio de documeto '&lt;/p&gt;</t>
  </si>
  <si>
    <t>BB01-701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</si>
  <si>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20250000000000527299955 error: Error en envio de documeto '&lt;/p&gt;</t>
  </si>
  <si>
    <t>BB01-700</t>
  </si>
  <si>
    <t>JOHEL EDWIN RICALDI ARIAS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</si>
  <si>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20250000000000527299967 error: Error en envio de documeto '&lt;/p&gt;</t>
  </si>
  <si>
    <t>BB01-699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</si>
  <si>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20250000000000527299980 error: Error en envio de documeto '&lt;/p&gt;</t>
  </si>
  <si>
    <t>FFF1-216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</si>
  <si>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20250000000000527300000 error: Error en envio de documeto '&lt;/p&gt;</t>
  </si>
  <si>
    <t>FFF1-215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</si>
  <si>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20250000000000527300013 error: Error en envio de documeto '&lt;/p&gt;</t>
  </si>
  <si>
    <t>FB01-1312</t>
  </si>
  <si>
    <t>JESSMIR PRODUCCIONES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</si>
  <si>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20250000000000527300025 error: Error en envio de documeto '&lt;/p&gt;</t>
  </si>
  <si>
    <t>FB01-1311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</si>
  <si>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20250000000000527300031 error: Error en envio de documeto '&lt;/p&gt;</t>
  </si>
  <si>
    <t>FB01-1310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</si>
  <si>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20250000000000527300038 error: Error en envio de documeto '&lt;/p&gt;</t>
  </si>
  <si>
    <t>FB01-1309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</si>
  <si>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20250000000000527300065 error: Error en envio de documeto '&lt;/p&gt;</t>
  </si>
  <si>
    <t>FB01-1308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</si>
  <si>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20250000000000527300072 error: Error en envio de documeto '&lt;/p&gt;</t>
  </si>
  <si>
    <t>FB01-1307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</si>
  <si>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20250000000000527300081 error: Error en envio de documeto '&lt;/p&gt;</t>
  </si>
  <si>
    <t>FB01-1306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</si>
  <si>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20250000000000527300089 error: Error en envio de documeto '&lt;/p&gt;</t>
  </si>
  <si>
    <t>FB01-1305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</si>
  <si>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20250000000000527300096 error: Error en envio de documeto '&lt;/p&gt;</t>
  </si>
  <si>
    <t>FB01-1304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</si>
  <si>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20250000000000527300107 error: Error en envio de documeto '&lt;/p&gt;</t>
  </si>
  <si>
    <t>FB01-1303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</si>
  <si>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20250000000000527300115 error: Error en envio de documeto '&lt;/p&gt;</t>
  </si>
  <si>
    <t>FB01-1302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</si>
  <si>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20250000000000527300122 error: Error en envio de documeto '&lt;/p&gt;</t>
  </si>
  <si>
    <t>FB01-1301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</si>
  <si>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20250000000000527300128 error: Error en envio de documeto '&lt;/p&gt;</t>
  </si>
  <si>
    <t>FB01-1300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</si>
  <si>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20250000000000527300138 error: Error en envio de documeto '&lt;/p&gt;</t>
  </si>
  <si>
    <t>FB01-1299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</si>
  <si>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20250000000000527300150 error: Error en envio de documeto '&lt;/p&gt;</t>
  </si>
  <si>
    <t>FB01-1298</t>
  </si>
  <si>
    <t>FENCO GORDILLO MAXIMO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</si>
  <si>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20250000000000527300159 error: Error en envio de documeto '&lt;/p&gt;</t>
  </si>
  <si>
    <t>FB01-1297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</si>
  <si>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20250000000000527300167 error: Error en envio de documeto '&lt;/p&gt;</t>
  </si>
  <si>
    <t>FB01-1296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</si>
  <si>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20250000000000527300174 error: Error en envio de documeto '&lt;/p&gt;</t>
  </si>
  <si>
    <t>FB01-1295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</si>
  <si>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20250000000000527300188 error: Error en envio de documeto '&lt;/p&gt;</t>
  </si>
  <si>
    <t>FB01-1294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</si>
  <si>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20250000000000527300197 error: Error en envio de documeto '&lt;/p&gt;</t>
  </si>
  <si>
    <t>FB01-1293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</si>
  <si>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20250000000000527300210 error: Error en envio de documeto '&lt;/p&gt;</t>
  </si>
  <si>
    <t>FB01-1292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</si>
  <si>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20250000000000527300221 error: Error en envio de documeto '&lt;/p&gt;</t>
  </si>
  <si>
    <t>FB01-1291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</si>
  <si>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20250000000000527300233 error: Error en envio de documeto '&lt;/p&gt;</t>
  </si>
  <si>
    <t>FB01-1290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</si>
  <si>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20250000000000527300252 error: Error en envio de documeto '&lt;/p&gt;</t>
  </si>
  <si>
    <t>FB01-1289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</si>
  <si>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20250000000000527300262 error: Error en envio de documeto '&lt;/p&gt;</t>
  </si>
  <si>
    <t>FB01-1288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</si>
  <si>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20250000000000527300276 error: Error en envio de documeto '&lt;/p&gt;</t>
  </si>
  <si>
    <t>FB01-1287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</si>
  <si>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20250000000000527300284 error: Error en envio de documeto '&lt;/p&gt;</t>
  </si>
  <si>
    <t>FB01-1286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</si>
  <si>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20250000000000527300303 error: Error en envio de documeto '&lt;/p&gt;</t>
  </si>
  <si>
    <t>FB01-1285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</si>
  <si>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20250000000000527300336 error: Error en envio de documeto '&lt;/p&gt;</t>
  </si>
  <si>
    <t>FB01-1284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</si>
  <si>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20250000000000527300362 error: Error en envio de documeto '&lt;/p&gt;</t>
  </si>
  <si>
    <t>FB01-1283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</si>
  <si>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20250000000000527300389 error: Error en envio de documeto '&lt;/p&gt;</t>
  </si>
  <si>
    <t>FB01-1282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</si>
  <si>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20250000000000527300427 error: Error en envio de documeto '&lt;/p&gt;</t>
  </si>
  <si>
    <t>FB01-1281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</si>
  <si>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20250000000000527300464 error: Error en envio de documeto '&lt;/p&gt;</t>
  </si>
  <si>
    <t>FB01-1280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</si>
  <si>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20250000000000527300544 error: Error en envio de documeto '&lt;/p&gt;</t>
  </si>
  <si>
    <t>FB01-1279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</si>
  <si>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20250000000000527300562 error: Error en envio de documeto '&lt;/p&gt;</t>
  </si>
  <si>
    <t>FB01-1278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</si>
  <si>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20250000000000527300575 error: Error en envio de documeto '&lt;/p&gt;</t>
  </si>
  <si>
    <t>FB01-1277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</si>
  <si>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20250000000000527300597 error: Error en envio de documeto '&lt;/p&gt;</t>
  </si>
  <si>
    <t>FB01-1276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</si>
  <si>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20250000000000527300617 error: Error en envio de documeto '&lt;/p&gt;</t>
  </si>
  <si>
    <t>FB01-1275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</si>
  <si>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20250000000000527300640 error: Error en envio de documeto '&lt;/p&gt;</t>
  </si>
  <si>
    <t>FB01-1274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</si>
  <si>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20250000000000527300691 error: Error en envio de documeto '&lt;/p&gt;</t>
  </si>
  <si>
    <t>FB01-1273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</si>
  <si>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20250000000000527300719 error: Error en envio de documeto '&lt;/p&gt;</t>
  </si>
  <si>
    <t>FB01-1272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</si>
  <si>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20250000000000527300753 error: Error en envio de documeto '&lt;/p&gt;</t>
  </si>
  <si>
    <t>FB01-1271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</si>
  <si>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20250000000000527300803 error: Error en envio de documeto '&lt;/p&gt;</t>
  </si>
  <si>
    <t>FB01-1270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</si>
  <si>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20250000000000527300834 error: Error en envio de documeto '&lt;/p&gt;</t>
  </si>
  <si>
    <t>FB01-1269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</si>
  <si>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20250000000000527300877 error: Error en envio de documeto '&lt;/p&gt;</t>
  </si>
  <si>
    <t>FB01-1268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</si>
  <si>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20250000000000527300893 error: Error en envio de documeto '&lt;/p&gt;</t>
  </si>
  <si>
    <t>FB01-1267</t>
  </si>
  <si>
    <t>M.C.A. SERVICIOS INDUSTRIALES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</si>
  <si>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20250000000000527300908 error: Error en envio de documeto '&lt;/p&gt;</t>
  </si>
  <si>
    <t>FB01-1266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</si>
  <si>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20250000000000527300928 error: Error en envio de documeto '&lt;/p&gt;</t>
  </si>
  <si>
    <t>BB01-698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</si>
  <si>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20250000000000527300945 error: Error en envio de documeto '&lt;/p&gt;</t>
  </si>
  <si>
    <t>BB01-697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</si>
  <si>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20250000000000527300963 error: Error en envio de documeto '&lt;/p&gt;</t>
  </si>
  <si>
    <t>BB01-696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</si>
  <si>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20250000000000527300969 error: Error en envio de documeto '&lt;/p&gt;</t>
  </si>
  <si>
    <t>BB01-695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</si>
  <si>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20250000000000527300992 error: Error en envio de documeto '&lt;/p&gt;</t>
  </si>
  <si>
    <t>BB01-694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</si>
  <si>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20250000000000527301003 error: Error en envio de documeto '&lt;/p&gt;</t>
  </si>
  <si>
    <t>BB01-693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</si>
  <si>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20250000000000527301023 error: Error en envio de documeto '&lt;/p&gt;</t>
  </si>
  <si>
    <t>BB01-692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</si>
  <si>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20250000000000527301027 error: Error en envio de documeto '&lt;/p&gt;</t>
  </si>
  <si>
    <t>BB01-691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</si>
  <si>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20250000000000527301048 error: Error en envio de documeto '&lt;/p&gt;</t>
  </si>
  <si>
    <t>BB01-690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</si>
  <si>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20250000000000527301059 error: Error en envio de documeto '&lt;/p&gt;</t>
  </si>
  <si>
    <t>BB01-689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</si>
  <si>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20250000000000527301080 error: Error en envio de documeto '&lt;/p&gt;</t>
  </si>
  <si>
    <t>BB01-688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</si>
  <si>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20250000000000527301086 error: Error en envio de documeto '&lt;/p&gt;</t>
  </si>
  <si>
    <t>BB01-687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</si>
  <si>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20250000000000527301102 error: Error en envio de documeto '&lt;/p&gt;</t>
  </si>
  <si>
    <t>BB01-686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</si>
  <si>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20250000000000527301130 error: Error en envio de documeto '&lt;/p&gt;</t>
  </si>
  <si>
    <t>BB01-685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</si>
  <si>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20250000000000527301143 error: Error en envio de documeto '&lt;/p&gt;</t>
  </si>
  <si>
    <t>BB01-684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</si>
  <si>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20250000000000527301154 error: Error en envio de documeto '&lt;/p&gt;</t>
  </si>
  <si>
    <t>BB01-683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</si>
  <si>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20250000000000527301166 error: Error en envio de documeto '&lt;/p&gt;</t>
  </si>
  <si>
    <t>BB01-682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</si>
  <si>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20250000000000527301175 error: Error en envio de documeto '&lt;/p&gt;</t>
  </si>
  <si>
    <t>BB01-681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</si>
  <si>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20250000000000527301181 error: Error en envio de documeto '&lt;/p&gt;</t>
  </si>
  <si>
    <t>BB01-680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</si>
  <si>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20250000000000527301188 error: Error en envio de documeto '&lt;/p&gt;</t>
  </si>
  <si>
    <t>BB01-679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</si>
  <si>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20250000000000527301196 error: Error en envio de documeto '&lt;/p&gt;</t>
  </si>
  <si>
    <t>BB01-678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</si>
  <si>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20250000000000527301208 error: Error en envio de documeto '&lt;/p&gt;</t>
  </si>
  <si>
    <t>BB01-677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</si>
  <si>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20250000000000527301214 error: Error en envio de documeto '&lt;/p&gt;</t>
  </si>
  <si>
    <t>BB01-676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</si>
  <si>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20250000000000527301224 error: Error en envio de documeto '&lt;/p&gt;</t>
  </si>
  <si>
    <t>BB01-675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</si>
  <si>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20250000000000527301237 error: Error en envio de documeto '&lt;/p&gt;</t>
  </si>
  <si>
    <t>BB01-674</t>
  </si>
  <si>
    <t>JHONATHAN CALDERON QUISPE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</si>
  <si>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20250000000000527301264 error: Error en envio de documeto '&lt;/p&gt;</t>
  </si>
  <si>
    <t>BB01-673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</si>
  <si>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20250000000000527301273 error: Error en envio de documeto '&lt;/p&gt;</t>
  </si>
  <si>
    <t>BB01-672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</si>
  <si>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20250000000000527301283 error: Error en envio de documeto '&lt;/p&gt;</t>
  </si>
  <si>
    <t>BB01-671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</si>
  <si>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20250000000000527301289 error: Error en envio de documeto '&lt;/p&gt;</t>
  </si>
  <si>
    <t>BB01-670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</si>
  <si>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20250000000000527301296 error: Error en envio de documeto '&lt;/p&gt;</t>
  </si>
  <si>
    <t>BB01-669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</si>
  <si>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20250000000000527301313 error: Error en envio de documeto '&lt;/p&gt;</t>
  </si>
  <si>
    <t>BB01-668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</si>
  <si>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20250000000000527301319 error: Error en envio de documeto '&lt;/p&gt;</t>
  </si>
  <si>
    <t>BB01-667</t>
  </si>
  <si>
    <t>JORGE NIKITA GALLO PEREZ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</si>
  <si>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20250000000000527301334 error: Error en envio de documeto '&lt;/p&gt;</t>
  </si>
  <si>
    <t>BB01-666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</si>
  <si>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20250000000000527301341 error: Error en envio de documeto '&lt;/p&gt;</t>
  </si>
  <si>
    <t>FFF1-214</t>
  </si>
  <si>
    <t>FIESTAS BRAVAS GROUP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</si>
  <si>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20250000000000527301355 error: Error en envio de documeto '&lt;/p&gt;</t>
  </si>
  <si>
    <t>FFF1-213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</si>
  <si>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20250000000000527301385 error: Error en envio de documeto '&lt;/p&gt;</t>
  </si>
  <si>
    <t>FFF1-212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</si>
  <si>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20250000000000527301408 error: Error en envio de documeto '&lt;/p&gt;</t>
  </si>
  <si>
    <t>FFF1-211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</si>
  <si>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20250000000000527301431 error: Error en envio de documeto '&lt;/p&gt;</t>
  </si>
  <si>
    <t>FB01-1265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</si>
  <si>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20250000000000527301461 error: Error en envio de documeto '&lt;/p&gt;</t>
  </si>
  <si>
    <t>FB01-1264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</si>
  <si>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20250000000000527301482 error: Error en envio de documeto '&lt;/p&gt;</t>
  </si>
  <si>
    <t>FB01-1263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</si>
  <si>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20250000000000527301493 error: Error en envio de documeto '&lt;/p&gt;</t>
  </si>
  <si>
    <t>FB01-1262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</si>
  <si>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20250000000000527301497 error: Error en envio de documeto '&lt;/p&gt;</t>
  </si>
  <si>
    <t>FB01-1261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</si>
  <si>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20250000000000527301504 error: Error en envio de documeto '&lt;/p&gt;</t>
  </si>
  <si>
    <t>FB01-1260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</si>
  <si>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20250000000000527301520 error: Error en envio de documeto '&lt;/p&gt;</t>
  </si>
  <si>
    <t>BB01-665</t>
  </si>
  <si>
    <t>GEINER DAVID QUIROZ GIL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</si>
  <si>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20250000000000527301541 error: Error en envio de documeto '&lt;/p&gt;</t>
  </si>
  <si>
    <t>BB01-664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</si>
  <si>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20250000000000527301554 error: Error en envio de documeto '&lt;/p&gt;</t>
  </si>
  <si>
    <t>BB01-663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</si>
  <si>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20250000000000527301571 error: Error en envio de documeto '&lt;/p&gt;</t>
  </si>
  <si>
    <t>BB01-662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</si>
  <si>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20250000000000527301579 error: Error en envio de documeto '&lt;/p&gt;</t>
  </si>
  <si>
    <t>FFF1-210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</si>
  <si>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20250000000000527301596 error: Error en envio de documeto '&lt;/p&gt;</t>
  </si>
  <si>
    <t>FFF1-209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</si>
  <si>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20250000000000527301604 error: Error en envio de documeto '&lt;/p&gt;</t>
  </si>
  <si>
    <t>FB01-1259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</si>
  <si>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20250000000000527301622 error: Error en envio de documeto '&lt;/p&gt;</t>
  </si>
  <si>
    <t>FB01-1258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</si>
  <si>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20250000000000527301629 error: Error en envio de documeto '&lt;/p&gt;</t>
  </si>
  <si>
    <t>FB01-1257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</si>
  <si>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20250000000000527301636 error: Error en envio de documeto '&lt;/p&gt;</t>
  </si>
  <si>
    <t>FB01-1256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</si>
  <si>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20250000000000527301643 error: Error en envio de documeto '&lt;/p&gt;</t>
  </si>
  <si>
    <t>FB01-1255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</si>
  <si>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20250000000000527301654 error: Error en envio de documeto '&lt;/p&gt;</t>
  </si>
  <si>
    <t>FB01-1254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</si>
  <si>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20250000000000527301663 error: Error en envio de documeto '&lt;/p&gt;</t>
  </si>
  <si>
    <t>FB01-1253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</si>
  <si>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20250000000000527301672 error: Error en envio de documeto '&lt;/p&gt;</t>
  </si>
  <si>
    <t>FB01-1252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</si>
  <si>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20250000000000527301688 error: Error en envio de documeto '&lt;/p&gt;</t>
  </si>
  <si>
    <t>FB01-1251</t>
  </si>
  <si>
    <t>PROMOTORA Y SONIDO MUSICAL WC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</si>
  <si>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20250000000000527301704 error: Error en envio de documeto '&lt;/p&gt;</t>
  </si>
  <si>
    <t>FB01-1250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</si>
  <si>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20250000000000527301712 error: Error en envio de documeto '&lt;/p&gt;</t>
  </si>
  <si>
    <t>FB01-1249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</si>
  <si>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20250000000000527301723 error: Error en envio de documeto '&lt;/p&gt;</t>
  </si>
  <si>
    <t>FB01-1248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</si>
  <si>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20250000000000527301728 error: Error en envio de documeto '&lt;/p&gt;</t>
  </si>
  <si>
    <t>FB01-1247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</si>
  <si>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20250000000000527301733 error: Error en envio de documeto '&lt;/p&gt;</t>
  </si>
  <si>
    <t>FB01-1246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</si>
  <si>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20250000000000527301743 error: Error en envio de documeto '&lt;/p&gt;</t>
  </si>
  <si>
    <t>FB01-1245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</si>
  <si>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20250000000000527301755 error: Error en envio de documeto '&lt;/p&gt;</t>
  </si>
  <si>
    <t>FB01-1244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</si>
  <si>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20250000000000527301760 error: Error en envio de documeto '&lt;/p&gt;</t>
  </si>
  <si>
    <t>FB01-1243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</si>
  <si>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20250000000000527301765 error: Error en envio de documeto '&lt;/p&gt;</t>
  </si>
  <si>
    <t>FB01-1242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</si>
  <si>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20250000000000527301785 error: Error en envio de documeto '&lt;/p&gt;</t>
  </si>
  <si>
    <t>FB01-1241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</si>
  <si>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20250000000000527301801 error: Error en envio de documeto '&lt;/p&gt;</t>
  </si>
  <si>
    <t>FB01-1240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</si>
  <si>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20250000000000527301810 error: Error en envio de documeto '&lt;/p&gt;</t>
  </si>
  <si>
    <t>FB01-1239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</si>
  <si>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20250000000000527301817 error: Error en envio de documeto '&lt;/p&gt;</t>
  </si>
  <si>
    <t>FB01-1238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</si>
  <si>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20250000000000527301822 error: Error en envio de documeto '&lt;/p&gt;</t>
  </si>
  <si>
    <t>FB01-1237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</si>
  <si>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20250000000000527301831 error: Error en envio de documeto '&lt;/p&gt;</t>
  </si>
  <si>
    <t>FB01-1236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</si>
  <si>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20250000000000527301842 error: Error en envio de documeto '&lt;/p&gt;</t>
  </si>
  <si>
    <t>FB01-1235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</si>
  <si>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20250000000000527301850 error: Error en envio de documeto '&lt;/p&gt;</t>
  </si>
  <si>
    <t>FB01-1234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</si>
  <si>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20250000000000527301861 error: Error en envio de documeto '&lt;/p&gt;</t>
  </si>
  <si>
    <t>FB01-1233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</si>
  <si>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20250000000000527301877 error: Error en envio de documeto '&lt;/p&gt;</t>
  </si>
  <si>
    <t>FB01-1232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</si>
  <si>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20250000000000527301896 error: Error en envio de documeto '&lt;/p&gt;</t>
  </si>
  <si>
    <t>FB01-1231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</si>
  <si>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20250000000000527301925 error: Error en envio de documeto '&lt;/p&gt;</t>
  </si>
  <si>
    <t>FB01-1230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</si>
  <si>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20250000000000527301957 error: Error en envio de documeto '&lt;/p&gt;</t>
  </si>
  <si>
    <t>FB01-1229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</si>
  <si>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20250000000000527301984 error: Error en envio de documeto '&lt;/p&gt;</t>
  </si>
  <si>
    <t>FB01-1228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</si>
  <si>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20250000000000527302015 error: Error en envio de documeto '&lt;/p&gt;</t>
  </si>
  <si>
    <t>FB01-1227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</si>
  <si>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20250000000000527302052 error: Error en envio de documeto '&lt;/p&gt;</t>
  </si>
  <si>
    <t>FB01-1226</t>
  </si>
  <si>
    <t>LIMA VIAJES Y TURISMO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</si>
  <si>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20250000000000527302071 error: Error en envio de documeto '&lt;/p&gt;</t>
  </si>
  <si>
    <t>FB01-1225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</si>
  <si>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20250000000000527302078 error: Error en envio de documeto '&lt;/p&gt;</t>
  </si>
  <si>
    <t>FB01-1224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</si>
  <si>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20250000000000527302102 error: Error en envio de documeto '&lt;/p&gt;</t>
  </si>
  <si>
    <t>FB01-1223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</si>
  <si>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20250000000000527302118 error: Error en envio de documeto '&lt;/p&gt;</t>
  </si>
  <si>
    <t>BB01-657</t>
  </si>
  <si>
    <t>ALFREDO CALDERON MEDINA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</si>
  <si>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20250000000000527302133 error: Error en envio de documeto '&lt;/p&gt;</t>
  </si>
  <si>
    <t>BB01-656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</si>
  <si>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20250000000000527302144 error: Error en envio de documeto '&lt;/p&gt;</t>
  </si>
  <si>
    <t>BB01-655</t>
  </si>
  <si>
    <t>ALAN GUILLERMO PAUCAR GARRO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</si>
  <si>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20250000000000527302161 error: Error en envio de documeto '&lt;/p&gt;</t>
  </si>
  <si>
    <t>BB01-654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</si>
  <si>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20250000000000527302170 error: Error en envio de documeto '&lt;/p&gt;</t>
  </si>
  <si>
    <t>BB01-653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</si>
  <si>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20250000000000527302182 error: Error en envio de documeto '&lt;/p&gt;</t>
  </si>
  <si>
    <t>BB01-652</t>
  </si>
  <si>
    <t>EMILIANO MINCHOLA RIVEROS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</si>
  <si>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20250000000000527302198 error: Error en envio de documeto '&lt;/p&gt;</t>
  </si>
  <si>
    <t>BB01-651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</si>
  <si>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20250000000000527302213 error: Error en envio de documeto '&lt;/p&gt;</t>
  </si>
  <si>
    <t>FB01-1222</t>
  </si>
  <si>
    <t>EMPRESA OK MEDIOS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</si>
  <si>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20250000000000527302231 error: Error en envio de documeto '&lt;/p&gt;</t>
  </si>
  <si>
    <t>FB01-1219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</si>
  <si>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20250000000000527302246 error: Error en envio de documeto '&lt;/p&gt;</t>
  </si>
  <si>
    <t>FB01-1218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</si>
  <si>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20250000000000527302260 error: Error en envio de documeto '&lt;/p&gt;</t>
  </si>
  <si>
    <t>FB01-1217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</si>
  <si>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20250000000000527302276 error: Error en envio de documeto '&lt;/p&gt;</t>
  </si>
  <si>
    <t>FB01-1216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</si>
  <si>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20250000000000527302279 error: Error en envio de documeto '&lt;/p&gt;</t>
  </si>
  <si>
    <t>FB01-1215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</si>
  <si>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20250000000000527302284 error: Error en envio de documeto '&lt;/p&gt;</t>
  </si>
  <si>
    <t>FB01-1214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</si>
  <si>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20250000000000527302291 error: Error en envio de documeto '&lt;/p&gt;</t>
  </si>
  <si>
    <t>FB01-1213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</si>
  <si>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20250000000000527302297 error: Error en envio de documeto '&lt;/p&gt;</t>
  </si>
  <si>
    <t>FB01-1212</t>
  </si>
  <si>
    <t>LA PLAZA GASTRONOMICA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</si>
  <si>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20250000000000527302306 error: Error en envio de documeto '&lt;/p&gt;</t>
  </si>
  <si>
    <t>FB01-1211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</si>
  <si>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20250000000000527302318 error: Error en envio de documeto '&lt;/p&gt;</t>
  </si>
  <si>
    <t>FB01-1210</t>
  </si>
  <si>
    <t>ECO CABAÑAS DEL ESTE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</si>
  <si>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20250000000000527302332 error: Error en envio de documeto '&lt;/p&gt;</t>
  </si>
  <si>
    <t>FB01-1209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</si>
  <si>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20250000000000527302342 error: Error en envio de documeto '&lt;/p&gt;</t>
  </si>
  <si>
    <t>FB01-1208</t>
  </si>
  <si>
    <t>SABORES CRIOLLOS DEL PERU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</si>
  <si>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20250000000000527302358 error: Error en envio de documeto '&lt;/p&gt;</t>
  </si>
  <si>
    <t>FB01-1207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</si>
  <si>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20250000000000527302365 error: Error en envio de documeto '&lt;/p&gt;</t>
  </si>
  <si>
    <t>FB01-1206</t>
  </si>
  <si>
    <t>SAOCO FR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</si>
  <si>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20250000000000527302374 error: Error en envio de documeto '&lt;/p&gt;</t>
  </si>
  <si>
    <t>FB01-1205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</si>
  <si>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20250000000000527302376 error: Error en envio de documeto '&lt;/p&gt;</t>
  </si>
  <si>
    <t>FB01-1204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</si>
  <si>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20250000000000527302379 error: Error en envio de documeto '&lt;/p&gt;</t>
  </si>
  <si>
    <t>FB01-1203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</si>
  <si>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20250000000000527302401 error: Error en envio de documeto '&lt;/p&gt;</t>
  </si>
  <si>
    <t>FB01-1202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</si>
  <si>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20250000000000527302436 error: Error en envio de documeto '&lt;/p&gt;</t>
  </si>
  <si>
    <t>FB01-1201</t>
  </si>
  <si>
    <t>PROMOTORA SR. DE MURUHUAY E.I.R.L.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</si>
  <si>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20250000000000527302447 error: Error en envio de documeto '&lt;/p&gt;</t>
  </si>
  <si>
    <t>FB01-1200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</si>
  <si>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20250000000000527302453 error: Error en envio de documeto '&lt;/p&gt;</t>
  </si>
  <si>
    <t>FB01-1199</t>
  </si>
  <si>
    <t>COJAL ARROYO JAVIER MARCIANO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</si>
  <si>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20250000000000527302464 error: Error en envio de documeto '&lt;/p&gt;</t>
  </si>
  <si>
    <t>FB01-1198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</si>
  <si>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20250000000000527302481 error: Error en envio de documeto '&lt;/p&gt;</t>
  </si>
  <si>
    <t>FB01-1197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</si>
  <si>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20250000000000527302491 error: Error en envio de documeto '&lt;/p&gt;</t>
  </si>
  <si>
    <t>FB01-1196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</si>
  <si>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20250000000000527302494 error: Error en envio de documeto '&lt;/p&gt;</t>
  </si>
  <si>
    <t>FB01-1195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</si>
  <si>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20250000000000527302502 error: Error en envio de documeto '&lt;/p&gt;</t>
  </si>
  <si>
    <t>FB01-1194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</si>
  <si>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20250000000000527302513 error: Error en envio de documeto '&lt;/p&gt;</t>
  </si>
  <si>
    <t>FB01-1193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</si>
  <si>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20250000000000527302524 error: Error en envio de documeto '&lt;/p&gt;</t>
  </si>
  <si>
    <t>FB01-1192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</si>
  <si>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20250000000000527302537 error: Error en envio de documeto '&lt;/p&gt;</t>
  </si>
  <si>
    <t>FB01-1191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</si>
  <si>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20250000000000527302552 error: Error en envio de documeto '&lt;/p&gt;</t>
  </si>
  <si>
    <t>FB01-1190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</si>
  <si>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20250000000000527302555 error: Error en envio de documeto '&lt;/p&gt;</t>
  </si>
  <si>
    <t>FB01-1189</t>
  </si>
  <si>
    <t>SUPER LEO SAC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</si>
  <si>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20250000000000527302573 error: Error en envio de documeto '&lt;/p&gt;</t>
  </si>
  <si>
    <t>FB01-1188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</si>
  <si>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20250000000000527302580 error: Error en envio de documeto '&lt;/p&gt;</t>
  </si>
  <si>
    <t>FB01-1187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</si>
  <si>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20250000000000527302586 error: Error en envio de documeto '&lt;/p&gt;</t>
  </si>
  <si>
    <t>FB01-1186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</si>
  <si>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20250000000000527302593 error: Error en envio de documeto '&lt;/p&gt;</t>
  </si>
  <si>
    <t>FB01-1185</t>
  </si>
  <si>
    <t>MAQUINA DEL TIEMPO S.A.C.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</si>
  <si>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20250000000000527302601 error: Error en envio de documeto '&lt;/p&gt;</t>
  </si>
  <si>
    <t>FB01-1184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</si>
  <si>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20250000000000527302632 error: Error en envio de documeto '&lt;/p&gt;</t>
  </si>
  <si>
    <t>BB01-650</t>
  </si>
  <si>
    <t>ADRIAN DOLORES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</si>
  <si>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20250000000000527302673 error: Error en envio de documeto '&lt;/p&gt;</t>
  </si>
  <si>
    <t>BB01-649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</si>
  <si>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20250000000000527302688 error: Error en envio de documeto '&lt;/p&gt;</t>
  </si>
  <si>
    <t>BB01-648</t>
  </si>
  <si>
    <t>ALEX DARWIN MUERAS PORRAS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</si>
  <si>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20250000000000527302709 error: Error en envio de documeto '&lt;/p&gt;</t>
  </si>
  <si>
    <t>BB01-647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</si>
  <si>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20250000000000527302731 error: Error en envio de documeto '&lt;/p&gt;</t>
  </si>
  <si>
    <t>BB01-646</t>
  </si>
  <si>
    <t>Dilbert Aguilar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</si>
  <si>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20250000000000527302753 error: Error en envio de documeto '&lt;/p&gt;</t>
  </si>
  <si>
    <t>BB01-645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</si>
  <si>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20250000000000527302767 error: Error en envio de documeto '&lt;/p&gt;</t>
  </si>
  <si>
    <t>BB01-644</t>
  </si>
  <si>
    <t>MARGARITA ARROYO FLORES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</si>
  <si>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20250000000000527302781 error: Error en envio de documeto '&lt;/p&gt;</t>
  </si>
  <si>
    <t>BB01-643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</si>
  <si>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20250000000000527302797 error: Error en envio de documeto '&lt;/p&gt;</t>
  </si>
  <si>
    <t>BB01-642</t>
  </si>
  <si>
    <t>HERMOGENES HUAMAN ESPINOZA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</si>
  <si>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20250000000000527302809 error: Error en envio de documeto '&lt;/p&gt;</t>
  </si>
  <si>
    <t>BB01-641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</si>
  <si>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20250000000000527302828 error: Error en envio de documeto '&lt;/p&gt;</t>
  </si>
  <si>
    <t>BB01-640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</si>
  <si>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20250000000000527302845 error: Error en envio de documeto '&lt;/p&gt;</t>
  </si>
  <si>
    <t>BB01-639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</si>
  <si>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20250000000000527302857 error: Error en envio de documeto '&lt;/p&gt;</t>
  </si>
  <si>
    <t>BB01-638</t>
  </si>
  <si>
    <t>JOSE CORPUS CERDAN DIAZ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</si>
  <si>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20250000000000527302882 error: Error en envio de documeto '&lt;/p&gt;</t>
  </si>
  <si>
    <t>BB01-637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</si>
  <si>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20250000000000527302907 error: Error en envio de documeto '&lt;/p&gt;</t>
  </si>
  <si>
    <t>FB01-1183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</si>
  <si>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20250000000000527302935 error: Error en envio de documeto '&lt;/p&gt;</t>
  </si>
  <si>
    <t>FB01-1182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</si>
  <si>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20250000000000527302973 error: Error en envio de documeto '&lt;/p&gt;</t>
  </si>
  <si>
    <t>FB01-1181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</si>
  <si>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20250000000000527302992 error: Error en envio de documeto '&lt;/p&gt;</t>
  </si>
  <si>
    <t>FB01-1180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</si>
  <si>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20250000000000527302997 error: Error en envio de documeto '&lt;/p&gt;</t>
  </si>
  <si>
    <t>FB01-1179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</si>
  <si>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20250000000000527303007 error: Error en envio de documeto '&lt;/p&gt;</t>
  </si>
  <si>
    <t>FB01-1178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</si>
  <si>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20250000000000527303024 error: Error en envio de documeto '&lt;/p&gt;</t>
  </si>
  <si>
    <t>FB01-1177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</si>
  <si>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20250000000000527303047 error: Error en envio de documeto '&lt;/p&gt;</t>
  </si>
  <si>
    <t>FB01-1176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</si>
  <si>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20250000000000527303058 error: Error en envio de documeto '&lt;/p&gt;</t>
  </si>
  <si>
    <t>FB01-1175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</si>
  <si>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20250000000000527303068 error: Error en envio de documeto '&lt;/p&gt;</t>
  </si>
  <si>
    <t>FB01-1174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</si>
  <si>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20250000000000527303073 error: Error en envio de documeto '&lt;/p&gt;</t>
  </si>
  <si>
    <t>FB01-1173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</si>
  <si>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20250000000000527303080 error: Error en envio de documeto '&lt;/p&gt;</t>
  </si>
  <si>
    <t>FB01-1172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</si>
  <si>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20250000000000527303092 error: Error en envio de documeto '&lt;/p&gt;</t>
  </si>
  <si>
    <t>FB01-1171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</si>
  <si>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20250000000000527303113 error: Error en envio de documeto '&lt;/p&gt;</t>
  </si>
  <si>
    <t>BB01-636</t>
  </si>
  <si>
    <t>JENNER ROBERTO CRISANTA RIOS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</si>
  <si>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20250000000000527303129 error: Error en envio de documeto '&lt;/p&gt;</t>
  </si>
  <si>
    <t>BB01-635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</si>
  <si>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20250000000000527303146 error: Error en envio de documeto '&lt;/p&gt;</t>
  </si>
  <si>
    <t>BB01-634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</si>
  <si>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20250000000000527303161 error: Error en envio de documeto '&lt;/p&gt;</t>
  </si>
  <si>
    <t>BB01-633</t>
  </si>
  <si>
    <t>CRISTHIAM ABEL ALDANA CASTILLO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</si>
  <si>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20250000000000527303183 error: Error en envio de documeto '&lt;/p&gt;</t>
  </si>
  <si>
    <t>BB01-632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</si>
  <si>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20250000000000527303193 error: Error en envio de documeto '&lt;/p&gt;</t>
  </si>
  <si>
    <t>BB01-631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</si>
  <si>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20250000000000527303205 error: Error en envio de documeto '&lt;/p&gt;</t>
  </si>
  <si>
    <t>BB01-630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</si>
  <si>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20250000000000527303222 error: Error en envio de documeto '&lt;/p&gt;</t>
  </si>
  <si>
    <t>BB01-629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</si>
  <si>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20250000000000527303236 error: Error en envio de documeto '&lt;/p&gt;</t>
  </si>
  <si>
    <t>BB01-628</t>
  </si>
  <si>
    <t>PERCY ORDINOLA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</si>
  <si>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20250000000000527303264 error: Error en envio de documeto '&lt;/p&gt;</t>
  </si>
  <si>
    <t>BB01-627</t>
  </si>
  <si>
    <t>&lt;p&gt;Your RUC is not linked to Digiflow as OSE, please make sure you have follow this process in the SUNAT portal:
1. Linked Digiflow as OSE.
2. Authorize Digiflow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20250000000000527303277 error: Error en envio de documeto '&lt;/p&gt;</t>
  </si>
  <si>
    <t>Ene</t>
  </si>
  <si>
    <t>(03) Boleta BOB1</t>
  </si>
  <si>
    <t>reversed</t>
  </si>
  <si>
    <t>(01) Factura FOF1</t>
  </si>
  <si>
    <t>El ClÃ¡sico de la Cumbia NorteÃ±a en Huancayo con Agua Marina y Walther Lozada &amp; Orquesta</t>
  </si>
  <si>
    <t>Son del Duke y mucho mÃ¡s en el Crucero del Amor de SJL</t>
  </si>
  <si>
    <t>ANGEL GABRIEL RODRÃGUEZ PINEDA</t>
  </si>
  <si>
    <t>00384366</t>
  </si>
  <si>
    <t>3er Aniversario Complejo Deportivo y Cultural Los Cumpas con Alegres de Bambamarca, Martin Vera y mÃ¡s en Puente Piedra</t>
  </si>
  <si>
    <t>La Bella Luz y mÃ¡s en Ate Vitarte</t>
  </si>
  <si>
    <t>00000037</t>
  </si>
  <si>
    <t>COMISION CORTESIA - DELIVERY</t>
  </si>
  <si>
    <t>TrilogÃ­a de Oro con Max Castro, William Luna y Marco Antonio en Pucallpa</t>
  </si>
  <si>
    <t>Primer Festival de la MÃºsica Latino Americana en Chiclayo</t>
  </si>
  <si>
    <t>24 Aniversario de Victor Manuel del PerÃº, Max Castro, Milder Ore y mÃ¡s en Trujillo</t>
  </si>
  <si>
    <t>CorazÃ³n Serrano en la Isla del ParaÃ­so del Callao</t>
  </si>
  <si>
    <t>[[{'codigo': 84, 'nom_distribucion': 'Impresos', 'sub_categoria': 'OPERATIVOS', 'porcentaje': '100.00'}]]</t>
  </si>
  <si>
    <t>Feliz DÃ­a de la Suegra con la Bella Luz y mÃ¡s en El Huaralino</t>
  </si>
  <si>
    <t>Flor PileÃ±a, Alegres de Bambarmarca y Victor Manuel en Cajabamba</t>
  </si>
  <si>
    <t>18Â° Aniversario de Illari del Cusco con Chinito del Ande, Osito Pardo, Los Puntos del Amor y mÃ¡s en Huaracondo de SJL</t>
  </si>
  <si>
    <t>CorazÃ³n Serrano en Huacho</t>
  </si>
  <si>
    <t>03826765</t>
  </si>
  <si>
    <t>AtlÃ©tico Torino vs Bagua FC - Copa PerÃº 2025</t>
  </si>
  <si>
    <t>[[{'codigo': 83, 'nom_distribucion': 'Impresos', 'sub_categoria': 'Suministros Compra', 'porcentaje': '100.00'}]]</t>
  </si>
  <si>
    <t>[[{'codigo': 105, 'nom_distribucion': 'Administrativo', 'sub_categoria': 'Capacitaciones', 'porcentaje': '100.00'}]]</t>
  </si>
  <si>
    <t>BB01</t>
  </si>
  <si>
    <t>RODRIGO ANTONIO QUISPE MONTAÃ‘EZ</t>
  </si>
  <si>
    <t>FIESTA KARIBEÃ‘A SOCIEDAD ANONIMA CERRADA</t>
  </si>
  <si>
    <t>COMISION CORTESIA - PUNTO DE VENTA</t>
  </si>
  <si>
    <t>PERSONAL - PAUTA PUBLICITARIA - EULALIA PEREZ</t>
  </si>
  <si>
    <t>[[{'codigo': 89, 'nom_distribucion': 'Marketing', 'sub_categoria': 'Pauta', 'porcentaje': '100.00'}]]</t>
  </si>
  <si>
    <t>PERSONAL - PAUTA PUBLICITARIA JULIO MACHA</t>
  </si>
  <si>
    <t>PERSONAL - PAUTA PUBLICITARIA - YARIT ALANYA</t>
  </si>
  <si>
    <t>Erol Aylas MarquiÃ±o</t>
  </si>
  <si>
    <t>PERSONAL - PAUTA PUBLICITARIA</t>
  </si>
  <si>
    <t>COMISION CORTESIA</t>
  </si>
  <si>
    <t>[[{'codigo': 61, 'nom_distribucion': 'Administrativo', 'sub_categoria': 'Operativos', 'porcentaje': '100.00'}]]</t>
  </si>
  <si>
    <t>PERSONAL - PAUTA PUBLICITARIA -PIERO MACHA</t>
  </si>
  <si>
    <t>[[{'codigo': 103, 'nom_distribucion': 'Validadores', 'sub_categoria': 'Personal temporal', 'porcentaje': '100.00'}]]</t>
  </si>
  <si>
    <t>COMISION CORTESIA - PAUTA PUIBLICITARIA</t>
  </si>
  <si>
    <t>PERSONAL - PAUTA PUBLICITARIA - DELIVERY</t>
  </si>
  <si>
    <t>PERSONAL - PUBLICIDAD</t>
  </si>
  <si>
    <t xml:space="preserve">COMISION CORTESIA </t>
  </si>
  <si>
    <t>PERSONAL - ENVIO</t>
  </si>
  <si>
    <t>[[{'codigo': 81, 'nom_distribucion': 'Impresos', 'sub_categoria': 'Otros', 'porcentaje': '100.00'}]]</t>
  </si>
  <si>
    <t>ENTRADAS IMPRESAS FULL COLOR GENERAL -ARMONIA 10 Y PERSONAL DELIVERY</t>
  </si>
  <si>
    <t>PERSONAL - punto de venta</t>
  </si>
  <si>
    <t>[[{'codigo': 63, 'nom_distribucion': 'Administrativo', 'sub_categoria': 'Delivery', 'porcentaje': '100.00'}]]</t>
  </si>
  <si>
    <t>COMISION CORTESIA - pauta publicitaria</t>
  </si>
  <si>
    <t>PERSONAL - PUBLICIDAD - FACEBOOK</t>
  </si>
  <si>
    <t xml:space="preserve">COMISION CORTESIA - punto de venta </t>
  </si>
  <si>
    <t>PERSONAL - PAUTA PUBLICITARIA- CORTESIA</t>
  </si>
  <si>
    <t xml:space="preserve">COMISION CORTESIA - PAUTA PUBLICITARIA- FACEBOOK- PUNTO VENTA </t>
  </si>
  <si>
    <t>PERSONAL - PAUTA PUBLICITARIA - FACEBOOK</t>
  </si>
  <si>
    <t xml:space="preserve">PERSONAL - PUBLICIDAD - FACEBOOK </t>
  </si>
  <si>
    <t>BRAZALETES STICKERS SIN ZONA - CARNABRAVAZO - 09 DE MARZO - I - P Y  PERSONAL DELIVERY</t>
  </si>
  <si>
    <t xml:space="preserve">GEINER DAVID QUIROZ GIL
</t>
  </si>
  <si>
    <t>COMISION CORTESIA - JP PRODUCCIONES GENERALES SAC</t>
  </si>
  <si>
    <t>PERSONAL - VALIDADORES- JP PRODUCCIONES GENERALES SAC</t>
  </si>
  <si>
    <t>PERSONAL - SERVICIO DE 03 VALIDADORES</t>
  </si>
  <si>
    <t>PERSONAL - gasto envio</t>
  </si>
  <si>
    <t xml:space="preserve">PERSONAL - delivery - entradas cortesia </t>
  </si>
  <si>
    <t>ECO CABAÃ‘AS DEL ESTE S.A.C.</t>
  </si>
  <si>
    <t>08312410</t>
  </si>
  <si>
    <t xml:space="preserve">MARGARITA ARROYO FLORES
</t>
  </si>
  <si>
    <t xml:space="preserve">PERSONAL - CREACION CONTENIDO- PROMOCIONAR EVENTO </t>
  </si>
  <si>
    <t>[[{'codigo': 73, 'nom_distribucion': 'Contenido', 'sub_categoria': 'Personal temporal', 'porcentaje': '100.00'}]]</t>
  </si>
  <si>
    <t>07154777</t>
  </si>
  <si>
    <t>COMISION CORTESIA - delivery</t>
  </si>
  <si>
    <t>LLAVES ID</t>
  </si>
  <si>
    <t>factventas</t>
  </si>
  <si>
    <t>dimFecha</t>
  </si>
  <si>
    <t>dimcuenta</t>
  </si>
  <si>
    <t>DimDistribucionAnalitica</t>
  </si>
  <si>
    <t xml:space="preserve"> q</t>
  </si>
  <si>
    <t>q</t>
  </si>
  <si>
    <t>DimProducto</t>
  </si>
  <si>
    <t>DimEvento</t>
  </si>
  <si>
    <t>DimVendedor</t>
  </si>
  <si>
    <t>DimEstadoFactura</t>
  </si>
  <si>
    <t>DimOrganizador</t>
  </si>
  <si>
    <t>Cuenta de item.evento.id_evento</t>
  </si>
  <si>
    <t>Persona</t>
  </si>
  <si>
    <t>LIGA DEPARTAMENTAL DE FUTBOL DE PIURA -  LIDEFUPI</t>
  </si>
  <si>
    <t>item.evento.fecha_hora_ini_event</t>
  </si>
  <si>
    <t>item.evento.fecha_hora_fin_event</t>
  </si>
  <si>
    <t>COMISION VAOPE SEGUN CONTRATO</t>
  </si>
  <si>
    <t>COMISION PAGOS DIGITALES SEGUN CONTRATO</t>
  </si>
  <si>
    <t>DELIVERY</t>
  </si>
  <si>
    <t>SERV VALIDADORES</t>
  </si>
  <si>
    <t>ENTRADAS IMPRESAS</t>
  </si>
  <si>
    <t>PAUTA PUBLICITARIA</t>
  </si>
  <si>
    <t>FEE ADMINISTRATIVO</t>
  </si>
  <si>
    <t>SERV DEVOLUCIONES</t>
  </si>
  <si>
    <t>BRAZALETES VIP-ARMONIA 10 EN DISCOTECA COCOS DE LINCE BRAZALETES PLATINIUM Y PERSONAL DELIVERY</t>
  </si>
  <si>
    <t>ENTRADAS IMPRESAS FULL COLOR GENERAL BRAZALETES VIP -CORAZON SERRANO BARRANCA - 0902 Y PERSONAL DELIVERY</t>
  </si>
  <si>
    <t xml:space="preserve">ENTRADAS IMPRESAS  FULL COLOR GENERAL </t>
  </si>
  <si>
    <t>COMISION PAGOS DIGITALES SEGUN CONTRATO - EULALIA PEREZ</t>
  </si>
  <si>
    <t xml:space="preserve">COMISION VAOPE SEGUN CONTRATO - EULALIA PEREZ </t>
  </si>
  <si>
    <t xml:space="preserve">COMISION PAGOS DIGITALES SEGUN CONTRATO - JULIO MACHA </t>
  </si>
  <si>
    <t>COMISION VAOPE SEGUN CONTRATO - JULIO MACHA</t>
  </si>
  <si>
    <t>COMISION PAGOS DIGITALES SEGUN CONTRATO - YARIT ALANYA</t>
  </si>
  <si>
    <t>COMISION VAOPE SEGUN CONTRATO - YARIT ALANYA</t>
  </si>
  <si>
    <t xml:space="preserve">COMISION PAGOS DIGITALES SEGUN CONTRATO </t>
  </si>
  <si>
    <t>PERSONAL - SERV DEVOLUCIONES</t>
  </si>
  <si>
    <t>Piero Macha PÃ©rez</t>
  </si>
  <si>
    <t>COMISION PAGOS DIGITALES SEGUN CONTRATO - PIERO MACHA</t>
  </si>
  <si>
    <t>COMISION VAOPE SEGUN CONTRATO - PIERO MACHA</t>
  </si>
  <si>
    <t>COMPLEJO TURÃSTICO EL REMANSO SAC</t>
  </si>
  <si>
    <t>PERSONAL - Servicio de 04 validadores Inc IGV</t>
  </si>
  <si>
    <t xml:space="preserve">ENTRADAS IMPRESAS - ORDEN DE VENTA N569
  Fieston de Carnavales con La Bella Luz Linda Caba y Deyvis Orosco en El Remanso de Comas  1500 FULL COLOR ADULTO 1000 FULL COLOR PROMO ADULTO 500 FULL COLOR NINO S141600
</t>
  </si>
  <si>
    <t>Tarpuy Producciones E.I.R.L</t>
  </si>
  <si>
    <t>EL PADRINO DIVERSIONES SAC</t>
  </si>
  <si>
    <t xml:space="preserve">ENTRADAS IMPRESAS - Orden de venta No 580
  LA UNICA TROPICAL PAITA - 08 DE FEB - I - P  1000 BRAZALETES VIP S70800
</t>
  </si>
  <si>
    <t>ENTRADAS IMPRESAS - Orden de venta No 579
  LA UNICA TROPICAL MOTUPE - 05 DE FEB - I - P  2000 BRAZALETES VIP S141600</t>
  </si>
  <si>
    <t>ENTRADAS IMPRESAS - ORDEN DE VENTA N573
  La Unica Tropical en Sullana  2000 BRAZALETES VIP S141600</t>
  </si>
  <si>
    <t>COMISION PAGOS DIGITALES SEGUN CONTRAT</t>
  </si>
  <si>
    <t>FEE ADMINISTRATIVOFee administrativo por adelanto</t>
  </si>
  <si>
    <t>ENTRADAS IMPRESAS - ORDEN DE VENTA N529
  CORAZON SERRANO Y DINA PAUCAR EN REAL HOTEL HUASCARAN EN HUARAZ 500 TICKETS PREMIUM PLATINUM 500 TICKETS PREMIUM VIP S109740</t>
  </si>
  <si>
    <t>ENTRADAS IMPRESAS - ORDEN DE VENTA N575
  La Unica Tropical en Colan  1000 BRAZALETES VIP S70800</t>
  </si>
  <si>
    <t>ENTRADAS IMPRESAS - ORDEN DE VENTA N574
  La Unica Tropical en Talara  1000 BRAZALETES VIP S70800</t>
  </si>
  <si>
    <t xml:space="preserve">COMISION VAOPE SEGUN CONTRATO </t>
  </si>
  <si>
    <t>ENTRADAS IMPRESAS - ORDEN DE VENTA N563
  2do Aniversario de Suu Rabanal con La Unica Tropical Tony Rosado y mas en la Explanada de Agua Dulce  4000 FULL COLOR GENERAL  2000 BRAZALETES VIP  500 BRAZALETES PLATINUM S365800</t>
  </si>
  <si>
    <t>PERSONAL - Servicio de 01 validador Inc IGV</t>
  </si>
  <si>
    <t xml:space="preserve">PERSONAL - Servicio de 01 validador Inc IGV </t>
  </si>
  <si>
    <t>PERSONAL - Servicio de 02 validadores Inc IGV</t>
  </si>
  <si>
    <t>ENTRADAS IMPRESAS - ORDEN DE VENTA N564
  La Unica Tropical en el Padrino Club de Jicamarca  1000 FULL COLOR GENERAL  1000 BRAZALETES VIP  500 FULL COLOR NINOS</t>
  </si>
  <si>
    <t>PERSONAL - Servicio de 05 validadores Inc IGV</t>
  </si>
  <si>
    <t>ENTRADAS IMPRESAS - ORDEN DE VENTA N557
 PRIMER PISCINAZO 2025 CON EL AGUA MAS RICA DEL PERU  3000 FULL COLOR GENERAL ADULTO  500 FULL COLOR GENERAL NINOS S185850</t>
  </si>
  <si>
    <t>Empresa Promotora de Eventos Magda PerÃº SAC</t>
  </si>
  <si>
    <t>ENTRADAS IMPRESAS FULL COLOR GENERALARMONIA 10 EN YAPATERA 22 DE ENE Y HUAMACHUCO 25 DE ENE BRAZALETES VIP Y PERSONAL DELIVERY</t>
  </si>
  <si>
    <t xml:space="preserve">ENTRADAS IMPRESAS FULL COLOR GENERAL -CORAZON SERRANO CHANCAY - 2601 BRAZALETES VIP Y PERSONAL DELIVERY </t>
  </si>
  <si>
    <t>ENTRADAS IMPRESAS FULL COLOR GENERAL -CORAZON SERRANO YAPATERA - 2401 Y PERSONAL DELIVERY</t>
  </si>
  <si>
    <t>COMISION VAOPE SEGUN CONTRATO - EULALIA PEREZ</t>
  </si>
  <si>
    <t>COMISION PAGOS DIGITALES SEGUN CONTRATO - JULIO MACHA</t>
  </si>
  <si>
    <t xml:space="preserve">COMISION VAOPE SEGUN CONTRATO - PIERO MACHA </t>
  </si>
  <si>
    <t xml:space="preserve">COMISION PAGOS DIGITALES SEGUN CONTRATO - YARIT ALANYA </t>
  </si>
  <si>
    <t xml:space="preserve">FEE ADMINISTRATIVO - Fee por adelanto a agua marina 2 Inc IGV </t>
  </si>
  <si>
    <t>FEE ADMINISTRATIVO - Fee por adelanto a agua marina Inc IGV</t>
  </si>
  <si>
    <t xml:space="preserve">ENTRADAS IMPRESAS - ORDEN DE VENTA N541
  LA UNICA TROPICAL EN CHEPEN - 20 DE ENERO - I - P  2000 FULL COLOR GENERAL  1000 BRAZALETES VIP S165200
</t>
  </si>
  <si>
    <t>ENTRADAS IMPRESAS - ORDEN DE VENTA N537
  La Unica Tropical en Ilo  2000 FULL COLOR GENERAL  1000 BRAZALETES VIP S165200</t>
  </si>
  <si>
    <t>ENTRADAS IMPRESAS - ORDEN DE VENTA N538
  La Unica Tropical en Tacna  3000 FULL COLOR GENERAL  2000 BRAZALETES VIP S283200</t>
  </si>
  <si>
    <t xml:space="preserve">ENTRADAS IMPRESAS - ORDEN DE VENTA N517
  LA UNICA TROPICAL - CIUDAD DE DIOS - 06 DE ENERO - I - P 2000 FULL COLOR GENERAL S94400
</t>
  </si>
  <si>
    <t xml:space="preserve">ENTRADAS IMPRESAS - ORDEN DE VENTA N516
  LA UNICA TROPICAL CARTAVIO - 03 DE ENERO - I - P  2000 FULL COLOR GENERAL S94400
</t>
  </si>
  <si>
    <t>ENTRADAS IMPRESAS - ORDEN DE VENTA N515
  La Unica Tropical en Talara  2000 FULL COLOR GENERAL S94400</t>
  </si>
  <si>
    <t xml:space="preserve">ENTRADAS IMPRESAS - ORDEN DE VENTA N513
  LA UNICA TROPICAL COLAN - 05 DE ENERO - I - P  5000 FULL COLOR GENERAL  1000 BRAZALETES VIP S259600
</t>
  </si>
  <si>
    <t>ENTRADAS IMPRESAS - ORDEN DE VENTA N550
  FIESTA BLANCA HUACHO - ZAPEROKO 31 DE DICIEMBRE - I - P 500 BRAZALETES VIP 500 BRAZALETES PLATINUM S70800</t>
  </si>
  <si>
    <t>ENTRADAS IMPRESAS - ORDEN DE VENTA N528
  Marama en Explanada Bahua en Barranca 500 BRAZALETES VIP 200 BRAZALETES GENERAL  300 BRAZALETES BOX S77880</t>
  </si>
  <si>
    <t>ENTRADAS IMPRESAS -  Duelo de Divas con Pamela Franco Marisol y Brunella Torpoco en El Remanso de Comas  2000 FULL COLOR GENERAL ADULTO  500 FULL COLOR GENERAL NINOS S118000</t>
  </si>
  <si>
    <t>ENTRADAS IMPRESAS - ORDEN DE VENTA N540
  La Unica Tropical en Mejia Arequipa  2000 FULL COLOR GENERAL  1000 BRAZALETES VIP S165200</t>
  </si>
  <si>
    <t>ENTRADAS IMPRESAS - ORDEN DE VENTA N539
  La Unica Tropical en Camana Arequipa  2000 FULL COLOR GENERAL  1000 BRAZALETES VIP S165200</t>
  </si>
  <si>
    <t xml:space="preserve">ENTRADAS IMPRESAS FULL COLOR -CORAZON SERRANO PAITA- 2001 </t>
  </si>
  <si>
    <t>ENTRADAS IMPRESAS FULL COLOR - CORAZON SERRANO VICE- 1901</t>
  </si>
  <si>
    <t>ENTRADAS IMPRESAS FULL COLOR -CORAZON SERRANO PARACHIQUE- 1701 Y PERSONAL DELIVERY</t>
  </si>
  <si>
    <t>BRAZALETES VIP-CORAZON SERRANO SAN JUAN DE BIGOTE- 1101 ENTRADAS IMPRESAS FULL COLOR PERSONAL DELIVERY</t>
  </si>
  <si>
    <t>BRAZALETES vip- CORAZON SERRANO CRUCETA - 1001 Y ENTRADAS IMPRESAS FULL COLOR</t>
  </si>
  <si>
    <t>COMISION PAGOS DIGITALES SEGUN CONTRATO - JP PRODUCCIONES GENERALES SAC</t>
  </si>
  <si>
    <t>COMISION VAOPE SEGUN CONTRATO - JP PRODUCCIONES GENERALES SAC</t>
  </si>
  <si>
    <t>COMISION CORTESIA - GN MUSIC SAC</t>
  </si>
  <si>
    <t xml:space="preserve">COMISION PAGOS DIGITALES SEGUN CONTRATO - GN MUSIC SAC </t>
  </si>
  <si>
    <t>COMISION VAOPE SEGUN CONTRATO - GN MUSIC SAC</t>
  </si>
  <si>
    <t xml:space="preserve">PERSONAL - Servicio de 04 validadores Inc IGV </t>
  </si>
  <si>
    <t xml:space="preserve">ENTRADAS IMPRESAS - ORDEN DE VENTA N518   Caribepiscinazo con Caribenos en El Remanso de Comas  2000 FULL COLOR GENERAL ADULTOS  300 FULL COLOR GENERAL NINOS S108560 </t>
  </si>
  <si>
    <t>ENTRADAS IMPRESAS - ORDEN DE VENTA N505
  La Unica Tropical en Casa Cub Sullana  3000 FULL COLOR GENERAL  1000 BRAZALETES VIP S212400</t>
  </si>
  <si>
    <t>ENTRADAS IMPRESAS - ORDEN DE VENTA N493
  FELIZ NAVIDAD SECHURA - I - P  2000 FULL COLOR GENERAL S94400</t>
  </si>
  <si>
    <t>ENTRADAS IMPRESAS - ORDEN DE VENTA N500
  LA UNICA TROPICAL - EL ALTO - PIURA - 30 DE DIC  2000 FULL COLOR GENERAL S94400</t>
  </si>
  <si>
    <t>ENTRADAS IMPRESAS - ORDEN DE VENTA N501
  LA UNICA TROPICAL - LA UNION - BAJO PIURA - 28 DE DIC  2000 FULL COLOR GENERAL S94400</t>
  </si>
  <si>
    <t>ENTRADAS IMPRESAS - ORDEN DE VENTA N514
  LA UNICA TROPICAL EN PLAZA NORTE - I - P  2000 FULL COLOR  2000 BRAZALETES VIP S236000</t>
  </si>
  <si>
    <t xml:space="preserve">ENTRADAS IMPRESAS - ORDEN DE VENTA N512
  La Unica Tropical en Aqualandia de Piura - 2DO PEDIDO - 3112 - I - P 2000 BRAZALETES VIP S141600
</t>
  </si>
  <si>
    <t>ENTRADAS IMPRESAS - ORDEN DE VENTA N502 La Unica Tropical en Aqualandia de Piura  10000 FULL COLOR GENERAL  3000 FULL COLOR NINOS S613600</t>
  </si>
  <si>
    <t>PERSONAL - Servicio de 03 validadores inc IGV</t>
  </si>
  <si>
    <t>ENTRADAS IMPRESAS - ORDEN DE VENTA N509
  Fieston de Ano Nuevo en Lima Sur con Armonia 10 Pamela Franco Deyvis Orosco y mas  4000 FULL COLOR GENERAL  2000 BRAZALETES VIP  1000 BRAZALETES PLATINUM S401200</t>
  </si>
  <si>
    <t>ENTRADAS IMPRESAS - ORDEN DE VENTA N509  Fieston de Ano Nuevo en Lima Sur con Armonia 10 Pamela Franco Deyvis Orosco y mas  4000 FULL COLOR GENERAL  2000 BRAZALETES VIP  1000 BRAZALETES PLATINUM S401200</t>
  </si>
  <si>
    <t>EMPRESA OK MEDIOS PERU SAC</t>
  </si>
  <si>
    <t>Adrian Dolores Flores</t>
  </si>
  <si>
    <t>SABORES CRIOLLOS DEL PERU SAC</t>
  </si>
  <si>
    <t>FEE ADMINISTRATIVO - Fee administrativo adelanto de recaudacion</t>
  </si>
  <si>
    <t xml:space="preserve">COMISION VAOPE SEGUN CONTRATO - MARGARITA ARROYO </t>
  </si>
  <si>
    <t xml:space="preserve">COMISION PAGOS DIGITALES SEGUN CONTRATO - MARGARITA ARROYO </t>
  </si>
  <si>
    <t xml:space="preserve">ENTRADAS IMPRESAS - ORDEN DE VENTA N506
  Alberto Barros en El Remanso de Comas 1200 BRAZALETES VIP  2250 FULL COLOR GENERAL S177000
</t>
  </si>
  <si>
    <t>A&amp;Q AYLLU S.A.C</t>
  </si>
  <si>
    <t>ENTRADAS IMPRESAS - ORDEN DE VENTA N510  Ano Nuevo 2025 en Arequipa con Armonia 10 Yarita Lizeth Deyvis Orosco y mas  4000 FULL COLOR GENERAL  2000 BRAZALETES VIP  1000 BRAZALETES PLATINUM S401200</t>
  </si>
  <si>
    <t xml:space="preserve">PERSONAL - Servicio de 03 validadores Inc IGV </t>
  </si>
  <si>
    <t>ENTRADAS IMPRESAS - ORDEN DE VENTA N508
  Fieston de Ano Nuevo Lima Norte en Plaza de Acho con Armonia 10 Pamela Franco Deyvis Orosco y mas 4000 FULL COLOR GENERAL  2000 BRAZALETES VIP  1500 BRAZALETES PLATINUM S436600</t>
  </si>
  <si>
    <t>nom_producto</t>
  </si>
  <si>
    <t>00000192</t>
  </si>
  <si>
    <t xml:space="preserve">SERVICIO DE DISENO </t>
  </si>
  <si>
    <t>JENNY MANCO</t>
  </si>
  <si>
    <t>7032102 VENTAS SERVICIOS VAOPE</t>
  </si>
  <si>
    <t>[[{'codigo': 93, 'nom_distribucion': 'Operaciones', 'sub_categoria': 'Ime', 'porcentaje': '100.00'}]]</t>
  </si>
  <si>
    <t>114Â° Aniversario de Sullana con Son del Duke en Flamingoh Club</t>
  </si>
  <si>
    <t>00000191</t>
  </si>
  <si>
    <t>BOLETO FULL COLOR CON QR</t>
  </si>
  <si>
    <t>[[{'codigo': 82, 'nom_distribucion': 'Impresos', 'sub_categoria': 'Ime', 'porcentaje': '100.00'}]]</t>
  </si>
  <si>
    <t>BRAZALETE CON QR</t>
  </si>
  <si>
    <t>00000190</t>
  </si>
  <si>
    <t>LA ESPERANZA CASA DE PRESTAMOS Y EMPEÃ‘OS E.I.R.L.</t>
  </si>
  <si>
    <t>BOLETO PREMIUN CON QR</t>
  </si>
  <si>
    <t>paid</t>
  </si>
  <si>
    <t>Pagado</t>
  </si>
  <si>
    <t>00000189</t>
  </si>
  <si>
    <t>7032101 VENTAS COMISION VAOPE</t>
  </si>
  <si>
    <t>00000188</t>
  </si>
  <si>
    <t>JOSEFINA CASA CLUB S.R.L.</t>
  </si>
  <si>
    <t>[[{'codigo': 144, 'nom_distribucion': 'Operaciones', 'sub_categoria': 'Otros', 'porcentaje': '100.00'}]]</t>
  </si>
  <si>
    <t>00000187</t>
  </si>
  <si>
    <t>CLUB DE HALLOWEEN EDICIÃ“N 4.0 - 31/10 - I - P</t>
  </si>
  <si>
    <t>EDGAR MECHATO ANCAJIMA</t>
  </si>
  <si>
    <t>00000186</t>
  </si>
  <si>
    <t>LA UNICA TROPICAL - LA OBRILLA - 25/10 - I - P</t>
  </si>
  <si>
    <t>00000099</t>
  </si>
  <si>
    <t>MARVIN FRANKLIN SERRATO CARDENAS</t>
  </si>
  <si>
    <t>Los Mendez en Saposoa</t>
  </si>
  <si>
    <t>00000185</t>
  </si>
  <si>
    <t>00000184</t>
  </si>
  <si>
    <t>FELIZ 6TO ANIVERSARIO - LOS ROSALES SECHURA - 08/11 - I - P</t>
  </si>
  <si>
    <t>00000183</t>
  </si>
  <si>
    <t>LA UNICA TROPICAL - MORROPE - 01/11 - I - P</t>
  </si>
  <si>
    <t>00000098</t>
  </si>
  <si>
    <t>[{'id_producto': 32617, 'codigo_producto': 2274, 'nom_producto': 'COMISION CORTESIA ', 'categoria_producto': 'consu', 'cantidad': '1.0', 'valor_unitario': 12.0, 'precio_unitario': 14.16, 'descuento': 0.0, 'subtotal': 12.0, 'porcentaje_de_igv': '18.00', 'igv': 2.16, 'total': 14.16,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</si>
  <si>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[[{'codigo': 149, 'nom_distribucion': 'Venta', 'sub_categoria': 'ComisiÃ³n Pagos digitales', 'porcentaje': '100.00'}]]</t>
  </si>
  <si>
    <t>Duelo de Titanes con Max Castro, Pelo DÂ´ Ambrosio y mÃ¡s en el Complejo Santa Rosa</t>
  </si>
  <si>
    <t>00000097</t>
  </si>
  <si>
    <t>[{'id_producto': 32614, 'codigo_producto': 216, 'nom_producto': 'COMISION PAGOS DIGITALES SEGUN CONTRATO', 'categoria_producto': 'service', 'cantidad': '1.0', 'valor_unitario': 873.19, 'precio_unitario': 1030.36, 'descuento': 0.0, 'subtotal': 873.19, 'porcentaje_de_igv': '18.00', 'igv': 157.17, 'total': 1030.36,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</si>
  <si>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7032100 Servicios-Local- VISA</t>
  </si>
  <si>
    <t>00000096</t>
  </si>
  <si>
    <t>[{'id_producto': 32611, 'codigo_producto': 1786, 'nom_producto': 'COMISION VAOPE SEGUN CONTRATO', 'categoria_producto': 'service', 'cantidad': '1.0', 'valor_unitario': 739.86, 'precio_unitario': 873.03, 'descuento': 0.0, 'subtotal': 739.86, 'porcentaje_de_igv': '18.00', 'igv': 133.17, 'total': 873.03,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</si>
  <si>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00000095</t>
  </si>
  <si>
    <t>[{'id_producto': 32608, 'codigo_producto': 2315, 'nom_producto': 'PAUTA PUBLICITARIA', 'categoria_producto': 'service', 'cantidad': '1.0', 'valor_unitario': 207.63, 'precio_unitario': 245.0, 'descuento': 0.0, 'subtotal': 207.63, 'porcentaje_de_igv': '18.00', 'igv': 37.37, 'total': 245.0,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</si>
  <si>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00000094</t>
  </si>
  <si>
    <t>[{'id_producto': 32605, 'codigo_producto': 2274, 'nom_producto': 'COMISION CORTESIA ', 'categoria_producto': 'consu', 'cantidad': '1.0', 'valor_unitario': 12.0, 'precio_unitario': 14.16, 'descuento': 0.0, 'subtotal': 12.0, 'porcentaje_de_igv': '18.00', 'igv': 2.16, 'total': 14.16,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</si>
  <si>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00000093</t>
  </si>
  <si>
    <t>[{'id_producto': 32602, 'codigo_producto': 216, 'nom_producto': 'COMISION PAGOS DIGITALES SEGUN CONTRATO', 'categoria_producto': 'service', 'cantidad': '1.0', 'valor_unitario': 873.19, 'precio_unitario': 1030.36, 'descuento': 0.0, 'subtotal': 873.19, 'porcentaje_de_igv': '18.00', 'igv': 157.17, 'total': 1030.36,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</si>
  <si>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00000092</t>
  </si>
  <si>
    <t>[{'id_producto': 32599, 'codigo_producto': 1786, 'nom_producto': 'COMISION VAOPE SEGUN CONTRATO', 'categoria_producto': 'service', 'cantidad': '1.0', 'valor_unitario': 739.86, 'precio_unitario': 873.03, 'descuento': 0.0, 'subtotal': 739.86, 'porcentaje_de_igv': '18.00', 'igv': 133.17, 'total': 873.03,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</si>
  <si>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00000091</t>
  </si>
  <si>
    <t>[{'id_producto': 32596, 'codigo_producto': 2315, 'nom_producto': 'PAUTA PUBLICITARIA', 'categoria_producto': 'service', 'cantidad': '1.0', 'valor_unitario': 207.63, 'precio_unitario': 245.0, 'descuento': 0.0, 'subtotal': 207.63, 'porcentaje_de_igv': '18.00', 'igv': 37.37, 'total': 245.0,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</si>
  <si>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00000090</t>
  </si>
  <si>
    <t>00000089</t>
  </si>
  <si>
    <t>00000088</t>
  </si>
  <si>
    <t>00000182</t>
  </si>
  <si>
    <t>CORPORACION DIAMOND B &amp; P S.A.C</t>
  </si>
  <si>
    <t>[{'id_producto': 32584, 'codigo_producto': 216, 'nom_producto': 'COMISION PAGOS DIGITALES SEGUN CONTRATO', 'categoria_producto': 'service', 'cantidad': '1.0', 'valor_unitario': 563.73, 'precio_unitario': 665.2, 'descuento': 0.0, 'subtotal': 563.73, 'porcentaje_de_igv': '18.00', 'igv': 101.47, 'total': 665.2,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</si>
  <si>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Son del Duke, Tony Rosado y Walther Lozada &amp; Orquesta en Cusco</t>
  </si>
  <si>
    <t>MENDOZA HUALLPA LOYDA REBECA</t>
  </si>
  <si>
    <t>00000181</t>
  </si>
  <si>
    <t>[{'id_producto': 32581, 'codigo_producto': 1786, 'nom_producto': 'COMISION VAOPE SEGUN CONTRATO', 'categoria_producto': 'service', 'cantidad': '1.0', 'valor_unitario': 444.86, 'precio_unitario': 524.93, 'descuento': 0.0, 'subtotal': 444.86, 'porcentaje_de_igv': '18.00', 'igv': 80.07, 'total': 524.93,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</si>
  <si>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00000180</t>
  </si>
  <si>
    <t>00000179</t>
  </si>
  <si>
    <t>[{'id_producto': 32575, 'codigo_producto': 2315, 'nom_producto': 'PAUTA PUBLICITARIA', 'categoria_producto': 'service', 'cantidad': '1.0', 'valor_unitario': 211.86, 'precio_unitario': 249.99, 'descuento': 0.0, 'subtotal': 211.86, 'porcentaje_de_igv': '18.00', 'igv': 38.13, 'total': 249.99,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</si>
  <si>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00000178</t>
  </si>
  <si>
    <t>[{'id_producto': 32572, 'codigo_producto': 224, 'nom_producto': 'FEE ADMINISTRATIVO', 'categoria_producto': 'service', 'cantidad': '1.0', 'valor_unitario': 25.0, 'precio_unitario': 29.5, 'descuento': 0.0, 'subtotal': 25.0, 'porcentaje_de_igv': '18.00', 'igv': 4.5, 'total': 29.5,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</si>
  <si>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[[{'codigo': 154, 'nom_distribucion': 'Venta', 'sub_categoria': 'Fee Administrativo', 'porcentaje': '100.00'}]]</t>
  </si>
  <si>
    <t>00000177</t>
  </si>
  <si>
    <t>[{'id_producto': 32569, 'codigo_producto': 1916, 'nom_producto': 'DELIVERY',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148, 'nom_distribucion': 'Impresos', 'sub_categoria': 'Suministros Venta', 'porcentaje': '100.00'}]]}]</t>
  </si>
  <si>
    <t>[[{'codigo': 148, 'nom_distribucion': 'Impresos', 'sub_categoria': 'Suministros Venta', 'porcentaje': '100.00'}]]</t>
  </si>
  <si>
    <t>00000176</t>
  </si>
  <si>
    <t>[{'id_producto': 32566, 'codigo_producto': 2342, 'nom_producto': 'SERVICIO DE DISENO 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[]}]</t>
  </si>
  <si>
    <t>00000175</t>
  </si>
  <si>
    <t>[{'id_producto': 32563, 'codigo_producto': 1924, 'nom_producto': 'BOLETO FULL COLOR CON QR', 'categoria_producto': 'consu', 'cantidad': '1.0', 'valor_unitario': 740.0, 'precio_unitario': 873.2, 'descuento': 0.0, 'subtotal': 740.0, 'porcentaje_de_igv': '18.00', 'igv': 133.2, 'total': 873.2,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</si>
  <si>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00000174</t>
  </si>
  <si>
    <t>[{'id_producto': 32560, 'codigo_producto': 216, 'nom_producto': 'COMISION PAGOS DIGITALES SEGUN CONTRATO', 'categoria_producto': 'service', 'cantidad': '1.0', 'valor_unitario': 1691.19, 'precio_unitario': 1995.6, 'descuento': 0.0, 'subtotal': 1691.19, 'porcentaje_de_igv': '18.00', 'igv': 304.41, 'total': 1995.6,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</si>
  <si>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00000173</t>
  </si>
  <si>
    <t>[{'id_producto': 32557, 'codigo_producto': 1786, 'nom_producto': 'COMISION VAOPE SEGUN CONTRATO', 'categoria_producto': 'service', 'cantidad': '1.0', 'valor_unitario': 1334.56, 'precio_unitario': 1574.78, 'descuento': 0.0, 'subtotal': 1334.56, 'porcentaje_de_igv': '18.00', 'igv': 240.22, 'total': 1574.78,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</si>
  <si>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00000172</t>
  </si>
  <si>
    <t>00000171</t>
  </si>
  <si>
    <t>[{'id_producto': 32551, 'codigo_producto': 2315, 'nom_producto': 'PAUTA PUBLICITARIA', 'categoria_producto': 'service', 'cantidad': '1.0', 'valor_unitario': 635.59, 'precio_unitario': 750.0, 'descuento': 0.0, 'subtotal': 635.59, 'porcentaje_de_igv': '18.00', 'igv': 114.41, 'total': 750.0,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</si>
  <si>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00000170</t>
  </si>
  <si>
    <t>[{'id_producto': 32548, 'codigo_producto': 224, 'nom_producto': 'FEE ADMINISTRATIVO', 'categoria_producto': 'service', 'cantidad': '1.0', 'valor_unitario': 75.0, 'precio_unitario': 88.5, 'descuento': 0.0, 'subtotal': 75.0, 'porcentaje_de_igv': '18.00', 'igv': 13.5, 'total': 88.5,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</si>
  <si>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00000169</t>
  </si>
  <si>
    <t>[{'id_producto': 32545, 'codigo_producto': 1916, 'nom_producto': 'DELIVERY', 'categoria_producto': 'service',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148, 'nom_distribucion': 'Impresos', 'sub_categoria': 'Suministros Venta', 'porcentaje': '100.00'}]]}]</t>
  </si>
  <si>
    <t>00000168</t>
  </si>
  <si>
    <t>[{'id_producto': 32542, 'codigo_producto': 2342, 'nom_producto': 'SERVICIO DE DISENO ', 'categoria_producto': 'service',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[]}]</t>
  </si>
  <si>
    <t>00000167</t>
  </si>
  <si>
    <t>[{'id_producto': 32539, 'codigo_producto': 2324, 'nom_producto': 'ENTRADAS IMPRESAS', 'categoria_producto': 'consu', 'cantidad': '1.0', 'valor_unitario': 2220.0, 'precio_unitario': 2619.6, 'descuento': 0.0, 'subtotal': 2220.0, 'porcentaje_de_igv': '18.00', 'igv': 399.6, 'total': 2619.6,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</si>
  <si>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00000087</t>
  </si>
  <si>
    <t>JESUS FLORDELI CORONEL FERNANDEZ</t>
  </si>
  <si>
    <t>[{'id_producto': 32533, 'codigo_producto': 216, 'nom_producto': 'COMISION PAGOS DIGITALES SEGUN CONTRATO', 'categoria_producto': 'service', 'cantidad': '1.0', 'valor_unitario': 289.11, 'precio_unitario': 341.15, 'descuento': 0.0, 'subtotal': 289.11, 'porcentaje_de_igv': '18.00', 'igv': 52.04, 'total': 341.15,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</si>
  <si>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2do Festival Cajacho en el Huaralino</t>
  </si>
  <si>
    <t>JHON EDWIN FERNANDEZ GALARZA</t>
  </si>
  <si>
    <t>00000086</t>
  </si>
  <si>
    <t>[{'id_producto': 32530, 'codigo_producto': 1786, 'nom_producto': 'COMISION VAOPE SEGUN CONTRATO', 'categoria_producto': 'service', 'cantidad': '1.0', 'valor_unitario': 203.35, 'precio_unitario': 239.95, 'descuento': 0.0, 'subtotal': 203.35, 'porcentaje_de_igv': '18.00', 'igv': 36.6, 'total': 239.95,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</si>
  <si>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00000085</t>
  </si>
  <si>
    <t>IBRAHIM AMATHORE MEDINA MAMANI</t>
  </si>
  <si>
    <t>[{'id_producto': 32527, 'codigo_producto': 1786, 'nom_producto': 'COMISION VAOPE SEGUN CONTRATO', 'categoria_producto': 'service', 'cantidad': '1.0', 'valor_unitario': 836.27, 'precio_unitario': 986.8, 'descuento': 0.0, 'subtotal': 836.27, 'porcentaje_de_igv': '18.00', 'igv': 150.53, 'total': 986.8, 'moneda': '1', 'tipo_de_cambio': 1.0, 'id_estado': 'paid', 'nombre_estado': 'Pagado', 'evento': {'id_evento': '2912', 'nom_evento': 'Noche de Salsa con Jeinson Manuel y Zaperoko en Cusco', 'fecha_hora_ini_event': '17-10-2025', 'fecha_hora_fin_event': '17-10-2025', 'id_organizador': 5088, 'nom_organizador': 'IBRAHIM AMATHORE MEDINA MAMANI',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</si>
  <si>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Noche de Salsa con Jeinson Manuel y Zaperoko en Cusco</t>
  </si>
  <si>
    <t>00000084</t>
  </si>
  <si>
    <t>[{'id_producto': 32524, 'codigo_producto': 216, 'nom_producto': 'COMISION PAGOS DIGITALES SEGUN CONTRATO', 'categoria_producto': 'service', 'cantidad': '1.0', 'valor_unitario': 881.36, 'precio_unitario': 1040.0, 'descuento': 0.0, 'subtotal': 881.36, 'porcentaje_de_igv': '18.00', 'igv': 158.64, 'total': 1040.0, 'moneda': '1', 'tipo_de_cambio': 1.0, 'id_estado': 'paid', 'nombre_estado': 'Pagado', 'evento': {'id_evento': '2912', 'nom_evento': 'Noche de Salsa con Jeinson Manuel y Zaperoko en Cusco', 'fecha_hora_ini_event': '17-10-2025', 'fecha_hora_fin_event': '17-10-2025', 'id_organizador': 5088, 'nom_organizador': 'IBRAHIM AMATHORE MEDINA MAMANI',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</si>
  <si>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00000083</t>
  </si>
  <si>
    <t>CRISTELL ROCIO LOZANO GARCIA</t>
  </si>
  <si>
    <t>[{'id_producto': 32521, 'codigo_producto': 2276, 'nom_producto': 'PUNTO DE VENTA', 'categoria_producto': 'service', 'cantidad': '1.0', 'valor_unitario': 1.5, 'precio_unitario': 1.77, 'descuento': 0.0, 'subtotal': 1.5, 'porcentaje_de_igv': '18.00', 'igv': 0.27, 'total': 1.77,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6959, 'nom_cuenta_analitica': '7032102 VENTAS SERVICIOS VAOPE', 'distribucion_analitica': []}]</t>
  </si>
  <si>
    <t>PUNTO DE VENTA</t>
  </si>
  <si>
    <t>Tributo Las Guerreras K-pop en Cusco</t>
  </si>
  <si>
    <t>00000082</t>
  </si>
  <si>
    <t>[{'id_producto': 32518, 'codigo_producto': 1786, 'nom_producto': 'COMISION VAOPE SEGUN CONTRATO', 'categoria_producto': 'service', 'cantidad': '1.0', 'valor_unitario': 2630.88, 'precio_unitario': 3104.44, 'descuento': 0.0, 'subtotal': 2630.88, 'porcentaje_de_igv': '18.00', 'igv': 473.56, 'total': 3104.44,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</si>
  <si>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00000081</t>
  </si>
  <si>
    <t>[{'id_producto': 32515, 'codigo_producto': 216, 'nom_producto': 'COMISION PAGOS DIGITALES SEGUN CONTRATO', 'categoria_producto': 'service', 'cantidad': '1.0', 'valor_unitario': 1608.36, 'precio_unitario': 1897.86, 'descuento': 0.0, 'subtotal': 1608.36, 'porcentaje_de_igv': '18.00', 'igv': 289.5, 'total': 1897.86,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</si>
  <si>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00000080</t>
  </si>
  <si>
    <t>OSCAR ALEXIS ARZAPALO POMASUNCO</t>
  </si>
  <si>
    <t>[{'id_producto': 32512, 'codigo_producto': 1786, 'nom_producto': 'COMISION VAOPE SEGUN CONTRATO', 'categoria_producto': 'service', 'cantidad': '1.0', 'valor_unitario': 367.8, 'precio_unitario': 434.0, 'descuento': 0.0, 'subtotal': 367.8, 'porcentaje_de_igv': '18.00', 'igv': 66.2, 'total': 434.0, 'moneda': '1', 'tipo_de_cambio': 1.0, 'id_estado': 'paid', 'nombre_estado': 'Pagado', 'evento': {'id_evento': '3104', 'nom_evento': "RaÃ­ces D' Jauja 24 Aniversario en Carapongo", 'fecha_hora_ini_event': '19-10-2025', 'fecha_hora_fin_event': '19-10-2025', 'id_organizador': 5822, 'nom_organizador': 'OSCAR ALEXIS ARZAPALO POMASUNCO',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</si>
  <si>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RaÃ­ces D' Jauja 24 Aniversario en Carapongo</t>
  </si>
  <si>
    <t>00000079</t>
  </si>
  <si>
    <t>[{'id_producto': 32509, 'codigo_producto': 216, 'nom_producto': 'COMISION PAGOS DIGITALES SEGUN CONTRATO', 'categoria_producto': 'service', 'cantidad': '1.0', 'valor_unitario': 284.75, 'precio_unitario': 336.01, 'descuento': 0.0, 'subtotal': 284.75, 'porcentaje_de_igv': '18.00', 'igv': 51.26, 'total': 336.01, 'moneda': '1', 'tipo_de_cambio': 1.0, 'id_estado': 'paid', 'nombre_estado': 'Pagado', 'evento': {'id_evento': '3104', 'nom_evento': "RaÃ­ces D' Jauja 24 Aniversario en Carapongo", 'fecha_hora_ini_event': '19-10-2025', 'fecha_hora_fin_event': '19-10-2025', 'id_organizador': 5822, 'nom_organizador': 'OSCAR ALEXIS ARZAPALO POMASUNCO',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</si>
  <si>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00000078</t>
  </si>
  <si>
    <t>CARLOS HERNANDEZ HERNANDEZ</t>
  </si>
  <si>
    <t>Feliz Aniversario Quimica San Carlos en el Campus Unicachi</t>
  </si>
  <si>
    <t>00000077</t>
  </si>
  <si>
    <t>[{'id_producto': 32503, 'codigo_producto': 1786, 'nom_producto': 'COMISION VAOPE SEGUN CONTRATO', 'categoria_producto': 'service', 'cantidad': '1.0', 'valor_unitario': 51.78, 'precio_unitario': 61.1, 'descuento': 0.0, 'subtotal': 51.78, 'porcentaje_de_igv': '18.00', 'igv': 9.32, 'total': 61.1, 'moneda': '1', 'tipo_de_cambio': 1.0, 'id_estado': 'paid', 'nombre_estado': 'Pagado', 'evento': {'id_evento': '3055', 'nom_evento': 'Feliz Aniversario Quimica San Carlos en el Campus Unicachi', 'fecha_hora_ini_event': '18-10-2025', 'fecha_hora_fin_event': '18-10-2025', 'id_organizador': 5611, 'nom_organizador': 'CARLOS HERNANDEZ HERNANDEZ',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</si>
  <si>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00000166</t>
  </si>
  <si>
    <t>A10 COMPANI S.A.C.</t>
  </si>
  <si>
    <t>00000162</t>
  </si>
  <si>
    <t>LIGA DEPORTIVA DEPARTAMENTAL DE FUTBOL DE LAMBAYEQUE</t>
  </si>
  <si>
    <t>[{'id_producto': 32420, 'codigo_producto': 2264, 'nom_producto': 'VOUCHER IMPRESO CON QR', 'categoria_producto': 'consu', 'cantidad': '3000.0', 'valor_unitario': 0.3, 'precio_unitario': 0.35, 'descuento': 0.0, 'subtotal': 900.0, 'porcentaje_de_igv': '18.00', 'igv': 162.0, 'total': 1062.0, 'moneda': '1', 'tipo_de_cambio': 1.0, 'id_estado': 'paid', 'nombre_estado': 'Pagado', 'evento': {'id_evento': '3297', 'nom_evento': 'Deportivo Cachorro vs Amigos Siempre Amigos FC - Copa PerÃº 2025', 'fecha_hora_ini_event': '26-10-2025', 'fecha_hora_fin_event': '26-10-2025', 'id_organizador': 6695, 'nom_organizador': 'ROBERTO RAMOS RUIZ',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</si>
  <si>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VOUCHER IMPRESO CON QR</t>
  </si>
  <si>
    <t>Deportivo Cachorro vs Amigos Siempre Amigos FC - Copa PerÃº 2025</t>
  </si>
  <si>
    <t>ROBERTO RAMOS RUIZ</t>
  </si>
  <si>
    <t>00000161</t>
  </si>
  <si>
    <t>CALERO APONTE GIULLIANA LIZZETT</t>
  </si>
  <si>
    <t>[{'id_producto': 32403,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'100.00'}]]}]</t>
  </si>
  <si>
    <t>00000160</t>
  </si>
  <si>
    <t>[{'id_producto': 32399,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32400, 'codigo_producto': 2264, 'nom_producto': 'VOUCHER IMPRESO CON QR', 'categoria_producto': 'consu', 'cantidad': '50.0', 'valor_unitario': 0.3, 'precio_unitario': 0.35, 'descuento': 0.0, 'subtotal': 15.0, 'porcentaje_de_igv': '18.00', 'igv': 2.7, 'total': 17.7,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</si>
  <si>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00000159</t>
  </si>
  <si>
    <t>[{'id_producto': 32391, 'codigo_producto': 2274, 'nom_producto': 'COMISION CORTESIA ', 'categoria_producto': 'consu', 'cantidad': '1.0', 'valor_unitario': 19.0, 'precio_unitario': 22.42, 'descuento': 0.0, 'subtotal': 19.0, 'porcentaje_de_igv': '18.00', 'igv': 3.42, 'total': 22.42,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</si>
  <si>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CorazÃ³n Serrano en Olmos</t>
  </si>
  <si>
    <t>00000158</t>
  </si>
  <si>
    <t>[{'id_producto': 32388, 'codigo_producto': 2276, 'nom_producto': 'PUNTO DE VENTA', 'categoria_producto': 'service', 'cantidad': '1.0', 'valor_unitario': 115.0, 'precio_unitario': 135.7, 'descuento': 0.0, 'subtotal': 115.0, 'porcentaje_de_igv': '18.00', 'igv': 20.7, 'total': 135.7,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</t>
  </si>
  <si>
    <t>00000157</t>
  </si>
  <si>
    <t>[{'id_producto': 32385, 'codigo_producto': 1786, 'nom_producto': 'COMISION VAOPE SEGUN CONTRATO', 'categoria_producto': 'service', 'cantidad': '1.0', 'valor_unitario': 888.09, 'precio_unitario': 1047.95, 'descuento': 0.0, 'subtotal': 888.09, 'porcentaje_de_igv': '18.00', 'igv': 159.86, 'total': 1047.95,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</si>
  <si>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00000156</t>
  </si>
  <si>
    <t>[{'id_producto': 32382, 'codigo_producto': 216, 'nom_producto': 'COMISION PAGOS DIGITALES SEGUN CONTRATO', 'categoria_producto': 'service', 'cantidad': '1.0', 'valor_unitario': 667.44, 'precio_unitario': 787.58, 'descuento': 0.0, 'subtotal': 667.44, 'porcentaje_de_igv': '18.00', 'igv': 120.14, 'total': 787.58,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</si>
  <si>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00000155</t>
  </si>
  <si>
    <t>[{'id_producto': 32379, 'codigo_producto': 1786, 'nom_producto': 'COMISION VAOPE SEGUN CONTRATO', 'categoria_producto': 'service', 'cantidad': '1.0', 'valor_unitario': 164.24, 'precio_unitario': 193.8, 'descuento': 0.0, 'subtotal': 164.24, 'porcentaje_de_igv': '18.00', 'igv': 29.56, 'total': 193.8, 'moneda': '1', 'tipo_de_cambio': 1.0, 'id_estado': 'paid', 'nombre_estado': 'Pagado', 'evento': {'id_evento': '3154', 'nom_evento': '51Â° Aniversario de Pascualillo Coronado con Amaranta, Flor PileÃ±a y mÃ¡s en Ate', 'fecha_hora_ini_event': '19-10-2025', 'fecha_hora_fin_event': '19-10-2025', 'id_organizador': 1118, 'nom_organizador': 'PROMOTORA SR. DE MURUHUAY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</si>
  <si>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51Â° Aniversario de Pascualillo Coronado con Amaranta, Flor PileÃ±a y mÃ¡s en Ate</t>
  </si>
  <si>
    <t>00000154</t>
  </si>
  <si>
    <t>[{'id_producto': 32376, 'codigo_producto': 216, 'nom_producto': 'COMISION PAGOS DIGITALES SEGUN CONTRATO', 'categoria_producto': 'service', 'cantidad': '1.0', 'valor_unitario': 125.08, 'precio_unitario': 147.59, 'descuento': 0.0, 'subtotal': 125.08, 'porcentaje_de_igv': '18.00', 'igv': 22.51, 'total': 147.59, 'moneda': '1', 'tipo_de_cambio': 1.0, 'id_estado': 'paid', 'nombre_estado': 'Pagado', 'evento': {'id_evento': '3154', 'nom_evento': '51Â° Aniversario de Pascualillo Coronado con Amaranta, Flor PileÃ±a y mÃ¡s en Ate', 'fecha_hora_ini_event': '19-10-2025', 'fecha_hora_fin_event': '19-10-2025', 'id_organizador': 1118, 'nom_organizador': 'PROMOTORA SR. DE MURUHUAY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</si>
  <si>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00000153</t>
  </si>
  <si>
    <t>[{'id_producto': 32373, 'codigo_producto': 1786, 'nom_producto': 'COMISION VAOPE SEGUN CONTRATO', 'categoria_producto': 'service', 'cantidad': '1.0', 'valor_unitario': 136.19, 'precio_unitario': 160.7, 'descuento': 0.0, 'subtotal': 136.19, 'porcentaje_de_igv': '18.00', 'igv': 24.51, 'total': 160.7, 'moneda': '1', 'tipo_de_cambio': 1.0, 'id_estado': 'paid', 'nombre_estado': 'Pagado', 'evento': {'id_evento': '3269', 'nom_evento': 'La Bella Luz en Palpa', 'fecha_hora_ini_event': '18-10-2025', 'fecha_hora_fin_event': '18-10-2025',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</si>
  <si>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La Bella Luz en Palpa</t>
  </si>
  <si>
    <t>00000152</t>
  </si>
  <si>
    <t>00000151</t>
  </si>
  <si>
    <t>CASTILLO PRODUCTIONS SOCIEDAD ANONIMA CERRADA</t>
  </si>
  <si>
    <t>FestiSalsa Vol 01 con Brunella Torpoco, Cesar Vega, Masiel Malaga y mÃ¡s en 11:11 Club de Independencia</t>
  </si>
  <si>
    <t>00000150</t>
  </si>
  <si>
    <t>[{'id_producto': 32364, 'codigo_producto': 216, 'nom_producto': 'COMISION PAGOS DIGITALES SEGUN CONTRATO', 'categoria_producto': 'service', 'cantidad': '1.0', 'valor_unitario': 19.83, 'precio_unitario': 23.4, 'descuento': 0.0, 'subtotal': 19.83, 'porcentaje_de_igv': '18.00', 'igv': 3.57, 'total': 23.4, 'moneda': '1', 'tipo_de_cambio': 1.0, 'id_estado': 'paid', 'nombre_estado': 'Pagado', 'evento': {'id_evento': '3249', 'nom_evento': 'FestiSalsa Vol 01 con Brunella Torpoco, Cesar Vega, Masiel Malaga y mÃ¡s en 11:11 Club de Independencia', 'fecha_hora_ini_event': '18-10-2025', 'fecha_hora_fin_event': '18-10-2025',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</si>
  <si>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00000149</t>
  </si>
  <si>
    <t>[{'id_producto': 32361, 'codigo_producto': 2276, 'nom_producto': 'PUNTO DE VENTA',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</t>
  </si>
  <si>
    <t>CorazÃ³n Serrano en Bagua Capital</t>
  </si>
  <si>
    <t>00000148</t>
  </si>
  <si>
    <t>[{'id_producto': 32358, 'codigo_producto': 1786, 'nom_producto': 'COMISION VAOPE SEGUN CONTRATO', 'categoria_producto': 'service', 'cantidad': '1.0', 'valor_unitario': 193.03, 'precio_unitario': 227.78, 'descuento': 0.0, 'subtotal': 193.03, 'porcentaje_de_igv': '18.00', 'igv': 34.75, 'total': 227.78,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</si>
  <si>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00000147</t>
  </si>
  <si>
    <t>[{'id_producto': 32355, 'codigo_producto': 216, 'nom_producto': 'COMISION PAGOS DIGITALES SEGUN CONTRATO', 'categoria_producto': 'service', 'cantidad': '1.0', 'valor_unitario': 219.88, 'precio_unitario': 259.46, 'descuento': 0.0, 'subtotal': 219.88, 'porcentaje_de_igv': '18.00', 'igv': 39.58, 'total': 259.46,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</si>
  <si>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00000076</t>
  </si>
  <si>
    <t>[{'id_producto': 32352, 'codigo_producto': 216, 'nom_producto': 'COMISION PAGOS DIGITALES SEGUN CONTRATO', 'categoria_producto': 'service', 'cantidad': '1.0', 'valor_unitario': 289.11, 'precio_unitario': 341.15, 'descuento': 0.0, 'subtotal': 289.11, 'porcentaje_de_igv': '18.00', 'igv': 52.04, 'total': 341.15,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</si>
  <si>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00000075</t>
  </si>
  <si>
    <t>[{'id_producto': 32349, 'codigo_producto': 1786, 'nom_producto': 'COMISION VAOPE SEGUN CONTRATO', 'categoria_producto': 'service', 'cantidad': '1.0', 'valor_unitario': 203.35, 'precio_unitario': 239.95, 'descuento': 0.0, 'subtotal': 203.35, 'porcentaje_de_igv': '18.00', 'igv': 36.6, 'total': 239.95,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</si>
  <si>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00000146</t>
  </si>
  <si>
    <t>EMOZIONA PRODUCCIONES E.I.R.L.</t>
  </si>
  <si>
    <t>[{'id_producto': 32346, 'codigo_producto': 2318, 'nom_producto': 'SERV DEVOLUCIONES', 'categoria_producto': 'service', 'cantidad': '1.0', 'valor_unitario': 135.86, 'precio_unitario': 160.31, 'descuento': 0.0, 'subtotal': 135.86, 'porcentaje_de_igv': '18.00', 'igv': 24.45, 'total': 160.31,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6959, 'nom_cuenta_analitica': '7032102 VENTAS SERVICIOS VAOPE', 'distribucion_analitica': []}]</t>
  </si>
  <si>
    <t>Son del Duke en Huancayo</t>
  </si>
  <si>
    <t>00000145</t>
  </si>
  <si>
    <t>[{'id_producto': 32343, 'codigo_producto': 1786, 'nom_producto': 'COMISION VAOPE SEGUN CONTRATO', 'categoria_producto': 'service', 'cantidad': '1.0', 'valor_unitario': 2016.86, 'precio_unitario': 2379.89, 'descuento': 0.0, 'subtotal': 2016.86, 'porcentaje_de_igv': '18.00', 'igv': 363.03, 'total': 2379.89,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</si>
  <si>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00000144</t>
  </si>
  <si>
    <t>[{'id_producto': 32340, 'codigo_producto': 216, 'nom_producto': 'COMISION PAGOS DIGITALES SEGUN CONTRATO', 'categoria_producto': 'service', 'cantidad': '1.0', 'valor_unitario': 2240.51, 'precio_unitario': 2643.8, 'descuento': 0.0, 'subtotal': 2240.51, 'porcentaje_de_igv': '18.00', 'igv': 403.29, 'total': 2643.8,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</si>
  <si>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00000074</t>
  </si>
  <si>
    <t>LISSETH MARITZA AMPUERO GUILLEN</t>
  </si>
  <si>
    <t>[{'id_producto': 32332,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</t>
  </si>
  <si>
    <t>00000142</t>
  </si>
  <si>
    <t>[{'id_producto': 32328,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'100.00'}]]}, {'id_producto': 32329, 'codigo_producto': 2342, 'nom_producto': 'SERVICIO DE DISENO ', 'categoria_producto': 'service', 'cantidad': '1.0', 'valor_unitario': 120.0, 'precio_unitario': 141.6, 'descuento': 0.0, 'subtotal': 120.0, 'porcentaje_de_igv': '18.00', 'igv': 21.6, 'total': 141.6,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77, 'nom_distribucion': 'DiseÃ±o', 'sub_categoria': 'Ime', 'porcentaje': '100.00'}]]}]</t>
  </si>
  <si>
    <t>CorazÃ³n Serrano y Dilbert Aguilar en Huancayo</t>
  </si>
  <si>
    <t>[[{'codigo': 77, 'nom_distribucion': 'DiseÃ±o', 'sub_categoria': 'Ime', 'porcentaje': '100.00'}]]</t>
  </si>
  <si>
    <t>00000141</t>
  </si>
  <si>
    <t>[{'id_producto': 32320,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32321,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32322, 'codigo_producto': 1895, 'nom_producto': 'BRAZALETE CON QR', 'categoria_producto': 'consu', 'cantidad': '356.0', 'valor_unitario': 0.6, 'precio_unitario': 0.71, 'descuento': 0.0, 'subtotal': 213.6, 'porcentaje_de_igv': '18.00', 'igv': 38.45, 'total': 252.05,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32323, 'codigo_producto': 1895, 'nom_producto': 'BRAZALETE CON QR', 'categoria_producto': 'consu', 'cantidad': '144.0', 'valor_unitario': 0.6, 'precio_unitario': 0.71, 'descuento': 0.0, 'subtotal': 86.4, 'porcentaje_de_igv': '18.00', 'igv': 15.55, 'total': 101.95,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</si>
  <si>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00000140</t>
  </si>
  <si>
    <t>MERO LOCO PRODUCCIONES E.I.R.L.</t>
  </si>
  <si>
    <t>[{'id_producto': 32315,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32316,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6959, 'nom_cuenta_analitica': '7032102 VENTAS SERVICIOS VAOPE', 'distribucion_analitica': []}]</t>
  </si>
  <si>
    <t>STICKER CON QR</t>
  </si>
  <si>
    <t>LA TRILOGIA TRIJILLANA 1ERA EDICION - 01/11 - I -P</t>
  </si>
  <si>
    <t>MANUEL ULISES CASTILLO VALENCIA</t>
  </si>
  <si>
    <t>00000139</t>
  </si>
  <si>
    <t>[{'id_producto': 32304,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'reversed', 'nombre_estado': 'Revertido',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</si>
  <si>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00000073</t>
  </si>
  <si>
    <t>[{'id_producto': 31763, 'codigo_producto': 2324, 'nom_producto': 'ENTRADAS IMPRESAS', 'categoria_producto': 'consu', 'cantidad': '600.0', 'valor_unitario': 0.5, 'precio_unitario': 0.59, 'descuento': 0.0, 'subtotal': 300.0, 'porcentaje_de_igv': '18.00', 'igv': 54.0, 'total': 354.0,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</si>
  <si>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La Ãšnica Tropical, Gisela Lavado y mÃ¡s en Huancayo</t>
  </si>
  <si>
    <t>00000136</t>
  </si>
  <si>
    <t>MAURO PRODUCCIONES E.I.R.L.</t>
  </si>
  <si>
    <t>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</si>
  <si>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Bryndis X Siempre en Puerto Maldonado</t>
  </si>
  <si>
    <t>00000135</t>
  </si>
  <si>
    <t>[{'id_producto': 31738,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31739, 'codigo_producto': 1916, 'nom_producto': 'DELIVERY', 'categoria_producto': 'service', 'cantidad': '30.0', 'valor_unitario': 1.0, 'precio_unitario': 1.18, 'descuento': 0.0, 'subtotal': 30.0, 'porcentaje_de_igv': '18.00', 'igv': 5.4, 'total': 35.4,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6959, 'nom_cuenta_analitica': '7032102 VENTAS SERVICIOS VAOPE', 'distribucion_analitica': []}]</t>
  </si>
  <si>
    <t>2DO FESTIVAL ROCK PILSEN MUSIC - 11/10 - TRUJILLO I - P</t>
  </si>
  <si>
    <t>00000134</t>
  </si>
  <si>
    <t>[{'id_producto': 31735, 'codigo_producto': 1916, 'nom_producto': 'DELIVERY', 'categoria_producto': 'service', 'cantidad': '1.0', 'valor_unitario': 40.0, 'precio_unitario': 47.2, 'descuento': 0.0, 'subtotal': 40.0, 'porcentaje_de_igv': '18.00', 'igv': 7.2, 'total': 47.2,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</t>
  </si>
  <si>
    <t>Feliz Aniversario Barranca con ArmonÃ­a 10 y El Gran Chorrillano</t>
  </si>
  <si>
    <t>CUSQUI LUIS MIGUEL ALFREDO</t>
  </si>
  <si>
    <t>00000133</t>
  </si>
  <si>
    <t>[{'id_producto': 31731,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31734,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</si>
  <si>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00000132</t>
  </si>
  <si>
    <t>[{'id_producto': 31727, 'codigo_producto': 1924, 'nom_producto': 'BOLETO FULL COLOR CON QR', 'categoria_producto': 'consu', 'cantidad': '500.0', 'valor_unitario': 0.4, 'precio_unitario': 0.47, 'descuento': 0.0, 'subtotal': 200.0, 'porcentaje_de_igv': '18.00', 'igv': 36.0, 'total': 236.0,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31728,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</si>
  <si>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LA UNICA TROPICAL - 10/10 - HUACHO - I - P</t>
  </si>
  <si>
    <t>00000131</t>
  </si>
  <si>
    <t>[{'id_producto': 31724,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</t>
  </si>
  <si>
    <t>00000130</t>
  </si>
  <si>
    <t>[{'id_producto': 31720, 'codigo_producto': 1924, 'nom_producto': 'BOLETO FULL COLOR CON QR', 'categoria_producto': 'consu', 'cantidad': '1000.0', 'valor_unitario': 0.36, 'precio_unitario': 0.42, 'descuento': 0.0, 'subtotal': 360.0, 'porcentaje_de_igv': '18.00', 'igv': 64.8, 'total': 424.8,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31721,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</si>
  <si>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00000072</t>
  </si>
  <si>
    <t>FLEMIN JESUS SILVA ROSEL</t>
  </si>
  <si>
    <t>[{'id_producto': 31716, 'codigo_producto': 1924, 'nom_producto': 'BOLETO FULL COLOR CON QR', 'categoria_producto': 'consu', 'cantidad': '6000.0', 'valor_unitario': 0.4, 'precio_unitario': 0.47, 'descuento': 0.0, 'subtotal': 2400.0, 'porcentaje_de_igv': '18.00', 'igv': 432.0, 'total': 2832.0,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1106, 'nom_cuenta_analitica': '7012100 MercaderÃ­as-Venta Local-Terceros', 'distribucion_analitica': []}, {'id_producto': 31717,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6959, 'nom_cuenta_analitica': '7032102 VENTAS SERVICIOS VAOPE', 'distribucion_analitica': []}]</t>
  </si>
  <si>
    <t>Festival GastronÃ³mico con sabor a Norte con Agua Marina, CaribeÃ±os y mÃ¡s en Chimbote</t>
  </si>
  <si>
    <t>DIEGO RODERYCK ROJAS COELLO</t>
  </si>
  <si>
    <t>00000129</t>
  </si>
  <si>
    <t>COOPERATIVA DE AHORRO Y CREDITO NORANDINO LTDA, DirecciÃ³n de factura</t>
  </si>
  <si>
    <t>[{'id_producto': 31713,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6616, 'nom_organizador': '', 'tipo_organizador': 'Persona'}, 'id_vendedor': 16, 'nom_vendedor': 'JENNY MANCO', 'id_cuenta_analitica': 6959, 'nom_cuenta_analitica': '7032102 VENTAS SERVICIOS VAOPE', 'distribucion_analitica': []}]</t>
  </si>
  <si>
    <t>00000128</t>
  </si>
  <si>
    <t>COOPERATIVA DE AHORRO Y CREDITO NORANDINO LTDA</t>
  </si>
  <si>
    <t>[{'id_producto': 31710, 'codigo_producto': 1895, 'nom_producto': 'BRAZALETE CON QR', 'categoria_producto': 'consu', 'cantidad': '5000.0', 'valor_unitario': 0.7, 'precio_unitario': 0.83, 'descuento': 0.0, 'subtotal': 3500.0, 'porcentaje_de_igv': '18.00', 'igv': 630.0, 'total': 4130.0, 'moneda': '1', 'tipo_de_cambio': 1.0, 'id_estado': 'paid', 'nombre_estado': 'Pagado', 'evento': {'id_evento': '3222', 'nom_evento': '20 AÃ‘OS NORANDINO - 25/10 - I - P', 'fecha_hora_ini_event': '25-10-2025', 'fecha_hora_fin_event': '25-10-2025', 'id_organizador': 6240, 'nom_organizador': 'GREGORY GUADALUPE EVENT PLANNER E.I.R.L.', 'tipo_organizador': 'Empresa'}, 'id_vendedor': 16, 'nom_vendedor': 'JENNY MANCO', 'id_cuenta_analitica': 1106, 'nom_cuenta_analitica': '7012100 MercaderÃ­as-Venta Local-Terceros', 'distribucion_analitica': []}]</t>
  </si>
  <si>
    <t>20 AÃ‘OS NORANDINO - 25/10 - I - P</t>
  </si>
  <si>
    <t>GREGORY GUADALUPE EVENT PLANNER E.I.R.L.</t>
  </si>
  <si>
    <t>00000127</t>
  </si>
  <si>
    <t>EDUCATENEA S.A.C.</t>
  </si>
  <si>
    <t>[{'id_producto': 31705, 'codigo_producto': 2342, 'nom_producto': 'SERVICIO DE DISENO 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6959, 'nom_cuenta_analitica': '7032102 VENTAS SERVICIOS VAOPE', 'distribucion_analitica': []}]</t>
  </si>
  <si>
    <t>Feliz 43.er Aniversario Colegio HipÃ³lito Unanue en Villa el Salvador</t>
  </si>
  <si>
    <t>00000126</t>
  </si>
  <si>
    <t>[{'id_producto': 31699,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[]}, {'id_producto': 31700, 'codigo_producto': 1895, 'nom_producto': 'BRAZALETE CON QR', 'categoria_producto': 'consu', 'cantidad': '4000.0', 'valor_unitario': 0.6, 'precio_unitario': 0.71, 'descuento': 0.0, 'subtotal': 2400.0, 'porcentaje_de_igv': '18.00', 'igv': 432.0, 'total': 2832.0,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[]}]</t>
  </si>
  <si>
    <t>00000071</t>
  </si>
  <si>
    <t>JEAN CARLOS HUARACA HUARANGA</t>
  </si>
  <si>
    <t>[{'id_producto': 31660, 'codigo_producto': 216, 'nom_producto': 'COMISION PAGOS DIGITALES SEGUN CONTRATO', 'categoria_producto': 'service', 'cantidad': '1.0', 'valor_unitario': 41.0, 'precio_unitario': 48.38, 'descuento': 0.0, 'subtotal': 41.0, 'porcentaje_de_igv': '18.00', 'igv': 7.38, 'total': 48.38, 'moneda': '1', 'tipo_de_cambio': 1.0, 'id_estado': 'paid', 'nombre_estado': 'Pagado', 'evento': {'id_evento': '3071', 'nom_evento': 'Tributo Oficial a Pxndx en Puno', 'fecha_hora_ini_event': '27-09-2025', 'fecha_hora_fin_event': '27-09-2025',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</si>
  <si>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Tributo Oficial a Pxndx en Puno</t>
  </si>
  <si>
    <t>00000070</t>
  </si>
  <si>
    <t>PETER OSMAR MENDOZA SANCHEZ</t>
  </si>
  <si>
    <t>[{'id_producto': 31657, 'codigo_producto': 2274, 'nom_producto': 'COMISION CORTESIA ', 'categoria_producto': 'consu', 'cantidad': '1.0', 'valor_unitario': 9.0, 'precio_unitario': 10.62, 'descuento': 0.0, 'subtotal': 9.0, 'porcentaje_de_igv': '18.00', 'igv': 1.62, 'total': 10.62,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</si>
  <si>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Tributo a Pxndn SinfÃ³nico en Barranco</t>
  </si>
  <si>
    <t>00000069</t>
  </si>
  <si>
    <t>[{'id_producto': 31654, 'codigo_producto': 2276, 'nom_producto': 'PUNTO DE VENTA', 'categoria_producto': 'service', 'cantidad': '1.0', 'valor_unitario': 107.5, 'precio_unitario': 126.85, 'descuento': 0.0, 'subtotal': 107.5, 'porcentaje_de_igv': '18.00', 'igv': 19.35, 'total': 126.85,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</t>
  </si>
  <si>
    <t>00000068</t>
  </si>
  <si>
    <t>[{'id_producto': 31651, 'codigo_producto': 1786, 'nom_producto': 'COMISION VAOPE SEGUN CONTRATO', 'categoria_producto': 'service', 'cantidad': '1.0', 'valor_unitario': 231.61, 'precio_unitario': 273.3, 'descuento': 0.0, 'subtotal': 231.61, 'porcentaje_de_igv': '18.00', 'igv': 41.69, 'total': 273.3,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</si>
  <si>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00000067</t>
  </si>
  <si>
    <t>[{'id_producto': 31648, 'codigo_producto': 216, 'nom_producto': 'COMISION PAGOS DIGITALES SEGUN CONTRATO', 'categoria_producto': 'service', 'cantidad': '1.0', 'valor_unitario': 254.11, 'precio_unitario': 299.85, 'descuento': 0.0, 'subtotal': 254.11, 'porcentaje_de_igv': '18.00', 'igv': 45.74, 'total': 299.85,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</si>
  <si>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00000066</t>
  </si>
  <si>
    <t>[{'id_producto': 31645, 'codigo_producto': 2274, 'nom_producto': 'COMISION CORTESIA ', 'categoria_producto': 'consu', 'cantidad': '1.0', 'valor_unitario': 2.0, 'precio_unitario': 2.36, 'descuento': 0.0, 'subtotal': 2.0, 'porcentaje_de_igv': '18.00', 'igv': 0.36, 'total': 2.36,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</si>
  <si>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Festival New Wave de Regreso a Miraflores</t>
  </si>
  <si>
    <t>00000065</t>
  </si>
  <si>
    <t>[{'id_producto': 31642, 'codigo_producto': 2276, 'nom_producto': 'PUNTO DE VENTA', 'categoria_producto': 'service', 'cantidad': '1.0', 'valor_unitario': 51.0, 'precio_unitario': 60.18, 'descuento': 0.0, 'subtotal': 51.0, 'porcentaje_de_igv': '18.00', 'igv': 9.18, 'total': 60.18,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</t>
  </si>
  <si>
    <t>00000064</t>
  </si>
  <si>
    <t>00000063</t>
  </si>
  <si>
    <t>[{'id_producto': 31636, 'codigo_producto': 216, 'nom_producto': 'COMISION PAGOS DIGITALES SEGUN CONTRATO', 'categoria_producto': 'service', 'cantidad': '1.0', 'valor_unitario': 57.1, 'precio_unitario': 67.38, 'descuento': 0.0, 'subtotal': 57.1, 'porcentaje_de_igv': '18.00', 'igv': 10.28, 'total': 67.38,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</si>
  <si>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00000062</t>
  </si>
  <si>
    <t>[{'id_producto': 31633, 'codigo_producto': 2276, 'nom_producto': 'PUNTO DE VENTA',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6959, 'nom_cuenta_analitica': '7032102 VENTAS SERVICIOS VAOPE', 'distribucion_analitica': []}]</t>
  </si>
  <si>
    <t>Tributo Oficial a Pxndx en Arequipa</t>
  </si>
  <si>
    <t>00000125</t>
  </si>
  <si>
    <t>RM MUSIC BUSINESS E.I.R.L.</t>
  </si>
  <si>
    <t>[{'id_producto': 31627, 'codigo_producto': 2264, 'nom_producto': 'VOUCHER IMPRESO CON QR', 'categoria_producto': 'consu', 'cantidad': '100.0', 'valor_unitario': 0.3, 'precio_unitario': 0.35,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31628, 'codigo_producto': 2264, 'nom_producto': 'VOUCHER IMPRESO CON QR', 'categoria_producto': 'consu', 'cantidad': '200.0', 'valor_unitario': 0.3, 'precio_unitario': 0.35, 'descuento': 0.0, 'subtotal': 60.0, 'porcentaje_de_igv': '18.00', 'igv': 10.8, 'total': 70.8,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31629, 'codigo_producto': 2264, 'nom_producto': 'VOUCHER IMPRESO CON QR', 'categoria_producto': 'consu', 'cantidad': '700.0', 'valor_unitario': 0.3, 'precio_unitario': 0.35, 'descuento': 0.0, 'subtotal': 210.0, 'porcentaje_de_igv': '18.00', 'igv': 37.8, 'total': 247.8,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31630,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6959, 'nom_cuenta_analitica': '7032102 VENTAS SERVICIOS VAOPE', 'distribucion_analitica': []}]</t>
  </si>
  <si>
    <t>DÃ¡lmata en Tarapoto</t>
  </si>
  <si>
    <t>00000124</t>
  </si>
  <si>
    <t>EVENTOS &amp; INVERSIONES SAN CRISTOBAL SAC</t>
  </si>
  <si>
    <t>[{'id_producto': 31620,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31621,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31622,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6959, 'nom_cuenta_analitica': '7032102 VENTAS SERVICIOS VAOPE', 'distribucion_analitica': []}, {'id_producto': 31626,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[]}]</t>
  </si>
  <si>
    <t>Feliz Aniversario Barranca con Yarita Lizeth, Noemi Huaman, Miguel Salas y mÃ¡s</t>
  </si>
  <si>
    <t>DOROTEO VELASQUEZ JAHN PAVEL FERNANDO</t>
  </si>
  <si>
    <t>00000123</t>
  </si>
  <si>
    <t>YANQUIS PRODUCCIONES EIRL</t>
  </si>
  <si>
    <t>[{'id_producto': 31614, 'codigo_producto': 1786, 'nom_producto': 'COMISION VAOPE SEGUN CONTRATO', 'categoria_producto': 'service', 'cantidad': '1.0', 'valor_unitario': 2447.71, 'precio_unitario': 2888.3, 'descuento': 0.0, 'subtotal': 2447.71, 'porcentaje_de_igv': '18.00', 'igv': 440.59, 'total': 2888.3,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</si>
  <si>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Feliz 15 Aniversario El Aguaje con Yarita Lizeth, Tony Rosado y mÃ¡s en Puente Piedra</t>
  </si>
  <si>
    <t>Juan Elera Guerrero</t>
  </si>
  <si>
    <t>00000122</t>
  </si>
  <si>
    <t>[{'id_producto': 31611, 'codigo_producto': 216, 'nom_producto': 'COMISION PAGOS DIGITALES SEGUN CONTRATO', 'categoria_producto': 'service', 'cantidad': '1.0', 'valor_unitario': 3083.1, 'precio_unitario': 3638.06, 'descuento': 0.0, 'subtotal': 3083.1, 'porcentaje_de_igv': '18.00', 'igv': 554.96, 'total': 3638.06,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</si>
  <si>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00000121</t>
  </si>
  <si>
    <t>[{'id_producto': 31608, 'codigo_producto': 2274, 'nom_producto': 'COMISION CORTESIA ', 'categoria_producto': 'consu', 'cantidad': '1.0', 'valor_unitario': 80.51, 'precio_unitario': 95.0, 'descuento': 0.0, 'subtotal': 80.51, 'porcentaje_de_igv': '18.00', 'igv': 14.49, 'total': 95.0,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</si>
  <si>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00000120</t>
  </si>
  <si>
    <t>00000119</t>
  </si>
  <si>
    <t>[{'id_producto': 31602, 'codigo_producto': 2315, 'nom_producto': 'PAUTA PUBLICITARIA', 'categoria_producto': 'service', 'cantidad': '1.0', 'valor_unitario': 2750.0, 'precio_unitario': 3245.0, 'descuento': 0.0, 'subtotal': 2750.0, 'porcentaje_de_igv': '18.00', 'igv': 495.0, 'total': 3245.0,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</si>
  <si>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00000118</t>
  </si>
  <si>
    <t>[{'id_producto': 31599, 'codigo_producto': 2314, 'nom_producto': 'SERV VALIDADORES', 'categoria_producto': 'service', 'cantidad': '1.0', 'valor_unitario': 421.61, 'precio_unitario': 497.5, 'descuento': 0.0, 'subtotal': 421.61, 'porcentaje_de_igv': '18.00', 'igv': 75.89, 'total': 497.5,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</si>
  <si>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00000117</t>
  </si>
  <si>
    <t>[{'id_producto': 31596,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</si>
  <si>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00000061</t>
  </si>
  <si>
    <t>[{'id_producto': 31593, 'codigo_producto': 2315, 'nom_producto': 'PAUTA PUBLICITARIA', 'categoria_producto': 'service', 'cantidad': '1.0', 'valor_unitario': 2750.0, 'precio_unitario': 3245.0, 'descuento': 0.0, 'subtotal': 2750.0, 'porcentaje_de_igv': '18.00', 'igv': 495.0, 'total': 3245.0,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</si>
  <si>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00000060</t>
  </si>
  <si>
    <t>[{'id_producto': 31590, 'codigo_producto': 1786, 'nom_producto': 'COMISION VAOPE SEGUN CONTRATO', 'categoria_producto': 'service', 'cantidad': '1.0', 'valor_unitario': 2447.71, 'precio_unitario': 2888.3, 'descuento': 0.0, 'subtotal': 2447.71, 'porcentaje_de_igv': '18.00', 'igv': 440.59, 'total': 2888.3,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</si>
  <si>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00000059</t>
  </si>
  <si>
    <t>[{'id_producto': 31587, 'codigo_producto': 216, 'nom_producto': 'COMISION PAGOS DIGITALES SEGUN CONTRATO', 'categoria_producto': 'service', 'cantidad': '1.0', 'valor_unitario': 3083.1, 'precio_unitario': 3638.06, 'descuento': 0.0, 'subtotal': 3083.1, 'porcentaje_de_igv': '18.00', 'igv': 554.96, 'total': 3638.06,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</si>
  <si>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00000058</t>
  </si>
  <si>
    <t>[{'id_producto': 31584, 'codigo_producto': 2274, 'nom_producto': 'COMISION CORTESIA ', 'categoria_producto': 'consu', 'cantidad': '1.0', 'valor_unitario': 80.51, 'precio_unitario': 95.0, 'descuento': 0.0, 'subtotal': 80.51, 'porcentaje_de_igv': '18.00', 'igv': 14.49, 'total': 95.0,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</si>
  <si>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00000057</t>
  </si>
  <si>
    <t>00000116</t>
  </si>
  <si>
    <t>[{'id_producto': 31578,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</si>
  <si>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00000056</t>
  </si>
  <si>
    <t>[{'id_producto': 31575,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</si>
  <si>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00000055</t>
  </si>
  <si>
    <t>[{'id_producto': 31572, 'codigo_producto': 2314, 'nom_producto': 'SERV VALIDADORES', 'categoria_producto': 'service', 'cantidad': '1.0', 'valor_unitario': 421.61, 'precio_unitario': 497.5, 'descuento': 0.0, 'subtotal': 421.61, 'porcentaje_de_igv': '18.00', 'igv': 75.89, 'total': 497.5,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</si>
  <si>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00000054</t>
  </si>
  <si>
    <t>[{'id_producto': 31569,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</si>
  <si>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00000053</t>
  </si>
  <si>
    <t>LUIS ANTONIO ARIAS RAMIREZ</t>
  </si>
  <si>
    <t>[{'id_producto': 31566,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</si>
  <si>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La Ãšnica Tropical, ArmonÃ­a 10 y mÃ¡s en Pachacamac</t>
  </si>
  <si>
    <t>00000052</t>
  </si>
  <si>
    <t>[{'id_producto': 31563, 'codigo_producto': 1786, 'nom_producto': 'COMISION VAOPE SEGUN CONTRATO', 'categoria_producto': 'service', 'cantidad': '1.0', 'valor_unitario': 564.83, 'precio_unitario': 666.5, 'descuento': 0.0, 'subtotal': 564.83, 'porcentaje_de_igv': '18.00', 'igv': 101.67, 'total': 666.5,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</si>
  <si>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00000051</t>
  </si>
  <si>
    <t>[{'id_producto': 31560, 'codigo_producto': 216, 'nom_producto': 'COMISION PAGOS DIGITALES SEGUN CONTRATO', 'categoria_producto': 'service', 'cantidad': '1.0', 'valor_unitario': 419.83, 'precio_unitario': 495.4, 'descuento': 0.0, 'subtotal': 419.83, 'porcentaje_de_igv': '18.00', 'igv': 75.57, 'total': 495.4,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</si>
  <si>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00000115</t>
  </si>
  <si>
    <t>[{'id_producto': 31557, 'codigo_producto': 1786, 'nom_producto': 'COMISION VAOPE SEGUN CONTRATO', 'categoria_producto': 'service', 'cantidad': '1.0', 'valor_unitario': 982.08, 'precio_unitario': 1158.85, 'descuento': 0.0, 'subtotal': 982.08, 'porcentaje_de_igv': '18.00', 'igv': 176.77, 'total': 1158.85,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</si>
  <si>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La Previa de Verano con La Ãšnica Tropical y Los CaribeÃ±os en El Remanso de Comas</t>
  </si>
  <si>
    <t>00000114</t>
  </si>
  <si>
    <t>[{'id_producto': 31554, 'codigo_producto': 216, 'nom_producto': 'COMISION PAGOS DIGITALES SEGUN CONTRATO', 'categoria_producto': 'service', 'cantidad': '1.0', 'valor_unitario': 1898.43, 'precio_unitario': 2240.15, 'descuento': 0.0, 'subtotal': 1898.43, 'porcentaje_de_igv': '18.00', 'igv': 341.72, 'total': 2240.15,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</si>
  <si>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00000113</t>
  </si>
  <si>
    <t>[{'id_producto': 31551, 'codigo_producto': 2274, 'nom_producto': 'COMISION CORTESIA ', 'categoria_producto': 'consu', 'cantidad': '1.0', 'valor_unitario': 7.5, 'precio_unitario': 8.85, 'descuento': 0.0, 'subtotal': 7.5, 'porcentaje_de_igv': '18.00', 'igv': 1.35, 'total': 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</si>
  <si>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00000112</t>
  </si>
  <si>
    <t>[{'id_producto': 31548,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</si>
  <si>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00000111</t>
  </si>
  <si>
    <t>[{'id_producto': 31545, 'codigo_producto': 1895, 'nom_producto': 'BRAZALETE CON QR', 'categoria_producto': 'consu', 'cantidad': '1.0', 'valor_unitario': 590.0, 'precio_unitario': 696.2, 'descuento': 0.0, 'subtotal': 590.0, 'porcentaje_de_igv': '18.00', 'igv': 106.2, 'total': 696.2,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</si>
  <si>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00000110</t>
  </si>
  <si>
    <t>[{'id_producto': 31542, 'codigo_producto': 1786, 'nom_producto': 'COMISION VAOPE SEGUN CONTRATO', 'categoria_producto': 'service', 'cantidad': '1.0', 'valor_unitario': 982.08, 'precio_unitario': 1158.85, 'descuento': 0.0, 'subtotal': 982.08, 'porcentaje_de_igv': '18.00', 'igv': 176.77, 'total': 1158.85,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</si>
  <si>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00000109</t>
  </si>
  <si>
    <t>[{'id_producto': 31539, 'codigo_producto': 216, 'nom_producto': 'COMISION PAGOS DIGITALES SEGUN CONTRATO', 'categoria_producto': 'service', 'cantidad': '1.0', 'valor_unitario': 1898.43, 'precio_unitario': 2240.15, 'descuento': 0.0, 'subtotal': 1898.43, 'porcentaje_de_igv': '18.00', 'igv': 341.72, 'total': 2240.15,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</si>
  <si>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00000108</t>
  </si>
  <si>
    <t>[{'id_producto': 31536, 'codigo_producto': 2274, 'nom_producto': 'COMISION CORTESIA ', 'categoria_producto': 'consu', 'cantidad': '1.0', 'valor_unitario': 7.5, 'precio_unitario': 8.85, 'descuento': 0.0, 'subtotal': 7.5, 'porcentaje_de_igv': '18.00', 'igv': 1.35, 'total': 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</si>
  <si>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00000107</t>
  </si>
  <si>
    <t>[{'id_producto': 31533,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</si>
  <si>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00000106</t>
  </si>
  <si>
    <t>[{'id_producto': 31530, 'codigo_producto': 2324, 'nom_producto': 'ENTRADAS IMPRESAS', 'categoria_producto': 'consu', 'cantidad': '1.0', 'valor_unitario': 590.0, 'precio_unitario': 696.2, 'descuento': 0.0, 'subtotal': 590.0, 'porcentaje_de_igv': '18.00', 'igv': 106.2, 'total': 696.2,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</si>
  <si>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00000050</t>
  </si>
  <si>
    <t>ROY EDSON VERGARA CAPUÃ‘AY</t>
  </si>
  <si>
    <t>[{'id_producto': 31527, 'codigo_producto': 2274, 'nom_producto': 'COMISION CORTESIA ', 'categoria_producto': 'consu', 'cantidad': '1.0', 'valor_unitario': 62.5, 'precio_unitario': 73.75, 'descuento': 0.0, 'subtotal': 62.5, 'porcentaje_de_igv': '18.00', 'igv': 11.25, 'total': 73.75,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</si>
  <si>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ArmonÃ­a 10 y Son del Duke en Piura</t>
  </si>
  <si>
    <t>00000049</t>
  </si>
  <si>
    <t>[{'id_producto': 31524, 'codigo_producto': 1786, 'nom_producto': 'COMISION VAOPE SEGUN CONTRATO', 'categoria_producto': 'service', 'cantidad': '1.0', 'valor_unitario': 799.53, 'precio_unitario': 943.45, 'descuento': 0.0, 'subtotal': 799.53, 'porcentaje_de_igv': '18.00', 'igv': 143.92, 'total': 943.45,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</si>
  <si>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00000048</t>
  </si>
  <si>
    <t>[{'id_producto': 31521, 'codigo_producto': 216, 'nom_producto': 'COMISION PAGOS DIGITALES SEGUN CONTRATO', 'categoria_producto': 'service', 'cantidad': '1.0', 'valor_unitario': 1057.33, 'precio_unitario': 1247.65, 'descuento': 0.0, 'subtotal': 1057.33, 'porcentaje_de_igv': '18.00', 'igv': 190.32, 'total': 1247.65,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</si>
  <si>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00000105</t>
  </si>
  <si>
    <t>[{'id_producto': 31518, 'codigo_producto': 2274, 'nom_producto': 'COMISION CORTESIA ', 'categoria_producto': 'consu', 'cantidad': '1.0', 'valor_unitario': 62.5, 'precio_unitario': 73.75, 'descuento': 0.0, 'subtotal': 62.5, 'porcentaje_de_igv': '18.00', 'igv': 11.25, 'total': 73.75,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</si>
  <si>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31515, 'codigo_producto': 1786, 'nom_producto': 'COMISION VAOPE SEGUN CONTRATO', 'categoria_producto': 'service', 'cantidad': '1.0', 'valor_unitario': 799.53, 'precio_unitario': 943.45, 'descuento': 0.0, 'subtotal': 799.53, 'porcentaje_de_igv': '18.00', 'igv': 143.92, 'total': 943.45,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</si>
  <si>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00000103</t>
  </si>
  <si>
    <t>[{'id_producto': 31512, 'codigo_producto': 216, 'nom_producto': 'COMISION PAGOS DIGITALES SEGUN CONTRATO', 'categoria_producto': 'service', 'cantidad': '1.0', 'valor_unitario': 1057.33, 'precio_unitario': 1247.65, 'descuento': 0.0, 'subtotal': 1057.33, 'porcentaje_de_igv': '18.00', 'igv': 190.32, 'total': 1247.65,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</si>
  <si>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00000047</t>
  </si>
  <si>
    <t>[{'id_producto': 31509, 'codigo_producto': 2314, 'nom_producto': 'SERV VALIDADORES', 'categoria_producto': 'service', 'cantidad': '1.0', 'valor_unitario': 1350.0, 'precio_unitario': 1593.0, 'descuento': 0.0, 'subtotal': 1350.0, 'porcentaje_de_igv': '18.00', 'igv': 243.0, 'total': 1593.0,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</si>
  <si>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Club AtlÃ©tico Torino vs. Tahuishco - Copa PerÃº 2025</t>
  </si>
  <si>
    <t>[{'id_producto': 31506, 'codigo_producto': 2322, 'nom_producto': 'SUPERVISOR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</si>
  <si>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SUPERVISOR VALIDADORES</t>
  </si>
  <si>
    <t>[{'id_producto': 31503, 'codigo_producto': 1786, 'nom_producto': 'COMISION VAOPE SEGUN CONTRATO', 'categoria_producto': 'service', 'cantidad': '1.0', 'valor_unitario': 4262.74, 'precio_unitario': 5030.03, 'descuento': 0.0, 'subtotal': 4262.74, 'porcentaje_de_igv': '18.00', 'igv': 767.29, 'total': 5030.03,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</si>
  <si>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31500, 'codigo_producto': 216, 'nom_producto': 'COMISION PAGOS DIGITALES SEGUN CONTRATO', 'categoria_producto': 'service', 'cantidad': '1.0', 'valor_unitario': 3578.07, 'precio_unitario': 4222.12, 'descuento': 0.0, 'subtotal': 3578.07, 'porcentaje_de_igv': '18.00', 'igv': 644.05, 'total': 4222.12,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</si>
  <si>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00000102</t>
  </si>
  <si>
    <t>[{'id_producto': 31497, 'codigo_producto': 2318, 'nom_producto': 'SERV DEVOLUCIONES', 'categoria_producto': 'service', 'cantidad': '1.0', 'valor_unitario': 93.22, 'precio_unitario': 110.0, 'descuento': 0.0, 'subtotal': 93.22, 'porcentaje_de_igv': '18.00', 'igv': 16.78, 'total': 110.0,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6959, 'nom_cuenta_analitica': '7032102 VENTAS SERVICIOS VAOPE', 'distribucion_analitica': []}]</t>
  </si>
  <si>
    <t>Feliz Aniversario Barranca con La Ãšnica Tropical</t>
  </si>
  <si>
    <t>00000101</t>
  </si>
  <si>
    <t>[{'id_producto': 31494, 'codigo_producto': 1786, 'nom_producto': 'COMISION VAOPE SEGUN CONTRATO', 'categoria_producto': 'service', 'cantidad': '1.0', 'valor_unitario': 128.73, 'precio_unitario': 151.9, 'descuento': 0.0, 'subtotal': 128.73, 'porcentaje_de_igv': '18.00', 'igv': 23.17, 'total': 151.9,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</si>
  <si>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00000100</t>
  </si>
  <si>
    <t>[{'id_producto': 31491, 'codigo_producto': 216, 'nom_producto': 'COMISION PAGOS DIGITALES SEGUN CONTRATO', 'categoria_producto': 'service', 'cantidad': '1.0', 'valor_unitario': 73.73, 'precio_unitario': 87.0, 'descuento': 0.0, 'subtotal': 73.73, 'porcentaje_de_igv': '18.00', 'igv': 13.27, 'total': 87.0,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</si>
  <si>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CHAVEZ MELGAREJO HENRY YUNIOR</t>
  </si>
  <si>
    <t>[{'id_producto': 31488, 'codigo_producto': 1786, 'nom_producto': 'COMISION VAOPE SEGUN CONTRATO', 'categoria_producto': 'service', 'cantidad': '1.0', 'valor_unitario': 37.12, 'precio_unitario': 43.8, 'descuento': 0.0, 'subtotal': 37.12, 'porcentaje_de_igv': '18.00', 'igv': 6.68, 'total': 43.8, 'moneda': '1', 'tipo_de_cambio': 1.0, 'id_estado': 'paid', 'nombre_estado': 'Pagado', 'evento': {'id_evento': '3037', 'nom_evento': 'Circo Azteca en HuÃ¡nuco', 'fecha_hora_ini_event': '30-08-2025', 'fecha_hora_fin_event': '30-08-2025', 'id_organizador': 5554, 'nom_organizador': 'CHAVEZ MELGAREJO HENRY YUNIOR',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</si>
  <si>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Circo Azteca en HuÃ¡nuco</t>
  </si>
  <si>
    <t>[{'id_producto': 31482, 'codigo_producto': 1786, 'nom_producto': 'COMISION VAOPE SEGUN CONTRATO', 'categoria_producto': 'service', 'cantidad': '1.0', 'valor_unitario': 1172.37, 'precio_unitario': 1383.4, 'descuento': 0.0, 'subtotal': 1172.37, 'porcentaje_de_igv': '18.00', 'igv': 211.03, 'total': 1383.4, 'moneda': '1', 'tipo_de_cambio': 1.0, 'id_estado': 'paid', 'nombre_estado': 'Pagado', 'evento': {'id_evento': '3182', 'nom_evento': 'La Bella Luz en Mala', 'fecha_hora_ini_event': '09-10-2025', 'fecha_hora_fin_event': '09-10-2025',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</si>
  <si>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La Bella Luz en Mala</t>
  </si>
  <si>
    <t>[{'id_producto': 31479, 'codigo_producto': 216, 'nom_producto': 'COMISION PAGOS DIGITALES SEGUN CONTRATO', 'categoria_producto': 'service', 'cantidad': '1.0', 'valor_unitario': 820.51, 'precio_unitario': 968.2, 'descuento': 0.0, 'subtotal': 820.51, 'porcentaje_de_igv': '18.00', 'igv': 147.69, 'total': 968.2, 'moneda': '1', 'tipo_de_cambio': 1.0, 'id_estado': 'paid', 'nombre_estado': 'Pagado', 'evento': {'id_evento': '3182', 'nom_evento': 'La Bella Luz en Mala', 'fecha_hora_ini_event': '09-10-2025', 'fecha_hora_fin_event': '09-10-2025',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</si>
  <si>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31476, 'codigo_producto': 1786, 'nom_producto': 'COMISION VAOPE SEGUN CONTRATO', 'categoria_producto': 'service', 'cantidad': '1.0', 'valor_unitario': 245.25, 'precio_unitario': 289.4, 'descuento': 0.0, 'subtotal': 245.25, 'porcentaje_de_igv': '18.00', 'igv': 44.15, 'total': 289.4,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</si>
  <si>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31473, 'codigo_producto': 216, 'nom_producto': 'COMISION PAGOS DIGITALES SEGUN CONTRATO', 'categoria_producto': 'service', 'cantidad': '1.0', 'valor_unitario': 134.24, 'precio_unitario': 158.4, 'descuento': 0.0, 'subtotal': 134.24, 'porcentaje_de_igv': '18.00', 'igv': 24.16, 'total': 158.4,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</si>
  <si>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Cristorata y mÃ¡s en 11:11 Club de Independencia</t>
  </si>
  <si>
    <t>[{'id_producto': 31467, 'codigo_producto': 216, 'nom_producto': 'COMISION PAGOS DIGITALES SEGUN CONTRATO', 'categoria_producto': 'service', 'cantidad': '1.0', 'valor_unitario': 23.39, 'precio_unitario': 27.6, 'descuento': 0.0, 'subtotal': 23.39, 'porcentaje_de_igv': '18.00', 'igv': 4.21, 'total': 27.6, 'moneda': '1', 'tipo_de_cambio': 1.0, 'id_estado': 'paid', 'nombre_estado': 'Pagado', 'evento': {'id_evento': '3090', 'nom_evento': 'Cristorata y mÃ¡s en 11:11 Club de Independencia', 'fecha_hora_ini_event': '11-10-2025', 'fecha_hora_fin_event': '11-10-2025',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</si>
  <si>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MENDOZA VILLABON EDWIN MAURICIO</t>
  </si>
  <si>
    <t>[{'id_producto': 31464, 'codigo_producto': 2274, 'nom_producto': 'COMISION CORTESIA ', 'categoria_producto': 'consu', 'cantidad': '1.0', 'valor_unitario': 9.0, 'precio_unitario': 10.62, 'descuento': 0.0, 'subtotal': 9.0, 'porcentaje_de_igv': '18.00', 'igv': 1.62, 'total': 10.62,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</si>
  <si>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Cesar Vega en Tacna</t>
  </si>
  <si>
    <t>[{'id_producto': 31461, 'codigo_producto': 1786, 'nom_producto': 'COMISION VAOPE SEGUN CONTRATO', 'categoria_producto': 'service', 'cantidad': '1.0', 'valor_unitario': 713.05, 'precio_unitario': 841.4, 'descuento': 0.0, 'subtotal': 713.05, 'porcentaje_de_igv': '18.00', 'igv': 128.35, 'total': 841.4,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</si>
  <si>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31458, 'codigo_producto': 216, 'nom_producto': 'COMISION PAGOS DIGITALES SEGUN CONTRATO', 'categoria_producto': 'service', 'cantidad': '1.0', 'valor_unitario': 545.17, 'precio_unitario': 643.3, 'descuento': 0.0, 'subtotal': 545.17, 'porcentaje_de_igv': '18.00', 'igv': 98.13, 'total': 643.3,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</si>
  <si>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AYLAS MARQUIÃ‘O ERROL</t>
  </si>
  <si>
    <t>[{'id_producto': 31455, 'codigo_producto': 1786, 'nom_producto': 'COMISION VAOPE SEGUN CONTRATO', 'categoria_producto': 'service', 'cantidad': '1.0', 'valor_unitario': 188.73, 'precio_unitario': 222.7, 'descuento': 0.0, 'subtotal': 188.73, 'porcentaje_de_igv': '18.00', 'igv': 33.97, 'total': 222.7, 'moneda': '1', 'tipo_de_cambio': 1.0, 'id_estado': 'paid', 'nombre_estado': 'Pagado', 'evento': {'id_evento': '3150', 'nom_evento': 'ArmonÃ­a 10, DÃºo Ayacucho y mÃ¡s en Coayllo', 'fecha_hora_ini_event': '11-10-2025', 'fecha_hora_fin_event': '11-10-2025', 'id_organizador': 5129, 'nom_organizador': 'AYLAS MARQUIÃ‘O ERROL',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</si>
  <si>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ArmonÃ­a 10, DÃºo Ayacucho y mÃ¡s en Coayllo</t>
  </si>
  <si>
    <t>[{'id_producto': 31452, 'codigo_producto': 216, 'nom_producto': 'COMISION PAGOS DIGITALES SEGUN CONTRATO', 'categoria_producto': 'service', 'cantidad': '1.0', 'valor_unitario': 134.92, 'precio_unitario': 159.21, 'descuento': 0.0, 'subtotal': 134.92, 'porcentaje_de_igv': '18.00', 'igv': 24.29, 'total': 159.21, 'moneda': '1', 'tipo_de_cambio': 1.0, 'id_estado': 'paid', 'nombre_estado': 'Pagado', 'evento': {'id_evento': '3150', 'nom_evento': 'ArmonÃ­a 10, DÃºo Ayacucho y mÃ¡s en Coayllo', 'fecha_hora_ini_event': '11-10-2025', 'fecha_hora_fin_event': '11-10-2025', 'id_organizador': 5129, 'nom_organizador': 'AYLAS MARQUIÃ‘O ERROL',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</si>
  <si>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Gran Arbolazo Primavera 2025 con String Karma, Los Runas, DÃºo Ayacucho y mÃ¡s en El Bosque de Villa el Salvador</t>
  </si>
  <si>
    <t>[{'id_producto': 31446, 'codigo_producto': 216, 'nom_producto': 'COMISION PAGOS DIGITALES SEGUN CONTRATO', 'categoria_producto': 'service', 'cantidad': '1.0', 'valor_unitario': 23.0, 'precio_unitario': 27.14, 'descuento': 0.0, 'subtotal': 23.0, 'porcentaje_de_igv': '18.00', 'igv': 4.14, 'total': 27.14, 'moneda': '1', 'tipo_de_cambio': 1.0, 'id_estado': 'paid', 'nombre_estado': 'Pagado', 'evento': {'id_evento': '3227', 'nom_evento': 'Gran Arbolazo Primavera 2025 con String Karma, Los Runas, DÃºo Ayacucho y mÃ¡s en El Bosque de Villa el Salvador', 'fecha_hora_ini_event': '11-10-2025', 'fecha_hora_fin_event': '11-10-2025', 'id_organizador': 1157, 'nom_organizador': 'Adrian Dolores Flores',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</si>
  <si>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ENTRENARTE EVENTOS DEPORTIVOS S.A.C.</t>
  </si>
  <si>
    <t>Loser El Proyecto Glee en San Isidro</t>
  </si>
  <si>
    <t>CORPORACION WAYRA PRODUCCIONES S.A.C.</t>
  </si>
  <si>
    <t>[{'id_producto': 31437, 'codigo_producto': 1786, 'nom_producto': 'COMISION VAOPE SEGUN CONTRATO', 'categoria_producto': 'service', 'cantidad': '1.0', 'valor_unitario': 6713.73, 'precio_unitario': 7922.2, 'descuento': 0.0, 'subtotal': 6713.73, 'porcentaje_de_igv': '18.00', 'igv': 1208.47, 'total': 7922.2, 'moneda': '1', 'tipo_de_cambio': 1.0, 'id_estado': 'paid', 'nombre_estado': 'Pagado', 'evento': {'id_evento': '3121', 'nom_evento': 'Grupo 5 en Puerto Maldonado', 'fecha_hora_ini_event': '10-10-2025', 'fecha_hora_fin_event': '10-10-2025', 'id_organizador': 5084, 'nom_organizador': 'CORPORACION WAYRA PRODUCCIONES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</si>
  <si>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Grupo 5 en Puerto Maldonado</t>
  </si>
  <si>
    <t>[{'id_producto': 31434, 'codigo_producto': 216, 'nom_producto': 'COMISION PAGOS DIGITALES SEGUN CONTRATO', 'categoria_producto': 'service', 'cantidad': '1.0', 'valor_unitario': 4588.64, 'precio_unitario': 5414.6, 'descuento': 0.0, 'subtotal': 4588.64, 'porcentaje_de_igv': '18.00', 'igv': 825.96, 'total': 5414.6, 'moneda': '1', 'tipo_de_cambio': 1.0, 'id_estado': 'paid', 'nombre_estado': 'Pagado', 'evento': {'id_evento': '3121', 'nom_evento': 'Grupo 5 en Puerto Maldonado', 'fecha_hora_ini_event': '10-10-2025', 'fecha_hora_fin_event': '10-10-2025', 'id_organizador': 5084, 'nom_organizador': 'CORPORACION WAYRA PRODUCCIONES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</si>
  <si>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31431,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</si>
  <si>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31428, 'codigo_producto': 1786, 'nom_producto': 'COMISION VAOPE SEGUN CONTRATO', 'categoria_producto': 'service', 'cantidad': '1.0', 'valor_unitario': 4904.1, 'precio_unitario': 5786.84, 'descuento': 0.0, 'subtotal': 4904.1, 'porcentaje_de_igv': '18.00', 'igv': 882.74, 'total': 5786.84,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</si>
  <si>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Club AtlÃ©tico Grau</t>
  </si>
  <si>
    <t>[{'id_producto': 31425, 'codigo_producto': 2274, 'nom_producto': 'COMISION CORTESIA ', 'categoria_producto': 'consu', 'cantidad': '1.0', 'valor_unitario': 76.0, 'precio_unitario': 89.68, 'descuento': 0.0, 'subtotal': 76.0, 'porcentaje_de_igv': '18.00', 'igv': 13.68, 'total': 89.68,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</si>
  <si>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AtlÃ©tico Grau vs FBC Melgar</t>
  </si>
  <si>
    <t>[{'id_producto': 31422, 'codigo_producto': 2324, 'nom_producto': 'ENTRADAS IMPRESAS', 'categoria_producto': 'consu', 'cantidad': '1.0', 'valor_unitario': 24.0, 'precio_unitario': 28.32, 'descuento': 0.0, 'subtotal': 24.0, 'porcentaje_de_igv': '18.00', 'igv': 4.32, 'total': 28.32,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</si>
  <si>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31419, 'codigo_producto': 1786, 'nom_producto': 'COMISION VAOPE SEGUN CONTRATO', 'categoria_producto': 'service', 'cantidad': '1.0', 'valor_unitario': 160.35, 'precio_unitario': 189.21, 'descuento': 0.0, 'subtotal': 160.35, 'porcentaje_de_igv': '18.00', 'igv': 28.86, 'total': 189.21,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</si>
  <si>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31416, 'codigo_producto': 216, 'nom_producto': 'COMISION PAGOS DIGITALES SEGUN CONTRATO', 'categoria_producto': 'service', 'cantidad': '1.0', 'valor_unitario': 119.0, 'precio_unitario': 140.42, 'descuento': 0.0, 'subtotal': 119.0, 'porcentaje_de_igv': '18.00', 'igv': 21.42, 'total': 140.42,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</si>
  <si>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31411, 'codigo_producto': 2276, 'nom_producto': 'PUNTO DE VENTA', 'categoria_producto': 'service', 'cantidad': '1.0', 'valor_unitario': 25.0, 'precio_unitario': 29.5, 'descuento': 0.0, 'subtotal': 25.0, 'porcentaje_de_igv': '18.00', 'igv': 4.5, 'total': 29.5,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</t>
  </si>
  <si>
    <t>MARTINEZ GABALDONI GUSTAVO ARISTIDES</t>
  </si>
  <si>
    <t>[{'id_producto': 31408, 'codigo_producto': 1786, 'nom_producto': 'COMISION VAOPE SEGUN CONTRATO', 'categoria_producto': 'service', 'cantidad': '1.0', 'valor_unitario': 2054.49, 'precio_unitario': 2424.3, 'descuento': 0.0, 'subtotal': 2054.49, 'porcentaje_de_igv': '18.00', 'igv': 369.81, 'total': 2424.3,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</si>
  <si>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Joelma Isso Ã© Calypso en Iquitos</t>
  </si>
  <si>
    <t>[{'id_producto': 31400, 'codigo_producto': 2274, 'nom_producto': 'COMISION CORTESIA ', 'categoria_producto': 'consu', 'cantidad': '1.0', 'valor_unitario': 15.5, 'precio_unitario': 18.29, 'descuento': 0.0, 'subtotal': 15.5, 'porcentaje_de_igv': '18.00', 'igv': 2.79, 'total': 18.29,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</si>
  <si>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31397, 'codigo_producto': 2276, 'nom_producto': 'PUNTO DE VENTA', 'categoria_producto': 'service', 'cantidad': '1.0', 'valor_unitario': 5.0, 'precio_unitario': 5.9, 'descuento': 0.0, 'subtotal': 5.0, 'porcentaje_de_igv': '18.00', 'igv': 0.9, 'total': 5.9,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6959, 'nom_cuenta_analitica': '7032102 VENTAS SERVICIOS VAOPE', 'distribucion_analitica': []}]</t>
  </si>
  <si>
    <t>[{'id_producto': 31394, 'codigo_producto': 2315, 'nom_producto': 'PAUTA PUBLICITARIA', 'categoria_producto': 'service', 'cantidad': '1.0', 'valor_unitario': 1271.19, 'precio_unitario': 1500.0, 'descuento': 0.0, 'subtotal': 1271.19, 'porcentaje_de_igv': '18.00', 'igv': 228.81, 'total': 1500.0,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</si>
  <si>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[{'id_producto': 31391,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</si>
  <si>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31388,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</si>
  <si>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31385, 'codigo_producto': 1786, 'nom_producto': 'COMISION VAOPE SEGUN CONTRATO', 'categoria_producto': 'service', 'cantidad': '1.0', 'valor_unitario': 3130.76, 'precio_unitario': 3694.3, 'descuento': 0.0, 'subtotal': 3130.76, 'porcentaje_de_igv': '18.00', 'igv': 563.54, 'total': 3694.3,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</si>
  <si>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31382,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[]}]</t>
  </si>
  <si>
    <t>[{'id_producto': 31379, 'codigo_producto': 2274, 'nom_producto': 'COMISION CORTESIA ', 'categoria_producto': 'consu', 'cantidad': '1.0', 'valor_unitario': 2.5, 'precio_unitario': 2.95, 'descuento': 0.0, 'subtotal': 2.5, 'porcentaje_de_igv': '18.00', 'igv': 0.45, 'total': 2.95,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</si>
  <si>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31370, 'codigo_producto': 2322, 'nom_producto': 'SUPERVISOR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</si>
  <si>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31367, 'codigo_producto': 2314, 'nom_producto': 'SERV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</si>
  <si>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31364,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</si>
  <si>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31361, 'codigo_producto': 1786, 'nom_producto': 'COMISION VAOPE SEGUN CONTRATO', 'categoria_producto': 'service', 'cantidad': '1.0', 'valor_unitario': 7812.63, 'precio_unitario': 9218.9, 'descuento': 0.0, 'subtotal': 7812.63, 'porcentaje_de_igv': '18.00', 'igv': 1406.27, 'total': 9218.9,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</si>
  <si>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31358, 'codigo_producto': 216, 'nom_producto': 'COMISION PAGOS DIGITALES SEGUN CONTRATO', 'categoria_producto': 'service', 'cantidad': '1.0', 'valor_unitario': 6786.37, 'precio_unitario': 8007.92, 'descuento': 0.0, 'subtotal': 6786.37, 'porcentaje_de_igv': '18.00', 'igv': 1221.55, 'total': 8007.92,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</si>
  <si>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YOLANDA FLORINDA MANCHA DE LA CRUZ</t>
  </si>
  <si>
    <t>[{'id_producto': 31346, 'codigo_producto': 2342, 'nom_producto': 'SERVICIO DE DISENO 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6959, 'nom_cuenta_analitica': '7032102 VENTAS SERVICIOS VAOPE', 'distribucion_analitica': []}]</t>
  </si>
  <si>
    <t>El Gran Retorno de los Reyes de la Cumbia RomÃ¡ntica SureÃ±a en el Complejo Santa Rosa</t>
  </si>
  <si>
    <t>SONIC ENTERTAINMENT S.A.C.</t>
  </si>
  <si>
    <t>[{'id_producto': 31343, 'codigo_producto': 1786, 'nom_producto': 'COMISION VAOPE SEGUN CONTRATO', 'categoria_producto': 'service', 'cantidad': '1.0', 'valor_unitario': 392.03, 'precio_unitario': 462.6, 'descuento': 0.0, 'subtotal': 392.03, 'porcentaje_de_igv': '18.00', 'igv': 70.57, 'total': 462.6, 'moneda': '1', 'tipo_de_cambio': 1.0, 'id_estado': 'paid', 'nombre_estado': 'Pagado', 'evento': {'id_evento': '2616', 'nom_evento': '1er Cumbia Fest con ArmonÃ­a 10, Pamela Franco, Mauricio Mesones y mÃ¡s en Trujillo', 'fecha_hora_ini_event': '28-09-2025', 'fecha_hora_fin_event': '28-09-2025', 'id_organizador': 5539, 'nom_organizador': 'SONIC ENTERTAINMENT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</si>
  <si>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1er Cumbia Fest con ArmonÃ­a 10, Pamela Franco, Mauricio Mesones y mÃ¡s en Trujillo</t>
  </si>
  <si>
    <t>[{'id_producto': 31340, 'codigo_producto': 216, 'nom_producto': 'COMISION PAGOS DIGITALES SEGUN CONTRATO', 'categoria_producto': 'service', 'cantidad': '1.0', 'valor_unitario': 306.9, 'precio_unitario': 362.14, 'descuento': 0.0, 'subtotal': 306.9, 'porcentaje_de_igv': '18.00', 'igv': 55.24, 'total': 362.14, 'moneda': '1', 'tipo_de_cambio': 1.0, 'id_estado': 'paid', 'nombre_estado': 'Pagado', 'evento': {'id_evento': '2616', 'nom_evento': '1er Cumbia Fest con ArmonÃ­a 10, Pamela Franco, Mauricio Mesones y mÃ¡s en Trujillo', 'fecha_hora_ini_event': '28-09-2025', 'fecha_hora_fin_event': '28-09-2025', 'id_organizador': 5539, 'nom_organizador': 'SONIC ENTERTAINMENT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</si>
  <si>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31337, 'codigo_producto': 2274, 'nom_producto': 'COMISION CORTESIA ', 'categoria_producto': 'consu',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</si>
  <si>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Agua Marina en La Merced</t>
  </si>
  <si>
    <t>[{'id_producto': 31334,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</si>
  <si>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MICHAEL STEVEN WHARTON ALBERTO</t>
  </si>
  <si>
    <t>[{'id_producto': 31331, 'codigo_producto': 1786, 'nom_producto': 'COMISION VAOPE SEGUN CONTRATO', 'categoria_producto': 'service', 'cantidad': '1.0', 'valor_unitario': 84.24, 'precio_unitario': 99.4, 'descuento': 0.0, 'subtotal': 84.24, 'porcentaje_de_igv': '18.00', 'igv': 15.16, 'total': 99.4, 'moneda': '1', 'tipo_de_cambio': 1.0, 'id_estado': 'paid', 'nombre_estado': 'Pagado', 'evento': {'id_evento': '3015', 'nom_evento': 'Punito Fest Rumbo a la Candelaria 2026 en Lima', 'fecha_hora_ini_event': '04-10-2025', 'fecha_hora_fin_event': '04-10-2025', 'id_organizador': 5600, 'nom_organizador': 'MICHAEL STEVEN WHARTON ALBERTO',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</si>
  <si>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Punito Fest Rumbo a la Candelaria 2026 en Lima</t>
  </si>
  <si>
    <t>[{'id_producto': 31325, 'codigo_producto': 1786, 'nom_producto': 'COMISION VAOPE SEGUN CONTRATO', 'categoria_producto': 'service', 'cantidad': '1.0', 'valor_unitario': 63.39, 'precio_unitario': 74.8, 'descuento': 0.0, 'subtotal': 63.39, 'porcentaje_de_igv': '18.00', 'igv': 11.41, 'total': 74.8,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</si>
  <si>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PISFIL PINZON ARNOLD'S JOSE LUIS</t>
  </si>
  <si>
    <t>Tour Palomita en Chiclayo</t>
  </si>
  <si>
    <t>[{'id_producto': 31313, 'codigo_producto': 1786, 'nom_producto': 'COMISION VAOPE SEGUN CONTRATO', 'categoria_producto': 'service', 'cantidad': '1.0', 'valor_unitario': 1866.36, 'precio_unitario': 2202.3, 'descuento': 0.0, 'subtotal': 1866.36, 'porcentaje_de_igv': '18.00', 'igv': 335.94, 'total': 2202.3,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</si>
  <si>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31310, 'codigo_producto': 216, 'nom_producto': 'COMISION PAGOS DIGITALES SEGUN CONTRATO', 'categoria_producto': 'service', 'cantidad': '1.0', 'valor_unitario': 789.66, 'precio_unitario': 931.8, 'descuento': 0.0, 'subtotal': 789.66, 'porcentaje_de_igv': '18.00', 'igv': 142.14, 'total': 931.8,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</si>
  <si>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31307, 'codigo_producto': 1786, 'nom_producto': 'COMISION VAOPE SEGUN CONTRATO', 'categoria_producto': 'service', 'cantidad': '1.0', 'valor_unitario': 206.95, 'precio_unitario': 244.2, 'descuento': 0.0, 'subtotal': 206.95, 'porcentaje_de_igv': '18.00', 'igv': 37.25, 'total': 244.2, 'moneda': '1', 'tipo_de_cambio': 1.0, 'id_estado': 'paid', 'nombre_estado': 'Pagado', 'evento': {'id_evento': '3162', 'nom_evento': 'Yarita Lizeth, Noemi Huaman y mÃ¡s en Huaral', 'fecha_hora_ini_event': '04-10-2025', 'fecha_hora_fin_event': '04-10-2025', 'id_organizador': 5445, 'nom_organizador': 'DOROTEO VELASQUEZ JAHN PAVEL FERNANDO',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</si>
  <si>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Yarita Lizeth, Noemi Huaman y mÃ¡s en Huaral</t>
  </si>
  <si>
    <t>[{'id_producto': 31304, 'codigo_producto': 216, 'nom_producto': 'COMISION PAGOS DIGITALES SEGUN CONTRATO', 'categoria_producto': 'service', 'cantidad': '1.0', 'valor_unitario': 169.32, 'precio_unitario': 199.8, 'descuento': 0.0, 'subtotal': 169.32, 'porcentaje_de_igv': '18.00', 'igv': 30.48, 'total': 199.8, 'moneda': '1', 'tipo_de_cambio': 1.0, 'id_estado': 'paid', 'nombre_estado': 'Pagado', 'evento': {'id_evento': '3162', 'nom_evento': 'Yarita Lizeth, Noemi Huaman y mÃ¡s en Huaral', 'fecha_hora_ini_event': '04-10-2025', 'fecha_hora_fin_event': '04-10-2025', 'id_organizador': 5445, 'nom_organizador': 'DOROTEO VELASQUEZ JAHN PAVEL FERNANDO',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</si>
  <si>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31301, 'codigo_producto': 1786, 'nom_producto': 'COMISION VAOPE SEGUN CONTRATO', 'categoria_producto': 'service', 'cantidad': '1.0', 'valor_unitario': 533.11, 'precio_unitario': 629.07, 'descuento': 0.0, 'subtotal': 533.11, 'porcentaje_de_igv': '18.00', 'igv': 95.96, 'total': 629.07,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</si>
  <si>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31298, 'codigo_producto': 216, 'nom_producto': 'COMISION PAGOS DIGITALES SEGUN CONTRATO', 'categoria_producto': 'service', 'cantidad': '1.0', 'valor_unitario': 575.44, 'precio_unitario': 679.02, 'descuento': 0.0, 'subtotal': 575.44, 'porcentaje_de_igv': '18.00', 'igv': 103.58, 'total': 679.02,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</si>
  <si>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Cubanada con Pamela Franco, N'Talla, La Patente y mÃ¡s en SMP</t>
  </si>
  <si>
    <t>RANDOLF STHIVEN GARCIA MEDINA</t>
  </si>
  <si>
    <t>[{'id_producto': 31289, 'codigo_producto': 2276, 'nom_producto': 'PUNTO DE VENTA', 'categoria_producto': 'service', 'cantidad': '1.0', 'valor_unitario': 32.5, 'precio_unitario': 38.35, 'descuento': 0.0, 'subtotal': 32.5, 'porcentaje_de_igv': '18.00', 'igv': 5.85, 'total': 38.35,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6959, 'nom_cuenta_analitica': '7032102 VENTAS SERVICIOS VAOPE', 'distribucion_analitica': []}]</t>
  </si>
  <si>
    <t>[{'id_producto': 31286, 'codigo_producto': 216, 'nom_producto': 'COMISION PAGOS DIGITALES SEGUN CONTRATO', 'categoria_producto': 'service', 'cantidad': '1.0', 'valor_unitario': 2124.49, 'precio_unitario': 2506.9, 'descuento': 0.0, 'subtotal': 2124.49, 'porcentaje_de_igv': '18.00', 'igv': 382.41, 'total': 2506.9, 'moneda': '1', 'tipo_de_cambio': 1.0, 'id_estado': 'reversed', 'nombre_estado': 'Revertido',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</si>
  <si>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31281, 'codigo_producto': 216, 'nom_producto': 'COMISION PAGOS DIGITALES SEGUN CONTRATO', 'categoria_producto': 'service', 'cantidad': '1.0', 'valor_unitario': 40.89, 'precio_unitario': 48.25, 'descuento': 0.0, 'subtotal': 40.89, 'porcentaje_de_igv': '18.00', 'igv': 7.36, 'total': 48.25, 'moneda': '1', 'tipo_de_cambio': 1.0, 'id_estado': 'paid', 'nombre_estado': 'Pagado', 'evento': {'id_evento': '3060', 'nom_evento': 'Tributo Oficial a Mago de Oz en Ayacucho', 'fecha_hora_ini_event': '27-09-2025', 'fecha_hora_fin_event': '27-09-2025', 'id_organizador': 1173, 'nom_organizador': ' ALEJANDRA FLORES TICONA', 'tipo_organizador': 'Persona'}, 'id_vendedor': 2, 'nom_vendedor': 'SAMUEL CHUQUISTA', 'id_cuenta_analitica': 6936, 'nom_cuenta_analitica': '7032100 Servicios-Local- VISA', 'distribucion_analitica': []}]</t>
  </si>
  <si>
    <t>Tributo Oficial a Mago de Oz en Ayacucho</t>
  </si>
  <si>
    <t xml:space="preserve"> ALEJANDRA FLORES TICONA</t>
  </si>
  <si>
    <t>[{'id_producto': 31265, 'codigo_producto': 2316, 'nom_producto': 'DELIVERY', 'categoria_producto': 'service', 'cantidad': '1.0', 'valor_unitario': 14.5, 'precio_unitario': 17.11, 'descuento': 0.0, 'subtotal': 14.5, 'porcentaje_de_igv': '18.00', 'igv': 2.61, 'total': 17.11,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</si>
  <si>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31262, 'codigo_producto': 2317, 'nom_producto': 'COMISION CORTESIA', 'categoria_producto': 'service', 'cantidad': '1.0', 'valor_unitario': 84.5, 'precio_unitario': 99.71, 'descuento': 0.0, 'subtotal': 84.5, 'porcentaje_de_igv': '18.00', 'igv': 15.21, 'total': 99.71,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</si>
  <si>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31259, 'codigo_producto': 2314, 'nom_producto': 'SERV VALIDADORES', 'categoria_producto': 'service', 'cantidad': '1.0', 'valor_unitario': 150.0, 'precio_unitario': 177.0, 'descuento': 0.0, 'subtotal': 150.0, 'porcentaje_de_igv': '18.00', 'igv': 27.0, 'total': 177.0,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</si>
  <si>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31256, 'codigo_producto': 2324, 'nom_producto': 'ENTRADAS IMPRESAS', 'categoria_producto': 'consu', 'cantidad': '1.0', 'valor_unitario': 1600.0, 'precio_unitario': 1888.0, 'descuento': 0.0, 'subtotal': 1600.0, 'porcentaje_de_igv': '18.00', 'igv': 288.0, 'total': 1888.0,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</si>
  <si>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31253,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</si>
  <si>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31250, 'codigo_producto': 1786, 'nom_producto': 'COMISION VAOPE SEGUN CONTRATO', 'categoria_producto': 'service', 'cantidad': '1.0', 'valor_unitario': 6305.08, 'precio_unitario': 7439.99, 'descuento': 0.0, 'subtotal': 6305.08, 'porcentaje_de_igv': '18.00', 'igv': 1134.91, 'total': 7439.99,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</si>
  <si>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31247, 'codigo_producto': 216, 'nom_producto': 'COMISION PAGOS DIGITALES SEGUN CONTRATO', 'categoria_producto': 'service', 'cantidad': '1.0', 'valor_unitario': 2880.59, 'precio_unitario': 3399.1, 'descuento': 0.0, 'subtotal': 2880.59, 'porcentaje_de_igv': '18.00', 'igv': 518.51, 'total': 3399.1,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</si>
  <si>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31244, 'codigo_producto': 2315, 'nom_producto': 'PAUTA PUBLICITARIA', 'categoria_producto': 'service', 'cantidad': '1.0', 'valor_unitario': 2701.0, 'precio_unitario': 3187.18, 'descuento': 0.0, 'subtotal': 2701.0, 'porcentaje_de_igv': '18.00', 'igv': 486.18, 'total': 3187.18,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</si>
  <si>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31241,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</si>
  <si>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31238, 'codigo_producto': 1786, 'nom_producto': 'COMISION VAOPE SEGUN CONTRATO', 'categoria_producto': 'service', 'cantidad': '1.0', 'valor_unitario': 1688.56, 'precio_unitario': 1992.5, 'descuento': 0.0, 'subtotal': 1688.56, 'porcentaje_de_igv': '18.00', 'igv': 303.94, 'total': 1992.5,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</si>
  <si>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31235, 'codigo_producto': 216, 'nom_producto': 'COMISION PAGOS DIGITALES SEGUN CONTRATO', 'categoria_producto': 'service', 'cantidad': '1.0', 'valor_unitario': 1340.25, 'precio_unitario': 1581.5, 'descuento': 0.0, 'subtotal': 1340.25, 'porcentaje_de_igv': '18.00', 'igv': 241.25, 'total': 1581.5,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</t>
  </si>
  <si>
    <t>[{'id_producto': 31226, 'codigo_producto': 1786, 'nom_producto': 'COMISION VAOPE SEGUN CONTRATO', 'categoria_producto': 'service', 'cantidad': '1.0', 'valor_unitario': 369.41, 'precio_unitario': 435.9, 'descuento': 0.0, 'subtotal': 369.41, 'porcentaje_de_igv': '18.00', 'igv': 66.49, 'total': 435.9, 'moneda': '1', 'tipo_de_cambio': 1.0, 'id_estado': 'paid', 'nombre_estado': 'Pagado', 'evento': {'id_evento': '3188', 'nom_evento': 'La Bella Luz y mÃ¡s en Ate Vitarte', 'fecha_hora_ini_event': '03-10-2025', 'fecha_hora_fin_event': '03-10-2025',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</si>
  <si>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31223, 'codigo_producto': 216, 'nom_producto': 'COMISION PAGOS DIGITALES SEGUN CONTRATO', 'categoria_producto': 'service', 'cantidad': '1.0', 'valor_unitario': 256.61, 'precio_unitario': 302.8, 'descuento': 0.0, 'subtotal': 256.61, 'porcentaje_de_igv': '18.00', 'igv': 46.19, 'total': 302.8, 'moneda': '1', 'tipo_de_cambio': 1.0, 'id_estado': 'paid', 'nombre_estado': 'Pagado', 'evento': {'id_evento': '3188', 'nom_evento': 'La Bella Luz y mÃ¡s en Ate Vitarte', 'fecha_hora_ini_event': '03-10-2025', 'fecha_hora_fin_event': '03-10-2025',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</si>
  <si>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31217,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</si>
  <si>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31214, 'codigo_producto': 1786, 'nom_producto': 'COMISION VAOPE SEGUN CONTRATO', 'categoria_producto': 'service', 'cantidad': '1.0', 'valor_unitario': 3741.1, 'precio_unitario': 4414.5, 'descuento': 0.0, 'subtotal': 3741.1, 'porcentaje_de_igv': '18.00', 'igv': 673.4, 'total': 4414.5,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</si>
  <si>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31211, 'codigo_producto': 216, 'nom_producto': 'COMISION PAGOS DIGITALES SEGUN CONTRATO', 'categoria_producto': 'service', 'cantidad': '1.0', 'valor_unitario': 1571.02, 'precio_unitario': 1853.8, 'descuento': 0.0, 'subtotal': 1571.02, 'porcentaje_de_igv': '18.00', 'igv': 282.78, 'total': 1853.8,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</si>
  <si>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31208, 'codigo_producto': 2317, 'nom_producto': 'COMISION CORTESIA', 'categoria_producto': 'service', 'cantidad': '1.0', 'valor_unitario': 63.0, 'precio_unitario': 74.34, 'descuento': 0.0, 'subtotal': 63.0, 'porcentaje_de_igv': '18.00', 'igv': 11.34, 'total': 74.34,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</t>
  </si>
  <si>
    <t>[{'id_producto': 31205,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</t>
  </si>
  <si>
    <t>[{'id_producto': 31202, 'codigo_producto': 1786, 'nom_producto': 'COMISION VAOPE SEGUN CONTRATO', 'categoria_producto': 'service', 'cantidad': '1.0', 'valor_unitario': 785.59, 'precio_unitario': 927.0, 'descuento': 0.0, 'subtotal': 785.59, 'porcentaje_de_igv': '18.00', 'igv': 141.41, 'total': 927.0,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</t>
  </si>
  <si>
    <t>[{'id_producto': 31199, 'codigo_producto': 216, 'nom_producto': 'COMISION PAGOS DIGITALES SEGUN CONTRATO', 'categoria_producto': 'service', 'cantidad': '1.0', 'valor_unitario': 943.14, 'precio_unitario': 1112.91, 'descuento': 0.0, 'subtotal': 943.14, 'porcentaje_de_igv': '18.00', 'igv': 169.77, 'total': 1112.91,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</t>
  </si>
  <si>
    <t>[{'id_producto': 31196, 'codigo_producto': 1786, 'nom_producto': 'COMISION VAOPE SEGUN CONTRATO', 'categoria_producto': 'service', 'cantidad': '1.0', 'valor_unitario': 1820.0, 'precio_unitario': 2147.6, 'descuento': 0.0, 'subtotal': 1820.0, 'porcentaje_de_igv': '18.00', 'igv': 327.6, 'total': 2147.6, 'moneda': '1', 'tipo_de_cambio': 1.0, 'id_estado': 'paid', 'nombre_estado': 'Pagado', 'evento': {'id_evento': '2897', 'nom_evento': 'Amaranta en Cusco', 'fecha_hora_ini_event': '02-10-2025', 'fecha_hora_fin_event': '02-10-2025',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</si>
  <si>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31193, 'codigo_producto': 216, 'nom_producto': 'COMISION PAGOS DIGITALES SEGUN CONTRATO', 'categoria_producto': 'service', 'cantidad': '1.0', 'valor_unitario': 2213.98, 'precio_unitario': 2612.5, 'descuento': 0.0, 'subtotal': 2213.98, 'porcentaje_de_igv': '18.00', 'igv': 398.52, 'total': 2612.5, 'moneda': '1', 'tipo_de_cambio': 1.0, 'id_estado': 'paid', 'nombre_estado': 'Pagado', 'evento': {'id_evento': '2897', 'nom_evento': 'Amaranta en Cusco', 'fecha_hora_ini_event': '02-10-2025', 'fecha_hora_fin_event': '02-10-2025',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</si>
  <si>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31190, 'codigo_producto': 2317, 'nom_producto': 'COMISION CORTESIA',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</si>
  <si>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31187, 'codigo_producto': 1786, 'nom_producto': 'COMISION VAOPE SEGUN CONTRATO', 'categoria_producto': 'service', 'cantidad': '1.0', 'valor_unitario': 1174.24, 'precio_unitario': 1385.6, 'descuento': 0.0, 'subtotal': 1174.24, 'porcentaje_de_igv': '18.00', 'igv': 211.36, 'total': 1385.6,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</si>
  <si>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31184, 'codigo_producto': 216, 'nom_producto': 'COMISION PAGOS DIGITALES SEGUN CONTRATO', 'categoria_producto': 'service', 'cantidad': '1.0', 'valor_unitario': 1463.05, 'precio_unitario': 1726.4, 'descuento': 0.0, 'subtotal': 1463.05, 'porcentaje_de_igv': '18.00', 'igv': 263.35, 'total': 1726.4,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</si>
  <si>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31181, 'codigo_producto': 2317, 'nom_producto': 'COMISION CORTESIA', 'categoria_producto': 'service', 'cantidad': '1.0', 'valor_unitario': 6.0, 'precio_unitario': 7.08, 'descuento': 0.0, 'subtotal': 6.0, 'porcentaje_de_igv': '18.00', 'igv': 1.08, 'total': 7.08,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</si>
  <si>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31178, 'codigo_producto': 1786, 'nom_producto': 'COMISION VAOPE SEGUN CONTRATO', 'categoria_producto': 'service', 'cantidad': '1.0', 'valor_unitario': 3056.19, 'precio_unitario': 3606.3, 'descuento': 0.0, 'subtotal': 3056.19, 'porcentaje_de_igv': '18.00', 'igv': 550.11, 'total': 3606.3,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</si>
  <si>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31175, 'codigo_producto': 216, 'nom_producto': 'COMISION PAGOS DIGITALES SEGUN CONTRATO', 'categoria_producto': 'service', 'cantidad': '1.0', 'valor_unitario': 3740.42, 'precio_unitario': 4413.7, 'descuento': 0.0, 'subtotal': 3740.42, 'porcentaje_de_igv': '18.00', 'igv': 673.28, 'total': 4413.7,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</t>
  </si>
  <si>
    <t>[{'id_producto': 31172, 'codigo_producto': 2316,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</si>
  <si>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31169, 'codigo_producto': 2317, 'nom_producto': 'COMISION CORTESIA', 'categoria_producto': 'service', 'cantidad': '1.0', 'valor_unitario': 6.0, 'precio_unitario': 7.08, 'descuento': 0.0, 'subtotal': 6.0, 'porcentaje_de_igv': '18.00', 'igv': 1.08, 'total': 7.08,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</si>
  <si>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31166, 'codigo_producto': 2315, 'nom_producto': 'PAUTA PUBLICITARIA', 'categoria_producto': 'service', 'cantidad': '1.0', 'valor_unitario': 2687.46, 'precio_unitario': 3171.2, 'descuento': 0.0, 'subtotal': 2687.46, 'porcentaje_de_igv': '18.00', 'igv': 483.74, 'total': 3171.2,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</si>
  <si>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31163,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</si>
  <si>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31160,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</si>
  <si>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31157,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</si>
  <si>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31154, 'codigo_producto': 2324, 'nom_producto': 'ENTRADAS IMPRESAS', 'categoria_producto': 'consu', 'cantidad': '1.0', 'valor_unitario': 1630.51, 'precio_unitario': 1924.0, 'descuento': 0.0, 'subtotal': 1630.51, 'porcentaje_de_igv': '18.00', 'igv': 293.49, 'total': 1924.0,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</si>
  <si>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31151, 'codigo_producto': 1786, 'nom_producto': 'COMISION VAOPE SEGUN CONTRATO', 'categoria_producto': 'service', 'cantidad': '1.0', 'valor_unitario': 988.4, 'precio_unitario': 1166.31, 'descuento': 0.0, 'subtotal': 988.4, 'porcentaje_de_igv': '18.00', 'igv': 177.91, 'total': 1166.31,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</si>
  <si>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31148, 'codigo_producto': 216, 'nom_producto': 'COMISION PAGOS DIGITALES SEGUN CONTRATO', 'categoria_producto': 'service', 'cantidad': '1.0', 'valor_unitario': 904.65, 'precio_unitario': 1067.49, 'descuento': 0.0, 'subtotal': 904.65, 'porcentaje_de_igv': '18.00', 'igv': 162.84, 'total': 1067.49,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</t>
  </si>
  <si>
    <t>[{'id_producto': 31145, 'codigo_producto': 1786, 'nom_producto': 'COMISION VAOPE SEGUN CONTRATO', 'categoria_producto': 'service', 'cantidad': '1.0', 'valor_unitario': 1934.24, 'precio_unitario': 2282.4, 'descuento': 0.0, 'subtotal': 1934.24, 'porcentaje_de_igv': '18.00', 'igv': 348.16, 'total': 2282.4, 'moneda': '1', 'tipo_de_cambio': 1.0, 'id_estado': 'paid', 'nombre_estado': 'Pagado', 'evento': {'id_evento': '3094', 'nom_evento': '24 Aniversario de Victor Manuel del PerÃº, Max Castro, Milder Ore y mÃ¡s en Trujillo', 'fecha_hora_ini_event': '05-10-2025', 'fecha_hora_fin_event': '05-10-2025',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</t>
  </si>
  <si>
    <t>[{'id_producto': 31142, 'codigo_producto': 216, 'nom_producto': 'COMISION PAGOS DIGITALES SEGUN CONTRATO', 'categoria_producto': 'service', 'cantidad': '1.0', 'valor_unitario': 2316.61, 'precio_unitario': 2733.6, 'descuento': 0.0, 'subtotal': 2316.61, 'porcentaje_de_igv': '18.00', 'igv': 416.99, 'total': 2733.6, 'moneda': '1', 'tipo_de_cambio': 1.0, 'id_estado': 'paid', 'nombre_estado': 'Pagado', 'evento': {'id_evento': '3094', 'nom_evento': '24 Aniversario de Victor Manuel del PerÃº, Max Castro, Milder Ore y mÃ¡s en Trujillo', 'fecha_hora_ini_event': '05-10-2025', 'fecha_hora_fin_event': '05-10-2025',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</t>
  </si>
  <si>
    <t>[{'id_producto': 31139, 'codigo_producto': 1786, 'nom_producto': 'COMISION VAOPE SEGUN CONTRATO', 'categoria_producto': 'service', 'cantidad': '1.0', 'valor_unitario': 1427.8, 'precio_unitario': 1684.8, 'descuento': 0.0, 'subtotal': 1427.8, 'porcentaje_de_igv': '18.00', 'igv': 257.0, 'total': 1684.8, 'moneda': '1', 'tipo_de_cambio': 1.0, 'id_estado': 'paid', 'nombre_estado': 'Pagado', 'evento': {'id_evento': '3172', 'nom_evento': 'La Bella Luz en Pachacamac', 'fecha_hora_ini_event': '06-10-2025', 'fecha_hora_fin_event': '06-10-2025',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</si>
  <si>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31136, 'codigo_producto': 216, 'nom_producto': 'COMISION PAGOS DIGITALES SEGUN CONTRATO', 'categoria_producto': 'service', 'cantidad': '1.0', 'valor_unitario': 976.78, 'precio_unitario': 1152.6, 'descuento': 0.0, 'subtotal': 976.78, 'porcentaje_de_igv': '18.00', 'igv': 175.82, 'total': 1152.6, 'moneda': '1', 'tipo_de_cambio': 1.0, 'id_estado': 'paid', 'nombre_estado': 'Pagado', 'evento': {'id_evento': '3172', 'nom_evento': 'La Bella Luz en Pachacamac', 'fecha_hora_ini_event': '06-10-2025', 'fecha_hora_fin_event': '06-10-2025',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</si>
  <si>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31129, 'codigo_producto': 1786, 'nom_producto': 'COMISION VAOPE SEGUN CONTRATO', 'categoria_producto': 'service', 'cantidad': '1.0', 'valor_unitario': 651.53, 'precio_unitario': 768.81, 'descuento': 0.0, 'subtotal': 651.53, 'porcentaje_de_igv': '18.00', 'igv': 117.28, 'total': 768.81, 'moneda': '1', 'tipo_de_cambio': 1.0, 'id_estado': 'paid', 'nombre_estado': 'Pagado', 'evento': {'id_evento': '3092', 'nom_evento': 'Desde Colombia Lil Silvio &amp; El Vega en Cajamarca', 'fecha_hora_ini_event': '07-10-2025', 'fecha_hora_fin_event': '07-10-2025',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</t>
  </si>
  <si>
    <t>[{'id_producto': 31126, 'codigo_producto': 216, 'nom_producto': 'COMISION PAGOS DIGITALES SEGUN CONTRATO', 'categoria_producto': 'service', 'cantidad': '1.0', 'valor_unitario': 556.44, 'precio_unitario': 656.6, 'descuento': 0.0, 'subtotal': 556.44, 'porcentaje_de_igv': '18.00', 'igv': 100.16, 'total': 656.6, 'moneda': '1', 'tipo_de_cambio': 1.0, 'id_estado': 'paid', 'nombre_estado': 'Pagado', 'evento': {'id_evento': '3092', 'nom_evento': 'Desde Colombia Lil Silvio &amp; El Vega en Cajamarca', 'fecha_hora_ini_event': '07-10-2025', 'fecha_hora_fin_event': '07-10-2025',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</t>
  </si>
  <si>
    <t>[{'id_producto': 31122, 'codigo_producto': 2316, 'nom_producto': 'DELIVERY', 'categoria_producto': 'service', 'cantidad': '1.0', 'valor_unitario': 60.0, 'precio_unitario': 70.8, 'descuento': 0.0, 'subtotal': 60.0, 'porcentaje_de_igv': '18.00', 'igv': 10.8, 'total': 70.8,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</si>
  <si>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31111, 'codigo_producto': 2317, 'nom_producto': 'COMISION CORTESIA', 'categoria_producto': 'service', 'cantidad': '1.0', 'valor_unitario': 12.5, 'precio_unitario': 14.75, 'descuento': 0.0, 'subtotal': 12.5, 'porcentaje_de_igv': '18.00', 'igv': 2.25, 'total': 14.75,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</si>
  <si>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31108, 'codigo_producto': 2315, 'nom_producto': 'PAUTA PUBLICITARIA', 'categoria_producto': 'service', 'cantidad': '1.0', 'valor_unitario': 1271.19, 'precio_unitario': 1500.0, 'descuento': 0.0, 'subtotal': 1271.19, 'porcentaje_de_igv': '18.00', 'igv': 228.81, 'total': 1500.0,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</si>
  <si>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31105, 'codigo_producto': 1786, 'nom_producto': 'COMISION VAOPE SEGUN CONTRATO', 'categoria_producto': 'service', 'cantidad': '1.0', 'valor_unitario': 4676.95, 'precio_unitario': 5518.8, 'descuento': 0.0, 'subtotal': 4676.95, 'porcentaje_de_igv': '18.00', 'igv': 841.85, 'total': 5518.8,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</si>
  <si>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31102, 'codigo_producto': 2314, 'nom_producto': 'SERV VALIDADORES', 'categoria_producto': 'service', 'cantidad': '1.0', 'valor_unitario': 150.0, 'precio_unitario': 177.0, 'descuento': 0.0, 'subtotal': 150.0, 'porcentaje_de_igv': '18.00', 'igv': 27.0, 'total': 177.0,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</si>
  <si>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31099, 'codigo_producto': 2324, 'nom_producto': 'ENTRADAS IMPRESAS', 'categoria_producto': 'consu', 'cantidad': '1.0', 'valor_unitario': 900.0, 'precio_unitario': 1062.0, 'descuento': 0.0, 'subtotal': 900.0, 'porcentaje_de_igv': '18.00', 'igv': 162.0, 'total': 1062.0,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</si>
  <si>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31091, 'codigo_producto': 2315, 'nom_producto': 'PAUTA PUBLICITARIA', 'categoria_producto': 'service', 'cantidad': '1.0', 'valor_unitario': 500.0, 'precio_unitario': 590.0, 'descuento': 0.0, 'subtotal': 500.0, 'porcentaje_de_igv': '18.00', 'igv': 90.0, 'total': 590.0,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</si>
  <si>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31088,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</t>
  </si>
  <si>
    <t>[{'id_producto': 31085, 'codigo_producto': 2318, 'nom_producto': 'SERV DEVOLUCIONES', 'categoria_producto': 'service', 'cantidad': '1.0', 'valor_unitario': 1800.0, 'precio_unitario': 2124.0, 'descuento': 0.0, 'subtotal': 1800.0, 'porcentaje_de_igv': '18.00', 'igv': 324.0, 'total': 2124.0,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</si>
  <si>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31082, 'codigo_producto': 1786, 'nom_producto': 'COMISION VAOPE SEGUN CONTRATO', 'categoria_producto': 'service', 'cantidad': '1.0', 'valor_unitario': 638.31, 'precio_unitario': 753.21, 'descuento': 0.0, 'subtotal': 638.31, 'porcentaje_de_igv': '18.00', 'igv': 114.9, 'total': 753.21,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</si>
  <si>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31079, 'codigo_producto': 216, 'nom_producto': 'COMISION PAGOS DIGITALES SEGUN CONTRATO', 'categoria_producto': 'service', 'cantidad': '1.0', 'valor_unitario': 652.2, 'precio_unitario': 769.6, 'descuento': 0.0, 'subtotal': 652.2, 'porcentaje_de_igv': '18.00', 'igv': 117.4, 'total': 769.6,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</t>
  </si>
  <si>
    <t>[{'id_producto': 31076, 'codigo_producto': 2317, 'nom_producto': 'COMISION CORTESIA', 'categoria_producto': 'service', 'cantidad': '1.0', 'valor_unitario': 75.0, 'precio_unitario': 88.5, 'descuento': 0.0, 'subtotal': 75.0, 'porcentaje_de_igv': '18.00', 'igv': 13.5, 'total': 88.5,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</si>
  <si>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31073, 'codigo_producto': 2315, 'nom_producto': 'PAUTA PUBLICITARIA', 'categoria_producto': 'service', 'cantidad': '1.0', 'valor_unitario': 423.73, 'precio_unitario': 500.0, 'descuento': 0.0, 'subtotal': 423.73, 'porcentaje_de_igv': '18.00', 'igv': 76.27, 'total': 500.0,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</si>
  <si>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31070, 'codigo_producto': 1786, 'nom_producto': 'COMISION VAOPE SEGUN CONTRATO', 'categoria_producto': 'service', 'cantidad': '1.0', 'valor_unitario': 1695.17, 'precio_unitario': 2000.3, 'descuento': 0.0, 'subtotal': 1695.17, 'porcentaje_de_igv': '18.00', 'igv': 305.13, 'total': 2000.3,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</si>
  <si>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31067, 'codigo_producto': 216, 'nom_producto': 'COMISION PAGOS DIGITALES SEGUN CONTRATO', 'categoria_producto': 'service', 'cantidad': '1.0', 'valor_unitario': 1163.56, 'precio_unitario': 1373.0, 'descuento': 0.0, 'subtotal': 1163.56, 'porcentaje_de_igv': '18.00', 'igv': 209.44, 'total': 1373.0,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</si>
  <si>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31064, 'codigo_producto': 1786, 'nom_producto': 'COMISION VAOPE SEGUN CONTRATO', 'categoria_producto': 'service', 'cantidad': '1.0', 'valor_unitario': 375.53, 'precio_unitario': 443.13, 'descuento': 0.0, 'subtotal': 375.53, 'porcentaje_de_igv': '18.00', 'igv': 67.6, 'total': 443.13, 'moneda': '1', 'tipo_de_cambio': 1.0, 'id_estado': 'paid', 'nombre_estado': 'Pagado', 'evento': {'id_evento': '3147', 'nom_evento': 'Flor PileÃ±a, Alegres de Bambarmarca y Victor Manuel en Cajabamba', 'fecha_hora_ini_event': '08-10-2025', 'fecha_hora_fin_event': '08-10-2025',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</t>
  </si>
  <si>
    <t>[{'id_producto': 31061, 'codigo_producto': 216, 'nom_producto': 'COMISION PAGOS DIGITALES SEGUN CONTRATO', 'categoria_producto': 'service', 'cantidad': '1.0', 'valor_unitario': 268.53, 'precio_unitario': 316.87, 'descuento': 0.0, 'subtotal': 268.53, 'porcentaje_de_igv': '18.00', 'igv': 48.34, 'total': 316.87, 'moneda': '1', 'tipo_de_cambio': 1.0, 'id_estado': 'paid', 'nombre_estado': 'Pagado', 'evento': {'id_evento': '3147', 'nom_evento': 'Flor PileÃ±a, Alegres de Bambarmarca y Victor Manuel en Cajabamba', 'fecha_hora_ini_event': '08-10-2025', 'fecha_hora_fin_event': '08-10-2025',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</t>
  </si>
  <si>
    <t>[{'id_producto': 31058, 'codigo_producto': 1786, 'nom_producto': 'COMISION VAOPE SEGUN CONTRATO', 'categoria_producto': 'service', 'cantidad': '1.0', 'valor_unitario': 708.9, 'precio_unitario': 836.5, 'descuento': 0.0, 'subtotal': 708.9, 'porcentaje_de_igv': '18.00', 'igv': 127.6, 'total': 836.5, 'moneda': '1', 'tipo_de_cambio': 1.0, 'id_estado': 'paid', 'nombre_estado': 'Pagado', 'evento': {'id_evento': '3190', 'nom_evento': 'Feliz Aniversario Barranca con La Bella Luz', 'fecha_hora_ini_event': '08-10-2025', 'fecha_hora_fin_event': '08-10-2025',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</si>
  <si>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31033, 'codigo_producto': 216, 'nom_producto': 'COMISION PAGOS DIGITALES SEGUN CONTRATO', 'categoria_producto': 'service', 'cantidad': '1.0', 'valor_unitario': 488.81, 'precio_unitario': 576.8, 'descuento': 0.0, 'subtotal': 488.81, 'porcentaje_de_igv': '18.00', 'igv': 87.99, 'total': 576.8, 'moneda': '1', 'tipo_de_cambio': 1.0, 'id_estado': 'paid', 'nombre_estado': 'Pagado', 'evento': {'id_evento': '3190', 'nom_evento': 'Feliz Aniversario Barranca con La Bella Luz', 'fecha_hora_ini_event': '08-10-2025', 'fecha_hora_fin_event': '08-10-2025',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</t>
  </si>
  <si>
    <t>[{'id_producto': 30993, 'codigo_producto': 1786, 'nom_producto': 'COMISION VAOPE SEGUN CONTRATO', 'categoria_producto': 'service', 'cantidad': '1.0', 'valor_unitario': 482.54, 'precio_unitario': 569.4, 'descuento': 0.0, 'subtotal': 482.54, 'porcentaje_de_igv': '18.00', 'igv': 86.86, 'total': 569.4,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</t>
  </si>
  <si>
    <t>[{'id_producto': 30949, 'codigo_producto': 216, 'nom_producto': 'COMISION PAGOS DIGITALES SEGUN CONTRATO', 'categoria_producto': 'service', 'cantidad': '1.0', 'valor_unitario': 317.5, 'precio_unitario': 374.65, 'descuento': 0.0, 'subtotal': 317.5, 'porcentaje_de_igv': '18.00', 'igv': 57.15, 'total': 374.65,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</t>
  </si>
  <si>
    <t>[{'id_producto': 30877, 'codigo_producto': 216, 'nom_producto': 'COMISION PAGOS DIGITALES SEGUN CONTRATO', 'categoria_producto': 'service', 'cantidad': '1.0', 'valor_unitario': 4123.66, 'precio_unitario': 4865.92, 'descuento': 0.0, 'subtotal': 4123.66, 'porcentaje_de_igv': '18.00', 'igv': 742.26, 'total': 4865.92,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1106, 'nom_cuenta_analitica': '7012100 MercaderÃ­as-Venta Local-Terceros', 'distribucion_analitica': []}]</t>
  </si>
  <si>
    <t>[{'id_producto': 30868, 'codigo_producto': 216, 'nom_producto': 'COMISION PAGOS DIGITALES SEGUN CONTRATO', 'categoria_producto': 'service', 'cantidad': '1.0', 'valor_unitario': 5603.9, 'precio_unitario': 6612.6, 'descuento': 0.0, 'subtotal': 5603.9, 'porcentaje_de_igv': '18.00', 'igv': 1008.7, 'total': 6612.6,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</t>
  </si>
  <si>
    <t>[{'id_producto': 18784, 'codigo_producto': 985, 'nom_producto': 'BRAZALETES VIP-ARMONIA 10 EN DISCOTECA COCOS DE LINCE BRAZALETES PLATINIUM Y PERSONAL DELIVERY', 'categoria_producto': 'consu', 'cantidad': '1.0', 'valor_unitario': 1230.0, 'precio_unitario': 1451.4, 'descuento': 0.0, 'subtotal': 1230.0, 'porcentaje_de_igv': '18.00', 'igv': 221.4, 'total': 1451.4,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</si>
  <si>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18783, 'codigo_producto': 984, 'nom_producto': 'ENTRADAS IMPRESAS FULL COLOR GENERAL BRAZALETES VIP -CORAZON SERRANO BARRANCA - 0902 Y PERSONAL DELIVERY', 'categoria_producto': 'consu', 'cantidad': '1.0', 'valor_unitario': 1241.0, 'precio_unitario': 1464.38, 'descuento': 0.0, 'subtotal': 1241.0, 'porcentaje_de_igv': '18.00', 'igv': 223.38, 'total': 1464.38,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</si>
  <si>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18782, 'codigo_producto': 983, 'nom_producto': 'ENTRADAS IMPRESAS  FULL COLOR GENERAL ', 'categoria_producto': 'consu', 'cantidad': '1.0', 'valor_unitario': 400.0, 'precio_unitario': 472.0, 'descuento': 0.0, 'subtotal': 400.0, 'porcentaje_de_igv': '18.00', 'igv': 72.0, 'total': 472.0, 'moneda': '1', 'tipo_de_cambio': 1.0, 'id_estado': 'not_paid', 'nombre_estado': 'Sin pagar', 'evento': {'id_evento': '', 'nom_evento': '', 'fecha_hora_ini_event': '', 'fecha_hora_fin_event': '', 'id_organizador': 1150, 'nom_organizador': 'MACHA MUNIVE JULIO',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</si>
  <si>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18781, 'codigo_producto': 982,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</si>
  <si>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18777, 'codigo_producto': 870, 'nom_producto': 'COMISION VAOPE SEGUN CONTRATO', 'categoria_producto': 'consu', 'cantidad': '1.0', 'valor_unitario': 60.0, 'precio_unitario': 70.8, 'descuento': 0.0, 'subtotal': 60.0, 'porcentaje_de_igv': '18.00', 'igv': 10.8, 'total': 70.8, 'moneda': '1', 'tipo_de_cambio': 1.0,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</si>
  <si>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18775, 'codigo_producto': 877, 'nom_producto': 'COMISION PAGOS DIGITALES SEGUN CONTRATO', 'categoria_producto': 'consu', 'cantidad': '1.0', 'valor_unitario': 392.2, 'precio_unitario': 462.8, 'descuento': 0.0, 'subtotal': 392.2, 'porcentaje_de_igv': '18.00', 'igv': 70.6, 'total': 462.8,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</si>
  <si>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18774, 'codigo_producto': 870, 'nom_producto': 'COMISION VAOPE SEGUN CONTRATO', 'categoria_producto': 'consu', 'cantidad': '1.0', 'valor_unitario': 527.39, 'precio_unitario': 622.32, 'descuento': 0.0, 'subtotal': 527.39, 'porcentaje_de_igv': '18.00', 'igv': 94.93, 'total': 622.32,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</si>
  <si>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18773, 'codigo_producto': 980,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</si>
  <si>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18772, 'codigo_producto': 940, 'nom_producto': 'COMISION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</si>
  <si>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18771, 'codigo_producto': 979, 'nom_producto': 'COMISION VAOPE SEGUN CONTRATO - EULALIA PEREZ ', 'categoria_producto': 'consu', 'cantidad': '1.0', 'valor_unitario': 391.08, 'precio_unitario': 461.47, 'descuento': 0.0, 'subtotal': 391.08, 'porcentaje_de_igv': '18.00', 'igv': 70.39, 'total': 461.47,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</si>
  <si>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18770, 'codigo_producto': 978,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</si>
  <si>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18769, 'codigo_producto': 938, 'nom_producto': 'COMISION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</si>
  <si>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18768, 'codigo_producto': 937, 'nom_producto': 'COMISION VAOPE SEGUN CONTRATO - JULIO MACHA', 'categoria_producto': 'consu', 'cantidad': '1.0', 'valor_unitario': 199.53, 'precio_unitario': 235.45, 'descuento': 0.0, 'subtotal': 199.53, 'porcentaje_de_igv': '18.00', 'igv': 35.92, 'total': 235.45,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</si>
  <si>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18767, 'codigo_producto': 977,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</si>
  <si>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18766, 'codigo_producto': 936, 'nom_producto': 'COMISION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</si>
  <si>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18765, 'codigo_producto': 935, 'nom_producto': 'COMISION VAOPE SEGUN CONTRATO - YARIT ALANYA', 'categoria_producto': 'consu', 'cantidad': '1.0', 'valor_unitario': 199.53, 'precio_unitario': 235.45, 'descuento': 0.0, 'subtotal': 199.53, 'porcentaje_de_igv': '18.00', 'igv': 35.92, 'total': 235.45,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</si>
  <si>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18764, 'codigo_producto': 976,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</si>
  <si>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18761, 'codigo_producto': 877, 'nom_producto': 'COMISION PAGOS DIGITALES SEGUN CONTRATO', 'categoria_producto': 'consu', 'cantidad': '1.0', 'valor_unitario': 190.17, 'precio_unitario': 224.4, 'descuento': 0.0, 'subtotal': 190.17, 'porcentaje_de_igv': '18.00', 'igv': 34.23, 'total': 224.4, 'moneda': '1', 'tipo_de_cambio': 1.0,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</si>
  <si>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18760, 'codigo_producto': 870, 'nom_producto': 'COMISION VAOPE SEGUN CONTRATO', 'categoria_producto': 'consu', 'cantidad': '1.0', 'valor_unitario': 140.34, 'precio_unitario': 165.6, 'descuento': 0.0, 'subtotal': 140.34, 'porcentaje_de_igv': '18.00', 'igv': 25.26, 'total': 165.6, 'moneda': '1', 'tipo_de_cambio': 1.0,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</si>
  <si>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18755, 'codigo_producto': 874, 'nom_producto': 'COMISION CORTESIA',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</si>
  <si>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18754, 'codigo_producto': 877, 'nom_producto': 'COMISION PAGOS DIGITALES SEGUN CONTRATO', 'categoria_producto': 'consu', 'cantidad': '1.0', 'valor_unitario': 275.32, 'precio_unitario': 324.88, 'descuento': 0.0, 'subtotal': 275.32, 'porcentaje_de_igv': '18.00', 'igv': 49.56, 'total': 324.88,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</si>
  <si>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18753, 'codigo_producto': 870, 'nom_producto': 'COMISION VAOPE SEGUN CONTRATO', 'categoria_producto': 'consu', 'cantidad': '1.0', 'valor_unitario': 165.5, 'precio_unitario': 195.29, 'descuento': 0.0, 'subtotal': 165.5, 'porcentaje_de_igv': '18.00', 'igv': 29.79, 'total': 195.29,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</si>
  <si>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18752,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</si>
  <si>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18751, 'codigo_producto': 975, 'nom_producto': 'PERSONAL - SERV DEVOLUCIONES', 'categoria_producto': 'consu', 'cantidad': '1.0', 'valor_unitario': 200.0, 'precio_unitario': 236.0, 'descuento': 0.0, 'subtotal': 200.0, 'porcentaje_de_igv': '18.00', 'igv': 36.0, 'total': 236.0,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</si>
  <si>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18748, 'codigo_producto': 974,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</si>
  <si>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18745,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</si>
  <si>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18744, 'codigo_producto': 921, 'nom_producto': 'PERSONAL - Servicio de 04 validadores Inc IGV',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</si>
  <si>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18743, 'codigo_producto': 973, 'nom_producto': 'ENTRADAS IMPRESAS - ORDEN DE VENTA N569\n  Fieston de Carnavales con La Bella Luz Linda Caba y Deyvis Orosco en El Remanso de Comas  1500 FULL COLOR ADULTO 1000 FULL COLOR PROMO ADULTO 500 FULL COLOR NINO S141600\n',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</si>
  <si>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18742, 'codigo_producto': 877, 'nom_producto': 'COMISION PAGOS DIGITALES SEGUN CONTRATO', 'categoria_producto': 'consu', 'cantidad': '1.0', 'valor_unitario': 1693.39, 'precio_unitario': 1998.2, 'descuento': 0.0, 'subtotal': 1693.39, 'porcentaje_de_igv': '18.00', 'igv': 304.81, 'total': 1998.2,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</si>
  <si>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18741, 'codigo_producto': 870, 'nom_producto': 'COMISION VAOPE SEGUN CONTRATO', 'categoria_producto': 'consu', 'cantidad': '1.0', 'valor_unitario': 660.0, 'precio_unitario': 778.8, 'descuento': 0.0, 'subtotal': 660.0, 'porcentaje_de_igv': '18.00', 'igv': 118.8, 'total': 778.8,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</si>
  <si>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18740, 'codigo_producto': 972,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</si>
  <si>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18739, 'codigo_producto': 877, 'nom_producto': 'COMISION PAGOS DIGITALES SEGUN CONTRATO', 'categoria_producto': 'consu', 'cantidad': '1.0', 'valor_unitario': 298.87, 'precio_unitario': 352.67, 'descuento': 0.0, 'subtotal': 298.87, 'porcentaje_de_igv': '18.00', 'igv': 53.8, 'total': 352.67,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</si>
  <si>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18738, 'codigo_producto': 870, 'nom_producto': 'COMISION VAOPE SEGUN CONTRATO', 'categoria_producto': 'consu', 'cantidad': '1.0', 'valor_unitario': 183.02, 'precio_unitario': 215.96, 'descuento': 0.0, 'subtotal': 183.02, 'porcentaje_de_igv': '18.00', 'igv': 32.94, 'total': 215.96,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</si>
  <si>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18736, 'codigo_producto': 870, 'nom_producto': 'COMISION VAOPE SEGUN CONTRATO', 'categoria_producto': 'consu', 'cantidad': '1.0', 'valor_unitario': 3.0, 'precio_unitario': 3.54, 'descuento': 0.0, 'subtotal': 3.0, 'porcentaje_de_igv': '18.00', 'igv': 0.54, 'total': 3.54, 'moneda': '1', 'tipo_de_cambio': 1.0, 'id_estado': 'not_paid', 'nombre_estado': 'Sin pagar', 'evento': {'id_evento': '', 'nom_evento': '', 'fecha_hora_ini_event': '', 'fecha_hora_fin_event': '', 'id_organizador': 1176, 'nom_organizador': 'GARELD ZAID HERRERA CARDENAS',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</si>
  <si>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18735, 'codigo_producto': 877, 'nom_producto': 'COMISION PAGOS DIGITALES SEGUN CONTRATO', 'categoria_producto': 'consu', 'cantidad': '1.0', 'valor_unitario': 54.07, 'precio_unitario': 63.8, 'descuento': 0.0, 'subtotal': 54.07, 'porcentaje_de_igv': '18.00', 'igv': 9.73, 'total': 63.8,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</si>
  <si>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18733, 'codigo_producto': 877, 'nom_producto': 'COMISION PAGOS DIGITALES SEGUN CONTRATO', 'categoria_producto': 'consu', 'cantidad': '1.0', 'valor_unitario': 16.44, 'precio_unitario': 19.4, 'descuento': 0.0, 'subtotal': 16.44, 'porcentaje_de_igv': '18.00', 'igv': 2.96, 'total': 19.4, 'moneda': '1', 'tipo_de_cambio': 1.0,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</si>
  <si>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18731, 'codigo_producto': 877, 'nom_producto': 'COMISION PAGOS DIGITALES SEGUN CONTRATO', 'categoria_producto': 'consu', 'cantidad': '1.0', 'valor_unitario': 30.34, 'precio_unitario': 35.8, 'descuento': 0.0, 'subtotal': 30.34, 'porcentaje_de_igv': '18.00', 'igv': 5.46, 'total': 35.8,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</si>
  <si>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18727, 'codigo_producto': 877, 'nom_producto': 'COMISION PAGOS DIGITALES SEGUN CONTRATO', 'categoria_producto': 'consu', 'cantidad': '1.0', 'valor_unitario': 1553.9, 'precio_unitario': 1833.6, 'descuento': 0.0, 'subtotal': 1553.9, 'porcentaje_de_igv': '18.00', 'igv': 279.7, 'total': 1833.6,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</si>
  <si>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18726, 'codigo_producto': 870, 'nom_producto': 'COMISION VAOPE SEGUN CONTRATO', 'categoria_producto': 'consu', 'cantidad': '1.0', 'valor_unitario': 1180.25, 'precio_unitario': 1392.7, 'descuento': 0.0, 'subtotal': 1180.25, 'porcentaje_de_igv': '18.00', 'igv': 212.45, 'total': 1392.7,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</si>
  <si>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18725,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</si>
  <si>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18724, 'codigo_producto': 877, 'nom_producto': 'COMISION PAGOS DIGITALES SEGUN CONTRATO', 'categoria_producto': 'consu', 'cantidad': '1.0', 'valor_unitario': 2327.53, 'precio_unitario': 2746.48, 'descuento': 0.0, 'subtotal': 2327.53, 'porcentaje_de_igv': '18.00', 'igv': 418.95, 'total': 2746.48,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</si>
  <si>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18723, 'codigo_producto': 870, 'nom_producto': 'COMISION VAOPE SEGUN CONTRATO', 'categoria_producto': 'consu', 'cantidad': '1.0', 'valor_unitario': 1440.93, 'precio_unitario': 1700.3, 'descuento': 0.0, 'subtotal': 1440.93, 'porcentaje_de_igv': '18.00', 'igv': 259.37, 'total': 1700.3,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</si>
  <si>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18722, 'codigo_producto': 877, 'nom_producto': 'COMISION PAGOS DIGITALES SEGUN CONTRATO', 'categoria_producto': 'consu', 'cantidad': '1.0', 'valor_unitario': 799.58, 'precio_unitario': 943.5, 'descuento': 0.0, 'subtotal': 799.58, 'porcentaje_de_igv': '18.00', 'igv': 143.92, 'total': 943.5,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</si>
  <si>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18721, 'codigo_producto': 870, 'nom_producto': 'COMISION VAOPE SEGUN CONTRATO', 'categoria_producto': 'consu', 'cantidad': '1.0', 'valor_unitario': 614.24, 'precio_unitario': 724.8, 'descuento': 0.0, 'subtotal': 614.24, 'porcentaje_de_igv': '18.00', 'igv': 110.56, 'total': 724.8,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</si>
  <si>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18720, 'codigo_producto': 877, 'nom_producto': 'COMISION PAGOS DIGITALES SEGUN CONTRATO', 'categoria_producto': 'consu', 'cantidad': '1.0', 'valor_unitario': 272.2, 'precio_unitario': 321.2, 'descuento': 0.0, 'subtotal': 272.2, 'porcentaje_de_igv': '18.00', 'igv': 49.0, 'total': 321.2,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</si>
  <si>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18719, 'codigo_producto': 870, 'nom_producto': 'COMISION VAOPE SEGUN CONTRATO', 'categoria_producto': 'consu', 'cantidad': '1.0', 'valor_unitario': 222.71, 'precio_unitario': 262.8, 'descuento': 0.0, 'subtotal': 222.71, 'porcentaje_de_igv': '18.00', 'igv': 40.09, 'total': 262.8,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</si>
  <si>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18718, 'codigo_producto': 971,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</si>
  <si>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18717, 'codigo_producto': 970, 'nom_producto': 'ENTRADAS IMPRESAS - Orden de venta No 580\n  LA UNICA TROPICAL PAITA - 08 DE FEB - I - P  1000 BRAZALETES VIP S70800\n',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</si>
  <si>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18716, 'codigo_producto': 969, 'nom_producto': 'ENTRADAS IMPRESAS - Orden de venta No 579\n  LA UNICA TROPICAL MOTUPE - 05 DE FEB - I - P  2000 BRAZALETES VIP S141600',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</si>
  <si>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18715, 'codigo_producto': 968, 'nom_producto': 'ENTRADAS IMPRESAS - ORDEN DE VENTA N573\n  La Unica Tropical en Sullana  2000 BRAZALETES VIP S141600',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</si>
  <si>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18714, 'codigo_producto': 877, 'nom_producto': 'COMISION PAGOS DIGITALES SEGUN CONTRATO', 'categoria_producto': 'consu', 'cantidad': '1.0', 'valor_unitario': 2530.92, 'precio_unitario': 2986.48, 'descuento': 0.0, 'subtotal': 2530.92, 'porcentaje_de_igv': '18.00', 'igv': 455.56, 'total': 2986.48,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</si>
  <si>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18713, 'codigo_producto': 870, 'nom_producto': 'COMISION VAOPE SEGUN CONTRATO', 'categoria_producto': 'consu', 'cantidad': '1.0', 'valor_unitario': 1544.46, 'precio_unitario': 1822.46, 'descuento': 0.0, 'subtotal': 1544.46, 'porcentaje_de_igv': '18.00', 'igv': 278.0, 'total': 1822.46,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</si>
  <si>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18712, 'codigo_producto': 967, 'nom_producto': 'COMISION PAGOS DIGITALES SEGUN CONTRAT', 'categoria_producto': 'consu', 'cantidad': '1.0', 'valor_unitario': 1885.17, 'precio_unitario': 2224.5, 'descuento': 0.0, 'subtotal': 1885.17, 'porcentaje_de_igv': '18.00', 'igv': 339.33, 'total': 2224.5,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</si>
  <si>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18711, 'codigo_producto': 885, 'nom_producto': 'COMISION VAOPE SEGUN CONTRATO', 'categoria_producto': 'consu', 'cantidad': '1.0', 'valor_unitario': 2021.19, 'precio_unitario': 2385.0, 'descuento': 0.0, 'subtotal': 2021.19, 'porcentaje_de_igv': '18.00', 'igv': 363.81, 'total': 2385.0,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</si>
  <si>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18710, 'codigo_producto': 992, 'nom_producto': 'COMISION CORTESIA - DELIVERY', 'categoria_producto': 'consu', 'cantidad': '1.0', 'valor_unitario': 32.0, 'precio_unitario': 37.76, 'descuento': 0.0, 'subtotal': 32.0, 'porcentaje_de_igv': '18.00', 'igv': 5.76, 'total': 37.76,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</si>
  <si>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18709, 'codigo_producto': 966, 'nom_producto': 'PERSONAL - PUBLICIDAD',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</si>
  <si>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18708,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</si>
  <si>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18707, 'codigo_producto': 965, 'nom_producto': 'ENTRADAS IMPRESAS - ORDEN DE VENTA N529\n  CORAZON SERRANO Y DINA PAUCAR EN REAL HOTEL HUASCARAN EN HUARAZ 500 TICKETS PREMIUM PLATINUM 500 TICKETS PREMIUM VIP S109740', 'categoria_producto': 'consu', 'cantidad': '1.0', 'valor_unitario': 930.0, 'precio_unitario': 1097.4, 'descuento': 0.0, 'subtotal': 930.0, 'porcentaje_de_igv': '18.00', 'igv': 167.4, 'total': 1097.4,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</si>
  <si>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18702, 'codigo_producto': 964, 'nom_producto': 'ENTRADAS IMPRESAS - ORDEN DE VENTA N575\n  La Unica Tropical en Colan  1000 BRAZALETES VIP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</si>
  <si>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18701, 'codigo_producto': 877, 'nom_producto': 'COMISION PAGOS DIGITALES SEGUN CONTRATO', 'categoria_producto': 'consu', 'cantidad': '1.0', 'valor_unitario': 1264.92, 'precio_unitario': 1492.6, 'descuento': 0.0, 'subtotal': 1264.92, 'porcentaje_de_igv': '18.00', 'igv': 227.68, 'total': 1492.6,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</si>
  <si>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18700, 'codigo_producto': 870, 'nom_producto': 'COMISION VAOPE SEGUN CONTRATO', 'categoria_producto': 'consu', 'cantidad': '1.0', 'valor_unitario': 896.27, 'precio_unitario': 1057.6, 'descuento': 0.0, 'subtotal': 896.27, 'porcentaje_de_igv': '18.00', 'igv': 161.33, 'total': 1057.6,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</si>
  <si>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18698, 'codigo_producto': 870, 'nom_producto': 'COMISION VAOPE SEGUN CONTRATO',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</si>
  <si>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18697, 'codigo_producto': 963, 'nom_producto': 'COMISION CORTESIA 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</si>
  <si>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18696, 'codigo_producto': 962, 'nom_producto': 'ENTRADAS IMPRESAS - ORDEN DE VENTA N574\n  La Unica Tropical en Talara  1000 BRAZALETES VIP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</si>
  <si>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18695, 'codigo_producto': 877, 'nom_producto': 'COMISION PAGOS DIGITALES SEGUN CONTRATO', 'categoria_producto': 'consu', 'cantidad': '1.0', 'valor_unitario': 1854.82, 'precio_unitario': 2188.69, 'descuento': 0.0, 'subtotal': 1854.82, 'porcentaje_de_igv': '18.00', 'igv': 333.87, 'total': 2188.69,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</si>
  <si>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18694, 'codigo_producto': 870, 'nom_producto': 'COMISION VAOPE SEGUN CONTRATO', 'categoria_producto': 'consu', 'cantidad': '1.0', 'valor_unitario': 1170.39, 'precio_unitario': 1381.06, 'descuento': 0.0, 'subtotal': 1170.39, 'porcentaje_de_igv': '18.00', 'igv': 210.67, 'total': 1381.06,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</si>
  <si>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18693, 'codigo_producto': 877, 'nom_producto': 'COMISION PAGOS DIGITALES SEGUN CONTRATO', 'categoria_producto': 'consu', 'cantidad': '1.0', 'valor_unitario': 138.18, 'precio_unitario': 163.05, 'descuento': 0.0, 'subtotal': 138.18, 'porcentaje_de_igv': '18.00', 'igv': 24.87, 'total': 163.05,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</si>
  <si>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18692, 'codigo_producto': 870, 'nom_producto': 'COMISION VAOPE SEGUN CONTRATO', 'categoria_producto': 'consu', 'cantidad': '1.0', 'valor_unitario': 132.97, 'precio_unitario': 156.9, 'descuento': 0.0, 'subtotal': 132.97, 'porcentaje_de_igv': '18.00', 'igv': 23.93, 'total': 156.9,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</si>
  <si>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18691, 'codigo_producto': 961, 'nom_producto': 'PERSONAL - ENVIO',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</si>
  <si>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18690, 'codigo_producto': 960,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</si>
  <si>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18689, 'codigo_producto': 877, 'nom_producto': 'COMISION PAGOS DIGITALES SEGUN CONTRATO', 'categoria_producto': 'consu', 'cantidad': '1.0', 'valor_unitario': 24.56, 'precio_unitario': 28.98, 'descuento': 0.0, 'subtotal': 24.56, 'porcentaje_de_igv': '18.00', 'igv': 4.42, 'total': 28.98, 'moneda': '1', 'tipo_de_cambio': 1.0,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</si>
  <si>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18688, 'codigo_producto': 870, 'nom_producto': 'COMISION VAOPE SEGUN CONTRATO', 'categoria_producto': 'consu', 'cantidad': '1.0', 'valor_unitario': 26.45, 'precio_unitario': 31.21, 'descuento': 0.0, 'subtotal': 26.45, 'porcentaje_de_igv': '18.00', 'igv': 4.76, 'total': 31.21, 'moneda': '1', 'tipo_de_cambio': 1.0,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</si>
  <si>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18687, 'codigo_producto': 877, 'nom_producto': 'COMISION PAGOS DIGITALES SEGUN CONTRATO', 'categoria_producto': 'consu', 'cantidad': '1.0', 'valor_unitario': 117.97, 'precio_unitario': 139.2, 'descuento': 0.0, 'subtotal': 117.97, 'porcentaje_de_igv': '18.00', 'igv': 21.23, 'total': 139.2,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</si>
  <si>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18686, 'codigo_producto': 870, 'nom_producto': 'COMISION VAOPE SEGUN CONTRATO', 'categoria_producto': 'consu', 'cantidad': '1.0', 'valor_unitario': 96.1, 'precio_unitario': 113.4, 'descuento': 0.0, 'subtotal': 96.1, 'porcentaje_de_igv': '18.00', 'igv': 17.3, 'total': 113.4,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</si>
  <si>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18685, 'codigo_producto': 877, 'nom_producto': 'COMISION PAGOS DIGITALES SEGUN CONTRATO', 'categoria_producto': 'consu', 'cantidad': '1.0', 'valor_unitario': 212.8, 'precio_unitario': 251.1, 'descuento': 0.0, 'subtotal': 212.8, 'porcentaje_de_igv': '18.00', 'igv': 38.3, 'total': 251.1, 'moneda': '1', 'tipo_de_cambio': 1.0,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</si>
  <si>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18684, 'codigo_producto': 870, 'nom_producto': 'COMISION VAOPE SEGUN CONTRATO', 'categoria_producto': 'consu', 'cantidad': '1.0', 'valor_unitario': 125.25, 'precio_unitario': 147.8, 'descuento': 0.0, 'subtotal': 125.25, 'porcentaje_de_igv': '18.00', 'igv': 22.55, 'total': 147.8, 'moneda': '1', 'tipo_de_cambio': 1.0,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</si>
  <si>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18683, 'codigo_producto': 877, 'nom_producto': 'COMISION PAGOS DIGITALES SEGUN CONTRATO', 'categoria_producto': 'consu', 'cantidad': '1.0', 'valor_unitario': 374.24, 'precio_unitario': 441.6, 'descuento': 0.0, 'subtotal': 374.24, 'porcentaje_de_igv': '18.00', 'igv': 67.36, 'total': 441.6,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</si>
  <si>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18682, 'codigo_producto': 870, 'nom_producto': 'COMISION VAOPE SEGUN CONTRATO', 'categoria_producto': 'consu', 'cantidad': '1.0', 'valor_unitario': 279.66, 'precio_unitario': 330.0, 'descuento': 0.0, 'subtotal': 279.66, 'porcentaje_de_igv': '18.00', 'igv': 50.34, 'total': 330.0,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</si>
  <si>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18681, 'codigo_producto': 959, 'nom_producto': 'PERSONAL - punto de venta', 'categoria_producto': 'consu', 'cantidad': '1.0', 'valor_unitario': 32.5, 'precio_unitario': 38.35, 'descuento': 0.0, 'subtotal': 32.5, 'porcentaje_de_igv': '18.00', 'igv': 5.85, 'total': 38.35,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</t>
  </si>
  <si>
    <t>[{'id_producto': 18679, 'codigo_producto': 870, 'nom_producto': 'COMISION VAOPE SEGUN CONTRATO', 'categoria_producto': 'consu', 'cantidad': '1.0', 'valor_unitario': 35.55, 'precio_unitario': 41.95, 'descuento': 0.0, 'subtotal': 35.55, 'porcentaje_de_igv': '18.00', 'igv': 6.4, 'total': 41.95,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</si>
  <si>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18678, 'codigo_producto': 877, 'nom_producto': 'COMISION PAGOS DIGITALES SEGUN CONTRATO', 'categoria_producto': 'consu', 'cantidad': '1.0', 'valor_unitario': 370.08, 'precio_unitario': 436.7, 'descuento': 0.0, 'subtotal': 370.08, 'porcentaje_de_igv': '18.00', 'igv': 66.62, 'total': 436.7, 'moneda': '1', 'tipo_de_cambio': 1.0,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</si>
  <si>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18677, 'codigo_producto': 870, 'nom_producto': 'COMISION VAOPE SEGUN CONTRATO', 'categoria_producto': 'consu', 'cantidad': '1.0', 'valor_unitario': 283.73, 'precio_unitario': 334.8, 'descuento': 0.0, 'subtotal': 283.73, 'porcentaje_de_igv': '18.00', 'igv': 51.07, 'total': 334.8, 'moneda': '1', 'tipo_de_cambio': 1.0,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</si>
  <si>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18676, 'codigo_producto': 871, 'nom_producto': 'COMISION PAGOS DIGITALES SEGUN CONTRATO ', 'categoria_producto': 'consu', 'cantidad': '1.0', 'valor_unitario': 53.56, 'precio_unitario': 63.2, 'descuento': 0.0, 'subtotal': 53.56, 'porcentaje_de_igv': '18.00', 'igv': 9.64, 'total': 63.2, 'moneda': '1', 'tipo_de_cambio': 1.0,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</si>
  <si>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18674, 'codigo_producto': 949,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</si>
  <si>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18673, 'codigo_producto': 958, 'nom_producto': 'ENTRADAS IMPRESAS - ORDEN DE VENTA N563\n  2do Aniversario de Suu Rabanal con La Unica Tropical Tony Rosado y mas en la Explanada de Agua Dulce  4000 FULL COLOR GENERAL  2000 BRAZALETES VIP  500 BRAZALETES PLATINUM S365800', 'categoria_producto': 'consu', 'cantidad': '1.0', 'valor_unitario': 3100.0, 'precio_unitario': 3658.0, 'descuento': 0.0, 'subtotal': 3100.0, 'porcentaje_de_igv': '18.00', 'igv': 558.0, 'total': 3658.0,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</si>
  <si>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18672, 'codigo_producto': 877, 'nom_producto': 'COMISION PAGOS DIGITALES SEGUN CONTRATO', 'categoria_producto': 'consu', 'cantidad': '1.0', 'valor_unitario': 5235.68, 'precio_unitario': 6178.1, 'descuento': 0.0, 'subtotal': 5235.68, 'porcentaje_de_igv': '18.00', 'igv': 942.42, 'total': 6178.1,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</si>
  <si>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18671, 'codigo_producto': 870, 'nom_producto': 'COMISION VAOPE SEGUN CONTRATO', 'categoria_producto': 'consu', 'cantidad': '1.0', 'valor_unitario': 4611.78, 'precio_unitario': 5441.9, 'descuento': 0.0, 'subtotal': 4611.78, 'porcentaje_de_igv': '18.00', 'igv': 830.12, 'total': 5441.9,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</si>
  <si>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18670, 'codigo_producto': 955,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</si>
  <si>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18669, 'codigo_producto': 957,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</si>
  <si>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18668, 'codigo_producto': 956, 'nom_producto': 'PERSONAL - Servicio de 01 validador Inc IGV', 'categoria_producto': 'consu', 'cantidad': '1.0', 'valor_unitario': 150.0, 'precio_unitario': 177.0, 'descuento': 0.0, 'subtotal': 150.0, 'porcentaje_de_igv': '18.00', 'igv': 27.0, 'total': 177.0,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</si>
  <si>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18667, 'codigo_producto': 877, 'nom_producto': 'COMISION PAGOS DIGITALES SEGUN CONTRATO', 'categoria_producto': 'consu', 'cantidad': '1.0', 'valor_unitario': 1608.31, 'precio_unitario': 1897.8, 'descuento': 0.0, 'subtotal': 1608.31, 'porcentaje_de_igv': '18.00', 'igv': 289.49, 'total': 1897.8,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</si>
  <si>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18666, 'codigo_producto': 870, 'nom_producto': 'COMISION VAOPE SEGUN CONTRATO', 'categoria_producto': 'consu', 'cantidad': '1.0', 'valor_unitario': 991.19, 'precio_unitario': 1169.6, 'descuento': 0.0, 'subtotal': 991.19, 'porcentaje_de_igv': '18.00', 'igv': 178.41, 'total': 1169.6,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</si>
  <si>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18665, 'codigo_producto': 955,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</si>
  <si>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18664, 'codigo_producto': 877, 'nom_producto': 'COMISION PAGOS DIGITALES SEGUN CONTRATO', 'categoria_producto': 'consu', 'cantidad': '1.0', 'valor_unitario': 418.22, 'precio_unitario': 493.5, 'descuento': 0.0, 'subtotal': 418.22, 'porcentaje_de_igv': '18.00', 'igv': 75.28, 'total': 493.5,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</si>
  <si>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18663, 'codigo_producto': 870, 'nom_producto': 'COMISION VAOPE SEGUN CONTRATO', 'categoria_producto': 'consu', 'cantidad': '1.0', 'valor_unitario': 250.51, 'precio_unitario': 295.6, 'descuento': 0.0, 'subtotal': 250.51, 'porcentaje_de_igv': '18.00', 'igv': 45.09, 'total': 295.6,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</si>
  <si>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18662, 'codigo_producto': 954,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</si>
  <si>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18661, 'codigo_producto': 877, 'nom_producto': 'COMISION PAGOS DIGITALES SEGUN CONTRATO', 'categoria_producto': 'consu', 'cantidad': '1.0', 'valor_unitario': 139.75, 'precio_unitario': 164.9, 'descuento': 0.0, 'subtotal': 139.75, 'porcentaje_de_igv': '18.00', 'igv': 25.15, 'total': 164.9,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</si>
  <si>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18660, 'codigo_producto': 870, 'nom_producto': 'COMISION VAOPE SEGUN CONTRATO', 'categoria_producto': 'consu', 'cantidad': '1.0', 'valor_unitario': 79.15, 'precio_unitario': 93.4, 'descuento': 0.0, 'subtotal': 79.15, 'porcentaje_de_igv': '18.00', 'igv': 14.25, 'total': 93.4,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</si>
  <si>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18659, 'codigo_producto': 953,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</si>
  <si>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18658, 'codigo_producto': 952, 'nom_producto': 'PERSONAL - Servicio de 01 validador Inc IGV ', 'categoria_producto': 'consu', 'cantidad': '1.0', 'valor_unitario': 150.0, 'precio_unitario': 177.0, 'descuento': 0.0, 'subtotal': 150.0, 'porcentaje_de_igv': '18.00', 'igv': 27.0, 'total': 177.0,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</si>
  <si>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18657, 'codigo_producto': 877, 'nom_producto': 'COMISION PAGOS DIGITALES SEGUN CONTRATO', 'categoria_producto': 'consu', 'cantidad': '1.0', 'valor_unitario': 2377.37, 'precio_unitario': 2805.3, 'descuento': 0.0, 'subtotal': 2377.37, 'porcentaje_de_igv': '18.00', 'igv': 427.93, 'total': 2805.3,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</si>
  <si>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18656, 'codigo_producto': 870, 'nom_producto': 'COMISION VAOPE SEGUN CONTRATO', 'categoria_producto': 'consu', 'cantidad': '1.0', 'valor_unitario': 1467.71, 'precio_unitario': 1731.9, 'descuento': 0.0, 'subtotal': 1467.71, 'porcentaje_de_igv': '18.00', 'igv': 264.19, 'total': 1731.9,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</si>
  <si>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18655, 'codigo_producto': 951,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</si>
  <si>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18654, 'codigo_producto': 877, 'nom_producto': 'COMISION PAGOS DIGITALES SEGUN CONTRATO', 'categoria_producto': 'consu', 'cantidad': '1.0', 'valor_unitario': 526.1, 'precio_unitario': 620.8, 'descuento': 0.0, 'subtotal': 526.1, 'porcentaje_de_igv': '18.00', 'igv': 94.7, 'total': 620.8,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</si>
  <si>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18653, 'codigo_producto': 870, 'nom_producto': 'COMISION VAOPE SEGUN CONTRATO', 'categoria_producto': 'consu', 'cantidad': '1.0', 'valor_unitario': 304.83, 'precio_unitario': 359.7, 'descuento': 0.0, 'subtotal': 304.83, 'porcentaje_de_igv': '18.00', 'igv': 54.87, 'total': 359.7,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</si>
  <si>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18652, 'codigo_producto': 950,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</t>
  </si>
  <si>
    <t>[{'id_producto': 18651,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</si>
  <si>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18650, 'codigo_producto': 913, 'nom_producto': 'PERSONAL - Servicio de 02 validadores Inc IGV',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</si>
  <si>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18649, 'codigo_producto': 877, 'nom_producto': 'COMISION PAGOS DIGITALES SEGUN CONTRATO', 'categoria_producto': 'consu', 'cantidad': '1.0', 'valor_unitario': 3637.63, 'precio_unitario': 4292.4, 'descuento': 0.0, 'subtotal': 3637.63, 'porcentaje_de_igv': '18.00', 'igv': 654.77, 'total': 4292.4,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</si>
  <si>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18648, 'codigo_producto': 870, 'nom_producto': 'COMISION VAOPE SEGUN CONTRATO', 'categoria_producto': 'consu', 'cantidad': '1.0', 'valor_unitario': 2347.03, 'precio_unitario': 2769.5, 'descuento': 0.0, 'subtotal': 2347.03, 'porcentaje_de_igv': '18.00', 'igv': 422.47, 'total': 2769.5,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</si>
  <si>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18647, 'codigo_producto': 949,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</si>
  <si>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18646, 'codigo_producto': 948, 'nom_producto': 'ENTRADAS IMPRESAS - ORDEN DE VENTA N564\n  La Unica Tropical en el Padrino Club de Jicamarca  1000 FULL COLOR GENERAL  1000 BRAZALETES VIP  500 FULL COLOR NINOS',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</si>
  <si>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18645, 'codigo_producto': 877, 'nom_producto': 'COMISION PAGOS DIGITALES SEGUN CONTRATO', 'categoria_producto': 'consu', 'cantidad': '1.0', 'valor_unitario': 872.71, 'precio_unitario': 1029.8, 'descuento': 0.0, 'subtotal': 872.71, 'porcentaje_de_igv': '18.00', 'igv': 157.09, 'total': 1029.8,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</si>
  <si>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18644, 'codigo_producto': 870, 'nom_producto': 'COMISION VAOPE SEGUN CONTRATO', 'categoria_producto': 'consu', 'cantidad': '1.0', 'valor_unitario': 526.1, 'precio_unitario': 620.8, 'descuento': 0.0, 'subtotal': 526.1, 'porcentaje_de_igv': '18.00', 'igv': 94.7, 'total': 620.8,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</si>
  <si>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18643, 'codigo_producto': 874, 'nom_producto': 'COMISION CORTESIA',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</si>
  <si>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18642, 'codigo_producto': 882, 'nom_producto': 'PERSONAL - Servicio de 05 validadores Inc IGV', 'categoria_producto': 'consu', 'cantidad': '1.0', 'valor_unitario': 750.0, 'precio_unitario': 885.0, 'descuento': 0.0, 'subtotal': 750.0, 'porcentaje_de_igv': '18.00', 'igv': 135.0, 'total': 885.0,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</si>
  <si>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18641, 'codigo_producto': 947, 'nom_producto': 'ENTRADAS IMPRESAS - ORDEN DE VENTA N557\n PRIMER PISCINAZO 2025 CON EL AGUA MAS RICA DEL PERU  3000 FULL COLOR GENERAL ADULTO  500 FULL COLOR GENERAL NINOS S185850', 'categoria_producto': 'consu', 'cantidad': '1.0', 'valor_unitario': 1575.0, 'precio_unitario': 1858.5, 'descuento': 0.0, 'subtotal': 1575.0, 'porcentaje_de_igv': '18.00', 'igv': 283.5, 'total': 1858.5,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</si>
  <si>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18640, 'codigo_producto': 877, 'nom_producto': 'COMISION PAGOS DIGITALES SEGUN CONTRATO', 'categoria_producto': 'consu', 'cantidad': '1.0', 'valor_unitario': 3585.68, 'precio_unitario': 4231.1, 'descuento': 0.0, 'subtotal': 3585.68, 'porcentaje_de_igv': '18.00', 'igv': 645.42, 'total': 4231.1,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</si>
  <si>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18639, 'codigo_producto': 878, 'nom_producto': 'COMISION VAOPE SEGUN CONTRATO ', 'categoria_producto': 'consu', 'cantidad': '1.0', 'valor_unitario': 2103.31, 'precio_unitario': 2481.9, 'descuento': 0.0, 'subtotal': 2103.31, 'porcentaje_de_igv': '18.00', 'igv': 378.59, 'total': 2481.9,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</si>
  <si>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18637, 'codigo_producto': 870, 'nom_producto': 'COMISION VAOPE SEGUN CONTRATO', 'categoria_producto': 'consu', 'cantidad': '1.0', 'valor_unitario': 16.0, 'precio_unitario': 18.88, 'descuento': 0.0, 'subtotal': 16.0, 'porcentaje_de_igv': '18.00', 'igv': 2.88, 'total': 18.88,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</si>
  <si>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18634, 'codigo_producto': 877, 'nom_producto': 'COMISION PAGOS DIGITALES SEGUN CONTRATO', 'categoria_producto': 'consu', 'cantidad': '1.0', 'valor_unitario': 41.1, 'precio_unitario': 48.5, 'descuento': 0.0, 'subtotal': 41.1, 'porcentaje_de_igv': '18.00', 'igv': 7.4, 'total': 48.5,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</si>
  <si>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18630, 'codigo_producto': 877, 'nom_producto': 'COMISION PAGOS DIGITALES SEGUN CONTRATO', 'categoria_producto': 'consu', 'cantidad': '1.0', 'valor_unitario': 240.25, 'precio_unitario': 283.5, 'descuento': 0.0, 'subtotal': 240.25, 'porcentaje_de_igv': '18.00', 'igv': 43.25, 'total': 283.5, 'moneda': '1', 'tipo_de_cambio': 1.0,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</si>
  <si>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18629, 'codigo_producto': 870, 'nom_producto': 'COMISION VAOPE SEGUN CONTRATO', 'categoria_producto': 'consu', 'cantidad': '1.0', 'valor_unitario': 133.47, 'precio_unitario': 157.5, 'descuento': 0.0, 'subtotal': 133.47, 'porcentaje_de_igv': '18.00', 'igv': 24.03, 'total': 157.5, 'moneda': '1', 'tipo_de_cambio': 1.0,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</si>
  <si>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18628, 'codigo_producto': 877, 'nom_producto': 'COMISION PAGOS DIGITALES SEGUN CONTRATO', 'categoria_producto': 'consu', 'cantidad': '1.0', 'valor_unitario': 1346.2, 'precio_unitario': 1588.52, 'descuento': 0.0, 'subtotal': 1346.2, 'porcentaje_de_igv': '18.00', 'igv': 242.32, 'total': 1588.52, 'moneda': '1', 'tipo_de_cambio': 1.0,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</si>
  <si>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18627, 'codigo_producto': 870, 'nom_producto': 'COMISION VAOPE SEGUN CONTRATO', 'categoria_producto': 'consu', 'cantidad': '1.0', 'valor_unitario': 824.87, 'precio_unitario': 973.35, 'descuento': 0.0, 'subtotal': 824.87, 'porcentaje_de_igv': '18.00', 'igv': 148.48, 'total': 973.35, 'moneda': '1', 'tipo_de_cambio': 1.0,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</si>
  <si>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18626, 'codigo_producto': 877, 'nom_producto': 'COMISION PAGOS DIGITALES SEGUN CONTRATO', 'categoria_producto': 'consu', 'cantidad': '1.0', 'valor_unitario': 274.92, 'precio_unitario': 324.4, 'descuento': 0.0, 'subtotal': 274.92, 'porcentaje_de_igv': '18.00', 'igv': 49.48, 'total': 324.4, 'moneda': '1', 'tipo_de_cambio': 1.0, 'id_estado': 'not_paid', 'nombre_estado': 'Sin pagar', 'evento': {'id_evento': '', 'nom_evento': '', 'fecha_hora_ini_event': '', 'fecha_hora_fin_event': '', 'id_organizador': 1135, 'nom_organizador': 'Empresa Promotora de Eventos Magda PerÃº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</si>
  <si>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18625, 'codigo_producto': 870, 'nom_producto': 'COMISION VAOPE SEGUN CONTRATO', 'categoria_producto': 'consu', 'cantidad': '1.0', 'valor_unitario': 159.29, 'precio_unitario': 187.96, 'descuento': 0.0, 'subtotal': 159.29, 'porcentaje_de_igv': '18.00', 'igv': 28.67, 'total': 187.96, 'moneda': '1', 'tipo_de_cambio': 1.0, 'id_estado': 'not_paid', 'nombre_estado': 'Sin pagar', 'evento': {'id_evento': '', 'nom_evento': '', 'fecha_hora_ini_event': '', 'fecha_hora_fin_event': '', 'id_organizador': 1135, 'nom_organizador': 'Empresa Promotora de Eventos Magda PerÃº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</si>
  <si>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18624, 'codigo_producto': 871, 'nom_producto': 'COMISION PAGOS DIGITALES SEGUN CONTRATO ', 'categoria_producto': 'consu', 'cantidad': '1.0', 'valor_unitario': 96.1, 'precio_unitario': 113.4, 'descuento': 0.0, 'subtotal': 96.1, 'porcentaje_de_igv': '18.00', 'igv': 17.3, 'total': 113.4, 'moneda': '1', 'tipo_de_cambio': 1.0,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</si>
  <si>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18623, 'codigo_producto': 870, 'nom_producto': 'COMISION VAOPE SEGUN CONTRATO', 'categoria_producto': 'consu', 'cantidad': '1.0', 'valor_unitario': 95.97, 'precio_unitario': 113.24, 'descuento': 0.0, 'subtotal': 95.97, 'porcentaje_de_igv': '18.00', 'igv': 17.27, 'total': 113.24, 'moneda': '1', 'tipo_de_cambio': 1.0,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</si>
  <si>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18622, 'codigo_producto': 877, 'nom_producto': 'COMISION PAGOS DIGITALES SEGUN CONTRATO', 'categoria_producto': 'consu', 'cantidad': '1.0', 'valor_unitario': 967.12, 'precio_unitario': 1141.2, 'descuento': 0.0, 'subtotal': 967.12, 'porcentaje_de_igv': '18.00', 'igv': 174.08, 'total': 1141.2, 'moneda': '1', 'tipo_de_cambio': 1.0,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</si>
  <si>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18621, 'codigo_producto': 870, 'nom_producto': 'COMISION VAOPE SEGUN CONTRATO', 'categoria_producto': 'consu', 'cantidad': '1.0', 'valor_unitario': 777.2, 'precio_unitario': 917.1, 'descuento': 0.0, 'subtotal': 777.2, 'porcentaje_de_igv': '18.00', 'igv': 139.9, 'total': 917.1, 'moneda': '1', 'tipo_de_cambio': 1.0,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</si>
  <si>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18620,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</si>
  <si>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18619, 'codigo_producto': 877, 'nom_producto': 'COMISION PAGOS DIGITALES SEGUN CONTRATO', 'categoria_producto': 'consu', 'cantidad': '1.0', 'valor_unitario': 276.53, 'precio_unitario': 326.3, 'descuento': 0.0, 'subtotal': 276.53, 'porcentaje_de_igv': '18.00', 'igv': 49.77, 'total': 326.3,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</si>
  <si>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18618, 'codigo_producto': 870, 'nom_producto': 'COMISION VAOPE SEGUN CONTRATO', 'categoria_producto': 'consu', 'cantidad': '1.0', 'valor_unitario': 177.63, 'precio_unitario': 209.6, 'descuento': 0.0, 'subtotal': 177.63, 'porcentaje_de_igv': '18.00', 'igv': 31.97, 'total': 209.6,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</si>
  <si>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18617, 'codigo_producto': 946, 'nom_producto': 'ENTRADAS IMPRESAS FULL COLOR GENERALARMONIA 10 EN YAPATERA 22 DE ENE Y HUAMACHUCO 25 DE ENE BRAZALETES VIP Y PERSONAL DELIVERY', 'categoria_producto': 'consu', 'cantidad': '1.0', 'valor_unitario': 2080.0, 'precio_unitario': 2454.4, 'descuento': 0.0, 'subtotal': 2080.0, 'porcentaje_de_igv': '18.00', 'igv': 374.4, 'total': 2454.4,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</si>
  <si>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18616, 'codigo_producto': 945, 'nom_producto': 'ENTRADAS IMPRESAS FULL COLOR GENERAL -CORAZON SERRANO CHANCAY - 2601 BRAZALETES VIP Y PERSONAL DELIVERY 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</si>
  <si>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18615, 'codigo_producto': 944, 'nom_producto': 'ENTRADAS IMPRESAS FULL COLOR GENERAL -CORAZON SERRANO YAPATERA - 2401 Y PERSONAL DELIVERY', 'categoria_producto': 'consu', 'cantidad': '1.0', 'valor_unitario': 910.0, 'precio_unitario': 1073.8, 'descuento': 0.0, 'subtotal': 910.0, 'porcentaje_de_igv': '18.00', 'igv': 163.8, 'total': 1073.8,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</si>
  <si>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18614, 'codigo_producto': 940, 'nom_producto': 'COMISION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</si>
  <si>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18613, 'codigo_producto': 939, 'nom_producto': 'COMISION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</si>
  <si>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18612, 'codigo_producto': 942, 'nom_producto': 'COMISION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</si>
  <si>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18611, 'codigo_producto': 937, 'nom_producto': 'COMISION VAOPE SEGUN CONTRATO - JULIO MACHA', 'categoria_producto': 'consu', 'cantidad': '1.0', 'valor_unitario': 524.72, 'precio_unitario': 619.17, 'descuento': 0.0, 'subtotal': 524.72, 'porcentaje_de_igv': '18.00', 'igv': 94.45, 'total': 619.17,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</si>
  <si>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18610, 'codigo_producto': 936, 'nom_producto': 'COMISION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</si>
  <si>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18609, 'codigo_producto': 935, 'nom_producto': 'COMISION VAOPE SEGUN CONTRATO - YARIT ALANYA', 'categoria_producto': 'consu', 'cantidad': '1.0', 'valor_unitario': 524.72, 'precio_unitario': 619.17, 'descuento': 0.0, 'subtotal': 524.72, 'porcentaje_de_igv': '18.00', 'igv': 94.45, 'total': 619.17,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</si>
  <si>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18608, 'codigo_producto': 934, 'nom_producto': 'COMISION PAGOS DIGITALES SEGUN CONTRATO - PIERO MACHA', 'categoria_producto': 'consu', 'cantidad': '1.0', 'valor_unitario': 24.11, 'precio_unitario': 28.45, 'descuento': 0.0, 'subtotal': 24.11, 'porcentaje_de_igv': '18.00', 'igv': 4.34, 'total': 28.45,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</si>
  <si>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18606, 'codigo_producto': 940, 'nom_producto': 'COMISION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</si>
  <si>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18605, 'codigo_producto': 939, 'nom_producto': 'COMISION VAOPE SEGUN CONTRATO - EULALIA PEREZ', 'categoria_producto': 'consu', 'cantidad': '1.0', 'valor_unitario': 886.52, 'precio_unitario': 1046.09, 'descuento': 0.0, 'subtotal': 886.52, 'porcentaje_de_igv': '18.00', 'igv': 159.57, 'total': 1046.09,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</si>
  <si>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18604, 'codigo_producto': 942, 'nom_producto': 'COMISION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</si>
  <si>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18603, 'codigo_producto': 937, 'nom_producto': 'COMISION VAOPE SEGUN CONTRATO - JULIO MACHA', 'categoria_producto': 'consu', 'cantidad': '1.0', 'valor_unitario': 452.31, 'precio_unitario': 533.72, 'descuento': 0.0, 'subtotal': 452.31, 'porcentaje_de_igv': '18.00', 'igv': 81.41, 'total': 533.72,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</si>
  <si>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18602, 'codigo_producto': 941, 'nom_producto': 'COMISION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</si>
  <si>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18601, 'codigo_producto': 935, 'nom_producto': 'COMISION VAOPE SEGUN CONTRATO - YARIT ALANYA', 'categoria_producto': 'consu', 'cantidad': '1.0', 'valor_unitario': 452.31, 'precio_unitario': 533.72, 'descuento': 0.0, 'subtotal': 452.31, 'porcentaje_de_igv': '18.00', 'igv': 81.41, 'total': 533.72,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</si>
  <si>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17842, 'codigo_producto': 940, 'nom_producto': 'COMISION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</si>
  <si>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17841, 'codigo_producto': 939, 'nom_producto': 'COMISION VAOPE SEGUN CONTRATO - EULALIA PEREZ', 'categoria_producto': 'consu', 'cantidad': '1.0', 'valor_unitario': 248.53, 'precio_unitario': 293.26, 'descuento': 0.0, 'subtotal': 248.53, 'porcentaje_de_igv': '18.00', 'igv': 44.73, 'total': 293.26,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</si>
  <si>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17840, 'codigo_producto': 938, 'nom_producto': 'COMISION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</si>
  <si>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17839, 'codigo_producto': 937, 'nom_producto': 'COMISION VAOPE SEGUN CONTRATO - JULIO MACHA', 'categoria_producto': 'consu', 'cantidad': '1.0', 'valor_unitario': 126.8, 'precio_unitario': 149.62, 'descuento': 0.0, 'subtotal': 126.8, 'porcentaje_de_igv': '18.00', 'igv': 22.82, 'total': 149.62,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</si>
  <si>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17838, 'codigo_producto': 936, 'nom_producto': 'COMISION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</si>
  <si>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17837, 'codigo_producto': 935, 'nom_producto': 'COMISION VAOPE SEGUN CONTRATO - YARIT ALANYA', 'categoria_producto': 'consu', 'cantidad': '1.0', 'valor_unitario': 126.8, 'precio_unitario': 149.62, 'descuento': 0.0, 'subtotal': 126.8, 'porcentaje_de_igv': '18.00', 'igv': 22.82, 'total': 149.62,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</si>
  <si>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17833, 'codigo_producto': 932, 'nom_producto': 'FEE ADMINISTRATIVO - Fee por adelanto a agua marina 2 Inc IGV 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</si>
  <si>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17832, 'codigo_producto': 931, 'nom_producto': 'FEE ADMINISTRATIVO - Fee por adelanto a agua marina Inc IGV',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</si>
  <si>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17831, 'codigo_producto': 877, 'nom_producto': 'COMISION PAGOS DIGITALES SEGUN CONTRATO', 'categoria_producto': 'consu', 'cantidad': '1.0', 'valor_unitario': 6508.39, 'precio_unitario': 7679.9, 'descuento': 0.0, 'subtotal': 6508.39, 'porcentaje_de_igv': '18.00', 'igv': 1171.51, 'total': 7679.9,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</si>
  <si>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17830, 'codigo_producto': 870, 'nom_producto': 'COMISION VAOPE SEGUN CONTRATO', 'categoria_producto': 'consu', 'cantidad': '1.0', 'valor_unitario': 5640.85, 'precio_unitario': 6656.2, 'descuento': 0.0, 'subtotal': 5640.85, 'porcentaje_de_igv': '18.00', 'igv': 1015.35, 'total': 6656.2,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</si>
  <si>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17829, 'codigo_producto': 877, 'nom_producto': 'COMISION PAGOS DIGITALES SEGUN CONTRATO', 'categoria_producto': 'consu', 'cantidad': '1.0', 'valor_unitario': 170.0, 'precio_unitario': 200.6, 'descuento': 0.0, 'subtotal': 170.0, 'porcentaje_de_igv': '18.00', 'igv': 30.6, 'total': 200.6,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</si>
  <si>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17828, 'codigo_producto': 870, 'nom_producto': 'COMISION VAOPE SEGUN CONTRATO', 'categoria_producto': 'consu', 'cantidad': '1.0', 'valor_unitario': 187.63, 'precio_unitario': 221.4, 'descuento': 0.0, 'subtotal': 187.63, 'porcentaje_de_igv': '18.00', 'igv': 33.77, 'total': 221.4,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</si>
  <si>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17827, 'codigo_producto': 874, 'nom_producto': 'COMISION CORTESIA',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</si>
  <si>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17826, 'codigo_producto': 877, 'nom_producto': 'COMISION PAGOS DIGITALES SEGUN CONTRATO', 'categoria_producto': 'consu', 'cantidad': '1.0', 'valor_unitario': 400.93, 'precio_unitario': 473.1, 'descuento': 0.0, 'subtotal': 400.93, 'porcentaje_de_igv': '18.00', 'igv': 72.17, 'total': 473.1,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</si>
  <si>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17825, 'codigo_producto': 870, 'nom_producto': 'COMISION VAOPE SEGUN CONTRATO', 'categoria_producto': 'consu', 'cantidad': '1.0', 'valor_unitario': 289.32, 'precio_unitario': 341.4, 'descuento': 0.0, 'subtotal': 289.32, 'porcentaje_de_igv': '18.00', 'igv': 52.08, 'total': 341.4,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</si>
  <si>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17824, 'codigo_producto': 877, 'nom_producto': 'COMISION PAGOS DIGITALES SEGUN CONTRATO', 'categoria_producto': 'consu', 'cantidad': '1.0', 'valor_unitario': 106.95, 'precio_unitario': 126.2, 'descuento': 0.0, 'subtotal': 106.95, 'porcentaje_de_igv': '18.00', 'igv': 19.25, 'total': 126.2,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</si>
  <si>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17821, 'codigo_producto': 870, 'nom_producto': 'COMISION VAOPE SEGUN CONTRATO', 'categoria_producto': 'consu', 'cantidad': '1.0', 'valor_unitario': 33.22, 'precio_unitario': 39.2, 'descuento': 0.0, 'subtotal': 33.22, 'porcentaje_de_igv': '18.00', 'igv': 5.98, 'total': 39.2,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</si>
  <si>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17820, 'codigo_producto': 877, 'nom_producto': 'COMISION PAGOS DIGITALES SEGUN CONTRATO', 'categoria_producto': 'consu', 'cantidad': '1.0', 'valor_unitario': 97.37, 'precio_unitario': 114.9, 'descuento': 0.0, 'subtotal': 97.37, 'porcentaje_de_igv': '18.00', 'igv': 17.53, 'total': 114.9, 'moneda': '1', 'tipo_de_cambio': 1.0,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</si>
  <si>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17819, 'codigo_producto': 870, 'nom_producto': 'COMISION VAOPE SEGUN CONTRATO', 'categoria_producto': 'consu', 'cantidad': '1.0', 'valor_unitario': 59.07, 'precio_unitario': 69.7, 'descuento': 0.0, 'subtotal': 59.07, 'porcentaje_de_igv': '18.00', 'igv': 10.63, 'total': 69.7, 'moneda': '1', 'tipo_de_cambio': 1.0,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</si>
  <si>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17818,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</si>
  <si>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17817, 'codigo_producto': 930, 'nom_producto': 'ENTRADAS IMPRESAS - ORDEN DE VENTA N541\n  LA UNICA TROPICAL EN CHEPEN - 20 DE ENERO - I - P  2000 FULL COLOR GENERAL  1000 BRAZALETES VIP S165200\n',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</si>
  <si>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17816, 'codigo_producto': 929, 'nom_producto': 'ENTRADAS IMPRESAS - ORDEN DE VENTA N537\n  La Unica Tropical en Ilo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</si>
  <si>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17815, 'codigo_producto': 877, 'nom_producto': 'COMISION PAGOS DIGITALES SEGUN CONTRATO', 'categoria_producto': 'consu', 'cantidad': '1.0', 'valor_unitario': 3754.15, 'precio_unitario': 4429.9, 'descuento': 0.0, 'subtotal': 3754.15, 'porcentaje_de_igv': '18.00', 'igv': 675.75, 'total': 4429.9,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</si>
  <si>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17814, 'codigo_producto': 870, 'nom_producto': 'COMISION VAOPE SEGUN CONTRATO', 'categoria_producto': 'consu', 'cantidad': '1.0', 'valor_unitario': 288.14, 'precio_unitario': 340.0, 'descuento': 0.0, 'subtotal': 288.14, 'porcentaje_de_igv': '18.00', 'igv': 51.86, 'total': 340.0,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</si>
  <si>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17813,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</si>
  <si>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17812, 'codigo_producto': 928, 'nom_producto': 'ENTRADAS IMPRESAS - ORDEN DE VENTA N538\n  La Unica Tropical en Tacna  3000 FULL COLOR GENERAL  2000 BRAZALETES VIP S283200', 'categoria_producto': 'consu', 'cantidad': '1.0', 'valor_unitario': 2400.0, 'precio_unitario': 2832.0, 'descuento': 0.0, 'subtotal': 2400.0, 'porcentaje_de_igv': '18.00', 'igv': 432.0, 'total': 2832.0,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</si>
  <si>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17811, 'codigo_producto': 927, 'nom_producto': 'ENTRADAS IMPRESAS - ORDEN DE VENTA N517\n  LA UNICA TROPICAL - CIUDAD DE DIOS - 06 DE ENERO - I - P 2000 FULL COLOR GENERAL S94400\n',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</si>
  <si>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17810, 'codigo_producto': 926, 'nom_producto': 'ENTRADAS IMPRESAS - ORDEN DE VENTA N516\n  LA UNICA TROPICAL CARTAVIO - 03 DE ENERO - I - P  2000 FULL COLOR GENERAL S94400\n',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</si>
  <si>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17809, 'codigo_producto': 925, 'nom_producto': 'ENTRADAS IMPRESAS - ORDEN DE VENTA N515\n  La Unica Tropical en Talara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</si>
  <si>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17808, 'codigo_producto': 924, 'nom_producto': 'ENTRADAS IMPRESAS - ORDEN DE VENTA N513\n  LA UNICA TROPICAL COLAN - 05 DE ENERO - I - P  5000 FULL COLOR GENERAL  1000 BRAZALETES VIP S259600\n', 'categoria_producto': 'consu', 'cantidad': '1.0', 'valor_unitario': 2200.0, 'precio_unitario': 2596.0, 'descuento': 0.0, 'subtotal': 2200.0, 'porcentaje_de_igv': '18.00', 'igv': 396.0, 'total': 2596.0,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</si>
  <si>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17807, 'codigo_producto': 871, 'nom_producto': 'COMISION PAGOS DIGITALES SEGUN CONTRATO ', 'categoria_producto': 'consu', 'cantidad': '1.0', 'valor_unitario': 5158.56, 'precio_unitario': 6087.1, 'descuento': 0.0, 'subtotal': 5158.56, 'porcentaje_de_igv': '18.00', 'igv': 928.54, 'total': 6087.1,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</si>
  <si>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17806, 'codigo_producto': 870, 'nom_producto': 'COMISION VAOPE SEGUN CONTRATO', 'categoria_producto': 'consu', 'cantidad': '1.0', 'valor_unitario': 3246.44, 'precio_unitario': 3830.8, 'descuento': 0.0, 'subtotal': 3246.44, 'porcentaje_de_igv': '18.00', 'igv': 584.36, 'total': 3830.8,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</si>
  <si>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17805, 'codigo_producto': 877, 'nom_producto': 'COMISION PAGOS DIGITALES SEGUN CONTRATO', 'categoria_producto': 'consu', 'cantidad': '1.0', 'valor_unitario': 25.34, 'precio_unitario': 29.9, 'descuento': 0.0, 'subtotal': 25.34, 'porcentaje_de_igv': '18.00', 'igv': 4.56, 'total': 29.9,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</si>
  <si>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17803, 'codigo_producto': 992, 'nom_producto': 'COMISION CORTESIA - DELIVERY', 'categoria_producto': 'consu', 'cantidad': '1.0', 'valor_unitario': 65.0, 'precio_unitario': 76.7, 'descuento': 0.0, 'subtotal': 65.0, 'porcentaje_de_igv': '18.00', 'igv': 11.7, 'total': 76.7,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</si>
  <si>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17802, 'codigo_producto': 877, 'nom_producto': 'COMISION PAGOS DIGITALES SEGUN CONTRATO', 'categoria_producto': 'consu', 'cantidad': '1.0', 'valor_unitario': 46.78, 'precio_unitario': 55.2, 'descuento': 0.0, 'subtotal': 46.78, 'porcentaje_de_igv': '18.00', 'igv': 8.42, 'total': 55.2, 'moneda': '1', 'tipo_de_cambio': 1.0,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</si>
  <si>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17801, 'codigo_producto': 870, 'nom_producto': 'COMISION VAOPE SEGUN CONTRATO', 'categoria_producto': 'consu', 'cantidad': '1.0', 'valor_unitario': 32.88, 'precio_unitario': 38.8, 'descuento': 0.0, 'subtotal': 32.88, 'porcentaje_de_igv': '18.00', 'igv': 5.92, 'total': 38.8, 'moneda': '1', 'tipo_de_cambio': 1.0,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</si>
  <si>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17800, 'codigo_producto': 923, 'nom_producto': 'ENTRADAS IMPRESAS - ORDEN DE VENTA N550\n  FIESTA BLANCA HUACHO - ZAPEROKO 31 DE DICIEMBRE - I - P 500 BRAZALETES VIP 500 BRAZALETES PLATINUM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</si>
  <si>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17799, 'codigo_producto': 922, 'nom_producto': 'ENTRADAS IMPRESAS - ORDEN DE VENTA N528\n  Marama en Explanada Bahua en Barranca 500 BRAZALETES VIP 200 BRAZALETES GENERAL  300 BRAZALETES BOX S77880', 'categoria_producto': 'consu', 'cantidad': '1.0', 'valor_unitario': 660.0, 'precio_unitario': 778.8, 'descuento': 0.0, 'subtotal': 660.0, 'porcentaje_de_igv': '18.00', 'igv': 118.8, 'total': 778.8,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</si>
  <si>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17798, 'codigo_producto': 877, 'nom_producto': 'COMISION PAGOS DIGITALES SEGUN CONTRATO', 'categoria_producto': 'consu', 'cantidad': '1.0', 'valor_unitario': 281.61, 'precio_unitario': 332.3, 'descuento': 0.0, 'subtotal': 281.61, 'porcentaje_de_igv': '18.00', 'igv': 50.69, 'total': 332.3,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</si>
  <si>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17797, 'codigo_producto': 870, 'nom_producto': 'COMISION VAOPE SEGUN CONTRATO', 'categoria_producto': 'consu', 'cantidad': '1.0', 'valor_unitario': 238.98, 'precio_unitario': 282.0, 'descuento': 0.0, 'subtotal': 238.98, 'porcentaje_de_igv': '18.00', 'igv': 43.02, 'total': 282.0,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</si>
  <si>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17796, 'codigo_producto': 921, 'nom_producto': 'PERSONAL - Servicio de 04 validadores Inc IGV',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</si>
  <si>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17795, 'codigo_producto': 920, 'nom_producto': 'ENTRADAS IMPRESAS -  Duelo de Divas con Pamela Franco Marisol y Brunella Torpoco en El Remanso de Comas  2000 FULL COLOR GENERAL ADULTO  500 FULL COLOR GENERAL NINOS S118000', 'categoria_producto': 'consu', 'cantidad': '1.0', 'valor_unitario': 1000.0, 'precio_unitario': 1180.0, 'descuento': 0.0, 'subtotal': 1000.0, 'porcentaje_de_igv': '18.00', 'igv': 180.0, 'total': 1180.0,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</si>
  <si>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17794, 'codigo_producto': 877, 'nom_producto': 'COMISION PAGOS DIGITALES SEGUN CONTRATO', 'categoria_producto': 'consu', 'cantidad': '1.0', 'valor_unitario': 3384.15, 'precio_unitario': 3993.3, 'descuento': 0.0, 'subtotal': 3384.15, 'porcentaje_de_igv': '18.00', 'igv': 609.15, 'total': 3993.3,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</si>
  <si>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17793, 'codigo_producto': 870, 'nom_producto': 'COMISION VAOPE SEGUN CONTRATO', 'categoria_producto': 'consu', 'cantidad': '1.0', 'valor_unitario': 1669.75, 'precio_unitario': 1970.3, 'descuento': 0.0, 'subtotal': 1669.75, 'porcentaje_de_igv': '18.00', 'igv': 300.55, 'total': 1970.3,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</si>
  <si>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17790,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</si>
  <si>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17789, 'codigo_producto': 919, 'nom_producto': 'ENTRADAS IMPRESAS - ORDEN DE VENTA N540\n  La Unica Tropical en Mejia Arequipa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</si>
  <si>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17788, 'codigo_producto': 877, 'nom_producto': 'COMISION PAGOS DIGITALES SEGUN CONTRATO', 'categoria_producto': 'consu', 'cantidad': '1.0', 'valor_unitario': 2372.24, 'precio_unitario': 2799.24, 'descuento': 0.0, 'subtotal': 2372.24, 'porcentaje_de_igv': '18.00', 'igv': 427.0, 'total': 2799.24,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</si>
  <si>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17787, 'codigo_producto': 870, 'nom_producto': 'COMISION VAOPE SEGUN CONTRATO', 'categoria_producto': 'consu', 'cantidad': '1.0', 'valor_unitario': 1467.44, 'precio_unitario': 1731.58, 'descuento': 0.0, 'subtotal': 1467.44, 'porcentaje_de_igv': '18.00', 'igv': 264.14, 'total': 1731.58,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</si>
  <si>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17786,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</si>
  <si>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17785, 'codigo_producto': 918, 'nom_producto': 'ENTRADAS IMPRESAS - ORDEN DE VENTA N539\n  La Unica Tropical en Camana Arequipa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</si>
  <si>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17784, 'codigo_producto': 877, 'nom_producto': 'COMISION PAGOS DIGITALES SEGUN CONTRATO', 'categoria_producto': 'consu', 'cantidad': '1.0', 'valor_unitario': 2382.31, 'precio_unitario': 2811.12, 'descuento': 0.0, 'subtotal': 2382.31, 'porcentaje_de_igv': '18.00', 'igv': 428.81, 'total': 2811.12,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</si>
  <si>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17783, 'codigo_producto': 870, 'nom_producto': 'COMISION VAOPE SEGUN CONTRATO', 'categoria_producto': 'consu', 'cantidad': '1.0', 'valor_unitario': 1468.68, 'precio_unitario': 1733.04, 'descuento': 0.0, 'subtotal': 1468.68, 'porcentaje_de_igv': '18.00', 'igv': 264.36, 'total': 1733.04,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</si>
  <si>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17782, 'codigo_producto': 877, 'nom_producto': 'COMISION PAGOS DIGITALES SEGUN CONTRATO', 'categoria_producto': 'consu', 'cantidad': '1.0', 'valor_unitario': 22.0, 'precio_unitario': 25.96, 'descuento': 0.0, 'subtotal': 22.0, 'porcentaje_de_igv': '18.00', 'igv': 3.96, 'total': 25.96,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</si>
  <si>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17781, 'codigo_producto': 870, 'nom_producto': 'COMISION VAOPE SEGUN CONTRATO', 'categoria_producto': 'consu', 'cantidad': '1.0', 'valor_unitario': 20.5, 'precio_unitario': 24.19, 'descuento': 0.0, 'subtotal': 20.5, 'porcentaje_de_igv': '18.00', 'igv': 3.69, 'total': 24.19,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</si>
  <si>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17780, 'codigo_producto': 871, 'nom_producto': 'COMISION PAGOS DIGITALES SEGUN CONTRATO ', 'categoria_producto': 'consu', 'cantidad': '1.0', 'valor_unitario': 52.29, 'precio_unitario': 61.7, 'descuento': 0.0, 'subtotal': 52.29, 'porcentaje_de_igv': '18.00', 'igv': 9.41, 'total': 61.7, 'moneda': '1', 'tipo_de_cambio': 1.0,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</si>
  <si>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17778, 'codigo_producto': 917,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</si>
  <si>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17777, 'codigo_producto': 916, 'nom_producto': 'ENTRADAS IMPRESAS FULL COLOR -CORAZON SERRANO PAITA- 2001 ', 'categoria_producto': 'consu', 'cantidad': '1.0', 'valor_unitario': 720.0, 'precio_unitario': 849.6, 'descuento': 0.0, 'subtotal': 720.0, 'porcentaje_de_igv': '18.00', 'igv': 129.6, 'total': 849.6,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</si>
  <si>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17776, 'codigo_producto': 915, 'nom_producto': 'ENTRADAS IMPRESAS FULL COLOR - CORAZON SERRANO VICE- 1901', 'categoria_producto': 'consu', 'cantidad': '1.0', 'valor_unitario': 720.0, 'precio_unitario': 849.6, 'descuento': 0.0, 'subtotal': 720.0, 'porcentaje_de_igv': '18.00', 'igv': 129.6, 'total': 849.6,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</si>
  <si>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17775, 'codigo_producto': 914, 'nom_producto': 'ENTRADAS IMPRESAS FULL COLOR -CORAZON SERRANO PARACHIQUE- 1701 Y PERSONAL DELIVERY', 'categoria_producto': 'consu', 'cantidad': '1.0', 'valor_unitario': 209.66, 'precio_unitario': 247.4, 'descuento': 0.0, 'subtotal': 209.66, 'porcentaje_de_igv': '18.00', 'igv': 37.74, 'total': 247.4,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</si>
  <si>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18786, 'codigo_producto': 877, 'nom_producto': 'COMISION PAGOS DIGITALES SEGUN CONTRATO', 'categoria_producto': 'consu', 'cantidad': '1.0', 'valor_unitario': 109.83, 'precio_unitario': 129.6, 'descuento': 0.0, 'subtotal': 109.83, 'porcentaje_de_igv': '18.00', 'igv': 19.77, 'total': 129.6, 'moneda': '1', 'tipo_de_cambio': 1.0,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</si>
  <si>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17774, 'codigo_producto': 913, 'nom_producto': 'PERSONAL - Servicio de 02 validadores Inc IGV',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</si>
  <si>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17773, 'codigo_producto': 877, 'nom_producto': 'COMISION PAGOS DIGITALES SEGUN CONTRATO', 'categoria_producto': 'consu', 'cantidad': '1.0', 'valor_unitario': 933.64, 'precio_unitario': 1101.7, 'descuento': 0.0, 'subtotal': 933.64, 'porcentaje_de_igv': '18.00', 'igv': 168.06, 'total': 1101.7,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</si>
  <si>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17772, 'codigo_producto': 870, 'nom_producto': 'COMISION VAOPE SEGUN CONTRATO', 'categoria_producto': 'consu', 'cantidad': '1.0', 'valor_unitario': 364.66, 'precio_unitario': 430.3, 'descuento': 0.0, 'subtotal': 364.66, 'porcentaje_de_igv': '18.00', 'igv': 65.64, 'total': 430.3,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</si>
  <si>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17771, 'codigo_producto': 874, 'nom_producto': 'COMISION CORTESIA', 'categoria_producto': 'consu', 'cantidad': '1.0', 'valor_unitario': 7.5, 'precio_unitario': 8.85, 'descuento': 0.0, 'subtotal': 7.5, 'porcentaje_de_igv': '18.00', 'igv': 1.35, 'total': 8.85,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</si>
  <si>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17770, 'codigo_producto': 877, 'nom_producto': 'COMISION PAGOS DIGITALES SEGUN CONTRATO', 'categoria_producto': 'consu', 'cantidad': '1.0', 'valor_unitario': 95.0, 'precio_unitario': 112.1, 'descuento': 0.0, 'subtotal': 95.0, 'porcentaje_de_igv': '18.00', 'igv': 17.1, 'total': 112.1,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</si>
  <si>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17768, 'codigo_producto': 877, 'nom_producto': 'COMISION PAGOS DIGITALES SEGUN CONTRATO', 'categoria_producto': 'consu', 'cantidad': '1.0', 'valor_unitario': 518.81, 'precio_unitario': 612.2, 'descuento': 0.0, 'subtotal': 518.81, 'porcentaje_de_igv': '18.00', 'igv': 93.39, 'total': 612.2,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</si>
  <si>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17767, 'codigo_producto': 870, 'nom_producto': 'COMISION VAOPE SEGUN CONTRATO', 'categoria_producto': 'consu', 'cantidad': '1.0', 'valor_unitario': 511.53, 'precio_unitario': 603.6, 'descuento': 0.0, 'subtotal': 511.53, 'porcentaje_de_igv': '18.00', 'igv': 92.07, 'total': 603.6,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</si>
  <si>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17766, 'codigo_producto': 912, 'nom_producto': 'BRAZALETES VIP-CORAZON SERRANO SAN JUAN DE BIGOTE- 1101 ENTRADAS IMPRESAS FULL COLOR PERSONAL DELIVERY', 'categoria_producto': 'consu', 'cantidad': '1.0', 'valor_unitario': 976.5, 'precio_unitario': 1152.27, 'descuento': 0.0, 'subtotal': 976.5, 'porcentaje_de_igv': '18.00', 'igv': 175.77, 'total': 1152.27,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</si>
  <si>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17765, 'codigo_producto': 911, 'nom_producto': 'BRAZALETES vip- CORAZON SERRANO CRUCETA - 1001 Y ENTRADAS IMPRESAS FULL COLOR', 'categoria_producto': 'consu', 'cantidad': '1.0', 'valor_unitario': 970.0, 'precio_unitario': 1144.6, 'descuento': 0.0, 'subtotal': 970.0, 'porcentaje_de_igv': '18.00', 'igv': 174.6, 'total': 1144.6,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</si>
  <si>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17763, 'codigo_producto': 909,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</si>
  <si>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17762, 'codigo_producto': 908, 'nom_producto': 'COMISION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</si>
  <si>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17761, 'codigo_producto': 907, 'nom_producto': 'COMISION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</si>
  <si>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17759, 'codigo_producto': 905, 'nom_producto': 'COMISION PAGOS DIGITALES SEGUN CONTRATO - GN MUSIC SAC ', 'categoria_producto': 'consu', 'cantidad': '1.0', 'valor_unitario': 4737.62, 'precio_unitario': 5590.39, 'descuento': 0.0, 'subtotal': 4737.62, 'porcentaje_de_igv': '18.00', 'igv': 852.77, 'total': 5590.39,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</si>
  <si>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17758, 'codigo_producto': 904, 'nom_producto': 'COMISION VAOPE SEGUN CONTRATO - GN MUSIC SAC', 'categoria_producto': 'consu', 'cantidad': '1.0', 'valor_unitario': 2961.31, 'precio_unitario': 3494.34, 'descuento': 0.0, 'subtotal': 2961.31, 'porcentaje_de_igv': '18.00', 'igv': 533.03, 'total': 3494.34,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</si>
  <si>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17757, 'codigo_producto': 903, 'nom_producto': 'PERSONAL - Servicio de 04 validadores Inc IGV ', 'categoria_producto': 'consu', 'cantidad': '1.0', 'valor_unitario': 390.0, 'precio_unitario': 460.2, 'descuento': 0.0, 'subtotal': 390.0, 'porcentaje_de_igv': '18.00', 'igv': 70.2, 'total': 460.2,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</si>
  <si>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17756, 'codigo_producto': 877, 'nom_producto': 'COMISION PAGOS DIGITALES SEGUN CONTRATO', 'categoria_producto': 'consu', 'cantidad': '1.0', 'valor_unitario': 788.9, 'precio_unitario': 930.9, 'descuento': 0.0, 'subtotal': 788.9, 'porcentaje_de_igv': '18.00', 'igv': 142.0, 'total': 930.9, 'moneda': '1', 'tipo_de_cambio': 1.0,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</si>
  <si>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17755, 'codigo_producto': 870, 'nom_producto': 'COMISION VAOPE SEGUN CONTRATO', 'categoria_producto': 'consu', 'cantidad': '1.0', 'valor_unitario': 461.61, 'precio_unitario': 544.7, 'descuento': 0.0, 'subtotal': 461.61, 'porcentaje_de_igv': '18.00', 'igv': 83.09, 'total': 544.7, 'moneda': '1', 'tipo_de_cambio': 1.0,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</si>
  <si>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17754, 'codigo_producto': 877, 'nom_producto': 'COMISION PAGOS DIGITALES SEGUN CONTRATO', 'categoria_producto': 'consu', 'cantidad': '1.0', 'valor_unitario': 1599.66, 'precio_unitario': 1887.6, 'descuento': 0.0, 'subtotal': 1599.66, 'porcentaje_de_igv': '18.00', 'igv': 287.94, 'total': 1887.6, 'moneda': '1', 'tipo_de_cambio': 1.0,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</si>
  <si>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17753, 'codigo_producto': 870, 'nom_producto': 'COMISION VAOPE SEGUN CONTRATO', 'categoria_producto': 'consu', 'cantidad': '1.0', 'valor_unitario': 947.12, 'precio_unitario': 1117.6, 'descuento': 0.0, 'subtotal': 947.12, 'porcentaje_de_igv': '18.00', 'igv': 170.48, 'total': 1117.6, 'moneda': '1', 'tipo_de_cambio': 1.0,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</si>
  <si>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17752, 'codigo_producto': 877, 'nom_producto': 'COMISION PAGOS DIGITALES SEGUN CONTRATO', 'categoria_producto': 'consu', 'cantidad': '1.0', 'valor_unitario': 92.54, 'precio_unitario': 109.2, 'descuento': 0.0, 'subtotal': 92.54, 'porcentaje_de_igv': '18.00', 'igv': 16.66, 'total': 109.2,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</si>
  <si>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17750, 'codigo_producto': 874, 'nom_producto': 'COMISION CORTESIA', 'categoria_producto': 'consu', 'cantidad': '1.0', 'valor_unitario': 15.0, 'precio_unitario': 17.7, 'descuento': 0.0, 'subtotal': 15.0, 'porcentaje_de_igv': '18.00', 'igv': 2.7, 'total': 17.7,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</si>
  <si>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17749, 'codigo_producto': 877, 'nom_producto': 'COMISION PAGOS DIGITALES SEGUN CONTRATO', 'categoria_producto': 'consu', 'cantidad': '1.0', 'valor_unitario': 530.17, 'precio_unitario': 625.6, 'descuento': 0.0, 'subtotal': 530.17, 'porcentaje_de_igv': '18.00', 'igv': 95.43, 'total': 625.6,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</si>
  <si>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17748, 'codigo_producto': 870, 'nom_producto': 'COMISION VAOPE SEGUN CONTRATO', 'categoria_producto': 'consu', 'cantidad': '1.0', 'valor_unitario': 338.9, 'precio_unitario': 399.9, 'descuento': 0.0, 'subtotal': 338.9, 'porcentaje_de_igv': '18.00', 'igv': 61.0, 'total': 399.9,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</si>
  <si>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17250, 'codigo_producto': 902,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</si>
  <si>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17249, 'codigo_producto': 901, 'nom_producto': 'ENTRADAS IMPRESAS - ORDEN DE VENTA N518   Caribepiscinazo con Caribenos en El Remanso de Comas  2000 FULL COLOR GENERAL ADULTOS  300 FULL COLOR GENERAL NINOS S108560 ', 'categoria_producto': 'consu', 'cantidad': '1.0', 'valor_unitario': 920.0, 'precio_unitario': 1085.6, 'descuento': 0.0, 'subtotal': 920.0, 'porcentaje_de_igv': '18.00', 'igv': 165.6, 'total': 1085.6,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</si>
  <si>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17248, 'codigo_producto': 877, 'nom_producto': 'COMISION PAGOS DIGITALES SEGUN CONTRATO', 'categoria_producto': 'consu', 'cantidad': '1.0', 'valor_unitario': 1200.42, 'precio_unitario': 1416.5, 'descuento': 0.0, 'subtotal': 1200.42, 'porcentaje_de_igv': '18.00', 'igv': 216.08, 'total': 1416.5,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</si>
  <si>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17247, 'codigo_producto': 878, 'nom_producto': 'COMISION VAOPE SEGUN CONTRATO ', 'categoria_producto': 'consu', 'cantidad': '1.0', 'valor_unitario': 586.36, 'precio_unitario': 691.9, 'descuento': 0.0, 'subtotal': 586.36, 'porcentaje_de_igv': '18.00', 'igv': 105.54, 'total': 691.9,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</si>
  <si>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17245, 'codigo_producto': 870, 'nom_producto': 'COMISION VAOPE SEGUN CONTRATO', 'categoria_producto': 'consu', 'cantidad': '1.0', 'valor_unitario': 36.61, 'precio_unitario': 43.2, 'descuento': 0.0, 'subtotal': 36.61, 'porcentaje_de_igv': '18.00', 'igv': 6.59, 'total': 43.2,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</si>
  <si>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17244, 'codigo_producto': 900, 'nom_producto': 'PERSONAL - gasto envio',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</si>
  <si>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17243, 'codigo_producto': 899, 'nom_producto': 'ENTRADAS IMPRESAS - ORDEN DE VENTA N505\n  La Unica Tropical en Casa Cub Sullana  3000 FULL COLOR GENERAL  1000 BRAZALETES VIP S212400', 'categoria_producto': 'consu', 'cantidad': '1.0', 'valor_unitario': 1800.0, 'precio_unitario': 2124.0, 'descuento': 0.0, 'subtotal': 1800.0, 'porcentaje_de_igv': '18.00', 'igv': 324.0, 'total': 2124.0,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</si>
  <si>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17242, 'codigo_producto': 898, 'nom_producto': 'ENTRADAS IMPRESAS - ORDEN DE VENTA N493\n  FELIZ NAVIDAD SECHURA - I - P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</si>
  <si>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17241, 'codigo_producto': 897, 'nom_producto': 'ENTRADAS IMPRESAS - ORDEN DE VENTA N500\n  LA UNICA TROPICAL - EL ALTO - PIURA - 30 DE DIC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</si>
  <si>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17240, 'codigo_producto': 896, 'nom_producto': 'ENTRADAS IMPRESAS - ORDEN DE VENTA N501\n  LA UNICA TROPICAL - LA UNION - BAJO PIURA - 28 DE DIC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</si>
  <si>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17239, 'codigo_producto': 895, 'nom_producto': 'ENTRADAS IMPRESAS - ORDEN DE VENTA N514\n  LA UNICA TROPICAL EN PLAZA NORTE - I - P  2000 FULL COLOR  2000 BRAZALETES VIP S236000', 'categoria_producto': 'consu', 'cantidad': '1.0', 'valor_unitario': 2000.0, 'precio_unitario': 2360.0, 'descuento': 0.0, 'subtotal': 2000.0, 'porcentaje_de_igv': '18.00', 'igv': 360.0, 'total': 2360.0,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</si>
  <si>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17238, 'codigo_producto': 894, 'nom_producto': 'ENTRADAS IMPRESAS - ORDEN DE VENTA N512\n  La Unica Tropical en Aqualandia de Piura - 2DO PEDIDO - 3112 - I - P 2000 BRAZALETES VIP S141600\n',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</si>
  <si>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17237, 'codigo_producto': 893, 'nom_producto': 'ENTRADAS IMPRESAS - ORDEN DE VENTA N502 La Unica Tropical en Aqualandia de Piura  10000 FULL COLOR GENERAL  3000 FULL COLOR NINOS S613600', 'categoria_producto': 'consu', 'cantidad': '1.0', 'valor_unitario': 5200.0, 'precio_unitario': 6136.0, 'descuento': 0.0, 'subtotal': 5200.0, 'porcentaje_de_igv': '18.00', 'igv': 936.0, 'total': 6136.0,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</si>
  <si>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17236, 'codigo_producto': 877, 'nom_producto': 'COMISION PAGOS DIGITALES SEGUN CONTRATO', 'categoria_producto': 'consu', 'cantidad': '1.0', 'valor_unitario': 3942.12, 'precio_unitario': 4651.7, 'descuento': 0.0, 'subtotal': 3942.12, 'porcentaje_de_igv': '18.00', 'igv': 709.58, 'total': 4651.7,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</si>
  <si>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17235, 'codigo_producto': 870, 'nom_producto': 'COMISION VAOPE SEGUN CONTRATO', 'categoria_producto': 'consu', 'cantidad': '1.0', 'valor_unitario': 2244.07, 'precio_unitario': 2648.0, 'descuento': 0.0, 'subtotal': 2244.07, 'porcentaje_de_igv': '18.00', 'igv': 403.93, 'total': 2648.0,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</si>
  <si>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17234, 'codigo_producto': 874, 'nom_producto': 'COMISION CORTESIA', 'categoria_producto': 'consu', 'cantidad': '1.0', 'valor_unitario': 202.5, 'precio_unitario': 238.95, 'descuento': 0.0, 'subtotal': 202.5, 'porcentaje_de_igv': '18.00', 'igv': 36.45, 'total': 238.95,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</si>
  <si>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17233, 'codigo_producto': 892, 'nom_producto': 'PERSONAL - Servicio de 03 validadores inc IGV',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</si>
  <si>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17232, 'codigo_producto': 891, 'nom_producto': 'ENTRADAS IMPRESAS - ORDEN DE VENTA N509\n  Fieston de Ano Nuevo en Lima Sur con Armonia 10 Pamela Franco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</si>
  <si>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17231, 'codigo_producto': 871, 'nom_producto': 'COMISION PAGOS DIGITALES SEGUN CONTRATO ', 'categoria_producto': 'consu', 'cantidad': '1.0', 'valor_unitario': 2862.29, 'precio_unitario': 3377.5, 'descuento': 0.0, 'subtotal': 2862.29, 'porcentaje_de_igv': '18.00', 'igv': 515.21, 'total': 3377.5,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</si>
  <si>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17230, 'codigo_producto': 878, 'nom_producto': 'COMISION VAOPE SEGUN CONTRATO ', 'categoria_producto': 'consu', 'cantidad': '1.0', 'valor_unitario': 4262.2, 'precio_unitario': 5029.4, 'descuento': 0.0, 'subtotal': 4262.2, 'porcentaje_de_igv': '18.00', 'igv': 767.2, 'total': 5029.4,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</si>
  <si>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17228, 'codigo_producto': 890, 'nom_producto': 'ENTRADAS IMPRESAS - ORDEN DE VENTA N509  Fieston de Ano Nuevo en Lima Sur con Armonia 10 Pamela Franco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</si>
  <si>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17226, 'codigo_producto': 870, 'nom_producto': 'COMISION VAOPE SEGUN CONTRATO', 'categoria_producto': 'consu', 'cantidad': '1.0', 'valor_unitario': 6.0, 'precio_unitario': 7.08, 'descuento': 0.0, 'subtotal': 6.0, 'porcentaje_de_igv': '18.00', 'igv': 1.08, 'total': 7.08,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</si>
  <si>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17225, 'codigo_producto': 889,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</t>
  </si>
  <si>
    <t>[{'id_producto': 17224, 'codigo_producto': 877, 'nom_producto': 'COMISION PAGOS DIGITALES SEGUN CONTRATO', 'categoria_producto': 'consu', 'cantidad': '1.0', 'valor_unitario': 1978.14, 'precio_unitario': 2334.2, 'descuento': 0.0, 'subtotal': 1978.14, 'porcentaje_de_igv': '18.00', 'igv': 356.06, 'total': 2334.2,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</si>
  <si>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17223, 'codigo_producto': 878, 'nom_producto': 'COMISION VAOPE SEGUN CONTRATO ', 'categoria_producto': 'consu', 'cantidad': '1.0', 'valor_unitario': 1085.76, 'precio_unitario': 1281.2, 'descuento': 0.0, 'subtotal': 1085.76, 'porcentaje_de_igv': '18.00', 'igv': 195.44, 'total': 1281.2,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</si>
  <si>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17222, 'codigo_producto': 874, 'nom_producto': 'COMISION CORTESIA', 'categoria_producto': 'consu', 'cantidad': '1.0', 'valor_unitario': 50.0, 'precio_unitario': 59.0, 'descuento': 0.0, 'subtotal': 50.0, 'porcentaje_de_igv': '18.00', 'igv': 9.0, 'total': 59.0,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</si>
  <si>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17221, 'codigo_producto': 877, 'nom_producto': 'COMISION PAGOS DIGITALES SEGUN CONTRATO', 'categoria_producto': 'consu', 'cantidad': '1.0', 'valor_unitario': 227.88, 'precio_unitario': 268.9, 'descuento': 0.0, 'subtotal': 227.88, 'porcentaje_de_igv': '18.00', 'igv': 41.02, 'total': 268.9,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</si>
  <si>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17220, 'codigo_producto': 870, 'nom_producto': 'COMISION VAOPE SEGUN CONTRATO', 'categoria_producto': 'consu', 'cantidad': '1.0', 'valor_unitario': 126.36, 'precio_unitario': 149.1, 'descuento': 0.0, 'subtotal': 126.36, 'porcentaje_de_igv': '18.00', 'igv': 22.74, 'total': 149.1,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</si>
  <si>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17219, 'codigo_producto': 877, 'nom_producto': 'COMISION PAGOS DIGITALES SEGUN CONTRATO', 'categoria_producto': 'consu', 'cantidad': '1.0', 'valor_unitario': 113.39, 'precio_unitario': 133.8, 'descuento': 0.0, 'subtotal': 113.39, 'porcentaje_de_igv': '18.00', 'igv': 20.41, 'total': 133.8, 'moneda': '1', 'tipo_de_cambio': 1.0,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</si>
  <si>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17217, 'codigo_producto': 871, 'nom_producto': 'COMISION PAGOS DIGITALES SEGUN CONTRATO ', 'categoria_producto': 'consu', 'cantidad': '1.0', 'valor_unitario': 283.79, 'precio_unitario': 334.87, 'descuento': 0.0, 'subtotal': 283.79, 'porcentaje_de_igv': '18.00', 'igv': 51.08, 'total': 334.87,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</si>
  <si>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17216, 'codigo_producto': 878, 'nom_producto': 'COMISION VAOPE SEGUN CONTRATO ', 'categoria_producto': 'consu', 'cantidad': '1.0', 'valor_unitario': 208.23, 'precio_unitario': 245.71, 'descuento': 0.0, 'subtotal': 208.23, 'porcentaje_de_igv': '18.00', 'igv': 37.48, 'total': 245.71,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</si>
  <si>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17215,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</si>
  <si>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17214, 'codigo_producto': 877, 'nom_producto': 'COMISION PAGOS DIGITALES SEGUN CONTRATO', 'categoria_producto': 'consu', 'cantidad': '1.0', 'valor_unitario': 218.69, 'precio_unitario': 258.06, 'descuento': 0.0, 'subtotal': 218.69, 'porcentaje_de_igv': '18.00', 'igv': 39.37, 'total': 258.06, 'moneda': '1', 'tipo_de_cambio': 1.0,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</si>
  <si>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17213,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</si>
  <si>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17212, 'codigo_producto': 877, 'nom_producto': 'COMISION PAGOS DIGITALES SEGUN CONTRATO', 'categoria_producto': 'consu', 'cantidad': '1.0', 'valor_unitario': 311.91, 'precio_unitario': 368.05, 'descuento': 0.0, 'subtotal': 311.91, 'porcentaje_de_igv': '18.00', 'igv': 56.14, 'total': 368.05, 'moneda': '1', 'tipo_de_cambio': 1.0,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</si>
  <si>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17211,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1120, 'nom_organizador': 'SABORES CRIOLLOS DEL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</si>
  <si>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17210, 'codigo_producto': 871, 'nom_producto': 'COMISION PAGOS DIGITALES SEGUN CONTRATO ', 'categoria_producto': 'consu', 'cantidad': '1.0', 'valor_unitario': 678.25, 'precio_unitario': 800.33, 'descuento': 0.0, 'subtotal': 678.25, 'porcentaje_de_igv': '18.00', 'igv': 122.08, 'total': 800.33, 'moneda': '1', 'tipo_de_cambio': 1.0, 'id_estado': 'not_paid', 'nombre_estado': 'Sin pagar', 'evento': {'id_evento': '', 'nom_evento': '', 'fecha_hora_ini_event': '', 'fecha_hora_fin_event': '', 'id_organizador': 1120, 'nom_organizador': 'SABORES CRIOLLOS DEL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</si>
  <si>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17209, 'codigo_producto': 888, 'nom_producto': 'FEE ADMINISTRATIVO - Fee administrativo adelanto de recaudacion',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</si>
  <si>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17208, 'codigo_producto': 877, 'nom_producto': 'COMISION PAGOS DIGITALES SEGUN CONTRATO', 'categoria_producto': 'consu', 'cantidad': '1.0', 'valor_unitario': 2836.25, 'precio_unitario': 3346.77, 'descuento': 0.0, 'subtotal': 2836.25, 'porcentaje_de_igv': '18.00', 'igv': 510.52, 'total': 3346.77,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</si>
  <si>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17207, 'codigo_producto': 870, 'nom_producto': 'COMISION VAOPE SEGUN CONTRATO', 'categoria_producto': 'consu', 'cantidad': '1.0', 'valor_unitario': 2033.08, 'precio_unitario': 2399.04, 'descuento': 0.0, 'subtotal': 2033.08, 'porcentaje_de_igv': '18.00', 'igv': 365.96, 'total': 2399.04,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</si>
  <si>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17206, 'codigo_producto': 877, 'nom_producto': 'COMISION PAGOS DIGITALES SEGUN CONTRATO', 'categoria_producto': 'consu', 'cantidad': '1.0', 'valor_unitario': 59.66, 'precio_unitario': 70.4, 'descuento': 0.0, 'subtotal': 59.66, 'porcentaje_de_igv': '18.00', 'igv': 10.74, 'total': 70.4, 'moneda': '1', 'tipo_de_cambio': 1.0,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</si>
  <si>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17205, 'codigo_producto': 878, 'nom_producto': 'COMISION VAOPE SEGUN CONTRATO ', 'categoria_producto': 'consu', 'cantidad': '1.0', 'valor_unitario': 43.0, 'precio_unitario': 50.74, 'descuento': 0.0, 'subtotal': 43.0, 'porcentaje_de_igv': '18.00', 'igv': 7.74, 'total': 50.74, 'moneda': '1', 'tipo_de_cambio': 1.0,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</si>
  <si>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17204, 'codigo_producto': 877, 'nom_producto': 'COMISION PAGOS DIGITALES SEGUN CONTRATO', 'categoria_producto': 'consu', 'cantidad': '1.0', 'valor_unitario': 66.45, 'precio_unitario': 78.41, 'descuento': 0.0, 'subtotal': 66.45, 'porcentaje_de_igv': '18.00', 'igv': 11.96, 'total': 78.41, 'moneda': '1', 'tipo_de_cambio': 1.0,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</si>
  <si>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17202, 'codigo_producto': 877, 'nom_producto': 'COMISION PAGOS DIGITALES SEGUN CONTRATO', 'categoria_producto': 'consu', 'cantidad': '1.0', 'valor_unitario': 222.31, 'precio_unitario': 262.32, 'descuento': 0.0, 'subtotal': 222.31, 'porcentaje_de_igv': '18.00', 'igv': 40.01, 'total': 262.32,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</si>
  <si>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17201, 'codigo_producto': 870, 'nom_producto': 'COMISION VAOPE SEGUN CONTRATO', 'categoria_producto': 'consu', 'cantidad': '1.0', 'valor_unitario': 133.42, 'precio_unitario': 157.44, 'descuento': 0.0, 'subtotal': 133.42, 'porcentaje_de_igv': '18.00', 'igv': 24.02, 'total': 157.44,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</si>
  <si>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17200, 'codigo_producto': 877, 'nom_producto': 'COMISION PAGOS DIGITALES SEGUN CONTRATO', 'categoria_producto': 'consu', 'cantidad': '1.0', 'valor_unitario': 21.61, 'precio_unitario': 25.5, 'descuento': 0.0, 'subtotal': 21.61, 'porcentaje_de_igv': '18.00', 'igv': 3.89, 'total': 25.5, 'moneda': '1', 'tipo_de_cambio': 1.0,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</si>
  <si>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17198, 'codigo_producto': 887, 'nom_producto': 'COMISION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1.0,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</si>
  <si>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17197, 'codigo_producto': 886, 'nom_producto': 'COMISION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1.0,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</si>
  <si>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17196, 'codigo_producto': 885, 'nom_producto': 'COMISION VAOPE SEGUN CONTRATO', 'categoria_producto': 'consu', 'cantidad': '1.0', 'valor_unitario': 109.06, 'precio_unitario': 128.69, 'descuento': 0.0, 'subtotal': 109.06, 'porcentaje_de_igv': '18.00', 'igv': 19.63, 'total': 128.69, 'moneda': '1', 'tipo_de_cambio': 1.0,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</si>
  <si>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17195, 'codigo_producto': 216, 'nom_producto': 'COMISION PAGOS DIGITALES SEGUN CONTRATO', 'categoria_producto': 'service', 'cantidad': '1.0', 'valor_unitario': 182.75, 'precio_unitario': 215.64, 'descuento': 0.0, 'subtotal': 182.75, 'porcentaje_de_igv': '18.00', 'igv': 32.89, 'total': 215.64, 'moneda': '1', 'tipo_de_cambio': 1.0,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</si>
  <si>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17194, 'codigo_producto': 216, 'nom_producto': 'COMISION PAGOS DIGITALES SEGUN CONTRATO', 'categoria_producto': 'service', 'cantidad': '1.0', 'valor_unitario': 757.54, 'precio_unitario': 893.9, 'descuento': 0.0, 'subtotal': 757.54, 'porcentaje_de_igv': '18.00', 'igv': 136.36, 'total': 893.9,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</si>
  <si>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17193, 'codigo_producto': 878, 'nom_producto': 'COMISION VAOPE SEGUN CONTRATO ', 'categoria_producto': 'consu', 'cantidad': '1.0', 'valor_unitario': 460.17, 'precio_unitario': 543.0, 'descuento': 0.0, 'subtotal': 460.17, 'porcentaje_de_igv': '18.00', 'igv': 82.83, 'total': 543.0,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</si>
  <si>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17192, 'codigo_producto': 874, 'nom_producto': 'COMISION CORTESIA', 'categoria_producto': 'consu', 'cantidad': '1.0', 'valor_unitario': 8.5, 'precio_unitario': 10.03, 'descuento': 0.0, 'subtotal': 8.5, 'porcentaje_de_igv': '18.00', 'igv': 1.53, 'total': 10.03,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</si>
  <si>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17191, 'codigo_producto': 883,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</t>
  </si>
  <si>
    <t>[{'id_producto': 17190, 'codigo_producto': 882, 'nom_producto': 'PERSONAL - Servicio de 05 validadores Inc IGV', 'categoria_producto': 'consu', 'cantidad': '1.0', 'valor_unitario': 750.0, 'precio_unitario': 885.0, 'descuento': 0.0, 'subtotal': 750.0, 'porcentaje_de_igv': '18.00', 'igv': 135.0, 'total': 885.0,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</si>
  <si>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17189, 'codigo_producto': 881, 'nom_producto': 'ENTRADAS IMPRESAS - ORDEN DE VENTA N506\n  Alberto Barros en El Remanso de Comas 1200 BRAZALETES VIP  2250 FULL COLOR GENERAL S177000\n', 'categoria_producto': 'consu', 'cantidad': '1.0', 'valor_unitario': 1500.0, 'precio_unitario': 1770.0, 'descuento': 0.0, 'subtotal': 1500.0, 'porcentaje_de_igv': '18.00', 'igv': 270.0, 'total': 1770.0,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</si>
  <si>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17188, 'codigo_producto': 877, 'nom_producto': 'COMISION PAGOS DIGITALES SEGUN CONTRATO', 'categoria_producto': 'consu', 'cantidad': '1.0', 'valor_unitario': 2915.0, 'precio_unitario': 3439.7, 'descuento': 0.0, 'subtotal': 2915.0, 'porcentaje_de_igv': '18.00', 'igv': 524.7, 'total': 3439.7,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</si>
  <si>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17187, 'codigo_producto': 870, 'nom_producto': 'COMISION VAOPE SEGUN CONTRATO', 'categoria_producto': 'consu', 'cantidad': '1.0', 'valor_unitario': 1759.92, 'precio_unitario': 2076.7, 'descuento': 0.0, 'subtotal': 1759.92, 'porcentaje_de_igv': '18.00', 'igv': 316.78, 'total': 2076.7,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</si>
  <si>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17186, 'codigo_producto': 877, 'nom_producto': 'COMISION PAGOS DIGITALES SEGUN CONTRATO', 'categoria_producto': 'consu', 'cantidad': '1.0', 'valor_unitario': 170.76, 'precio_unitario': 201.5, 'descuento': 0.0, 'subtotal': 170.76, 'porcentaje_de_igv': '18.00', 'igv': 30.74, 'total': 201.5,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</si>
  <si>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17185, 'codigo_producto': 870, 'nom_producto': 'COMISION VAOPE SEGUN CONTRATO', 'categoria_producto': 'consu', 'cantidad': '1.0', 'valor_unitario': 102.29, 'precio_unitario': 120.7, 'descuento': 0.0, 'subtotal': 102.29, 'porcentaje_de_igv': '18.00', 'igv': 18.41, 'total': 120.7,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</si>
  <si>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17184, 'codigo_producto': 877, 'nom_producto': 'COMISION PAGOS DIGITALES SEGUN CONTRATO', 'categoria_producto': 'consu', 'cantidad': '1.0', 'valor_unitario': 75.68, 'precio_unitario': 89.3, 'descuento': 0.0, 'subtotal': 75.68, 'porcentaje_de_igv': '18.00', 'igv': 13.62, 'total': 89.3, 'moneda': '1', 'tipo_de_cambio': 1.0,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</si>
  <si>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17183, 'codigo_producto': 870, 'nom_producto': 'COMISION VAOPE SEGUN CONTRATO', 'categoria_producto': 'consu', 'cantidad': '1.0', 'valor_unitario': 43.22, 'precio_unitario': 51.0, 'descuento': 0.0, 'subtotal': 43.22, 'porcentaje_de_igv': '18.00', 'igv': 7.78, 'total': 51.0, 'moneda': '1', 'tipo_de_cambio': 1.0,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</si>
  <si>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17182, 'codigo_producto': 877, 'nom_producto': 'COMISION PAGOS DIGITALES SEGUN CONTRATO', 'categoria_producto': 'consu', 'cantidad': '1.0', 'valor_unitario': 889.65, 'precio_unitario': 1049.79, 'descuento': 0.0, 'subtotal': 889.65, 'porcentaje_de_igv': '18.00', 'igv': 160.14, 'total': 1049.79,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</si>
  <si>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17181, 'codigo_producto': 870, 'nom_producto': 'COMISION VAOPE SEGUN CONTRATO', 'categoria_producto': 'consu', 'cantidad': '1.0', 'valor_unitario': 545.08, 'precio_unitario': 643.2, 'descuento': 0.0, 'subtotal': 545.08, 'porcentaje_de_igv': '18.00', 'igv': 98.12, 'total': 643.2,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</si>
  <si>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17180, 'codigo_producto': 871, 'nom_producto': 'COMISION PAGOS DIGITALES SEGUN CONTRATO ', 'categoria_producto': 'consu', 'cantidad': '1.0', 'valor_unitario': 39.73, 'precio_unitario': 46.88, 'descuento': 0.0, 'subtotal': 39.73, 'porcentaje_de_igv': '18.00', 'igv': 7.15, 'total': 46.88, 'moneda': '1', 'tipo_de_cambio': 1.0,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</si>
  <si>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17178, 'codigo_producto': 870, 'nom_producto': 'COMISION VAOPE SEGUN CONTRATO', 'categoria_producto': 'consu', 'cantidad': '1.0', 'valor_unitario': 58.39, 'precio_unitario': 68.9, 'descuento': 0.0, 'subtotal': 58.39, 'porcentaje_de_igv': '18.00', 'igv': 10.51, 'total': 68.9,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</si>
  <si>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17174,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</si>
  <si>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17173, 'codigo_producto': 877, 'nom_producto': 'COMISION PAGOS DIGITALES SEGUN CONTRATO', 'categoria_producto': 'consu', 'cantidad': '1.0', 'valor_unitario': 598.73, 'precio_unitario': 706.5, 'descuento': 0.0, 'subtotal': 598.73, 'porcentaje_de_igv': '18.00', 'igv': 107.77, 'total': 706.5,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</si>
  <si>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17172, 'codigo_producto': 878, 'nom_producto': 'COMISION VAOPE SEGUN CONTRATO ', 'categoria_producto': 'consu', 'cantidad': '1.0', 'valor_unitario': 343.47, 'precio_unitario': 405.3, 'descuento': 0.0, 'subtotal': 343.47, 'porcentaje_de_igv': '18.00', 'igv': 61.83, 'total': 405.3,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</si>
  <si>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17171, 'codigo_producto': 871, 'nom_producto': 'COMISION PAGOS DIGITALES SEGUN CONTRATO ', 'categoria_producto': 'consu', 'cantidad': '1.0', 'valor_unitario': 323.68, 'precio_unitario': 381.94, 'descuento': 0.0, 'subtotal': 323.68, 'porcentaje_de_igv': '18.00', 'igv': 58.26, 'total': 381.94, 'moneda': '1', 'tipo_de_cambio': 1.0,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</si>
  <si>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17170, 'codigo_producto': 870, 'nom_producto': 'COMISION VAOPE SEGUN CONTRATO', 'categoria_producto': 'consu', 'cantidad': '1.0', 'valor_unitario': 177.59, 'precio_unitario': 209.56, 'descuento': 0.0, 'subtotal': 177.59, 'porcentaje_de_igv': '18.00', 'igv': 31.97, 'total': 209.56, 'moneda': '1', 'tipo_de_cambio': 1.0,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</si>
  <si>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17169,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</si>
  <si>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17168,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</si>
  <si>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17167, 'codigo_producto': 877, 'nom_producto': 'COMISION PAGOS DIGITALES SEGUN CONTRATO', 'categoria_producto': 'consu', 'cantidad': '1.0', 'valor_unitario': 2919.83, 'precio_unitario': 3445.4, 'descuento': 0.0, 'subtotal': 2919.83, 'porcentaje_de_igv': '18.00', 'igv': 525.57, 'total': 3445.4,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</si>
  <si>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17166, 'codigo_producto': 870, 'nom_producto': 'COMISION VAOPE SEGUN CONTRATO', 'categoria_producto': 'consu', 'cantidad': '1.0', 'valor_unitario': 1439.87, 'precio_unitario': 1699.05, 'descuento': 0.0, 'subtotal': 1439.87, 'porcentaje_de_igv': '18.00', 'igv': 259.18, 'total': 1699.05,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</si>
  <si>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17165,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</t>
  </si>
  <si>
    <t>[{'id_producto': 17164, 'codigo_producto': 877, 'nom_producto': 'COMISION PAGOS DIGITALES SEGUN CONTRATO', 'categoria_producto': 'consu', 'cantidad': '1.0', 'valor_unitario': 3774.66, 'precio_unitario': 4454.1, 'descuento': 0.0, 'subtotal': 3774.66, 'porcentaje_de_igv': '18.00', 'igv': 679.44, 'total': 4454.1,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</si>
  <si>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17163, 'codigo_producto': 878, 'nom_producto': 'COMISION VAOPE SEGUN CONTRATO ', 'categoria_producto': 'consu', 'cantidad': '1.0', 'valor_unitario': 3056.78, 'precio_unitario': 3607.0, 'descuento': 0.0, 'subtotal': 3056.78, 'porcentaje_de_igv': '18.00', 'igv': 550.22, 'total': 3607.0,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</si>
  <si>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17162, 'codigo_producto': 877, 'nom_producto': 'COMISION PAGOS DIGITALES SEGUN CONTRATO', 'categoria_producto': 'consu', 'cantidad': '1.0', 'valor_unitario': 129.15, 'precio_unitario': 152.4, 'descuento': 0.0, 'subtotal': 129.15, 'porcentaje_de_igv': '18.00', 'igv': 23.25, 'total': 152.4, 'moneda': '1', 'tipo_de_cambio': 1.0,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</si>
  <si>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17161, 'codigo_producto': 870, 'nom_producto': 'COMISION VAOPE SEGUN CONTRATO', 'categoria_producto': 'consu', 'cantidad': '1.0', 'valor_unitario': 84.07, 'precio_unitario': 99.2, 'descuento': 0.0, 'subtotal': 84.07, 'porcentaje_de_igv': '18.00', 'igv': 15.13, 'total': 99.2, 'moneda': '1', 'tipo_de_cambio': 1.0,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</si>
  <si>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17160, 'codigo_producto': 990,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</si>
  <si>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17159, 'codigo_producto': 875, 'nom_producto': 'ENTRADAS IMPRESAS - ORDEN DE VENTA N510  Ano Nuevo 2025 en Arequipa con Armonia 10 Yarita Lizeth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</si>
  <si>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17158, 'codigo_producto': 871, 'nom_producto': 'COMISION PAGOS DIGITALES SEGUN CONTRATO ', 'categoria_producto': 'consu', 'cantidad': '1.0', 'valor_unitario': 1590.93, 'precio_unitario': 1877.3, 'descuento': 0.0, 'subtotal': 1590.93, 'porcentaje_de_igv': '18.00', 'igv': 286.37, 'total': 1877.3,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</si>
  <si>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17157, 'codigo_producto': 870, 'nom_producto': 'COMISION VAOPE SEGUN CONTRATO', 'categoria_producto': 'consu', 'cantidad': '1.0', 'valor_unitario': 2158.64, 'precio_unitario': 2547.2, 'descuento': 0.0, 'subtotal': 2158.64, 'porcentaje_de_igv': '18.00', 'igv': 388.56, 'total': 2547.2,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</si>
  <si>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17156, 'codigo_producto': 874, 'nom_producto': 'COMISION CORTESIA', 'categoria_producto': 'consu', 'cantidad': '1.0', 'valor_unitario': 171.0, 'precio_unitario': 201.78, 'descuento': 0.0, 'subtotal': 171.0, 'porcentaje_de_igv': '18.00', 'igv': 30.78, 'total': 201.78,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</si>
  <si>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17155, 'codigo_producto': 873, 'nom_producto': 'PERSONAL - Servicio de 03 validadores Inc IGV 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</t>
  </si>
  <si>
    <t>[{'id_producto': 17154, 'codigo_producto': 872, 'nom_producto': 'ENTRADAS IMPRESAS - ORDEN DE VENTA N508\n  Fieston de Ano Nuevo Lima Norte en Plaza de Acho con Armonia 10 Pamela Franco Deyvis Orosco y mas 4000 FULL COLOR GENERAL  2000 BRAZALETES VIP  1500 BRAZALETES PLATINUM S436600', 'categoria_producto': 'consu', 'cantidad': '1.0', 'valor_unitario': 3700.0, 'precio_unitario': 4366.0, 'descuento': 0.0, 'subtotal': 3700.0, 'porcentaje_de_igv': '18.00', 'igv': 666.0, 'total': 4366.0,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</t>
  </si>
  <si>
    <t>[{'id_producto': 17153, 'codigo_producto': 871, 'nom_producto': 'COMISION PAGOS DIGITALES SEGUN CONTRATO ', 'categoria_producto': 'consu', 'cantidad': '1.0', 'valor_unitario': 3425.85, 'precio_unitario': 4042.5, 'descuento': 0.0, 'subtotal': 3425.85, 'porcentaje_de_igv': '18.00', 'igv': 616.65, 'total': 4042.5,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</si>
  <si>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17152, 'codigo_producto': 870, 'nom_producto': 'COMISION VAOPE SEGUN CONTRATO', 'categoria_producto': 'consu', 'cantidad': '1.0', 'valor_unitario': 4569.66, 'precio_unitario': 5392.2, 'descuento': 0.0, 'subtotal': 4569.66, 'porcentaje_de_igv': '18.00', 'igv': 822.54, 'total': 5392.2,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</si>
  <si>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(01) Factura FOF1-00000047</t>
  </si>
  <si>
    <t>(01) Factura FOF1-00000048</t>
  </si>
  <si>
    <t>(01) Factura FOF1-00000049</t>
  </si>
  <si>
    <t>(01) Factura FOF1-00000050</t>
  </si>
  <si>
    <t>(01) Factura FOF1-00000051</t>
  </si>
  <si>
    <t>(01) Factura FOF1-00000052</t>
  </si>
  <si>
    <t>(01) Factura FOF1-00000053</t>
  </si>
  <si>
    <t>(01) Factura FOF1-00000054</t>
  </si>
  <si>
    <t>(01) Factura FOF1-00000055</t>
  </si>
  <si>
    <t>(01) Factura FOF1-00000056</t>
  </si>
  <si>
    <t>(01) Factura FOF1-00000057</t>
  </si>
  <si>
    <t>(01) Factura FOF1-00000058</t>
  </si>
  <si>
    <t>(01) Factura FOF1-00000059</t>
  </si>
  <si>
    <t>(01) Factura FOF1-00000060</t>
  </si>
  <si>
    <t>(01) Factura FOF1-00000061</t>
  </si>
  <si>
    <t>(01) Factura FOF1-00000062</t>
  </si>
  <si>
    <t>(01) Factura FOF1-00000063</t>
  </si>
  <si>
    <t>(01) Factura FOF1-00000064</t>
  </si>
  <si>
    <t>(01) Factura FOF1-00000065</t>
  </si>
  <si>
    <t>(01) Factura FOF1-00000066</t>
  </si>
  <si>
    <t>(01) Factura FOF1-00000069</t>
  </si>
  <si>
    <t>(01) Factura FOF1-00000070</t>
  </si>
  <si>
    <t>(01) Factura FOF1-00000071</t>
  </si>
  <si>
    <t>(01) Factura FOF1-00000072</t>
  </si>
  <si>
    <t>(01) Factura FOF1-00000073</t>
  </si>
  <si>
    <t>(01) Factura FOF1-00000074</t>
  </si>
  <si>
    <t>(01) Factura FOF1-00000075</t>
  </si>
  <si>
    <t>(01) Factura FOF1-00000076</t>
  </si>
  <si>
    <t>(01) Factura FOF1-00000077</t>
  </si>
  <si>
    <t>(01) Factura FOF1-00000078</t>
  </si>
  <si>
    <t>(01) Factura FOF1-00000079</t>
  </si>
  <si>
    <t>(01) Factura FOF1-00000080</t>
  </si>
  <si>
    <t>(01) Factura FOF1-00000081</t>
  </si>
  <si>
    <t>(01) Factura FOF1-00000082</t>
  </si>
  <si>
    <t>(01) Factura FOF1-00000083</t>
  </si>
  <si>
    <t>(01) Factura FOF1-00000084</t>
  </si>
  <si>
    <t>(01) Factura FOF1-00000085</t>
  </si>
  <si>
    <t>(01) Factura FOF1-00000086</t>
  </si>
  <si>
    <t>(01) Factura FOF1-00000087</t>
  </si>
  <si>
    <t>(01) Factura FOF1-00000088</t>
  </si>
  <si>
    <t>(01) Factura FOF1-00000089</t>
  </si>
  <si>
    <t>(01) Factura FOF1-00000090</t>
  </si>
  <si>
    <t>(01) Factura FOF1-00000091</t>
  </si>
  <si>
    <t>(01) Factura FOF1-00000092</t>
  </si>
  <si>
    <t>(01) Factura FOF1-00000093</t>
  </si>
  <si>
    <t>(01) Factura FOF1-00000094</t>
  </si>
  <si>
    <t>(01) Factura FOF1-00000095</t>
  </si>
  <si>
    <t>(01) Factura FOF1-00000096</t>
  </si>
  <si>
    <t>(01) Factura FOF1-00000097</t>
  </si>
  <si>
    <t>(01) Factura FOF1-00000098</t>
  </si>
  <si>
    <t>(01) Factura FOF1-00000099</t>
  </si>
  <si>
    <t>(01) Factura FOF1-00000100</t>
  </si>
  <si>
    <t>(01) Factura FOF1-00000101</t>
  </si>
  <si>
    <t>(01) Factura FOF1-00000102</t>
  </si>
  <si>
    <t>(01) Factura FOF1-00000103</t>
  </si>
  <si>
    <t>(01) Factura FOF1-00000104</t>
  </si>
  <si>
    <t>(01) Factura FOF1-00000105</t>
  </si>
  <si>
    <t>(01) Factura FOF1-00000106</t>
  </si>
  <si>
    <t>(01) Factura FOF1-00000107</t>
  </si>
  <si>
    <t>(01) Factura FOF1-00000108</t>
  </si>
  <si>
    <t>(01) Factura FOF1-00000109</t>
  </si>
  <si>
    <t>(01) Factura FOF1-00000110</t>
  </si>
  <si>
    <t>(01) Factura FOF1-00000111</t>
  </si>
  <si>
    <t>(01) Factura FOF1-00000112</t>
  </si>
  <si>
    <t>(01) Factura FOF1-00000113</t>
  </si>
  <si>
    <t>(01) Factura FOF1-00000114</t>
  </si>
  <si>
    <t>(01) Factura FOF1-00000115</t>
  </si>
  <si>
    <t>(01) Factura FOF1-00000116</t>
  </si>
  <si>
    <t>(01) Factura FOF1-00000117</t>
  </si>
  <si>
    <t>(01) Factura FOF1-00000118</t>
  </si>
  <si>
    <t>(01) Factura FOF1-00000119</t>
  </si>
  <si>
    <t>(01) Factura FOF1-00000120</t>
  </si>
  <si>
    <t>(01) Factura FOF1-00000121</t>
  </si>
  <si>
    <t>(01) Factura FOF1-00000122</t>
  </si>
  <si>
    <t>(01) Factura FOF1-00000123</t>
  </si>
  <si>
    <t>(01) Factura FOF1-00000124</t>
  </si>
  <si>
    <t>(01) Factura FOF1-00000125</t>
  </si>
  <si>
    <t>(01) Factura FOF1-00000126</t>
  </si>
  <si>
    <t>(01) Factura FOF1-00000127</t>
  </si>
  <si>
    <t>(01) Factura FOF1-00000128</t>
  </si>
  <si>
    <t>(01) Factura FOF1-00000129</t>
  </si>
  <si>
    <t>(01) Factura FOF1-00000130</t>
  </si>
  <si>
    <t>(01) Factura FOF1-00000131</t>
  </si>
  <si>
    <t>(01) Factura FOF1-00000132</t>
  </si>
  <si>
    <t>(01) Factura FOF1-00000133</t>
  </si>
  <si>
    <t>(01) Factura FOF1-00000134</t>
  </si>
  <si>
    <t>(01) Factura FOF1-00000135</t>
  </si>
  <si>
    <t>(01) Factura FOF1-00000136</t>
  </si>
  <si>
    <t>(01) Factura FOF1-00000139</t>
  </si>
  <si>
    <t>(01) Factura FOF1-00000140</t>
  </si>
  <si>
    <t>(01) Factura FOF1-00000141</t>
  </si>
  <si>
    <t>(01) Factura FOF1-00000142</t>
  </si>
  <si>
    <t>(01) Factura FOF1-00000144</t>
  </si>
  <si>
    <t>(01) Factura FOF1-00000145</t>
  </si>
  <si>
    <t>(01) Factura FOF1-00000146</t>
  </si>
  <si>
    <t>(01) Factura FOF1-00000147</t>
  </si>
  <si>
    <t>(01) Factura FOF1-00000148</t>
  </si>
  <si>
    <t>(01) Factura FOF1-00000149</t>
  </si>
  <si>
    <t>(01) Factura FOF1-00000150</t>
  </si>
  <si>
    <t>(01) Factura FOF1-00000151</t>
  </si>
  <si>
    <t>(01) Factura FOF1-00000152</t>
  </si>
  <si>
    <t>(01) Factura FOF1-00000153</t>
  </si>
  <si>
    <t>(01) Factura FOF1-00000154</t>
  </si>
  <si>
    <t>(01) Factura FOF1-00000155</t>
  </si>
  <si>
    <t>(01) Factura FOF1-00000156</t>
  </si>
  <si>
    <t>(01) Factura FOF1-00000157</t>
  </si>
  <si>
    <t>(01) Factura FOF1-00000158</t>
  </si>
  <si>
    <t>(01) Factura FOF1-00000159</t>
  </si>
  <si>
    <t>(01) Factura FOF1-00000160</t>
  </si>
  <si>
    <t>(01) Factura FOF1-00000161</t>
  </si>
  <si>
    <t>(01) Factura FOF1-00000162</t>
  </si>
  <si>
    <t>(01) Factura FOF1-00000166</t>
  </si>
  <si>
    <t>(01) Factura FOF1-00000167</t>
  </si>
  <si>
    <t>(01) Factura FOF1-00000168</t>
  </si>
  <si>
    <t>(01) Factura FOF1-00000169</t>
  </si>
  <si>
    <t>(01) Factura FOF1-00000170</t>
  </si>
  <si>
    <t>(01) Factura FOF1-00000171</t>
  </si>
  <si>
    <t>(01) Factura FOF1-00000172</t>
  </si>
  <si>
    <t>(01) Factura FOF1-00000173</t>
  </si>
  <si>
    <t>(01) Factura FOF1-00000174</t>
  </si>
  <si>
    <t>(01) Factura FOF1-00000175</t>
  </si>
  <si>
    <t>(01) Factura FOF1-00000176</t>
  </si>
  <si>
    <t>(01) Factura FOF1-00000177</t>
  </si>
  <si>
    <t>(01) Factura FOF1-00000178</t>
  </si>
  <si>
    <t>(01) Factura FOF1-00000179</t>
  </si>
  <si>
    <t>(01) Factura FOF1-00000180</t>
  </si>
  <si>
    <t>(01) Factura FOF1-00000181</t>
  </si>
  <si>
    <t>(01) Factura FOF1-00000182</t>
  </si>
  <si>
    <t>(01) Factura FOF1-00000183</t>
  </si>
  <si>
    <t>(01) Factura FOF1-00000184</t>
  </si>
  <si>
    <t>(01) Factura FOF1-00000185</t>
  </si>
  <si>
    <t>(01) Factura FOF1-00000186</t>
  </si>
  <si>
    <t>(01) Factura FOF1-00000187</t>
  </si>
  <si>
    <t>(01) Factura FOF1-00000188</t>
  </si>
  <si>
    <t>(01) Factura FOF1-00000189</t>
  </si>
  <si>
    <t>(01) Factura FOF1-00000190</t>
  </si>
  <si>
    <t>(01) Factura FOF1-00000191</t>
  </si>
  <si>
    <t>(01) Factura FOF1-00000192</t>
  </si>
  <si>
    <t>(03) Boleta BOB1-00000031</t>
  </si>
  <si>
    <t>(03) Boleta BOB1-00000032</t>
  </si>
  <si>
    <t>(03) Boleta BOB1-00000033</t>
  </si>
  <si>
    <t>(03) Boleta BOB1-00000034</t>
  </si>
  <si>
    <t>(03) Boleta BOB1-00000035</t>
  </si>
  <si>
    <t>(03) Boleta BOB1-00000036</t>
  </si>
  <si>
    <t>(03) Boleta BOB1-00000037</t>
  </si>
  <si>
    <t>(03) Boleta BOB1-00000038</t>
  </si>
  <si>
    <t>(03) Boleta BOB1-00000039</t>
  </si>
  <si>
    <t>(03) Boleta BOB1-00000040</t>
  </si>
  <si>
    <t>(03) Boleta BOB1-00000041</t>
  </si>
  <si>
    <t>(03) Boleta BOB1-00000042</t>
  </si>
  <si>
    <t>(03) Boleta BOB1-00000043</t>
  </si>
  <si>
    <t>(03) Boleta BOB1-00000044</t>
  </si>
  <si>
    <t>(03) Boleta BOB1-00000045</t>
  </si>
  <si>
    <t>(03) Boleta BOB1-00000046</t>
  </si>
  <si>
    <t>(03) Boleta BOB1-00000047</t>
  </si>
  <si>
    <t>(03) Boleta BOB1-00000048</t>
  </si>
  <si>
    <t>(03) Boleta BOB1-00000049</t>
  </si>
  <si>
    <t>(03) Boleta BOB1-00000050</t>
  </si>
  <si>
    <t>(03) Boleta BOB1-00000051</t>
  </si>
  <si>
    <t>(03) Boleta BOB1-00000052</t>
  </si>
  <si>
    <t>(03) Boleta BOB1-00000053</t>
  </si>
  <si>
    <t>(03) Boleta BOB1-00000054</t>
  </si>
  <si>
    <t>(03) Boleta BOB1-00000055</t>
  </si>
  <si>
    <t>(03) Boleta BOB1-00000056</t>
  </si>
  <si>
    <t>(03) Boleta BOB1-00000057</t>
  </si>
  <si>
    <t>(03) Boleta BOB1-00000058</t>
  </si>
  <si>
    <t>(03) Boleta BOB1-00000059</t>
  </si>
  <si>
    <t>(03) Boleta BOB1-00000060</t>
  </si>
  <si>
    <t>(03) Boleta BOB1-00000061</t>
  </si>
  <si>
    <t>(03) Boleta BOB1-00000062</t>
  </si>
  <si>
    <t>(03) Boleta BOB1-00000063</t>
  </si>
  <si>
    <t>(03) Boleta BOB1-00000064</t>
  </si>
  <si>
    <t>(03) Boleta BOB1-00000065</t>
  </si>
  <si>
    <t>(03) Boleta BOB1-00000066</t>
  </si>
  <si>
    <t>(03) Boleta BOB1-00000067</t>
  </si>
  <si>
    <t>(03) Boleta BOB1-00000068</t>
  </si>
  <si>
    <t>(03) Boleta BOB1-00000069</t>
  </si>
  <si>
    <t>(03) Boleta BOB1-00000070</t>
  </si>
  <si>
    <t>(03) Boleta BOB1-00000071</t>
  </si>
  <si>
    <t>(03) Boleta BOB1-00000072</t>
  </si>
  <si>
    <t>(03) Boleta BOB1-00000073</t>
  </si>
  <si>
    <t>(03) Boleta BOB1-00000074</t>
  </si>
  <si>
    <t>(03) Boleta BOB1-00000075</t>
  </si>
  <si>
    <t>(03) Boleta BOB1-00000076</t>
  </si>
  <si>
    <t>(03) Boleta BOB1-00000077</t>
  </si>
  <si>
    <t>(03) Boleta BOB1-00000078</t>
  </si>
  <si>
    <t>(03) Boleta BOB1-00000079</t>
  </si>
  <si>
    <t>(03) Boleta BOB1-00000080</t>
  </si>
  <si>
    <t>(03) Boleta BOB1-00000081</t>
  </si>
  <si>
    <t>(03) Boleta BOB1-00000082</t>
  </si>
  <si>
    <t>(03) Boleta BOB1-00000083</t>
  </si>
  <si>
    <t>(03) Boleta BOB1-00000084</t>
  </si>
  <si>
    <t>(03) Boleta BOB1-00000085</t>
  </si>
  <si>
    <t>(03) Boleta BOB1-00000086</t>
  </si>
  <si>
    <t>(03) Boleta BOB1-00000087</t>
  </si>
  <si>
    <t>(03) Boleta BOB1-00000088</t>
  </si>
  <si>
    <t>(03) Boleta BOB1-00000089</t>
  </si>
  <si>
    <t>(03) Boleta BOB1-00000090</t>
  </si>
  <si>
    <t>(03) Boleta BOB1-00000091</t>
  </si>
  <si>
    <t>(03) Boleta BOB1-00000092</t>
  </si>
  <si>
    <t>(03) Boleta BOB1-00000093</t>
  </si>
  <si>
    <t>(03) Boleta BOB1-00000094</t>
  </si>
  <si>
    <t>(03) Boleta BOB1-00000095</t>
  </si>
  <si>
    <t>(03) Boleta BOB1-00000096</t>
  </si>
  <si>
    <t>(03) Boleta BOB1-00000097</t>
  </si>
  <si>
    <t>(03) Boleta BOB1-00000098</t>
  </si>
  <si>
    <t>(03) Boleta BOB1-00000099</t>
  </si>
  <si>
    <t>subtotal</t>
  </si>
  <si>
    <t>igv</t>
  </si>
  <si>
    <t>total</t>
  </si>
  <si>
    <t>09059888</t>
  </si>
  <si>
    <t>Cierre de Aniversario en Chosica con CorazÃ³n Serrano</t>
  </si>
  <si>
    <t>05402150</t>
  </si>
  <si>
    <t>Deportivo Anba PerÃº vs Cultural Huancarama - Copa PerÃº 2025</t>
  </si>
  <si>
    <t>NESTOR ARMANDO NUÃ‘EZ DIAZ</t>
  </si>
  <si>
    <t>Domingo de Fiesta con Evelyn Palomino y Los Maravillosos en Tacna</t>
  </si>
  <si>
    <t>CRISTIE SOLEDAD WHITEHEAD MORI</t>
  </si>
  <si>
    <t>Segundo Evento: Las Divinas del Norte en Piura</t>
  </si>
  <si>
    <t>00000143</t>
  </si>
  <si>
    <t>00000222</t>
  </si>
  <si>
    <t>NUTRI MASTER LA GRANJA E.I.R.L.</t>
  </si>
  <si>
    <t>La Ãšnica Tropical en Tambo Grande</t>
  </si>
  <si>
    <t>00000221</t>
  </si>
  <si>
    <t>Las Divinas del Norte en Voley con Sorpresa en Piura</t>
  </si>
  <si>
    <t>00000138</t>
  </si>
  <si>
    <t>Las Divinas del Norte en Voley con Sorpresa en Paita</t>
  </si>
  <si>
    <t>00000137</t>
  </si>
  <si>
    <t>00000220</t>
  </si>
  <si>
    <t>00000219</t>
  </si>
  <si>
    <t>00000218</t>
  </si>
  <si>
    <t>00000217</t>
  </si>
  <si>
    <t>La Bella Luz en Ica</t>
  </si>
  <si>
    <t>00000216</t>
  </si>
  <si>
    <t>00000215</t>
  </si>
  <si>
    <t>CorazÃ³n Serrano en Villa Malacasi</t>
  </si>
  <si>
    <t>00000214</t>
  </si>
  <si>
    <t>00000213</t>
  </si>
  <si>
    <t>Tributo Twenty One Pilots en el Centro de Lima</t>
  </si>
  <si>
    <t>Tributo a The Beatles en Arequipa</t>
  </si>
  <si>
    <t>Tributo a The Beatles en Puno</t>
  </si>
  <si>
    <t>JULIO CESAR CHINCHAY MENA</t>
  </si>
  <si>
    <t>TrilogÃ­a CosteÃ±a con Guinda, Los ecos y mÃ¡s en SMP</t>
  </si>
  <si>
    <t>RONALD LUIS MAYTA RAMOS</t>
  </si>
  <si>
    <t>La Ãšnica Tropical y ArmonÃ­a 10 en CaÃ±ete</t>
  </si>
  <si>
    <t>We All Together en Miraflores</t>
  </si>
  <si>
    <t>Las Divinas del Norte en Voley con Sorpresa en Chulucanas</t>
  </si>
  <si>
    <t>JOSE AUGUSTO HUAMAN SANCHEZ</t>
  </si>
  <si>
    <t>Tributo Oficial a Airbag en Huancayo</t>
  </si>
  <si>
    <t>00000212</t>
  </si>
  <si>
    <t>PROMOTORA DE ESPECTACULOS A&amp;G S.A.C.</t>
  </si>
  <si>
    <t>Noche Estelar con Los CaribeÃ±os, Carlos Miguel y mÃ¡s en Blue Fiesta Total de Independencia</t>
  </si>
  <si>
    <t>00000211</t>
  </si>
  <si>
    <t>RICHARD EDINSON DAVIRAN GUTIERREZ</t>
  </si>
  <si>
    <t>Anime SinfÃ³nico en Huancayo</t>
  </si>
  <si>
    <t>29Â° Aniversario Rosita de Espinar con Dina Paucar, Cliver y su grupo Corali y mÃ¡s en el Complejo Santa Rosa</t>
  </si>
  <si>
    <t>00000210</t>
  </si>
  <si>
    <t>25Â° Aniversario de Manolito Simonet y su Trabuco y mÃ¡s en 11:11 Club de Independencia</t>
  </si>
  <si>
    <t>00000209</t>
  </si>
  <si>
    <t>Tributo Oficial a Airbag en Ayacucho</t>
  </si>
  <si>
    <t>ALVARO FRANCO VEGA AMARO</t>
  </si>
  <si>
    <t>Festival New Wave en Cajamarca</t>
  </si>
  <si>
    <t>00000208</t>
  </si>
  <si>
    <t>QUISPE AGUILAR GROBER GLENN</t>
  </si>
  <si>
    <t>Festi Salsa &amp; Cumbia con Yahaira Plasencia y Los Claveles de la Cumbia en Tacna</t>
  </si>
  <si>
    <t>00000207</t>
  </si>
  <si>
    <t>00000206</t>
  </si>
  <si>
    <t>00000205</t>
  </si>
  <si>
    <t>Rumba Nigth con Azucena Calvay, La primerisima y mÃ¡s en Blue Fiesta Total de Independencia</t>
  </si>
  <si>
    <t>00000204</t>
  </si>
  <si>
    <t>00000203</t>
  </si>
  <si>
    <t>Reapertura Temporada 2025-2026 con La PrimerÃ­sima, Deyvis Orosco y Brunella Torpoco en El Remanso de Comas</t>
  </si>
  <si>
    <t>00000202</t>
  </si>
  <si>
    <t>00000201</t>
  </si>
  <si>
    <t>00000200</t>
  </si>
  <si>
    <t>00000199</t>
  </si>
  <si>
    <t>CorazÃ³n Serrano en Casablanqueada Tumbes</t>
  </si>
  <si>
    <t>00000198</t>
  </si>
  <si>
    <t>00000197</t>
  </si>
  <si>
    <t>00000196</t>
  </si>
  <si>
    <t>AtlÃ©tico Grau vs UTC Cajamarca</t>
  </si>
  <si>
    <t>00000195</t>
  </si>
  <si>
    <t>VOUCHER DIGITAL CON QR</t>
  </si>
  <si>
    <t>00000194</t>
  </si>
  <si>
    <t>00000193</t>
  </si>
  <si>
    <t>(01) Factura FOF1-00000193</t>
  </si>
  <si>
    <t>(01) Factura FOF1-00000194</t>
  </si>
  <si>
    <t>(01) Factura FOF1-00000195</t>
  </si>
  <si>
    <t>(01) Factura FOF1-00000196</t>
  </si>
  <si>
    <t>(01) Factura FOF1-00000197</t>
  </si>
  <si>
    <t>(01) Factura FOF1-00000198</t>
  </si>
  <si>
    <t>(01) Factura FOF1-00000199</t>
  </si>
  <si>
    <t>(01) Factura FOF1-00000200</t>
  </si>
  <si>
    <t>(01) Factura FOF1-00000201</t>
  </si>
  <si>
    <t>(01) Factura FOF1-00000202</t>
  </si>
  <si>
    <t>(01) Factura FOF1-00000203</t>
  </si>
  <si>
    <t>(01) Factura FOF1-00000204</t>
  </si>
  <si>
    <t>(01) Factura FOF1-00000205</t>
  </si>
  <si>
    <t>(01) Factura FOF1-00000206</t>
  </si>
  <si>
    <t>(01) Factura FOF1-00000207</t>
  </si>
  <si>
    <t>(01) Factura FOF1-00000208</t>
  </si>
  <si>
    <t>(01) Factura FOF1-00000209</t>
  </si>
  <si>
    <t>(01) Factura FOF1-00000210</t>
  </si>
  <si>
    <t>(01) Factura FOF1-00000211</t>
  </si>
  <si>
    <t>(01) Factura FOF1-00000212</t>
  </si>
  <si>
    <t>(01) Factura FOF1-00000213</t>
  </si>
  <si>
    <t>(01) Factura FOF1-00000214</t>
  </si>
  <si>
    <t>(01) Factura FOF1-00000215</t>
  </si>
  <si>
    <t>(01) Factura FOF1-00000216</t>
  </si>
  <si>
    <t>(01) Factura FOF1-00000217</t>
  </si>
  <si>
    <t>(01) Factura FOF1-00000218</t>
  </si>
  <si>
    <t>(01) Factura FOF1-00000219</t>
  </si>
  <si>
    <t>(01) Factura FOF1-00000220</t>
  </si>
  <si>
    <t>(01) Factura FOF1-00000221</t>
  </si>
  <si>
    <t>(01) Factura FOF1-00000222</t>
  </si>
  <si>
    <t>(03) Boleta BOB1-00000100</t>
  </si>
  <si>
    <t>(03) Boleta BOB1-00000101</t>
  </si>
  <si>
    <t>(03) Boleta BOB1-00000102</t>
  </si>
  <si>
    <t>(03) Boleta BOB1-00000103</t>
  </si>
  <si>
    <t>(03) Boleta BOB1-00000104</t>
  </si>
  <si>
    <t>(03) Boleta BOB1-00000105</t>
  </si>
  <si>
    <t>(03) Boleta BOB1-00000106</t>
  </si>
  <si>
    <t>(03) Boleta BOB1-00000107</t>
  </si>
  <si>
    <t>(03) Boleta BOB1-00000108</t>
  </si>
  <si>
    <t>(03) Boleta BOB1-00000109</t>
  </si>
  <si>
    <t>(03) Boleta BOB1-00000110</t>
  </si>
  <si>
    <t>(03) Boleta BOB1-00000111</t>
  </si>
  <si>
    <t>(03) Boleta BOB1-00000112</t>
  </si>
  <si>
    <t>(03) Boleta BOB1-00000113</t>
  </si>
  <si>
    <t>(03) Boleta BOB1-00000114</t>
  </si>
  <si>
    <t>(03) Boleta BOB1-00000115</t>
  </si>
  <si>
    <t>(03) Boleta BOB1-00000116</t>
  </si>
  <si>
    <t>(03) Boleta BOB1-00000117</t>
  </si>
  <si>
    <t>(03) Boleta BOB1-00000118</t>
  </si>
  <si>
    <t>(03) Boleta BOB1-00000119</t>
  </si>
  <si>
    <t>(03) Boleta BOB1-00000120</t>
  </si>
  <si>
    <t>(03) Boleta BOB1-00000121</t>
  </si>
  <si>
    <t>(03) Boleta BOB1-00000122</t>
  </si>
  <si>
    <t>(03) Boleta BOB1-00000123</t>
  </si>
  <si>
    <t>(03) Boleta BOB1-00000124</t>
  </si>
  <si>
    <t>(03) Boleta BOB1-00000125</t>
  </si>
  <si>
    <t>(03) Boleta BOB1-00000126</t>
  </si>
  <si>
    <t>(03) Boleta BOB1-00000127</t>
  </si>
  <si>
    <t>(03) Boleta BOB1-00000128</t>
  </si>
  <si>
    <t>(03) Boleta BOB1-00000129</t>
  </si>
  <si>
    <t>(03) Boleta BOB1-00000130</t>
  </si>
  <si>
    <t>(03) Boleta BOB1-00000131</t>
  </si>
  <si>
    <t>(03) Boleta BOB1-00000132</t>
  </si>
  <si>
    <t>(03) Boleta BOB1-00000133</t>
  </si>
  <si>
    <t>(03) Boleta BOB1-00000134</t>
  </si>
  <si>
    <t>(03) Boleta BOB1-00000135</t>
  </si>
  <si>
    <t>(03) Boleta BOB1-00000136</t>
  </si>
  <si>
    <t>(03) Boleta BOB1-00000137</t>
  </si>
  <si>
    <t>(03) Boleta BOB1-00000138</t>
  </si>
  <si>
    <t>(03) Boleta BOB1-00000139</t>
  </si>
  <si>
    <t>(03) Boleta BOB1-00000140</t>
  </si>
  <si>
    <t>(03) Boleta BOB1-00000141</t>
  </si>
  <si>
    <t>(03) Boleta BOB1-00000142</t>
  </si>
  <si>
    <t>(03) Boleta BOB1-00000143</t>
  </si>
  <si>
    <t>(03) Boleta BOB1-00000144</t>
  </si>
  <si>
    <t>(03) Boleta BOB1-00000145</t>
  </si>
  <si>
    <t>(03) Boleta BOB1-00000146</t>
  </si>
  <si>
    <t>(03) Boleta BOB1-00000147</t>
  </si>
  <si>
    <t>(03) Boleta BOB1-00000148</t>
  </si>
  <si>
    <t>(03) Boleta BOB1-00000149</t>
  </si>
  <si>
    <t>(03) Boleta BOB1-00000150</t>
  </si>
  <si>
    <t>(03) Boleta BOB1-00000151</t>
  </si>
  <si>
    <t>(03) Boleta BOB1-00000152</t>
  </si>
  <si>
    <t>(03) Boleta BOB1-00000153</t>
  </si>
  <si>
    <t>(03) Boleta BOB1-00000154</t>
  </si>
  <si>
    <t>(03) Boleta BOB1-00000155</t>
  </si>
  <si>
    <t>00000223</t>
  </si>
  <si>
    <t>[{'id_producto': 33414, 'codigo_producto': 1924, 'nom_producto': 'BOLETO FULL COLOR CON QR', 'categoria_producto': 'consu', 'cantidad': '2000.0', 'valor_unitario': 0.36, 'precio_unitario': 0.42, 'descuento': 0.0, 'subtotal': 720.0, 'porcentaje_de_igv': '18.00', 'igv': 129.6, 'total': 849.6,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33417,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33418, 'codigo_producto': 1895, 'nom_producto': 'BRAZALETE CON QR', 'categoria_producto': 'consu', 'cantidad': '1500.0', 'valor_unitario': 0.5, 'precio_unitario': 0.59, 'descuento': 0.0, 'subtotal': 750.0, 'porcentaje_de_igv': '18.00', 'igv': 135.0, 'total': 885.0,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</si>
  <si>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CORAZON SERRANO HUARAL - 29/10 -I - P</t>
  </si>
  <si>
    <t>[{'id_producto': 33175, 'codigo_producto': 2274, 'nom_producto': 'COMISION CORTESIA ', 'categoria_producto': 'consu', 'cantidad': '1.0', 'valor_unitario': 5.0, 'precio_unitario': 5.9, 'descuento': 0.0, 'subtotal': 5.0, 'porcentaje_de_igv': '18.00', 'igv': 0.9, 'total': 5.9,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</si>
  <si>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33172, 'codigo_producto': 2315, 'nom_producto': 'PAUTA PUBLICITARIA', 'categoria_producto': 'service', 'cantidad': '1.0', 'valor_unitario': 847.46, 'precio_unitario': 1000.0, 'descuento': 0.0, 'subtotal': 847.46, 'porcentaje_de_igv': '18.00', 'igv': 152.54, 'total': 1000.0,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</si>
  <si>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[{'id_producto': 33169, 'codigo_producto': 1895, 'nom_producto': 'BRAZALETE CON QR', 'categoria_producto': 'consu', 'cantidad': '1.0', 'valor_unitario': 1016.95, 'precio_unitario': 1200.0, 'descuento': 0.0, 'subtotal': 1016.95, 'porcentaje_de_igv': '18.00', 'igv': 183.05, 'total': 1200.0,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</si>
  <si>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33166,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</t>
  </si>
  <si>
    <t>[{'id_producto': 33163, 'codigo_producto': 1786, 'nom_producto': 'COMISION VAOPE SEGUN CONTRATO', 'categoria_producto': 'service', 'cantidad': '1.0', 'valor_unitario': 8035.2, 'precio_unitario': 9481.54, 'descuento': 0.0, 'subtotal': 8035.2, 'porcentaje_de_igv': '18.00', 'igv': 1446.34, 'total': 9481.54,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</si>
  <si>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33160, 'codigo_producto': 216, 'nom_producto': 'COMISION PAGOS DIGITALES SEGUN CONTRATO', 'categoria_producto': 'service', 'cantidad': '1.0', 'valor_unitario': 6366.25, 'precio_unitario': 7512.18, 'descuento': 0.0, 'subtotal': 6366.25, 'porcentaje_de_igv': '18.00', 'igv': 1145.93, 'total': 7512.18,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</si>
  <si>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33155, 'codigo_producto': 2264, 'nom_producto': 'VOUCHER IMPRESO CON QR', 'categoria_producto': 'consu', 'cantidad': '1.0', 'valor_unitario': 1200.0, 'precio_unitario': 1416.0, 'descuento': 0.0, 'subtotal': 1200.0, 'porcentaje_de_igv': '18.00', 'igv': 216.0, 'total': 1416.0,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</si>
  <si>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33152, 'codigo_producto': 1786, 'nom_producto': 'COMISION VAOPE SEGUN CONTRATO', 'categoria_producto': 'service', 'cantidad': '1.0', 'valor_unitario': 123.09, 'precio_unitario': 145.25, 'descuento': 0.0, 'subtotal': 123.09, 'porcentaje_de_igv': '18.00', 'igv': 22.16, 'total': 145.25,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</si>
  <si>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33149, 'codigo_producto': 216, 'nom_producto': 'COMISION PAGOS DIGITALES SEGUN CONTRATO', 'categoria_producto': 'service', 'cantidad': '1.0', 'valor_unitario': 175.0, 'precio_unitario': 206.5, 'descuento': 0.0, 'subtotal': 175.0, 'porcentaje_de_igv': '18.00', 'igv': 31.5, 'total': 206.5,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</si>
  <si>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33146, 'codigo_producto': 1786, 'nom_producto': 'COMISION VAOPE SEGUN CONTRATO', 'categoria_producto': 'service', 'cantidad': '1.0', 'valor_unitario': 218.98, 'precio_unitario': 258.4, 'descuento': 0.0, 'subtotal': 218.98, 'porcentaje_de_igv': '18.00', 'igv': 39.42, 'total': 258.4, 'moneda': '1', 'tipo_de_cambio': 1.0, 'id_estado': 'paid', 'nombre_estado': 'Pagado', 'evento': {'id_evento': '3300', 'nom_evento': 'Domingo de Fiesta con Evelyn Palomino y Los Maravillosos en Tacna', 'fecha_hora_ini_event': '26-10-2025', 'fecha_hora_fin_event': '26-10-2025', 'id_organizador': 5396, 'nom_organizador': 'NESTOR ARMANDO NUÃ‘EZ DIAZ',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</si>
  <si>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33143, 'codigo_producto': 216, 'nom_producto': 'COMISION PAGOS DIGITALES SEGUN CONTRATO', 'categoria_producto': 'service', 'cantidad': '1.0', 'valor_unitario': 124.07, 'precio_unitario': 146.4, 'descuento': 0.0, 'subtotal': 124.07, 'porcentaje_de_igv': '18.00', 'igv': 22.33, 'total': 146.4, 'moneda': '1', 'tipo_de_cambio': 1.0, 'id_estado': 'paid', 'nombre_estado': 'Pagado', 'evento': {'id_evento': '3300', 'nom_evento': 'Domingo de Fiesta con Evelyn Palomino y Los Maravillosos en Tacna', 'fecha_hora_ini_event': '26-10-2025', 'fecha_hora_fin_event': '26-10-2025', 'id_organizador': 5396, 'nom_organizador': 'NESTOR ARMANDO NUÃ‘EZ DIAZ',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</si>
  <si>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33132,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6959, 'nom_cuenta_analitica': '7032102 VENTAS SERVICIOS VAOPE', 'distribucion_analitica': []}]</t>
  </si>
  <si>
    <t>[{'id_producto': 33129, 'codigo_producto': 1786, 'nom_producto': 'COMISION VAOPE SEGUN CONTRATO', 'categoria_producto': 'service', 'cantidad': '1.0', 'valor_unitario': 1050.72, 'precio_unitario': 1239.85, 'descuento': 0.0, 'subtotal': 1050.72, 'porcentaje_de_igv': '18.00', 'igv': 189.13, 'total': 1239.85,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</si>
  <si>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33126, 'codigo_producto': 216, 'nom_producto': 'COMISION PAGOS DIGITALES SEGUN CONTRATO', 'categoria_producto': 'service', 'cantidad': '1.0', 'valor_unitario': 862.54, 'precio_unitario': 1017.8, 'descuento': 0.0, 'subtotal': 862.54, 'porcentaje_de_igv': '18.00', 'igv': 155.26, 'total': 1017.8,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</si>
  <si>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33123, 'codigo_producto': 1786, 'nom_producto': 'COMISION VAOPE SEGUN CONTRATO', 'categoria_producto': 'service', 'cantidad': '1.0', 'valor_unitario': 98.78, 'precio_unitario': 116.56, 'descuento': 0.0, 'subtotal': 98.78, 'porcentaje_de_igv': '18.00', 'igv': 17.78, 'total': 116.56, 'moneda': '1', 'tipo_de_cambio': 1.0, 'id_estado': 'paid', 'nombre_estado': 'Pagado', 'evento': {'id_evento': '3207', 'nom_evento': 'La Ãšnica Tropical en Tambo Grande', 'fecha_hora_ini_event': '26-10-2025', 'fecha_hora_fin_event': '26-10-2025', 'id_organizador': 6149, 'nom_organizador': 'NUTRI MASTER LA GRANJA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</si>
  <si>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33120, 'codigo_producto': 216, 'nom_producto': 'COMISION PAGOS DIGITALES SEGUN CONTRATO', 'categoria_producto': 'service', 'cantidad': '1.0', 'valor_unitario': 94.0, 'precio_unitario': 110.92, 'descuento': 0.0, 'subtotal': 94.0, 'porcentaje_de_igv': '18.00', 'igv': 16.92, 'total': 110.92, 'moneda': '1', 'tipo_de_cambio': 1.0, 'id_estado': 'paid', 'nombre_estado': 'Pagado', 'evento': {'id_evento': '3207', 'nom_evento': 'La Ãšnica Tropical en Tambo Grande', 'fecha_hora_ini_event': '26-10-2025', 'fecha_hora_fin_event': '26-10-2025', 'id_organizador': 6149, 'nom_organizador': 'NUTRI MASTER LA GRANJA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</si>
  <si>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33117,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6959, 'nom_cuenta_analitica': '7032102 VENTAS SERVICIOS VAOPE', 'distribucion_analitica': []}]</t>
  </si>
  <si>
    <t>[{'id_producto': 33114, 'codigo_producto': 1786, 'nom_producto': 'COMISION VAOPE SEGUN CONTRATO', 'categoria_producto': 'service', 'cantidad': '1.0', 'valor_unitario': 986.86, 'precio_unitario': 1164.49, 'descuento': 0.0, 'subtotal': 986.86, 'porcentaje_de_igv': '18.00', 'igv': 177.63, 'total': 1164.49,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</si>
  <si>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33111, 'codigo_producto': 216, 'nom_producto': 'COMISION PAGOS DIGITALES SEGUN CONTRATO', 'categoria_producto': 'service', 'cantidad': '1.0', 'valor_unitario': 698.31, 'precio_unitario': 824.01, 'descuento': 0.0, 'subtotal': 698.31, 'porcentaje_de_igv': '18.00', 'igv': 125.7, 'total': 824.01,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</si>
  <si>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33108, 'codigo_producto': 1786, 'nom_producto': 'COMISION VAOPE SEGUN CONTRATO', 'categoria_producto': 'service', 'cantidad': '1.0', 'valor_unitario': 736.19, 'precio_unitario': 868.7, 'descuento': 0.0, 'subtotal': 736.19, 'porcentaje_de_igv': '18.00', 'igv': 132.51, 'total': 868.7, 'moneda': '1', 'tipo_de_cambio': 1.0, 'id_estado': 'paid', 'nombre_estado': 'Pagado', 'evento': {'id_evento': '3175', 'nom_evento': 'Las Divinas del Norte en Voley con Sorpresa en Paita', 'fecha_hora_ini_event': '25-10-2025', 'fecha_hora_fin_event': '25-10-2025',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</si>
  <si>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33105, 'codigo_producto': 216, 'nom_producto': 'COMISION PAGOS DIGITALES SEGUN CONTRATO', 'categoria_producto': 'service', 'cantidad': '1.0', 'valor_unitario': 521.36, 'precio_unitario': 615.2, 'descuento': 0.0, 'subtotal': 521.36, 'porcentaje_de_igv': '18.00', 'igv': 93.84, 'total': 615.2, 'moneda': '1', 'tipo_de_cambio': 1.0, 'id_estado': 'paid', 'nombre_estado': 'Pagado', 'evento': {'id_evento': '3175', 'nom_evento': 'Las Divinas del Norte en Voley con Sorpresa en Paita', 'fecha_hora_ini_event': '25-10-2025', 'fecha_hora_fin_event': '25-10-2025',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</si>
  <si>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33102,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6959, 'nom_cuenta_analitica': '7032102 VENTAS SERVICIOS VAOPE', 'distribucion_analitica': []}]</t>
  </si>
  <si>
    <t>[{'id_producto': 33099, 'codigo_producto': 1786, 'nom_producto': 'COMISION VAOPE SEGUN CONTRATO', 'categoria_producto': 'service', 'cantidad': '1.0', 'valor_unitario': 121.73, 'precio_unitario': 143.64, 'descuento': 0.0, 'subtotal': 121.73, 'porcentaje_de_igv': '18.00', 'igv': 21.91, 'total': 143.64,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</si>
  <si>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33096, 'codigo_producto': 216, 'nom_producto': 'COMISION PAGOS DIGITALES SEGUN CONTRATO', 'categoria_producto': 'service', 'cantidad': '1.0', 'valor_unitario': 121.5, 'precio_unitario': 143.37, 'descuento': 0.0, 'subtotal': 121.5, 'porcentaje_de_igv': '18.00', 'igv': 21.87, 'total': 143.37,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</si>
  <si>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33093, 'codigo_producto': 1786, 'nom_producto': 'COMISION VAOPE SEGUN CONTRATO', 'categoria_producto': 'service', 'cantidad': '1.0', 'valor_unitario': 988.14, 'precio_unitario': 1166.01, 'descuento': 0.0, 'subtotal': 988.14, 'porcentaje_de_igv': '18.00', 'igv': 177.87, 'total': 1166.01, 'moneda': '1', 'tipo_de_cambio': 1.0, 'id_estado': 'paid', 'nombre_estado': 'Pagado', 'evento': {'id_evento': '3155', 'nom_evento': 'La Bella Luz en Ica', 'fecha_hora_ini_event': '20-10-2025', 'fecha_hora_fin_event': '20-10-2025',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</si>
  <si>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33090, 'codigo_producto': 216, 'nom_producto': 'COMISION PAGOS DIGITALES SEGUN CONTRATO', 'categoria_producto': 'service', 'cantidad': '1.0', 'valor_unitario': 702.37, 'precio_unitario': 828.8, 'descuento': 0.0, 'subtotal': 702.37, 'porcentaje_de_igv': '18.00', 'igv': 126.43, 'total': 828.8, 'moneda': '1', 'tipo_de_cambio': 1.0, 'id_estado': 'paid', 'nombre_estado': 'Pagado', 'evento': {'id_evento': '3155', 'nom_evento': 'La Bella Luz en Ica', 'fecha_hora_ini_event': '20-10-2025', 'fecha_hora_fin_event': '20-10-2025',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</si>
  <si>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33087, 'codigo_producto': 2276, 'nom_producto': 'PUNTO DE VENTA',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</t>
  </si>
  <si>
    <t>[{'id_producto': 33084, 'codigo_producto': 1786, 'nom_producto': 'COMISION VAOPE SEGUN CONTRATO', 'categoria_producto': 'service', 'cantidad': '1.0', 'valor_unitario': 269.73, 'precio_unitario': 318.28, 'descuento': 0.0, 'subtotal': 269.73, 'porcentaje_de_igv': '18.00', 'igv': 48.55, 'total': 318.28,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</si>
  <si>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33081, 'codigo_producto': 216, 'nom_producto': 'COMISION PAGOS DIGITALES SEGUN CONTRATO', 'categoria_producto': 'service', 'cantidad': '1.0', 'valor_unitario': 213.5, 'precio_unitario': 251.93, 'descuento': 0.0, 'subtotal': 213.5, 'porcentaje_de_igv': '18.00', 'igv': 38.43, 'total': 251.93,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</si>
  <si>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33038, 'codigo_producto': 1786, 'nom_producto': 'COMISION VAOPE SEGUN CONTRATO', 'categoria_producto': 'service', 'cantidad': '1.0', 'valor_unitario': 2.29, 'precio_unitario': 2.7, 'descuento': 0.0, 'subtotal': 2.29, 'porcentaje_de_igv': '18.00', 'igv': 0.41, 'total': 2.7, 'moneda': '1', 'tipo_de_cambio': 1.0, 'id_estado': 'paid', 'nombre_estado': 'Pagado', 'evento': {'id_evento': '3142', 'nom_evento': 'Tributo Twenty One Pilots en el Centro de Lima', 'fecha_hora_ini_event': '18-10-2025', 'fecha_hora_fin_event': '18-10-2025',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</si>
  <si>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33035, 'codigo_producto': 216, 'nom_producto': 'COMISION PAGOS DIGITALES SEGUN CONTRATO', 'categoria_producto': 'service', 'cantidad': '1.0', 'valor_unitario': 43.98, 'precio_unitario': 51.9, 'descuento': 0.0, 'subtotal': 43.98, 'porcentaje_de_igv': '18.00', 'igv': 7.92, 'total': 51.9, 'moneda': '1', 'tipo_de_cambio': 1.0, 'id_estado': 'paid', 'nombre_estado': 'Pagado', 'evento': {'id_evento': '3142', 'nom_evento': 'Tributo Twenty One Pilots en el Centro de Lima', 'fecha_hora_ini_event': '18-10-2025', 'fecha_hora_fin_event': '18-10-2025',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</si>
  <si>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33032, 'codigo_producto': 216, 'nom_producto': 'COMISION PAGOS DIGITALES SEGUN CONTRATO', 'categoria_producto': 'service', 'cantidad': '1.0', 'valor_unitario': 43.0, 'precio_unitario': 50.74, 'descuento': 0.0, 'subtotal': 43.0, 'porcentaje_de_igv': '18.00', 'igv': 7.74, 'total': 50.74, 'moneda': '1', 'tipo_de_cambio': 1.0, 'id_estado': 'paid', 'nombre_estado': 'Pagado', 'evento': {'id_evento': '3193', 'nom_evento': 'Tributo a The Beatles en Arequipa', 'fecha_hora_ini_event': '24-10-2025', 'fecha_hora_fin_event': '24-10-2025',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</si>
  <si>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33029, 'codigo_producto': 216, 'nom_producto': 'COMISION PAGOS DIGITALES SEGUN CONTRATO', 'categoria_producto': 'service', 'cantidad': '1.0', 'valor_unitario': 33.5, 'precio_unitario': 39.53, 'descuento': 0.0, 'subtotal': 33.5, 'porcentaje_de_igv': '18.00', 'igv': 6.03, 'total': 39.53, 'moneda': '1', 'tipo_de_cambio': 1.0, 'id_estado': 'paid', 'nombre_estado': 'Pagado', 'evento': {'id_evento': '3200', 'nom_evento': 'Tributo a The Beatles en Puno', 'fecha_hora_ini_event': '25-10-2025', 'fecha_hora_fin_event': '25-10-2025',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</si>
  <si>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33026, 'codigo_producto': 1786, 'nom_producto': 'COMISION VAOPE SEGUN CONTRATO', 'categoria_producto': 'service', 'cantidad': '1.0', 'valor_unitario': 5.25, 'precio_unitario': 6.2, 'descuento': 0.0, 'subtotal': 5.25, 'porcentaje_de_igv': '18.00', 'igv': 0.95, 'total': 6.2, 'moneda': '1', 'tipo_de_cambio': 1.0, 'id_estado': 'paid', 'nombre_estado': 'Pagado', 'evento': {'id_evento': '3252', 'nom_evento': 'TrilogÃ­a CosteÃ±a con Guinda, Los ecos y mÃ¡s en SMP', 'fecha_hora_ini_event': '18-10-2025', 'fecha_hora_fin_event': '18-10-2025', 'id_organizador': 5658, 'nom_organizador': 'JULIO CESAR CHINCHAY MENA',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</si>
  <si>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33023, 'codigo_producto': 216, 'nom_producto': 'COMISION PAGOS DIGITALES SEGUN CONTRATO', 'categoria_producto': 'service', 'cantidad': '1.0', 'valor_unitario': 5.08, 'precio_unitario': 5.99, 'descuento': 0.0, 'subtotal': 5.08, 'porcentaje_de_igv': '18.00', 'igv': 0.91, 'total': 5.99, 'moneda': '1', 'tipo_de_cambio': 1.0, 'id_estado': 'paid', 'nombre_estado': 'Pagado', 'evento': {'id_evento': '3252', 'nom_evento': 'TrilogÃ­a CosteÃ±a con Guinda, Los ecos y mÃ¡s en SMP', 'fecha_hora_ini_event': '18-10-2025', 'fecha_hora_fin_event': '18-10-2025', 'id_organizador': 5658, 'nom_organizador': 'JULIO CESAR CHINCHAY MENA',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</si>
  <si>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33020, 'codigo_producto': 2274, 'nom_producto': 'COMISION CORTESIA ', 'categoria_producto': 'consu', 'cantidad': '1.0', 'valor_unitario': 350.0, 'precio_unitario': 413.0, 'descuento': 0.0, 'subtotal': 350.0, 'porcentaje_de_igv': '18.00', 'igv': 63.0, 'total': 413.0,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</si>
  <si>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33017,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6959, 'nom_cuenta_analitica': '7032102 VENTAS SERVICIOS VAOPE', 'distribucion_analitica': []}]</t>
  </si>
  <si>
    <t>[{'id_producto': 33014, 'codigo_producto': 1786, 'nom_producto': 'COMISION VAOPE SEGUN CONTRATO', 'categoria_producto': 'service', 'cantidad': '1.0', 'valor_unitario': 727.91, 'precio_unitario': 858.93, 'descuento': 0.0, 'subtotal': 727.91, 'porcentaje_de_igv': '18.00', 'igv': 131.02, 'total': 858.93,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</si>
  <si>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33011, 'codigo_producto': 216, 'nom_producto': 'COMISION PAGOS DIGITALES SEGUN CONTRATO', 'categoria_producto': 'service', 'cantidad': '1.0', 'valor_unitario': 501.7, 'precio_unitario': 592.01, 'descuento': 0.0, 'subtotal': 501.7, 'porcentaje_de_igv': '18.00', 'igv': 90.31, 'total': 592.01,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</si>
  <si>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33008, 'codigo_producto': 2274, 'nom_producto': 'COMISION CORTESIA ', 'categoria_producto': 'consu', 'cantidad': '1.0', 'valor_unitario': 6.5, 'precio_unitario': 7.67, 'descuento': 0.0, 'subtotal': 6.5, 'porcentaje_de_igv': '18.00', 'igv': 1.17, 'total': 7.67,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</si>
  <si>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33005, 'codigo_producto': 1786, 'nom_producto': 'COMISION VAOPE SEGUN CONTRATO', 'categoria_producto': 'service', 'cantidad': '1.0', 'valor_unitario': 239.92, 'precio_unitario': 283.11, 'descuento': 0.0, 'subtotal': 239.92, 'porcentaje_de_igv': '18.00', 'igv': 43.19, 'total': 283.11,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</si>
  <si>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33002, 'codigo_producto': 216, 'nom_producto': 'COMISION PAGOS DIGITALES SEGUN CONTRATO', 'categoria_producto': 'service', 'cantidad': '1.0', 'valor_unitario': 170.76, 'precio_unitario': 201.5, 'descuento': 0.0, 'subtotal': 170.76, 'porcentaje_de_igv': '18.00', 'igv': 30.74, 'total': 201.5,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</si>
  <si>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32999, 'codigo_producto': 2276, 'nom_producto': 'PUNTO DE VENTA', 'categoria_producto': 'service', 'cantidad': '1.0', 'valor_unitario': 93.5, 'precio_unitario': 110.33, 'descuento': 0.0, 'subtotal': 93.5, 'porcentaje_de_igv': '18.00', 'igv': 16.83, 'total': 110.33,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</t>
  </si>
  <si>
    <t>[{'id_producto': 32996, 'codigo_producto': 1786, 'nom_producto': 'COMISION VAOPE SEGUN CONTRATO', 'categoria_producto': 'service', 'cantidad': '1.0', 'valor_unitario': 72.46, 'precio_unitario': 85.5, 'descuento': 0.0, 'subtotal': 72.46, 'porcentaje_de_igv': '18.00', 'igv': 13.04, 'total': 85.5,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</si>
  <si>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32993, 'codigo_producto': 216, 'nom_producto': 'COMISION PAGOS DIGITALES SEGUN CONTRATO', 'categoria_producto': 'service', 'cantidad': '1.0', 'valor_unitario': 140.19, 'precio_unitario': 165.42, 'descuento': 0.0, 'subtotal': 140.19, 'porcentaje_de_igv': '18.00', 'igv': 25.23, 'total': 165.42,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</si>
  <si>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32988, 'codigo_producto': 1786, 'nom_producto': 'COMISION VAOPE SEGUN CONTRATO', 'categoria_producto': 'service', 'cantidad': '1.0', 'valor_unitario': 801.02, 'precio_unitario': 945.2, 'descuento': 0.0, 'subtotal': 801.02, 'porcentaje_de_igv': '18.00', 'igv': 144.18, 'total': 945.2, 'moneda': '1', 'tipo_de_cambio': 1.0, 'id_estado': 'paid', 'nombre_estado': 'Pagado', 'evento': {'id_evento': '3174', 'nom_evento': 'Las Divinas del Norte en Voley con Sorpresa en Chulucanas', 'fecha_hora_ini_event': '24-10-2025', 'fecha_hora_fin_event': '24-10-2025',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</si>
  <si>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32985, 'codigo_producto': 216, 'nom_producto': 'COMISION PAGOS DIGITALES SEGUN CONTRATO', 'categoria_producto': 'service', 'cantidad': '1.0', 'valor_unitario': 567.12, 'precio_unitario': 669.2, 'descuento': 0.0, 'subtotal': 567.12, 'porcentaje_de_igv': '18.00', 'igv': 102.08, 'total': 669.2, 'moneda': '1', 'tipo_de_cambio': 1.0, 'id_estado': 'paid', 'nombre_estado': 'Pagado', 'evento': {'id_evento': '3174', 'nom_evento': 'Las Divinas del Norte en Voley con Sorpresa en Chulucanas', 'fecha_hora_ini_event': '24-10-2025', 'fecha_hora_fin_event': '24-10-2025',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</si>
  <si>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32980, 'codigo_producto': 2276, 'nom_producto': 'PUNTO DE VENTA', 'categoria_producto': 'service', 'cantidad': '1.0', 'valor_unitario': 20.5, 'precio_unitario': 24.19, 'descuento': 0.0, 'subtotal': 20.5, 'porcentaje_de_igv': '18.00', 'igv': 3.69, 'total': 24.19,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6959, 'nom_cuenta_analitica': '7032102 VENTAS SERVICIOS VAOPE', 'distribucion_analitica': []}]</t>
  </si>
  <si>
    <t>[{'id_producto': 32977, 'codigo_producto': 1786, 'nom_producto': 'COMISION VAOPE SEGUN CONTRATO', 'categoria_producto': 'service', 'cantidad': '1.0', 'valor_unitario': 6.19, 'precio_unitario': 7.3, 'descuento': 0.0, 'subtotal': 6.19, 'porcentaje_de_igv': '18.00', 'igv': 1.11, 'total': 7.3,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</si>
  <si>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32974, 'codigo_producto': 216, 'nom_producto': 'COMISION PAGOS DIGITALES SEGUN CONTRATO', 'categoria_producto': 'service', 'cantidad': '1.0', 'valor_unitario': 24.91, 'precio_unitario': 29.39, 'descuento': 0.0, 'subtotal': 24.91, 'porcentaje_de_igv': '18.00', 'igv': 4.48, 'total': 29.39,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</si>
  <si>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32959, 'codigo_producto': 1786, 'nom_producto': 'COMISION VAOPE SEGUN CONTRATO', 'categoria_producto': 'service', 'cantidad': '1.0', 'valor_unitario': 26.69, 'precio_unitario': 31.49, 'descuento': 0.0, 'subtotal': 26.69, 'porcentaje_de_igv': '18.00', 'igv': 4.8, 'total': 31.49, 'moneda': '1', 'tipo_de_cambio': 1.0, 'id_estado': 'paid', 'nombre_estado': 'Pagado', 'evento': {'id_evento': '3275', 'nom_evento': 'Noche Estelar con Los CaribeÃ±os, Carlos Miguel y mÃ¡s en Blue Fiesta Total de Independencia', 'fecha_hora_ini_event': '24-10-2025', 'fecha_hora_fin_event': '24-10-2025', 'id_organizador': 5473, 'nom_organizador': 'PROMOTORA DE ESPECTACULOS A&amp;G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</si>
  <si>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32953, 'codigo_producto': 216, 'nom_producto': 'COMISION PAGOS DIGITALES SEGUN CONTRATO',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'3275', 'nom_evento': 'Noche Estelar con Los CaribeÃ±os, Carlos Miguel y mÃ¡s en Blue Fiesta Total de Independencia', 'fecha_hora_ini_event': '24-10-2025', 'fecha_hora_fin_event': '24-10-2025', 'id_organizador': 5473, 'nom_organizador': 'PROMOTORA DE ESPECTACULOS A&amp;G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</si>
  <si>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32950, 'codigo_producto': 2274, 'nom_producto': 'COMISION CORTESIA ', 'categoria_producto': 'consu', 'cantidad': '1.0', 'valor_unitario': 33.5, 'precio_unitario': 39.53, 'descuento': 0.0, 'subtotal': 33.5, 'porcentaje_de_igv': '18.00', 'igv': 6.03, 'total': 39.53,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</si>
  <si>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32947, 'codigo_producto': 1786, 'nom_producto': 'COMISION VAOPE SEGUN CONTRATO', 'categoria_producto': 'service', 'cantidad': '1.0', 'valor_unitario': 287.83, 'precio_unitario': 339.64, 'descuento': 0.0, 'subtotal': 287.83, 'porcentaje_de_igv': '18.00', 'igv': 51.81, 'total': 339.64,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</si>
  <si>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32944, 'codigo_producto': 216, 'nom_producto': 'COMISION PAGOS DIGITALES SEGUN CONTRATO', 'categoria_producto': 'service', 'cantidad': '1.0', 'valor_unitario': 290.48, 'precio_unitario': 342.77, 'descuento': 0.0, 'subtotal': 290.48, 'porcentaje_de_igv': '18.00', 'igv': 52.29, 'total': 342.77,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</si>
  <si>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32941, 'codigo_producto': 2274, 'nom_producto': 'COMISION CORTESIA ', 'categoria_producto': 'consu', 'cantidad': '1.0', 'valor_unitario': 50.0, 'precio_unitario': 59.0, 'descuento': 0.0, 'subtotal': 50.0, 'porcentaje_de_igv': '18.00', 'igv': 9.0, 'total': 59.0,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</si>
  <si>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32938, 'codigo_producto': 2314, 'nom_producto': 'SERV VALIDADORES', 'categoria_producto': 'service', 'cantidad': '1.0', 'valor_unitario': 600.0, 'precio_unitario': 708.0, 'descuento': 0.0, 'subtotal': 600.0, 'porcentaje_de_igv': '18.00', 'igv': 108.0, 'total': 708.0,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</si>
  <si>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32935, 'codigo_producto': 2315, 'nom_producto': 'PAUTA PUBLICITARIA', 'categoria_producto': 'service', 'cantidad': '1.0', 'valor_unitario': 847.46, 'precio_unitario': 1000.0, 'descuento': 0.0, 'subtotal': 847.46, 'porcentaje_de_igv': '18.00', 'igv': 152.54, 'total': 1000.0,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</si>
  <si>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[{'id_producto': 32932, 'codigo_producto': 1895, 'nom_producto': 'BRAZALETE CON QR',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</si>
  <si>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32929, 'codigo_producto': 1924, 'nom_producto': 'BOLETO FULL COLOR CON QR', 'categoria_producto': 'consu', 'cantidad': '1.0', 'valor_unitario': 1140.0, 'precio_unitario': 1345.2, 'descuento': 0.0, 'subtotal': 1140.0, 'porcentaje_de_igv': '18.00', 'igv': 205.2, 'total': 1345.2,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</si>
  <si>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32926, 'codigo_producto': 1786, 'nom_producto': 'COMISION VAOPE SEGUN CONTRATO', 'categoria_producto': 'service', 'cantidad': '1.0', 'valor_unitario': 4465.08, 'precio_unitario': 5268.79, 'descuento': 0.0, 'subtotal': 4465.08, 'porcentaje_de_igv': '18.00', 'igv': 803.71, 'total': 5268.79,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</si>
  <si>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32923, 'codigo_producto': 216, 'nom_producto': 'COMISION PAGOS DIGITALES SEGUN CONTRATO', 'categoria_producto': 'service', 'cantidad': '1.0', 'valor_unitario': 3632.8, 'precio_unitario': 4286.7, 'descuento': 0.0, 'subtotal': 3632.8, 'porcentaje_de_igv': '18.00', 'igv': 653.9, 'total': 4286.7,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</si>
  <si>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32920, 'codigo_producto': 1786, 'nom_producto': 'COMISION VAOPE SEGUN CONTRATO', 'categoria_producto': 'service', 'cantidad': '1.0', 'valor_unitario': 18.39, 'precio_unitario': 21.7, 'descuento': 0.0, 'subtotal': 18.39, 'porcentaje_de_igv': '18.00', 'igv': 3.31, 'total': 21.7, 'moneda': '1', 'tipo_de_cambio': 1.0, 'id_estado': 'paid', 'nombre_estado': 'Pagado', 'evento': {'id_evento': '3135', 'nom_evento': '25Â° Aniversario de Manolito Simonet y su Trabuco y mÃ¡s en 11:11 Club de Independencia', 'fecha_hora_ini_event': '25-10-2025', 'fecha_hora_fin_event': '25-10-2025',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</si>
  <si>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32917, 'codigo_producto': 216, 'nom_producto': 'COMISION PAGOS DIGITALES SEGUN CONTRATO', 'categoria_producto': 'service', 'cantidad': '1.0', 'valor_unitario': 10.68, 'precio_unitario': 12.6, 'descuento': 0.0, 'subtotal': 10.68, 'porcentaje_de_igv': '18.00', 'igv': 1.92, 'total': 12.6, 'moneda': '1', 'tipo_de_cambio': 1.0, 'id_estado': 'paid', 'nombre_estado': 'Pagado', 'evento': {'id_evento': '3135', 'nom_evento': '25Â° Aniversario de Manolito Simonet y su Trabuco y mÃ¡s en 11:11 Club de Independencia', 'fecha_hora_ini_event': '25-10-2025', 'fecha_hora_fin_event': '25-10-2025',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</si>
  <si>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32914, 'codigo_producto': 2276, 'nom_producto': 'PUNTO DE VENTA', 'categoria_producto': 'service', 'cantidad': '1.0', 'valor_unitario': 21.6, 'precio_unitario': 25.49, 'descuento': 0.0, 'subtotal': 21.6, 'porcentaje_de_igv': '18.00', 'igv': 3.89, 'total': 25.49,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6959, 'nom_cuenta_analitica': '7032102 VENTAS SERVICIOS VAOPE', 'distribucion_analitica': []}]</t>
  </si>
  <si>
    <t>[{'id_producto': 32911, 'codigo_producto': 1786, 'nom_producto': 'COMISION VAOPE SEGUN CONTRATO', 'categoria_producto': 'service', 'cantidad': '1.0', 'valor_unitario': 5.59, 'precio_unitario': 6.6, 'descuento': 0.0, 'subtotal': 5.59, 'porcentaje_de_igv': '18.00', 'igv': 1.01, 'total': 6.6,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</si>
  <si>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32908, 'codigo_producto': 216, 'nom_producto': 'COMISION PAGOS DIGITALES SEGUN CONTRATO', 'categoria_producto': 'service', 'cantidad': '1.0', 'valor_unitario': 24.66, 'precio_unitario': 29.1, 'descuento': 0.0, 'subtotal': 24.66, 'porcentaje_de_igv': '18.00', 'igv': 4.44, 'total': 29.1,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</si>
  <si>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32903, 'codigo_producto': 2276, 'nom_producto': 'PUNTO DE VENTA', 'categoria_producto': 'service', 'cantidad': '1.0', 'valor_unitario': 9.5, 'precio_unitario': 11.21, 'descuento': 0.0, 'subtotal': 9.5, 'porcentaje_de_igv': '18.00', 'igv': 1.71, 'total': 11.21,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6959, 'nom_cuenta_analitica': '7032102 VENTAS SERVICIOS VAOPE', 'distribucion_analitica': []}]</t>
  </si>
  <si>
    <t>[{'id_producto': 32900, 'codigo_producto': 1786, 'nom_producto': 'COMISION VAOPE SEGUN CONTRATO', 'categoria_producto': 'service', 'cantidad': '1.0', 'valor_unitario': 9.83, 'precio_unitario': 11.6, 'descuento': 0.0, 'subtotal': 9.83, 'porcentaje_de_igv': '18.00', 'igv': 1.77, 'total': 11.6,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</si>
  <si>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32897, 'codigo_producto': 216, 'nom_producto': 'COMISION PAGOS DIGITALES SEGUN CONTRATO', 'categoria_producto': 'service', 'cantidad': '1.0', 'valor_unitario': 16.96, 'precio_unitario': 20.01, 'descuento': 0.0, 'subtotal': 16.96, 'porcentaje_de_igv': '18.00', 'igv': 3.05, 'total': 20.01,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</si>
  <si>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32891, 'codigo_producto': 2274, 'nom_producto': 'COMISION CORTESIA ', 'categoria_producto': 'consu', 'cantidad': '1.0', 'valor_unitario': 5.0, 'precio_unitario': 5.9, 'descuento': 0.0, 'subtotal': 5.0, 'porcentaje_de_igv': '18.00', 'igv': 0.9, 'total': 5.9,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</si>
  <si>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32888, 'codigo_producto': 1786, 'nom_producto': 'COMISION VAOPE SEGUN CONTRATO', 'categoria_producto': 'service', 'cantidad': '1.0', 'valor_unitario': 106.95, 'precio_unitario': 126.2, 'descuento': 0.0, 'subtotal': 106.95, 'porcentaje_de_igv': '18.00', 'igv': 19.25, 'total': 126.2,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</si>
  <si>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32885, 'codigo_producto': 216, 'nom_producto': 'COMISION PAGOS DIGITALES SEGUN CONTRATO', 'categoria_producto': 'service', 'cantidad': '1.0', 'valor_unitario': 87.97, 'precio_unitario': 103.8, 'descuento': 0.0, 'subtotal': 87.97, 'porcentaje_de_igv': '18.00', 'igv': 15.83, 'total': 103.8,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</si>
  <si>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32882, 'codigo_producto': 1786, 'nom_producto': 'COMISION VAOPE SEGUN CONTRATO', 'categoria_producto': 'service', 'cantidad': '1.0', 'valor_unitario': 2.69, 'precio_unitario': 3.17, 'descuento': 0.0, 'subtotal': 2.69, 'porcentaje_de_igv': '18.00', 'igv': 0.48, 'total': 3.17, 'moneda': '1', 'tipo_de_cambio': 1.0, 'id_estado': 'paid', 'nombre_estado': 'Pagado', 'evento': {'id_evento': '3302', 'nom_evento': 'Rumba Nigth con Azucena Calvay, La primerisima y mÃ¡s en Blue Fiesta Total de Independencia', 'fecha_hora_ini_event': '25-10-2025', 'fecha_hora_fin_event': '25-10-2025', 'id_organizador': 5473, 'nom_organizador': 'PROMOTORA DE ESPECTACULOS A&amp;G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</si>
  <si>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32879, 'codigo_producto': 216, 'nom_producto': 'COMISION PAGOS DIGITALES SEGUN CONTRATO', 'categoria_producto': 'service', 'cantidad': '1.0', 'valor_unitario': 2.0, 'precio_unitario': 2.36, 'descuento': 0.0, 'subtotal': 2.0, 'porcentaje_de_igv': '18.00', 'igv': 0.36, 'total': 2.36, 'moneda': '1', 'tipo_de_cambio': 1.0, 'id_estado': 'paid', 'nombre_estado': 'Pagado', 'evento': {'id_evento': '3302', 'nom_evento': 'Rumba Nigth con Azucena Calvay, La primerisima y mÃ¡s en Blue Fiesta Total de Independencia', 'fecha_hora_ini_event': '25-10-2025', 'fecha_hora_fin_event': '25-10-2025', 'id_organizador': 5473, 'nom_organizador': 'PROMOTORA DE ESPECTACULOS A&amp;G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</si>
  <si>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32876, 'codigo_producto': 2274, 'nom_producto': 'COMISION CORTESIA ', 'categoria_producto': 'consu', 'cantidad': '1.0', 'valor_unitario': 10.0, 'precio_unitario': 11.8, 'descuento': 0.0, 'subtotal': 10.0, 'porcentaje_de_igv': '18.00', 'igv': 1.8, 'total': 11.8,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</si>
  <si>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32873, 'codigo_producto': 2314, 'nom_producto': 'SERV VALIDADORES', 'categoria_producto': 'service', 'cantidad': '1.0', 'valor_unitario': 450.0, 'precio_unitario': 531.0, 'descuento': 0.0, 'subtotal': 450.0, 'porcentaje_de_igv': '18.00', 'igv': 81.0, 'total': 531.0,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</t>
  </si>
  <si>
    <t>[{'id_producto': 32870, 'codigo_producto': 1786, 'nom_producto': 'COMISION VAOPE SEGUN CONTRATO', 'categoria_producto': 'service', 'cantidad': '1.0', 'valor_unitario': 761.36, 'precio_unitario': 898.4, 'descuento': 0.0, 'subtotal': 761.36, 'porcentaje_de_igv': '18.00', 'igv': 137.04, 'total': 898.4,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</si>
  <si>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32867, 'codigo_producto': 216, 'nom_producto': 'COMISION PAGOS DIGITALES SEGUN CONTRATO', 'categoria_producto': 'service', 'cantidad': '1.0', 'valor_unitario': 368.81, 'precio_unitario': 435.2, 'descuento': 0.0, 'subtotal': 368.81, 'porcentaje_de_igv': '18.00', 'igv': 66.39, 'total': 435.2,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</si>
  <si>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32864, 'codigo_producto': 2276, 'nom_producto': 'PUNTO DE VENTA', 'categoria_producto': 'service', 'cantidad': '1.0', 'valor_unitario': 80.0, 'precio_unitario': 94.4, 'descuento': 0.0, 'subtotal': 80.0, 'porcentaje_de_igv': '18.00', 'igv': 14.4, 'total': 94.4,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</t>
  </si>
  <si>
    <t>[{'id_producto': 32861, 'codigo_producto': 1786, 'nom_producto': 'COMISION VAOPE SEGUN CONTRATO', 'categoria_producto': 'service', 'cantidad': '1.0', 'valor_unitario': 543.86, 'precio_unitario': 641.75, 'descuento': 0.0, 'subtotal': 543.86, 'porcentaje_de_igv': '18.00', 'igv': 97.89, 'total': 641.75,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</si>
  <si>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32858, 'codigo_producto': 216, 'nom_producto': 'COMISION PAGOS DIGITALES SEGUN CONTRATO', 'categoria_producto': 'service', 'cantidad': '1.0', 'valor_unitario': 408.15, 'precio_unitario': 481.62, 'descuento': 0.0, 'subtotal': 408.15, 'porcentaje_de_igv': '18.00', 'igv': 73.47, 'total': 481.62,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</si>
  <si>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32855, 'codigo_producto': 2274, 'nom_producto': 'COMISION CORTESIA ', 'categoria_producto': 'consu', 'cantidad': '1.0', 'valor_unitario': 105.0, 'precio_unitario': 123.9, 'descuento': 0.0, 'subtotal': 105.0, 'porcentaje_de_igv': '18.00', 'igv': 18.9, 'total': 123.9,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</si>
  <si>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32852, 'codigo_producto': 2261, 'nom_producto': 'VOUCHER DIGITAL CON QR', 'categoria_producto': 'consu', 'cantidad': '1.0', 'valor_unitario': 20.0, 'precio_unitario': 23.6, 'descuento': 0.0, 'subtotal': 20.0, 'porcentaje_de_igv': '18.00', 'igv': 3.6, 'total': 23.6,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</t>
  </si>
  <si>
    <t>[{'id_producto': 32849, 'codigo_producto': 1786, 'nom_producto': 'COMISION VAOPE SEGUN CONTRATO', 'categoria_producto': 'service', 'cantidad': '1.0', 'valor_unitario': 56.59, 'precio_unitario': 66.78, 'descuento': 0.0, 'subtotal': 56.59, 'porcentaje_de_igv': '18.00', 'igv': 10.19, 'total': 66.78,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</si>
  <si>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32846, 'codigo_producto': 216, 'nom_producto': 'COMISION PAGOS DIGITALES SEGUN CONTRATO', 'categoria_producto': 'service', 'cantidad': '1.0', 'valor_unitario': 42.0, 'precio_unitario': 49.56, 'descuento': 0.0, 'subtotal': 42.0, 'porcentaje_de_igv': '18.00', 'igv': 7.56, 'total': 49.56,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</si>
  <si>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32826, 'codigo_producto': 2342, 'nom_producto': 'SERVICIO DE DISENO 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'100.00'}]]}, {'id_producto': 32827,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'100.00'}]]}]</t>
  </si>
  <si>
    <t>[{'id_producto': 32822, 'codigo_producto': 1924, 'nom_producto': 'BOLETO FULL COLOR CON QR', 'categoria_producto': 'consu', 'cantidad': '2000.0', 'valor_unitario': 0.4, 'precio_unitario': 0.47, 'descuento': 0.0, 'subtotal': 800.0, 'porcentaje_de_igv': '18.00', 'igv': 144.0, 'total': 944.0,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32823,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</si>
  <si>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</t>
  </si>
  <si>
    <t>[{'id_producto': 32789, 'codigo_producto': 2274, 'nom_producto': 'COMISION CORTESIA ', 'categoria_producto': 'consu', 'cantidad': '1.0', 'valor_unitario': 18.0, 'precio_unitario': 21.24, 'descuento': 0.0, 'subtotal': 18.0, 'porcentaje_de_igv': '18.00', 'igv': 3.24, 'total': 21.24, 'moneda': '1', 'tipo_de_cambio': 1.0, 'id_estado': 'paid', 'nombre_estado': 'Pagado', 'evento': {'id_evento': '', 'nom_evento': '', 'fecha_hora_ini_event': '', 'fecha_hora_fin_event': '', 'id_organizador': 1136, 'nom_organizador': 'CONSORCIO CHUNGA &amp; ASOCIADOS S.A.C.', 'tipo_organizador': 'Empresa'}, 'id_vendedor': 16, 'nom_vendedor': 'JENNY MANCO', 'id_cuenta_analitica': 6937, 'nom_cuenta_analitica': '7032101 VENTAS COMISION VAOPE', 'distribucion_analitica': []}]</t>
  </si>
  <si>
    <t>[{'id_producto': 32786, 'codigo_producto': 1916, 'nom_producto': 'DELIVERY', 'categoria_producto': 'service', 'cantidad': '1.0', 'valor_unitario': 29.66, 'precio_unitario': 35.0, 'descuento': 0.0, 'subtotal': 29.66, 'porcentaje_de_igv': '18.00', 'igv': 5.34, 'total': 35.0, 'moneda': '1', 'tipo_de_cambio': 1.0, 'id_estado': 'paid', 'nombre_estado': 'Pagado', 'evento': {'id_evento': '', 'nom_evento': '', 'fecha_hora_ini_event': '', 'fecha_hora_fin_event': '', 'id_organizador': 6833, 'nom_organizador': 'JOSEFINA CASA CLUB S.R.L.',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</t>
  </si>
  <si>
    <t>[{'id_producto': 32783,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'3324', 'nom_evento': 'CLUB DE HALLOWEEN EDICIÃ“N 4.0 - 31/10 - I - P', 'fecha_hora_ini_event': '31-10-2025', 'fecha_hora_fin_event': '31-10-2025', 'id_organizador': 5354, 'nom_organizador': 'EDGAR MECHATO ANCAJIMA',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</si>
  <si>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[{'id_producto': 32771,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'3317', 'nom_evento': 'LA UNICA TROPICAL - LA OBRILLA - 25/10 - I - P', 'fecha_hora_ini_event': '25-10-2025', 'fecha_hora_fin_event': '25-10-2025', 'id_organizador': 1136, 'nom_organizador': 'CONSORCIO CHUNGA &amp; ASOCIADOS S.A.C.', 'tipo_organizador': 'Empresa'}, 'id_vendedor': 16, 'nom_vendedor': 'JENNY MANCO', 'id_cuenta_analitica': 6959, 'nom_cuenta_analitica': '7032102 VENTAS SERVICIOS VAOPE', 'distribucion_analitica': []}]</t>
  </si>
  <si>
    <t>[{'id_producto': 32766,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32769,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32770,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</t>
  </si>
  <si>
    <t>[{'id_producto': 32763,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'3317', 'nom_evento': 'LA UNICA TROPICAL - LA OBRILLA - 25/10 - I - P', 'fecha_hora_ini_event': '25-10-2025', 'fecha_hora_fin_event': '25-10-2025',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</si>
  <si>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[{'id_producto': 32759,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</si>
  <si>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[{'id_producto': 32756, 'codigo_producto': 1924, 'nom_producto': 'BOLETO FULL COLOR CON QR', 'categoria_producto': 'consu', 'cantidad': '1500.0', 'valor_unitario': 0.4, 'precio_unitario': 0.47, 'descuento': 0.0, 'subtotal': 600.0, 'porcentaje_de_igv': '18.00', 'igv': 108.0, 'total': 708.0, 'moneda': '1', 'tipo_de_cambio': 1.0, 'id_estado': 'paid', 'nombre_estado': 'Pagado', 'evento': {'id_evento': '3316', 'nom_evento': 'LA UNICA TROPICAL - MORROPE - 01/11 - I - P', 'fecha_hora_ini_event': '01-11-2025', 'fecha_hora_fin_event': '01-11-2025',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</t>
  </si>
  <si>
    <t>[{'id_producto': 32593, 'codigo_producto': 1786, 'nom_producto': 'COMISION VAOPE SEGUN CONTRATO', 'categoria_producto': 'service', 'cantidad': '1.0', 'valor_unitario': 30.19, 'precio_unitario': 35.62, 'descuento': 0.0, 'subtotal': 30.19, 'porcentaje_de_igv': '18.00', 'igv': 5.43, 'total': 35.62,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</si>
  <si>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32590, 'codigo_producto': 216, 'nom_producto': 'COMISION PAGOS DIGITALES SEGUN CONTRATO', 'categoria_producto': 'service', 'cantidad': '1.0', 'valor_unitario': 35.64, 'precio_unitario': 42.06, 'descuento': 0.0, 'subtotal': 35.64, 'porcentaje_de_igv': '18.00', 'igv': 6.42, 'total': 42.06,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</si>
  <si>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32587, 'codigo_producto': 2315, 'nom_producto': 'PAUTA PUBLICITARIA', 'categoria_producto': 'service', 'cantidad': '1.0', 'valor_unitario': 8.47, 'precio_unitario': 9.99, 'descuento': 0.0, 'subtotal': 8.47, 'porcentaje_de_igv': '18.00', 'igv': 1.52, 'total': 9.99,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</t>
  </si>
  <si>
    <t>[{'id_producto': 32578, 'codigo_producto': 2274, 'nom_producto': 'COMISION CORTESIA ', 'categoria_producto': 'consu', 'cantidad': '1.0', 'valor_unitario': 4.75, 'precio_unitario': 5.61, 'descuento': 0.0, 'subtotal': 4.75, 'porcentaje_de_igv': '18.00', 'igv': 0.86, 'total': 5.61,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</si>
  <si>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32554, 'codigo_producto': 2274, 'nom_producto': 'COMISION CORTESIA ', 'categoria_producto': 'consu', 'cantidad': '1.0', 'valor_unitario': 14.25, 'precio_unitario': 16.82, 'descuento': 0.0, 'subtotal': 14.25, 'porcentaje_de_igv': '18.00', 'igv': 2.57, 'total': 16.82,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</t>
  </si>
  <si>
    <t>[{'id_producto': 32506, 'codigo_producto': 216, 'nom_producto': 'COMISION PAGOS DIGITALES SEGUN CONTRATO', 'categoria_producto': 'service', 'cantidad': '1.0', 'valor_unitario': 42.2, 'precio_unitario': 49.8, 'descuento': 0.0, 'subtotal': 42.2, 'porcentaje_de_igv': '18.00', 'igv': 7.6, 'total': 49.8, 'moneda': '1', 'tipo_de_cambio': 1.0, 'id_estado': 'paid', 'nombre_estado': 'Pagado', 'evento': {'id_evento': '3055', 'nom_evento': 'Feliz Aniversario Quimica San Carlos en el Campus Unicachi', 'fecha_hora_ini_event': '18-10-2025', 'fecha_hora_fin_event': '18-10-2025', 'id_organizador': 5611, 'nom_organizador': 'CARLOS HERNANDEZ HERNANDEZ',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</si>
  <si>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32498, 'codigo_producto': 1895, 'nom_producto': 'BRAZALETE CON QR', 'categoria_producto': 'consu', 'cantidad': '3000.0', 'valor_unitario': 0.6, 'precio_unitario': 0.71, 'descuento': 0.0, 'subtotal': 1800.0, 'porcentaje_de_igv': '18.00', 'igv': 324.0, 'total': 2124.0,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32499, 'codigo_producto': 1924, 'nom_producto': 'BOLETO FULL COLOR CON QR', 'categoria_producto': 'consu', 'cantidad': '5000.0', 'valor_unitario': 0.4, 'precio_unitario': 0.47, 'descuento': 0.0, 'subtotal': 2000.0, 'porcentaje_de_igv': '18.00', 'igv': 360.0, 'total': 2360.0,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32502, 'codigo_producto': 2344, 'nom_producto': 'Descuento', 'categoria_producto': 'service', 'cantidad': '1.0', 'valor_unitario': -190.0, 'precio_unitario': -224.2, 'descuento': 0.0, 'subtotal': -190.0, 'porcentaje_de_igv': '18.00', 'igv': -34.2, 'total': -224.2,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[]}]</t>
  </si>
  <si>
    <t>[{'id_producto': 32370, 'codigo_producto': 216, 'nom_producto': 'COMISION PAGOS DIGITALES SEGUN CONTRATO', 'categoria_producto': 'service', 'cantidad': '1.0', 'valor_unitario': 95.25, 'precio_unitario': 112.4, 'descuento': 0.0, 'subtotal': 95.25, 'porcentaje_de_igv': '18.00', 'igv': 17.15, 'total': 112.4, 'moneda': '1', 'tipo_de_cambio': 1.0, 'id_estado': 'paid', 'nombre_estado': 'Pagado', 'evento': {'id_evento': '3269', 'nom_evento': 'La Bella Luz en Palpa', 'fecha_hora_ini_event': '18-10-2025', 'fecha_hora_fin_event': '18-10-2025',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</si>
  <si>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32367, 'codigo_producto': 1786, 'nom_producto': 'COMISION VAOPE SEGUN CONTRATO', 'categoria_producto': 'service', 'cantidad': '1.0', 'valor_unitario': 34.15, 'precio_unitario': 40.3, 'descuento': 0.0, 'subtotal': 34.15, 'porcentaje_de_igv': '18.00', 'igv': 6.15, 'total': 40.3, 'moneda': '1', 'tipo_de_cambio': 1.0, 'id_estado': 'paid', 'nombre_estado': 'Pagado', 'evento': {'id_evento': '3249', 'nom_evento': 'FestiSalsa Vol 01 con Brunella Torpoco, Cesar Vega, Masiel Malaga y mÃ¡s en 11:11 Club de Independencia', 'fecha_hora_ini_event': '18-10-2025', 'fecha_hora_fin_event': '18-10-2025',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</si>
  <si>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31639, 'codigo_producto': 1786, 'nom_producto': 'COMISION VAOPE SEGUN CONTRATO', 'categoria_producto': 'service', 'cantidad': '1.0', 'valor_unitario': 10.51, 'precio_unitario': 12.4, 'descuento': 0.0, 'subtotal': 10.51, 'porcentaje_de_igv': '18.00', 'igv': 1.89, 'total': 12.4,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</si>
  <si>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31605, 'codigo_producto': 2276, 'nom_producto': 'PUNTO DE VENTA', 'categoria_producto': 'service', 'cantidad': '1.0', 'valor_unitario': 52.75, 'precio_unitario': 62.25, 'descuento': 0.0, 'subtotal': 52.75, 'porcentaje_de_igv': '18.00', 'igv': 9.5, 'total': 62.25,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[]}]</t>
  </si>
  <si>
    <t>[{'id_producto': 31581, 'codigo_producto': 2276, 'nom_producto': 'PUNTO DE VENTA', 'categoria_producto': 'service', 'cantidad': '1.0', 'valor_unitario': 52.75, 'precio_unitario': 62.25, 'descuento': 0.0, 'subtotal': 52.75, 'porcentaje_de_igv': '18.00', 'igv': 9.5, 'total': 62.25,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[]}]</t>
  </si>
  <si>
    <t>[{'id_producto': 31485, 'codigo_producto': 216, 'nom_producto': 'COMISION PAGOS DIGITALES SEGUN CONTRATO', 'categoria_producto': 'service', 'cantidad': '1.0', 'valor_unitario': 35.08, 'precio_unitario': 41.39, 'descuento': 0.0, 'subtotal': 35.08, 'porcentaje_de_igv': '18.00', 'igv': 6.31, 'total': 41.39, 'moneda': '1', 'tipo_de_cambio': 1.0, 'id_estado': 'paid', 'nombre_estado': 'Pagado', 'evento': {'id_evento': '3037', 'nom_evento': 'Circo Azteca en HuÃ¡nuco', 'fecha_hora_ini_event': '30-08-2025', 'fecha_hora_fin_event': '30-08-2025', 'id_organizador': 5554, 'nom_organizador': 'CHAVEZ MELGAREJO HENRY YUNIOR',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</si>
  <si>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31470, 'codigo_producto': 1786, 'nom_producto': 'COMISION VAOPE SEGUN CONTRATO', 'categoria_producto': 'service', 'cantidad': '1.0', 'valor_unitario': 41.53, 'precio_unitario': 49.01, 'descuento': 0.0, 'subtotal': 41.53, 'porcentaje_de_igv': '18.00', 'igv': 7.48, 'total': 49.01, 'moneda': '1', 'tipo_de_cambio': 1.0, 'id_estado': 'paid', 'nombre_estado': 'Pagado', 'evento': {'id_evento': '3090', 'nom_evento': 'Cristorata y mÃ¡s en 11:11 Club de Independencia', 'fecha_hora_ini_event': '11-10-2025', 'fecha_hora_fin_event': '11-10-2025',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</si>
  <si>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31449, 'codigo_producto': 1786, 'nom_producto': 'COMISION VAOPE SEGUN CONTRATO', 'categoria_producto': 'service', 'cantidad': '1.0', 'valor_unitario': 39.76, 'precio_unitario': 46.92, 'descuento': 0.0, 'subtotal': 39.76, 'porcentaje_de_igv': '18.00', 'igv': 7.16, 'total': 46.92, 'moneda': '1', 'tipo_de_cambio': 1.0, 'id_estado': 'paid', 'nombre_estado': 'Pagado', 'evento': {'id_evento': '3227', 'nom_evento': 'Gran Arbolazo Primavera 2025 con String Karma, Los Runas, DÃºo Ayacucho y mÃ¡s en El Bosque de Villa el Salvador', 'fecha_hora_ini_event': '11-10-2025', 'fecha_hora_fin_event': '11-10-2025', 'id_organizador': 1157, 'nom_organizador': 'Adrian Dolores Flores',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</si>
  <si>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31443, 'codigo_producto': 1786, 'nom_producto': 'COMISION VAOPE SEGUN CONTRATO', 'categoria_producto': 'service', 'cantidad': '1.0', 'valor_unitario': 35.42, 'precio_unitario': 41.8, 'descuento': 0.0, 'subtotal': 35.42, 'porcentaje_de_igv': '18.00', 'igv': 6.38, 'total': 41.8, 'moneda': '1', 'tipo_de_cambio': 1.0, 'id_estado': 'paid', 'nombre_estado': 'Pagado', 'evento': {'id_evento': '3057', 'nom_evento': 'Loser El Proyecto Glee en San Isidro', 'fecha_hora_ini_event': '11-10-2025', 'fecha_hora_fin_event': '11-10-2025', 'id_organizador': 5228, 'nom_organizador': 'ENTRENARTE EVENTOS DEPORTIVOS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</si>
  <si>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31440, 'codigo_producto': 216, 'nom_producto': 'COMISION PAGOS DIGITALES SEGUN CONTRATO', 'categoria_producto': 'service', 'cantidad': '1.0', 'valor_unitario': 19.32, 'precio_unitario': 22.8, 'descuento': 0.0, 'subtotal': 19.32, 'porcentaje_de_igv': '18.00', 'igv': 3.48, 'total': 22.8, 'moneda': '1', 'tipo_de_cambio': 1.0, 'id_estado': 'paid', 'nombre_estado': 'Pagado', 'evento': {'id_evento': '3057', 'nom_evento': 'Loser El Proyecto Glee en San Isidro', 'fecha_hora_ini_event': '11-10-2025', 'fecha_hora_fin_event': '11-10-2025', 'id_organizador': 5228, 'nom_organizador': 'ENTRENARTE EVENTOS DEPORTIVOS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</si>
  <si>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31352, 'codigo_producto': 1786, 'nom_producto': 'COMISION VAOPE SEGUN CONTRATO', 'categoria_producto': 'service', 'cantidad': '1.0', 'valor_unitario': 7.46, 'precio_unitario': 8.8, 'descuento': 0.0, 'subtotal': 7.46, 'porcentaje_de_igv': '18.00', 'igv': 1.34, 'total': 8.8,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</si>
  <si>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31349, 'codigo_producto': 216, 'nom_producto': 'COMISION PAGOS DIGITALES SEGUN CONTRATO', 'categoria_producto': 'service', 'cantidad': '1.0', 'valor_unitario': 55.08, 'precio_unitario': 64.99, 'descuento': 0.0, 'subtotal': 55.08, 'porcentaje_de_igv': '18.00', 'igv': 9.91, 'total': 64.99,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</si>
  <si>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31328, 'codigo_producto': 216, 'nom_producto': 'COMISION PAGOS DIGITALES SEGUN CONTRATO', 'categoria_producto': 'service', 'cantidad': '1.0', 'valor_unitario': 76.19, 'precio_unitario': 89.9, 'descuento': 0.0, 'subtotal': 76.19, 'porcentaje_de_igv': '18.00', 'igv': 13.71, 'total': 89.9, 'moneda': '1', 'tipo_de_cambio': 1.0, 'id_estado': 'paid', 'nombre_estado': 'Pagado', 'evento': {'id_evento': '3015', 'nom_evento': 'Punito Fest Rumbo a la Candelaria 2026 en Lima', 'fecha_hora_ini_event': '04-10-2025', 'fecha_hora_fin_event': '04-10-2025', 'id_organizador': 5600, 'nom_organizador': 'MICHAEL STEVEN WHARTON ALBERTO',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</si>
  <si>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31322, 'codigo_producto': 216, 'nom_producto': 'COMISION PAGOS DIGITALES SEGUN CONTRATO', 'categoria_producto': 'service', 'cantidad': '1.0', 'valor_unitario': 51.86, 'precio_unitario': 61.19, 'descuento': 0.0, 'subtotal': 51.86, 'porcentaje_de_igv': '18.00', 'igv': 9.33, 'total': 61.19,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</si>
  <si>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31319, 'codigo_producto': 1786, 'nom_producto': 'COMISION VAOPE SEGUN CONTRATO', 'categoria_producto': 'service', 'cantidad': '1.0', 'valor_unitario': 65.08, 'precio_unitario': 76.79, 'descuento': 0.0, 'subtotal': 65.08, 'porcentaje_de_igv': '18.00', 'igv': 11.71, 'total': 76.79, 'moneda': '1', 'tipo_de_cambio': 1.0, 'id_estado': 'paid', 'nombre_estado': 'Pagado', 'evento': {'id_evento': '3156', 'nom_evento': 'Tour Palomita en Chiclayo', 'fecha_hora_ini_event': '05-10-2025', 'fecha_hora_fin_event': '05-10-2025', 'id_organizador': 5974, 'nom_organizador': "PISFIL PINZON ARNOLD'S JOSE LUIS",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</si>
  <si>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31316, 'codigo_producto': 216, 'nom_producto': 'COMISION PAGOS DIGITALES SEGUN CONTRATO', 'categoria_producto': 'service', 'cantidad': '1.0', 'valor_unitario': 61.02, 'precio_unitario': 72.0, 'descuento': 0.0, 'subtotal': 61.02, 'porcentaje_de_igv': '18.00', 'igv': 10.98, 'total': 72.0, 'moneda': '1', 'tipo_de_cambio': 1.0, 'id_estado': 'paid', 'nombre_estado': 'Pagado', 'evento': {'id_evento': '3156', 'nom_evento': 'Tour Palomita en Chiclayo', 'fecha_hora_ini_event': '05-10-2025', 'fecha_hora_fin_event': '05-10-2025', 'id_organizador': 5974, 'nom_organizador': "PISFIL PINZON ARNOLD'S JOSE LUIS",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</si>
  <si>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31295, 'codigo_producto': 1786, 'nom_producto': 'COMISION VAOPE SEGUN CONTRATO', 'categoria_producto': 'service', 'cantidad': '1.0', 'valor_unitario': 4.32, 'precio_unitario': 5.1, 'descuento': 0.0, 'subtotal': 4.32, 'porcentaje_de_igv': '18.00', 'igv': 0.78, 'total': 5.1, 'moneda': '1', 'tipo_de_cambio': 1.0, 'id_estado': 'paid', 'nombre_estado': 'Pagado', 'evento': {'id_evento': '3127', 'nom_evento': "Cubanada con Pamela Franco, N'Talla, La Patente y mÃ¡s en SMP", 'fecha_hora_ini_event': '04-10-2025', 'fecha_hora_fin_event': '04-10-2025', 'id_organizador': 1142, 'nom_organizador': 'CARDANO PRODUCCIONES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</t>
  </si>
  <si>
    <t>[{'id_producto': 31292, 'codigo_producto': 216, 'nom_producto': 'COMISION PAGOS DIGITALES SEGUN CONTRATO', 'categoria_producto': 'service', 'cantidad': '1.0', 'valor_unitario': 3.05, 'precio_unitario': 3.6, 'descuento': 0.0, 'subtotal': 3.05, 'porcentaje_de_igv': '18.00', 'igv': 0.55, 'total': 3.6, 'moneda': '1', 'tipo_de_cambio': 1.0, 'id_estado': 'paid', 'nombre_estado': 'Pagado', 'evento': {'id_evento': '3127', 'nom_evento': "Cubanada con Pamela Franco, N'Talla, La Patente y mÃ¡s en SMP", 'fecha_hora_ini_event': '04-10-2025', 'fecha_hora_fin_event': '04-10-2025', 'id_organizador': 1142, 'nom_organizador': 'CARDANO PRODUCCIONES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</t>
  </si>
  <si>
    <t>[{'id_producto': 31271, 'codigo_producto': 1786, 'nom_producto': 'COMISION VAOPE SEGUN CONTRATO', 'categoria_producto': 'service', 'cantidad': '1.0', 'valor_unitario': 12.2, 'precio_unitario': 14.4, 'descuento': 0.0, 'subtotal': 12.2, 'porcentaje_de_igv': '18.00', 'igv': 2.2, 'total': 14.4,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1106, 'nom_cuenta_analitica': '7012100 MercaderÃ­as-Venta Local-Terceros', 'distribucion_analitica': []}]</t>
  </si>
  <si>
    <t>[{'id_producto': 31268, 'codigo_producto': 216, 'nom_producto': 'COMISION PAGOS DIGITALES SEGUN CONTRATO', 'categoria_producto': 'service', 'cantidad': '1.0', 'valor_unitario': 41.14, 'precio_unitario': 48.55, 'descuento': 0.0, 'subtotal': 41.14, 'porcentaje_de_igv': '18.00', 'igv': 7.41, 'total': 48.55,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1106, 'nom_cuenta_analitica': '7012100 MercaderÃ­as-Venta Local-Terceros', 'distribucion_analitica': []}]</t>
  </si>
  <si>
    <t>[{'id_producto': 31232, 'codigo_producto': 1786, 'nom_producto': 'COMISION VAOPE SEGUN CONTRATO', 'categoria_producto': 'service', 'cantidad': '1.0', 'valor_unitario': 25.93, 'precio_unitario': 30.6, 'descuento': 0.0, 'subtotal': 25.93, 'porcentaje_de_igv': '18.00', 'igv': 4.67, 'total': 30.6, 'moneda': '1', 'tipo_de_cambio': 1.0, 'id_estado': 'paid', 'nombre_estado': 'Pagado', 'evento': {'id_evento': '3029', 'nom_evento': '3er Aniversario Complejo Deportivo y Cultural Los Cumpas con Alegres de Bambamarca, Martin Vera y mÃ¡s en Puente Piedra', 'fecha_hora_ini_event': '04-10-2025', 'fecha_hora_fin_event': '04-10-2025', 'id_organizador': 5603, 'nom_organizador': 'ANGEL GABRIEL RODRÃGUEZ PINEDA', 'tipo_organizador': 'Persona'}, 'id_vendedor': 2, 'nom_vendedor': 'SAMUEL CHUQUISTA', 'id_cuenta_analitica': 1106, 'nom_cuenta_analitica': '7012100 MercaderÃ­as-Venta Local-Terceros', 'distribucion_analitica': []}]</t>
  </si>
  <si>
    <t>[{'id_producto': 31229, 'codigo_producto': 216, 'nom_producto': 'COMISION PAGOS DIGITALES SEGUN CONTRATO', 'categoria_producto': 'service', 'cantidad': '1.0', 'valor_unitario': 18.31, 'precio_unitario': 21.61, 'descuento': 0.0, 'subtotal': 18.31, 'porcentaje_de_igv': '18.00', 'igv': 3.3, 'total': 21.61, 'moneda': '1', 'tipo_de_cambio': 1.0, 'id_estado': 'paid', 'nombre_estado': 'Pagado', 'evento': {'id_evento': '3029', 'nom_evento': '3er Aniversario Complejo Deportivo y Cultural Los Cumpas con Alegres de Bambamarca, Martin Vera y mÃ¡s en Puente Piedra', 'fecha_hora_ini_event': '04-10-2025', 'fecha_hora_fin_event': '04-10-2025', 'id_organizador': 5603, 'nom_organizador': 'ANGEL GABRIEL RODRÃGUEZ PINEDA', 'tipo_organizador': 'Persona'}, 'id_vendedor': 2, 'nom_vendedor': 'SAMUEL CHUQUISTA', 'id_cuenta_analitica': 1106, 'nom_cuenta_analitica': '7012100 MercaderÃ­as-Venta Local-Terceros', 'distribucion_analitica': []}]</t>
  </si>
  <si>
    <t>[{'id_producto': 31220, 'codigo_producto': 2317, 'nom_producto': 'COMISION CORTESIA', 'categoria_producto': 'service', 'cantidad': '1.0', 'valor_unitario': 33.9, 'precio_unitario': 40.0, 'descuento': 0.0, 'subtotal': 33.9, 'porcentaje_de_igv': '18.00', 'igv': 6.1, 'total': 40.0,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</t>
  </si>
  <si>
    <t>[{'id_producto': 31005, 'codigo_producto': 1786, 'nom_producto': 'COMISION VAOPE SEGUN CONTRATO', 'categoria_producto': 'service', 'cantidad': '1.0', 'valor_unitario': 79.75, 'precio_unitario': 94.11, 'descuento': 0.0, 'subtotal': 79.75, 'porcentaje_de_igv': '18.00', 'igv': 14.36, 'total': 94.11, 'moneda': '1', 'tipo_de_cambio': 1.0, 'id_estado': 'paid', 'nombre_estado': 'Pagado', 'evento': {'id_evento': '3149', 'nom_evento': '18Â° Aniversario de Illari del Cusco con Chinito del Ande, Osito Pardo, Los Puntos del Amor y mÃ¡s en Huaracondo de SJL', 'fecha_hora_ini_event': '04-10-2025', 'fecha_hora_fin_event': '04-10-2025', 'id_organizador': 5562, 'nom_organizador': 'JUAN EDGAR VENTURA MACAZANA', 'tipo_organizador': 'Persona'}, 'id_vendedor': 2, 'nom_vendedor': 'SAMUEL CHUQUISTA', 'id_cuenta_analitica': 1106, 'nom_cuenta_analitica': '7012100 MercaderÃ­as-Venta Local-Terceros', 'distribucion_analitica': []}]</t>
  </si>
  <si>
    <t>[{'id_producto': 30996, 'codigo_producto': 216, 'nom_producto': 'COMISION PAGOS DIGITALES SEGUN CONTRATO', 'categoria_producto': 'service', 'cantidad': '1.0', 'valor_unitario': 73.47, 'precio_unitario': 86.69, 'descuento': 0.0, 'subtotal': 73.47, 'porcentaje_de_igv': '18.00', 'igv': 13.22, 'total': 86.69, 'moneda': '1', 'tipo_de_cambio': 1.0, 'id_estado': 'paid', 'nombre_estado': 'Pagado', 'evento': {'id_evento': '3149', 'nom_evento': '18Â° Aniversario de Illari del Cusco con Chinito del Ande, Osito Pardo, Los Puntos del Amor y mÃ¡s en Huaracondo de SJL', 'fecha_hora_ini_event': '04-10-2025', 'fecha_hora_fin_event': '04-10-2025', 'id_organizador': 5562, 'nom_organizador': 'JUAN EDGAR VENTURA MACAZANA', 'tipo_organizador': 'Persona'}, 'id_vendedor': 2, 'nom_vendedor': 'SAMUEL CHUQUISTA', 'id_cuenta_analitica': 1106, 'nom_cuenta_analitica': '7012100 MercaderÃ­as-Venta Local-Terceros', 'distribucion_analitica': []}]</t>
  </si>
  <si>
    <t>[{'id_producto': 18780, 'codigo_producto': 877, 'nom_producto': 'COMISION PAGOS DIGITALES SEGUN CONTRATO', 'categoria_producto': 'consu', 'cantidad': '1.0', 'valor_unitario': 30.68, 'precio_unitario': 36.2, 'descuento': 0.0, 'subtotal': 30.68, 'porcentaje_de_igv': '18.00', 'igv': 5.52, 'total': 36.2,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</si>
  <si>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18779, 'codigo_producto': 870, 'nom_producto': 'COMISION VAOPE SEGUN CONTRATO', 'categoria_producto': 'consu', 'cantidad': '1.0', 'valor_unitario': 20.19, 'precio_unitario': 23.83, 'descuento': 0.0, 'subtotal': 20.19, 'porcentaje_de_igv': '18.00', 'igv': 3.64, 'total': 23.83,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</si>
  <si>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18778, 'codigo_producto': 877, 'nom_producto': 'COMISION PAGOS DIGITALES SEGUN CONTRATO', 'categoria_producto': 'consu', 'cantidad': '1.0', 'valor_unitario': 50.85, 'precio_unitario': 60.0, 'descuento': 0.0, 'subtotal': 50.85, 'porcentaje_de_igv': '18.00', 'igv': 9.15, 'total': 60.0, 'moneda': '1', 'tipo_de_cambio': 1.0,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</si>
  <si>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18776, 'codigo_producto': 981, 'nom_producto': 'COMISION CORTESIA - PUNTO DE VENTA', 'categoria_producto': 'consu', 'cantidad': '1.0', 'valor_unitario': 12.75, 'precio_unitario': 15.04, 'descuento': 0.0, 'subtotal': 12.75, 'porcentaje_de_igv': '18.00', 'igv': 2.29, 'total': 15.04,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</si>
  <si>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18763, 'codigo_producto': 871, 'nom_producto': 'COMISION PAGOS DIGITALES SEGUN CONTRATO ', 'categoria_producto': 'consu', 'cantidad': '1.0', 'valor_unitario': 57.2, 'precio_unitario': 67.5, 'descuento': 0.0, 'subtotal': 57.2, 'porcentaje_de_igv': '18.00', 'igv': 10.3, 'total': 67.5,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</si>
  <si>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18762, 'codigo_producto': 870, 'nom_producto': 'COMISION VAOPE SEGUN CONTRATO', 'categoria_producto': 'consu', 'cantidad': '1.0', 'valor_unitario': 33.47, 'precio_unitario': 39.5, 'descuento': 0.0, 'subtotal': 33.47, 'porcentaje_de_igv': '18.00', 'igv': 6.03, 'total': 39.5,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</si>
  <si>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18759, 'codigo_producto': 877, 'nom_producto': 'COMISION PAGOS DIGITALES SEGUN CONTRATO', 'categoria_producto': 'consu', 'cantidad': '1.0', 'valor_unitario': 18.64, 'precio_unitario': 22.0, 'descuento': 0.0, 'subtotal': 18.64, 'porcentaje_de_igv': '18.00', 'igv': 3.36, 'total': 22.0,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</si>
  <si>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18758, 'codigo_producto': 870, 'nom_producto': 'COMISION VAOPE SEGUN CONTRATO', 'categoria_producto': 'consu', 'cantidad': '1.0', 'valor_unitario': 12.71, 'precio_unitario': 15.0, 'descuento': 0.0, 'subtotal': 12.71, 'porcentaje_de_igv': '18.00', 'igv': 2.29, 'total': 15.0,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</si>
  <si>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18757, 'codigo_producto': 877, 'nom_producto': 'COMISION PAGOS DIGITALES SEGUN CONTRATO', 'categoria_producto': 'consu', 'cantidad': '1.0', 'valor_unitario': 6.95, 'precio_unitario': 8.2, 'descuento': 0.0, 'subtotal': 6.95, 'porcentaje_de_igv': '18.00', 'igv': 1.25, 'total': 8.2,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</si>
  <si>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18756, 'codigo_producto': 870, 'nom_producto': 'COMISION VAOPE SEGUN CONTRATO', 'categoria_producto': 'consu', 'cantidad': '1.0', 'valor_unitario': 4.58, 'precio_unitario': 5.4, 'descuento': 0.0, 'subtotal': 4.58, 'porcentaje_de_igv': '18.00', 'igv': 0.82, 'total': 5.4,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</si>
  <si>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18750, 'codigo_producto': 877, 'nom_producto': 'COMISION PAGOS DIGITALES SEGUN CONTRATO', 'categoria_producto': 'consu', 'cantidad': '1.0', 'valor_unitario': 69.42, 'precio_unitario': 81.92, 'descuento': 0.0, 'subtotal': 69.42, 'porcentaje_de_igv': '18.00', 'igv': 12.5, 'total': 81.92,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</si>
  <si>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18749, 'codigo_producto': 870, 'nom_producto': 'COMISION VAOPE SEGUN CONTRATO', 'categoria_producto': 'consu', 'cantidad': '1.0', 'valor_unitario': 42.58, 'precio_unitario': 50.24, 'descuento': 0.0, 'subtotal': 42.58, 'porcentaje_de_igv': '18.00', 'igv': 7.66, 'total': 50.24,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</si>
  <si>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18747, 'codigo_producto': 934, 'nom_producto': 'COMISION PAGOS DIGITALES SEGUN CONTRATO - PIERO MACHA', 'categoria_producto': 'consu', 'cantidad': '1.0', 'valor_unitario': 8.93, 'precio_unitario': 10.54, 'descuento': 0.0, 'subtotal': 8.93, 'porcentaje_de_igv': '18.00', 'igv': 1.61, 'total': 10.54,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</si>
  <si>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18746, 'codigo_producto': 933, 'nom_producto': 'COMISION VAOPE SEGUN CONTRATO - PIERO MACHA', 'categoria_producto': 'consu', 'cantidad': '1.0', 'valor_unitario': 7.98, 'precio_unitario': 9.42, 'descuento': 0.0, 'subtotal': 7.98, 'porcentaje_de_igv': '18.00', 'igv': 1.44, 'total': 9.42,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</si>
  <si>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18737, 'codigo_producto': 877, 'nom_producto': 'COMISION PAGOS DIGITALES SEGUN CONTRATO', 'categoria_producto': 'consu', 'cantidad': '1.0', 'valor_unitario': 3.48, 'precio_unitario': 4.11, 'descuento': 0.0, 'subtotal': 3.48, 'porcentaje_de_igv': '18.00', 'igv': 0.63, 'total': 4.11, 'moneda': '1', 'tipo_de_cambio': 1.0, 'id_estado': 'not_paid', 'nombre_estado': 'Sin pagar', 'evento': {'id_evento': '', 'nom_evento': '', 'fecha_hora_ini_event': '', 'fecha_hora_fin_event': '', 'id_organizador': 1176, 'nom_organizador': 'GARELD ZAID HERRERA CARDENAS',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</si>
  <si>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18734, 'codigo_producto': 870, 'nom_producto': 'COMISION VAOPE SEGUN CONTRATO', 'categoria_producto': 'consu', 'cantidad': '1.0', 'valor_unitario': 29.49, 'precio_unitario': 34.8, 'descuento': 0.0, 'subtotal': 29.49, 'porcentaje_de_igv': '18.00', 'igv': 5.31, 'total': 34.8,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</si>
  <si>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18732,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</si>
  <si>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18730, 'codigo_producto': 870, 'nom_producto': 'COMISION VAOPE SEGUN CONTRATO', 'categoria_producto': 'consu', 'cantidad': '1.0', 'valor_unitario': 17.29, 'precio_unitario': 20.4, 'descuento': 0.0, 'subtotal': 17.29, 'porcentaje_de_igv': '18.00', 'igv': 3.11, 'total': 20.4,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</si>
  <si>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18729, 'codigo_producto': 877, 'nom_producto': 'COMISION PAGOS DIGITALES SEGUN CONTRATO', 'categoria_producto': 'consu', 'cantidad': '1.0', 'valor_unitario': 11.47, 'precio_unitario': 13.54, 'descuento': 0.0, 'subtotal': 11.47, 'porcentaje_de_igv': '18.00', 'igv': 2.07, 'total': 13.54, 'moneda': '1', 'tipo_de_cambio': 1.0,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</si>
  <si>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18728, 'codigo_producto': 870, 'nom_producto': 'COMISION VAOPE SEGUN CONTRATO', 'categoria_producto': 'consu', 'cantidad': '1.0', 'valor_unitario': 12.2, 'precio_unitario': 14.4, 'descuento': 0.0, 'subtotal': 12.2, 'porcentaje_de_igv': '18.00', 'igv': 2.2, 'total': 14.4, 'moneda': '1', 'tipo_de_cambio': 1.0,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</si>
  <si>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18706, 'codigo_producto': 877, 'nom_producto': 'COMISION PAGOS DIGITALES SEGUN CONTRATO', 'categoria_producto': 'consu', 'cantidad': '1.0', 'valor_unitario': 25.85, 'precio_unitario': 30.5, 'descuento': 0.0, 'subtotal': 25.85, 'porcentaje_de_igv': '18.00', 'igv': 4.65, 'total': 30.5,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</si>
  <si>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18705, 'codigo_producto': 870, 'nom_producto': 'COMISION VAOPE SEGUN CONTRATO', 'categoria_producto': 'consu', 'cantidad': '1.0', 'valor_unitario': 20.34, 'precio_unitario': 24.0, 'descuento': 0.0, 'subtotal': 20.34, 'porcentaje_de_igv': '18.00', 'igv': 3.66, 'total': 24.0,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</si>
  <si>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18704, 'codigo_producto': 877, 'nom_producto': 'COMISION PAGOS DIGITALES SEGUN CONTRATO', 'categoria_producto': 'consu', 'cantidad': '1.0', 'valor_unitario': 24.75, 'precio_unitario': 29.2, 'descuento': 0.0, 'subtotal': 24.75, 'porcentaje_de_igv': '18.00', 'igv': 4.45, 'total': 29.2,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</si>
  <si>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18703,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</si>
  <si>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18699, 'codigo_producto': 877, 'nom_producto': 'COMISION PAGOS DIGITALES SEGUN CONTRATO', 'categoria_producto': 'consu', 'cantidad': '1.0', 'valor_unitario': 4.95, 'precio_unitario': 5.84, 'descuento': 0.0, 'subtotal': 4.95, 'porcentaje_de_igv': '18.00', 'igv': 0.89, 'total': 5.84, 'moneda': '1', 'tipo_de_cambio': 1.0,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</si>
  <si>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18680, 'codigo_producto': 877, 'nom_producto': 'COMISION PAGOS DIGITALES SEGUN CONTRATO', 'categoria_producto': 'consu', 'cantidad': '1.0', 'valor_unitario': 4.83, 'precio_unitario': 5.7, 'descuento': 0.0, 'subtotal': 4.83, 'porcentaje_de_igv': '18.00', 'igv': 0.87, 'total': 5.7,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</si>
  <si>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18675, 'codigo_producto': 878, 'nom_producto': 'COMISION VAOPE SEGUN CONTRATO ', 'categoria_producto': 'consu', 'cantidad': '1.0', 'valor_unitario': 34.75, 'precio_unitario': 41.0, 'descuento': 0.0, 'subtotal': 34.75, 'porcentaje_de_igv': '18.00', 'igv': 6.25, 'total': 41.0, 'moneda': '1', 'tipo_de_cambio': 1.0,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</si>
  <si>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18638, 'codigo_producto': 877, 'nom_producto': 'COMISION PAGOS DIGITALES SEGUN CONTRATO', 'categoria_producto': 'consu', 'cantidad': '1.0', 'valor_unitario': 16.81, 'precio_unitario': 19.84, 'descuento': 0.0, 'subtotal': 16.81, 'porcentaje_de_igv': '18.00', 'igv': 3.03, 'total': 19.84,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</si>
  <si>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18636, 'codigo_producto': 877, 'nom_producto': 'COMISION PAGOS DIGITALES SEGUN CONTRATO', 'categoria_producto': 'consu', 'cantidad': '1.0', 'valor_unitario': 11.44, 'precio_unitario': 13.5, 'descuento': 0.0, 'subtotal': 11.44, 'porcentaje_de_igv': '18.00', 'igv': 2.06, 'total': 13.5,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</si>
  <si>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18635, 'codigo_producto': 870, 'nom_producto': 'COMISION VAOPE SEGUN CONTRATO', 'categoria_producto': 'consu', 'cantidad': '1.0', 'valor_unitario': 6.36, 'precio_unitario': 7.5, 'descuento': 0.0, 'subtotal': 6.36, 'porcentaje_de_igv': '18.00', 'igv': 1.14, 'total': 7.5,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</si>
  <si>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18633, 'codigo_producto': 870, 'nom_producto': 'COMISION VAOPE SEGUN CONTRATO', 'categoria_producto': 'consu', 'cantidad': '1.0', 'valor_unitario': 27.46, 'precio_unitario': 32.4, 'descuento': 0.0, 'subtotal': 27.46, 'porcentaje_de_igv': '18.00', 'igv': 4.94, 'total': 32.4,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</si>
  <si>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18632, 'codigo_producto': 877, 'nom_producto': 'COMISION PAGOS DIGITALES SEGUN CONTRATO', 'categoria_producto': 'consu', 'cantidad': '1.0', 'valor_unitario': 34.32, 'precio_unitario': 40.5, 'descuento': 0.0, 'subtotal': 34.32, 'porcentaje_de_igv': '18.00', 'igv': 6.18, 'total': 40.5, 'moneda': '1', 'tipo_de_cambio': 1.0,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</si>
  <si>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18631, 'codigo_producto': 870, 'nom_producto': 'COMISION VAOPE SEGUN CONTRATO', 'categoria_producto': 'consu', 'cantidad': '1.0', 'valor_unitario': 19.07, 'precio_unitario': 22.5, 'descuento': 0.0, 'subtotal': 19.07, 'porcentaje_de_igv': '18.00', 'igv': 3.43, 'total': 22.5, 'moneda': '1', 'tipo_de_cambio': 1.0,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</si>
  <si>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18607, 'codigo_producto': 943, 'nom_producto': 'COMISION VAOPE SEGUN CONTRATO - PIERO MACHA ', 'categoria_producto': 'consu', 'cantidad': '1.0', 'valor_unitario': 20.99, 'precio_unitario': 24.77, 'descuento': 0.0, 'subtotal': 20.99, 'porcentaje_de_igv': '18.00', 'igv': 3.78, 'total': 24.77,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</si>
  <si>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17844, 'codigo_producto': 934, 'nom_producto': 'COMISION PAGOS DIGITALES SEGUN CONTRATO - PIERO MACHA', 'categoria_producto': 'consu', 'cantidad': '1.0', 'valor_unitario': 21.01, 'precio_unitario': 24.79, 'descuento': 0.0, 'subtotal': 21.01, 'porcentaje_de_igv': '18.00', 'igv': 3.78, 'total': 24.79,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</si>
  <si>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17843, 'codigo_producto': 933, 'nom_producto': 'COMISION VAOPE SEGUN CONTRATO - PIERO MACHA', 'categoria_producto': 'consu', 'cantidad': '1.0', 'valor_unitario': 18.09, 'precio_unitario': 21.35, 'descuento': 0.0, 'subtotal': 18.09, 'porcentaje_de_igv': '18.00', 'igv': 3.26, 'total': 21.35,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</si>
  <si>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17836, 'codigo_producto': 934, 'nom_producto': 'COMISION PAGOS DIGITALES SEGUN CONTRATO - PIERO MACHA', 'categoria_producto': 'consu', 'cantidad': '1.0', 'valor_unitario': 5.99, 'precio_unitario': 7.07, 'descuento': 0.0, 'subtotal': 5.99, 'porcentaje_de_igv': '18.00', 'igv': 1.08, 'total': 7.07,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</si>
  <si>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17835, 'codigo_producto': 933, 'nom_producto': 'COMISION VAOPE SEGUN CONTRATO - PIERO MACHA', 'categoria_producto': 'consu', 'cantidad': '1.0', 'valor_unitario': 5.07, 'precio_unitario': 5.98, 'descuento': 0.0, 'subtotal': 5.07, 'porcentaje_de_igv': '18.00', 'igv': 0.91, 'total': 5.98,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</si>
  <si>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17834, 'codigo_producto': 874, 'nom_producto': 'COMISION CORTESIA', 'categoria_producto': 'consu', 'cantidad': '1.0', 'valor_unitario': 25.35, 'precio_unitario': 29.91, 'descuento': 0.0, 'subtotal': 25.35, 'porcentaje_de_igv': '18.00', 'igv': 4.56, 'total': 29.91,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</si>
  <si>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17823, 'codigo_producto': 870, 'nom_producto': 'COMISION VAOPE SEGUN CONTRATO', 'categoria_producto': 'consu', 'cantidad': '1.0', 'valor_unitario': 66.69, 'precio_unitario': 78.7, 'descuento': 0.0, 'subtotal': 66.69, 'porcentaje_de_igv': '18.00', 'igv': 12.01, 'total': 78.7,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</si>
  <si>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17822, 'codigo_producto': 877, 'nom_producto': 'COMISION PAGOS DIGITALES SEGUN CONTRATO', 'categoria_producto': 'consu', 'cantidad': '1.0', 'valor_unitario': 54.75, 'precio_unitario': 64.6, 'descuento': 0.0, 'subtotal': 54.75, 'porcentaje_de_igv': '18.00', 'igv': 9.85, 'total': 64.6,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</si>
  <si>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17804,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</si>
  <si>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17792, 'codigo_producto': 871, 'nom_producto': 'COMISION PAGOS DIGITALES SEGUN CONTRATO ', 'categoria_producto': 'consu', 'cantidad': '1.0', 'valor_unitario': 19.41, 'precio_unitario': 22.9, 'descuento': 0.0, 'subtotal': 19.41, 'porcentaje_de_igv': '18.00', 'igv': 3.49, 'total': 22.9, 'moneda': '1', 'tipo_de_cambio': 1.0,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</si>
  <si>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17791, 'codigo_producto': 870, 'nom_producto': 'COMISION VAOPE SEGUN CONTRATO', 'categoria_producto': 'consu', 'cantidad': '1.0', 'valor_unitario': 12.2, 'precio_unitario': 14.4, 'descuento': 0.0, 'subtotal': 12.2, 'porcentaje_de_igv': '18.00', 'igv': 2.2, 'total': 14.4, 'moneda': '1', 'tipo_de_cambio': 1.0,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</si>
  <si>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17779, 'codigo_producto': 870, 'nom_producto': 'COMISION VAOPE SEGUN CONTRATO', 'categoria_producto': 'consu', 'cantidad': '1.0', 'valor_unitario': 32.2, 'precio_unitario': 38.0, 'descuento': 0.0, 'subtotal': 32.2, 'porcentaje_de_igv': '18.00', 'igv': 5.8, 'total': 38.0, 'moneda': '1', 'tipo_de_cambio': 1.0,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</si>
  <si>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18785, 'codigo_producto': 878, 'nom_producto': 'COMISION VAOPE SEGUN CONTRATO ', 'categoria_producto': 'consu', 'cantidad': '1.0', 'valor_unitario': 61.02, 'precio_unitario': 72.0, 'descuento': 0.0, 'subtotal': 61.02, 'porcentaje_de_igv': '18.00', 'igv': 10.98, 'total': 72.0, 'moneda': '1', 'tipo_de_cambio': 1.0,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</si>
  <si>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17769, 'codigo_producto': 870, 'nom_producto': 'COMISION VAOPE SEGUN CONTRATO', 'categoria_producto': 'consu', 'cantidad': '1.0', 'valor_unitario': 56.69, 'precio_unitario': 66.9, 'descuento': 0.0, 'subtotal': 56.69, 'porcentaje_de_igv': '18.00', 'igv': 10.21, 'total': 66.9,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</si>
  <si>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17764, 'codigo_producto': 910, 'nom_producto': 'COMISION CORTESIA - JP PRODUCCIONES GENERALES SAC', 'categoria_producto': 'consu', 'cantidad': '1.0', 'valor_unitario': 44.97, 'precio_unitario': 53.07, 'descuento': 0.0, 'subtotal': 44.97, 'porcentaje_de_igv': '18.00', 'igv': 8.1, 'total': 53.07,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</si>
  <si>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17760, 'codigo_producto': 906, 'nom_producto': 'COMISION CORTESIA - GN MUSIC SAC', 'categoria_producto': 'consu', 'cantidad': '1.0', 'valor_unitario': 83.53, 'precio_unitario': 98.56, 'descuento': 0.0, 'subtotal': 83.53, 'porcentaje_de_igv': '18.00', 'igv': 15.03, 'total': 98.56,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</si>
  <si>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17751, 'codigo_producto': 870, 'nom_producto': 'COMISION VAOPE SEGUN CONTRATO', 'categoria_producto': 'consu', 'cantidad': '1.0', 'valor_unitario': 54.75, 'precio_unitario': 64.6, 'descuento': 0.0, 'subtotal': 54.75, 'porcentaje_de_igv': '18.00', 'igv': 9.85, 'total': 64.6,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</si>
  <si>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17747, 'codigo_producto': 877, 'nom_producto': 'COMISION PAGOS DIGITALES SEGUN CONTRATO', 'categoria_producto': 'consu', 'cantidad': '1.0', 'valor_unitario': 1.44, 'precio_unitario': 1.7, 'descuento': 0.0, 'subtotal': 1.44, 'porcentaje_de_igv': '18.00', 'igv': 0.26, 'total': 1.7, 'moneda': '1', 'tipo_de_cambio': 1.0,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</si>
  <si>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17746, 'codigo_producto': 870, 'nom_producto': 'COMISION VAOPE SEGUN CONTRATO', 'categoria_producto': 'consu', 'cantidad': '1.0', 'valor_unitario': 1.02, 'precio_unitario': 1.2, 'descuento': 0.0, 'subtotal': 1.02, 'porcentaje_de_igv': '18.00', 'igv': 0.18, 'total': 1.2, 'moneda': '1', 'tipo_de_cambio': 1.0,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</si>
  <si>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17246, 'codigo_producto': 877, 'nom_producto': 'COMISION PAGOS DIGITALES SEGUN CONTRATO', 'categoria_producto': 'consu', 'cantidad': '1.0', 'valor_unitario': 52.54, 'precio_unitario': 62.0, 'descuento': 0.0, 'subtotal': 52.54, 'porcentaje_de_igv': '18.00', 'igv': 9.46, 'total': 62.0,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</si>
  <si>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17229, 'codigo_producto': 877, 'nom_producto': 'COMISION PAGOS DIGITALES SEGUN CONTRATO', 'categoria_producto': 'consu', 'cantidad': '1.0', 'valor_unitario': 17.1, 'precio_unitario': 20.18, 'descuento': 0.0, 'subtotal': 17.1, 'porcentaje_de_igv': '18.00', 'igv': 3.08, 'total': 20.18,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</si>
  <si>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17227, 'codigo_producto': 877, 'nom_producto': 'COMISION PAGOS DIGITALES SEGUN CONTRATO', 'categoria_producto': 'consu', 'cantidad': '1.0', 'valor_unitario': 9.9, 'precio_unitario': 11.68, 'descuento': 0.0, 'subtotal': 9.9, 'porcentaje_de_igv': '18.00', 'igv': 1.78, 'total': 11.68,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</si>
  <si>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17218, 'codigo_producto': 870, 'nom_producto': 'COMISION VAOPE SEGUN CONTRATO', 'categoria_producto': 'consu', 'cantidad': '1.0', 'valor_unitario': 59.15, 'precio_unitario': 69.8, 'descuento': 0.0, 'subtotal': 59.15, 'porcentaje_de_igv': '18.00', 'igv': 10.65, 'total': 69.8, 'moneda': '1', 'tipo_de_cambio': 1.0,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</si>
  <si>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17203, 'codigo_producto': 878, 'nom_producto': 'COMISION VAOPE SEGUN CONTRATO ', 'categoria_producto': 'consu', 'cantidad': '1.0', 'valor_unitario': 41.47, 'precio_unitario': 48.94, 'descuento': 0.0, 'subtotal': 41.47, 'porcentaje_de_igv': '18.00', 'igv': 7.47, 'total': 48.94, 'moneda': '1', 'tipo_de_cambio': 1.0,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</si>
  <si>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17199, 'codigo_producto': 870, 'nom_producto': 'COMISION VAOPE SEGUN CONTRATO', 'categoria_producto': 'consu', 'cantidad': '1.0', 'valor_unitario': 15.25, 'precio_unitario': 18.0, 'descuento': 0.0, 'subtotal': 15.25, 'porcentaje_de_igv': '18.00', 'igv': 2.75, 'total': 18.0, 'moneda': '1', 'tipo_de_cambio': 1.0,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</si>
  <si>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17179, 'codigo_producto': 878, 'nom_producto': 'COMISION VAOPE SEGUN CONTRATO ', 'categoria_producto': 'consu', 'cantidad': '1.0', 'valor_unitario': 24.58, 'precio_unitario': 29.0, 'descuento': 0.0, 'subtotal': 24.58, 'porcentaje_de_igv': '18.00', 'igv': 4.42, 'total': 29.0, 'moneda': '1', 'tipo_de_cambio': 1.0,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</si>
  <si>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17177, 'codigo_producto': 870, 'nom_producto': 'COMISION VAOPE SEGUN CONTRATO', 'categoria_producto': 'consu', 'cantidad': '1.0', 'valor_unitario': 38.81, 'precio_unitario': 45.8, 'descuento': 0.0, 'subtotal': 38.81, 'porcentaje_de_igv': '18.00', 'igv': 6.99, 'total': 45.8,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</si>
  <si>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17176, 'codigo_producto': 871, 'nom_producto': 'COMISION PAGOS DIGITALES SEGUN CONTRATO ', 'categoria_producto': 'consu', 'cantidad': '1.0', 'valor_unitario': 11.53, 'precio_unitario': 13.6, 'descuento': 0.0, 'subtotal': 11.53, 'porcentaje_de_igv': '18.00', 'igv': 2.07, 'total': 13.6, 'moneda': '1', 'tipo_de_cambio': 1.0,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</si>
  <si>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[{'id_producto': 17175, 'codigo_producto': 878, 'nom_producto': 'COMISION VAOPE SEGUN CONTRATO ', 'categoria_producto': 'consu', 'cantidad': '1.0', 'valor_unitario': 8.14, 'precio_unitario': 9.6, 'descuento': 0.0, 'subtotal': 8.14, 'porcentaje_de_igv': '18.00', 'igv': 1.46, 'total': 9.6, 'moneda': '1', 'tipo_de_cambio': 1.0,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</t>
  </si>
  <si>
    <t>(01) Factura FOF1-00000223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</si>
</sst>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0" fillId="3" borderId="0" xfId="0" applyFill="1"/>
    <xf numFmtId="0" fontId="6" fillId="3" borderId="0" xfId="0" applyFont="1" applyFill="1"/>
    <xf numFmtId="0" fontId="4" fillId="0" borderId="0" xfId="0" quotePrefix="1" applyFont="1"/>
    <xf numFmtId="0" fontId="5" fillId="0" borderId="1" xfId="0" applyFont="1" applyBorder="1"/>
    <xf numFmtId="0" fontId="0" fillId="0" borderId="0" xfId="0" applyAlignment="1">
      <alignment wrapText="1"/>
    </xf>
    <xf numFmtId="0" fontId="4" fillId="3" borderId="0" xfId="0" applyFont="1" applyFill="1"/>
    <xf numFmtId="0" fontId="5" fillId="0" borderId="0" xfId="0" applyFont="1" applyAlignment="1">
      <alignment horizontal="left" indent="1"/>
    </xf>
    <xf numFmtId="0" fontId="0" fillId="10" borderId="3" xfId="0" applyFill="1" applyBorder="1"/>
    <xf numFmtId="0" fontId="0" fillId="9" borderId="3" xfId="0" applyFill="1" applyBorder="1"/>
    <xf numFmtId="0" fontId="5" fillId="0" borderId="0" xfId="0" applyNumberFormat="1" applyFont="1"/>
  </cellXfs>
  <cellStyles count="1">
    <cellStyle name="Normal" xfId="0" builtinId="0"/>
  </cellStyles>
  <dxfs count="291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alignment horizontal="general" vertical="bottom" textRotation="0" wrapText="1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125730</xdr:rowOff>
    </xdr:from>
    <xdr:to>
      <xdr:col>1</xdr:col>
      <xdr:colOff>1436369</xdr:colOff>
      <xdr:row>61</xdr:row>
      <xdr:rowOff>57149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0" y="809815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  <xdr:twoCellAnchor editAs="oneCell">
    <xdr:from>
      <xdr:col>45</xdr:col>
      <xdr:colOff>171450</xdr:colOff>
      <xdr:row>0</xdr:row>
      <xdr:rowOff>0</xdr:rowOff>
    </xdr:from>
    <xdr:to>
      <xdr:col>62</xdr:col>
      <xdr:colOff>154205</xdr:colOff>
      <xdr:row>33</xdr:row>
      <xdr:rowOff>134238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FA964E-A1E1-F884-F1A3-EBF6D0BC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84075" y="0"/>
          <a:ext cx="12936755" cy="6363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6.534184722223" createdVersion="8" refreshedVersion="8" minRefreshableVersion="3" recordCount="457" xr:uid="{C178F71C-4AE1-4058-87CA-431C55E77228}">
  <cacheSource type="worksheet">
    <worksheetSource ref="A1:AK458" sheet="FactClientes_InterfaceODOO"/>
  </cacheSource>
  <cacheFields count="39">
    <cacheField name="Número" numFmtId="4">
      <sharedItems count="457">
        <s v="(03) Boleta BOB1-00000030"/>
        <s v="(03) Boleta BOB1-00000029"/>
        <s v="(03) Boleta BOB1-00000028"/>
        <s v="(03) Boleta BOB1-00000027"/>
        <s v="(03) Boleta BOB1-00000026"/>
        <s v="(03) Boleta BOB1-00000025"/>
        <s v="(03) Boleta BOB1-00000024"/>
        <s v="(03) Boleta BOB1-00000023"/>
        <s v="(03) Boleta BOB1-00000022"/>
        <s v="(03) Boleta BOB1-00000021"/>
        <s v="(03) Boleta BOB1-00000020"/>
        <s v="(03) Boleta BOB1-00000019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1) Factura FOF1-00000025"/>
        <s v="(01) Factura FOF1-00000024"/>
        <s v="(01) Factura FOF1-00000023"/>
        <s v="(01) Factura FOF1-00000022"/>
        <s v="(03) Boleta BOB1-00000009"/>
        <s v="(01) Factura FOF1-00000021"/>
        <s v="(01) Factura FOF1-00000020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7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FB01-1414"/>
        <s v="FB01-1413"/>
        <s v="FB01-1412"/>
        <s v="FB01-1411"/>
        <s v="FB01-1410"/>
        <s v="FB01-1409"/>
        <s v="FB01-1408"/>
        <s v="FB01-1407"/>
        <s v="FB01-1406"/>
        <s v="FB01-1405"/>
        <s v="FB01-1404"/>
        <s v="FB01-1403"/>
        <s v="FB01-1402"/>
        <s v="FB01-1401"/>
        <s v="FB01-1400"/>
        <s v="FB01-1399"/>
        <s v="FB01-1398"/>
        <s v="FB01-1397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FB01-1383"/>
        <s v="FB01-1382"/>
        <s v="FB01-1381"/>
        <s v="FB01-1380"/>
        <s v="FB01-1379"/>
        <s v="FB01-1378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BB01-741"/>
        <s v="BB01-740"/>
        <s v="BB01-739"/>
        <s v="BB01-738"/>
        <s v="BB01-737"/>
        <s v="BB01-736"/>
        <s v="BB01-735"/>
        <s v="BB01-734"/>
        <s v="BB01-733"/>
        <s v="BB01-732"/>
        <s v="BB01-731"/>
        <s v="BB01-730"/>
        <s v="BB01-729"/>
        <s v="BB01-728"/>
        <s v="BB01-727"/>
        <s v="BB01-726"/>
        <s v="BB01-725"/>
        <s v="BB01-724"/>
        <s v="FB01-1362"/>
        <s v="FFF1-218"/>
        <s v="FB01-1361"/>
        <s v="FB01-1360"/>
        <s v="BB01-721"/>
        <s v="BB01-720"/>
        <s v="BB01-719"/>
        <s v="BB01-718"/>
        <s v="BB01-717"/>
        <s v="BB01-716"/>
        <s v="BB01-715"/>
        <s v="BB01-714"/>
        <s v="BB01-713"/>
        <s v="BB01-712"/>
        <s v="BB01-711"/>
        <s v="FB01-1359"/>
        <s v="FB01-1358"/>
        <s v="FB01-1357"/>
        <s v="FB01-1356"/>
        <s v="FB01-1355"/>
        <s v="FB01-1354"/>
        <s v="FB01-1353"/>
        <s v="FB01-1352"/>
        <s v="FB01-1351"/>
        <s v="FB01-1350"/>
        <s v="FB01-1349"/>
        <s v="FB01-1348"/>
        <s v="FB01-1347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BB01-710"/>
        <s v="BB01-709"/>
        <s v="BB01-708"/>
        <s v="BB01-707"/>
        <s v="FFF1-217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FB01-1319"/>
        <s v="FB01-1318"/>
        <s v="FB01-1317"/>
        <s v="FB01-1316"/>
        <s v="FB01-1315"/>
        <s v="FB01-1314"/>
        <s v="FB01-1313"/>
        <s v="BB01-706"/>
        <s v="BB01-705"/>
        <s v="BB01-704"/>
        <s v="BB01-703"/>
        <s v="BB01-702"/>
        <s v="BB01-701"/>
        <s v="BB01-700"/>
        <s v="BB01-699"/>
        <s v="FFF1-216"/>
        <s v="FFF1-215"/>
        <s v="FB01-1312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FB01-1285"/>
        <s v="FB01-1284"/>
        <s v="FB01-1283"/>
        <s v="FB01-1282"/>
        <s v="FB01-1281"/>
        <s v="FB01-1280"/>
        <s v="FB01-1279"/>
        <s v="FB01-1278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BB01-679"/>
        <s v="BB01-678"/>
        <s v="BB01-677"/>
        <s v="BB01-676"/>
        <s v="BB01-675"/>
        <s v="BB01-674"/>
        <s v="BB01-673"/>
        <s v="BB01-672"/>
        <s v="BB01-671"/>
        <s v="BB01-670"/>
        <s v="BB01-669"/>
        <s v="BB01-668"/>
        <s v="BB01-667"/>
        <s v="BB01-666"/>
        <s v="FFF1-214"/>
        <s v="FFF1-213"/>
        <s v="FFF1-212"/>
        <s v="FFF1-211"/>
        <s v="FB01-1265"/>
        <s v="FB01-1264"/>
        <s v="FB01-1263"/>
        <s v="FB01-1262"/>
        <s v="FB01-1261"/>
        <s v="FB01-1260"/>
        <s v="BB01-665"/>
        <s v="BB01-664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FB01-1249"/>
        <s v="FB01-1248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BB01-657"/>
        <s v="BB01-656"/>
        <s v="BB01-655"/>
        <s v="BB01-654"/>
        <s v="BB01-653"/>
        <s v="BB01-652"/>
        <s v="BB01-651"/>
        <s v="FB01-1222"/>
        <s v="FB01-1219"/>
        <s v="FB01-1218"/>
        <s v="FB01-1217"/>
        <s v="FB01-1216"/>
        <s v="FB01-1215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FB01-1203"/>
        <s v="FB01-1202"/>
        <s v="FB01-1201"/>
        <s v="FB01-1200"/>
        <s v="FB01-1199"/>
        <s v="FB01-1198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FB01-1187"/>
        <s v="FB01-1186"/>
        <s v="FB01-1185"/>
        <s v="FB01-1184"/>
        <s v="BB01-650"/>
        <s v="BB01-649"/>
        <s v="BB01-648"/>
        <s v="BB01-647"/>
        <s v="BB01-646"/>
        <s v="BB01-645"/>
        <s v="BB01-644"/>
        <s v="BB01-643"/>
        <s v="BB01-642"/>
        <s v="BB01-641"/>
        <s v="BB01-640"/>
        <s v="BB01-639"/>
        <s v="BB01-638"/>
        <s v="BB01-637"/>
        <s v="FB01-1183"/>
        <s v="FB01-1182"/>
        <s v="FB01-1181"/>
        <s v="FB01-1180"/>
        <s v="FB01-1179"/>
        <s v="FB01-1178"/>
        <s v="FB01-1177"/>
        <s v="FB01-1176"/>
        <s v="FB01-1175"/>
        <s v="FB01-1174"/>
        <s v="FB01-1173"/>
        <s v="FB01-1172"/>
        <s v="FB01-1171"/>
        <s v="BB01-636"/>
        <s v="BB01-635"/>
        <s v="BB01-634"/>
        <s v="BB01-633"/>
        <s v="BB01-632"/>
        <s v="BB01-631"/>
        <s v="BB01-630"/>
        <s v="BB01-629"/>
        <s v="BB01-628"/>
        <s v="BB01-627"/>
      </sharedItems>
    </cacheField>
    <cacheField name="VAOPE Codigo Evento" numFmtId="4">
      <sharedItems containsSemiMixedTypes="0" containsString="0" containsNumber="1" containsInteger="1" minValue="0" maxValue="3190"/>
    </cacheField>
    <cacheField name="Evento" numFmtId="4">
      <sharedItems containsBlank="1"/>
    </cacheField>
    <cacheField name="Tipo de Documento" numFmtId="4">
      <sharedItems/>
    </cacheField>
    <cacheField name="Nombre del contacto a mostrar en la factura" numFmtId="4">
      <sharedItems count="89">
        <s v="STHIVEN RANDOLF GARCIA MEDINA"/>
        <s v="FIGUEROA ROSADO GABRIELA BRIYIT"/>
        <s v="ANGEL GABRIEL RODRÍGUEZ PINEDA"/>
        <s v="JOSELYN VERONICA GUTIERREZ HUANCA"/>
        <s v="MANUEL CARLOS AMIAS SHAPIAMA"/>
        <s v="JP Producciones Generales EIRL"/>
        <s v="EMPRESA MUSICAL INTERNACIONAL LA BELLA LUZ E.I.R.L."/>
        <s v="AMARANTA MUSIC CORP S.A.C."/>
        <s v="ALAN INVERSIONES &amp; REPRESENTACIONES S.A.C."/>
        <s v="JESUS MANUEL COTRINA CORPUS"/>
        <s v="RIVERA GUERRERO ANGGELA RINA"/>
        <s v="PROMOTORA M&amp;M S.R.L."/>
        <s v="ESPECTACULOS MARCABALITO S.A.C."/>
        <s v="JUAN EDGAR VENTURA MACAZANA"/>
        <s v="G &amp; N MUSIC S.A.C."/>
        <s v="JOSE MANUEL BACA ANTON PRESIDENTE DE LA LIGA DEPARTAMENTAL PIURA"/>
        <s v="PERUVIAN PRODUCTIONS SOCIEDAD ANONIMA CERRADA"/>
        <s v="MACHA MUNIVE JULIO"/>
        <s v="REYNOSO BENDEZU CARLOS ARTURO"/>
        <s v="RODRIGO ANTONIO QUISPE MONTAÑEZ"/>
        <s v="FIESTA KARIBEÑA SOCIEDAD ANONIMA CERRADA"/>
        <s v="MAKWA ENTERTAINMENT S.A.C."/>
        <s v="LA MATARINA PUENTE PIEDRA E.I.R.L."/>
        <s v="CONSORCIO CHUNGA &amp; ASOCIADOS S.A.C."/>
        <s v="COMPLEJO TURISTICO EL REMANSO SAC"/>
        <s v="TARPUY PRODUCCIONES E.I.R.L."/>
        <s v="SEVAFRA SAC"/>
        <s v="MULTISERVICIOS YATACO E.I.R.L."/>
        <s v="EL PADRINO DIVERSIONES S.A.C."/>
        <s v="INVERSIONES SAM &amp; ASOCIADOS SAC"/>
        <s v="NEGOCIACIONES Y PRODUCCIONES VEGA S.A.C"/>
        <s v="CARDANO PRODUCCIONES S.A.C."/>
        <s v="JDA BUSINESS PERU S.A.C."/>
        <s v="RAMOS CRUZ MILAGRITOS"/>
        <s v="TORRES TOVAR WILDER"/>
        <s v="EULALIA GAUDENCIA PEREZ CARHUAMACA"/>
        <s v="JULIO MACHA MUNIVE"/>
        <s v="YARIT ZARI ALANYA PEREZ"/>
        <s v="Erol Aylas Marquiño"/>
        <s v="Humberto Ronald Mendoza Chacha"/>
        <s v="Piero Macha Perez"/>
        <s v="GARELD ZAID HERRERA CARDENAS"/>
        <s v="JAVIER ABEL SANCHEZ NUNTON"/>
        <s v="CHAMORRO AYALA ERIKA SOLEDAD"/>
        <s v="JHON DANNY BERNABLE BERNABLE"/>
        <s v="SILVIA SEMIRA SANCHEZ SANGAMA"/>
        <s v="ALEJANDRA FLORES TICONA"/>
        <s v="JORGE ANDRES RAMOS VILCAS"/>
        <s v="MOGROVEJO RAMOS ERWIN KERMER"/>
        <s v="RESTAURANTE RECEPCIONES CHEPITA ROYAL EMPRESA INDIVIDUAL DE RESPONSABILIDAD LIMITADA"/>
        <s v="MARIA ANTONELA GUERRERO GONZALES"/>
        <s v="EMPRESA PROMOTORA DE EVENTOS MAGDA PERU S.A.C."/>
        <s v="3A BUSINESS EMPRESA INDIVIDUAL DE RESPONSABILIDAD LIMITADA"/>
        <s v="JC SAN MARTIN EN SU SALSA E.I.R.L."/>
        <s v="MARIA ALICIA CORONADO MALUQUIS"/>
        <s v="ORLANDO ALDAIR POMACAJA CARVO"/>
        <s v="NAHOMY TRILCE CHAMORRO TORRES"/>
        <s v="JOHEL EDWIN RICALDI ARIAS"/>
        <s v="JESSMIR PRODUCCIONES S.A.C."/>
        <s v="FENCO GORDILLO MAXIMO"/>
        <s v="M.C.A. SERVICIOS INDUSTRIALES E.I.R.L."/>
        <s v="JHONATHAN CALDERON QUISPE"/>
        <s v="JORGE NIKITA GALLO PEREZ"/>
        <s v="FIESTAS BRAVAS GROUP S.A.C."/>
        <s v="GEINER DAVID QUIROZ GIL"/>
        <s v="PROMOTORA Y SONIDO MUSICAL WC E.I.R.L."/>
        <s v="LIMA VIAJES Y TURISMO S.A.C."/>
        <s v="ALFREDO CALDERON MEDINA"/>
        <s v="ALAN GUILLERMO PAUCAR GARRO"/>
        <s v="EMILIANO MINCHOLA RIVEROS"/>
        <s v="EMPRESA OK MEDIOS PERU S.A.C."/>
        <s v="LA PLAZA GASTRONOMICA S.A.C."/>
        <s v="ECO CABAÑAS DEL ESTE S.A.C."/>
        <s v="SABORES CRIOLLOS DEL PERU S.A.C."/>
        <s v="SAOCO FR E.I.R.L."/>
        <s v="PROMOTORA SR. DE MURUHUAY E.I.R.L."/>
        <s v="COJAL ARROYO JAVIER MARCIANO"/>
        <s v="SUPER LEO SAC"/>
        <s v="MAQUINA DEL TIEMPO S.A.C."/>
        <s v="ADRIAN DOLORES FLORES"/>
        <s v="ALEX DARWIN MUERAS PORRAS"/>
        <s v="Dilbert Aguilar"/>
        <s v="MARGARITA ARROYO FLORES"/>
        <s v="HERMOGENES HUAMAN ESPINOZA"/>
        <s v="JOSE CORPUS CERDAN DIAZ"/>
        <s v="A &amp; Q AYLLU S.A.C."/>
        <s v="JENNER ROBERTO CRISANTA RIOS"/>
        <s v="CRISTHIAM ABEL ALDANA CASTILLO"/>
        <s v="PERCY ORDINOLA"/>
      </sharedItems>
    </cacheField>
    <cacheField name="Fecha de factura" numFmtId="164">
      <sharedItems containsSemiMixedTypes="0" containsNonDate="0" containsDate="1" containsString="0" minDate="2025-01-03T00:00:00" maxDate="2025-10-16T00:00:00" count="24"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38"/>
    </cacheField>
    <cacheField name="Fecha" numFmtId="164">
      <sharedItems containsSemiMixedTypes="0" containsNonDate="0" containsDate="1" containsString="0" minDate="2025-01-03T00:00:00" maxDate="2025-10-16T00:00:00"/>
    </cacheField>
    <cacheField name="Fecha de vencimiento" numFmtId="164">
      <sharedItems containsSemiMixedTypes="0" containsNonDate="0" containsDate="1" containsString="0" minDate="2025-01-03T00:00:00" maxDate="2025-10-16T00:00:00"/>
    </cacheField>
    <cacheField name="Origen" numFmtId="4">
      <sharedItems containsNonDate="0" containsString="0"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emiMixedTypes="0" containsString="0" containsNumber="1" minValue="1" maxValue="6508.39"/>
    </cacheField>
    <cacheField name="Impuesto firmado" numFmtId="4">
      <sharedItems containsSemiMixedTypes="0" containsString="0" containsNumber="1" minValue="0.18" maxValue="1171.51"/>
    </cacheField>
    <cacheField name="Total firmado" numFmtId="4">
      <sharedItems containsSemiMixedTypes="0" containsString="0" containsNumber="1" minValue="1.18" maxValue="7679.9"/>
    </cacheField>
    <cacheField name="Total en divisa firmado" numFmtId="4">
      <sharedItems containsSemiMixedTypes="0" containsString="0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1">
        <s v="Registrado"/>
      </sharedItems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2025-01-03T00:00:00" maxDate="2025-10-16T00:00:00" count="25">
        <d v="2025-10-15T00:00:00"/>
        <m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</cacheField>
    <cacheField name="Días (Fecha de factura)" numFmtId="0" databaseField="0">
      <fieldGroup base="5">
        <rangePr groupBy="days" startDate="2025-01-03T00:00:00" endDate="2025-10-16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10/2025"/>
        </groupItems>
      </fieldGroup>
    </cacheField>
    <cacheField name="Meses (Fecha de factura)" numFmtId="0" databaseField="0">
      <fieldGroup base="5">
        <rangePr groupBy="months" startDate="2025-01-03T00:00:00" endDate="2025-10-16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64.428516319444" createdVersion="8" refreshedVersion="8" minRefreshableVersion="3" recordCount="790" xr:uid="{50BBD07D-8F17-40FB-BD82-CDACDBD3F56B}">
  <cacheSource type="worksheet">
    <worksheetSource name="Tabla4"/>
  </cacheSource>
  <cacheFields count="47">
    <cacheField name="serie_correlativo" numFmtId="0">
      <sharedItems count="5">
        <s v="(01) Factura FOF1"/>
        <s v="(03) Boleta BOB1"/>
        <s v="FFF1"/>
        <s v="FB01"/>
        <s v="BB01"/>
      </sharedItems>
    </cacheField>
    <cacheField name="numero" numFmtId="0">
      <sharedItems containsMixedTypes="1" containsNumber="1" containsInteger="1" minValue="209" maxValue="1420" count="604">
        <s v="00000223"/>
        <s v="00000155"/>
        <s v="00000154"/>
        <s v="00000153"/>
        <s v="00000152"/>
        <s v="00000151"/>
        <s v="00000150"/>
        <s v="00000149"/>
        <s v="00000148"/>
        <s v="00000147"/>
        <s v="00000146"/>
        <s v="00000145"/>
        <s v="00000144"/>
        <s v="00000143"/>
        <s v="00000142"/>
        <s v="00000222"/>
        <s v="00000221"/>
        <s v="00000141"/>
        <s v="00000140"/>
        <s v="00000139"/>
        <s v="00000138"/>
        <s v="00000137"/>
        <s v="00000220"/>
        <s v="00000219"/>
        <s v="00000218"/>
        <s v="00000217"/>
        <s v="00000216"/>
        <s v="00000215"/>
        <s v="00000214"/>
        <s v="00000213"/>
        <s v="00000136"/>
        <s v="00000135"/>
        <s v="00000134"/>
        <s v="00000133"/>
        <s v="00000132"/>
        <s v="00000131"/>
        <s v="00000130"/>
        <s v="00000129"/>
        <s v="00000128"/>
        <s v="00000127"/>
        <s v="00000126"/>
        <s v="00000125"/>
        <s v="00000124"/>
        <s v="00000123"/>
        <s v="00000122"/>
        <s v="00000121"/>
        <s v="00000120"/>
        <s v="00000119"/>
        <s v="00000118"/>
        <s v="00000117"/>
        <s v="00000116"/>
        <s v="00000212"/>
        <s v="00000211"/>
        <s v="00000115"/>
        <s v="00000114"/>
        <s v="00000113"/>
        <s v="00000112"/>
        <s v="00000111"/>
        <s v="00000110"/>
        <s v="00000109"/>
        <s v="00000108"/>
        <s v="00000107"/>
        <s v="00000106"/>
        <s v="00000210"/>
        <s v="00000209"/>
        <s v="00000105"/>
        <s v="00000104"/>
        <s v="00000103"/>
        <s v="00000102"/>
        <s v="00000101"/>
        <s v="00000100"/>
        <s v="00000208"/>
        <s v="00000207"/>
        <s v="00000206"/>
        <s v="00000205"/>
        <s v="00000204"/>
        <s v="00000203"/>
        <s v="00000202"/>
        <s v="00000201"/>
        <s v="00000200"/>
        <s v="00000199"/>
        <s v="00000198"/>
        <s v="00000197"/>
        <s v="00000196"/>
        <s v="00000195"/>
        <s v="00000194"/>
        <s v="00000193"/>
        <s v="00000192"/>
        <s v="00000191"/>
        <s v="00000190"/>
        <s v="00000189"/>
        <s v="00000188"/>
        <s v="00000187"/>
        <s v="00000186"/>
        <s v="00000099"/>
        <s v="00000185"/>
        <s v="00000184"/>
        <s v="00000183"/>
        <s v="00000098"/>
        <s v="00000097"/>
        <s v="00000096"/>
        <s v="00000095"/>
        <s v="00000094"/>
        <s v="00000093"/>
        <s v="00000092"/>
        <s v="00000091"/>
        <s v="00000090"/>
        <s v="00000089"/>
        <s v="00000088"/>
        <s v="00000182"/>
        <s v="00000181"/>
        <s v="00000180"/>
        <s v="00000179"/>
        <s v="00000178"/>
        <s v="00000177"/>
        <s v="00000176"/>
        <s v="00000175"/>
        <s v="00000174"/>
        <s v="00000173"/>
        <s v="00000172"/>
        <s v="00000171"/>
        <s v="00000170"/>
        <s v="00000169"/>
        <s v="00000168"/>
        <s v="00000167"/>
        <s v="00000087"/>
        <s v="00000086"/>
        <s v="00000085"/>
        <s v="00000084"/>
        <s v="00000083"/>
        <s v="00000082"/>
        <s v="00000081"/>
        <s v="00000080"/>
        <s v="00000079"/>
        <s v="00000078"/>
        <s v="00000077"/>
        <s v="00000166"/>
        <s v="00000162"/>
        <s v="00000161"/>
        <s v="00000160"/>
        <s v="00000159"/>
        <s v="00000158"/>
        <s v="00000157"/>
        <s v="00000156"/>
        <s v="00000076"/>
        <s v="00000075"/>
        <s v="00000074"/>
        <s v="00000073"/>
        <s v="00000072"/>
        <s v="00000071"/>
        <s v="00000070"/>
        <s v="00000069"/>
        <s v="00000068"/>
        <s v="00000067"/>
        <s v="00000066"/>
        <s v="00000065"/>
        <s v="00000064"/>
        <s v="00000063"/>
        <s v="00000062"/>
        <s v="00000061"/>
        <s v="00000060"/>
        <s v="00000059"/>
        <s v="00000058"/>
        <s v="00000057"/>
        <s v="00000056"/>
        <s v="00000055"/>
        <s v="00000054"/>
        <s v="00000053"/>
        <s v="00000052"/>
        <s v="00000051"/>
        <s v="00000050"/>
        <s v="00000049"/>
        <s v="00000048"/>
        <s v="00000047"/>
        <s v="00000046"/>
        <s v="00000045"/>
        <s v="00000044"/>
        <s v="00000043"/>
        <s v="00000042"/>
        <s v="00000041"/>
        <s v="00000040"/>
        <s v="00000039"/>
        <s v="00000038"/>
        <s v="00000037"/>
        <s v="00000036"/>
        <s v="00000035"/>
        <s v="00000034"/>
        <s v="00000033"/>
        <s v="00000032"/>
        <s v="00000031"/>
        <s v="00000030"/>
        <s v="00000029"/>
        <s v="00000028"/>
        <s v="00000027"/>
        <s v="00000026"/>
        <s v="00000025"/>
        <s v="00000024"/>
        <s v="00000023"/>
        <s v="00000022"/>
        <s v="00000021"/>
        <s v="00000020"/>
        <s v="00000019"/>
        <s v="00000018"/>
        <s v="00000017"/>
        <s v="00000016"/>
        <s v="00000015"/>
        <s v="00000014"/>
        <s v="00000013"/>
        <s v="00000012"/>
        <s v="00000011"/>
        <s v="00000010"/>
        <s v="00000009"/>
        <s v="00000008"/>
        <s v="00000007"/>
        <s v="00000006"/>
        <s v="00000005"/>
        <s v="00000004"/>
        <s v="00000003"/>
        <s v="00000002"/>
        <s v="00000001"/>
        <n v="221"/>
        <n v="220"/>
        <n v="219"/>
        <n v="1420"/>
        <n v="1419"/>
        <n v="1418"/>
        <n v="755"/>
        <n v="754"/>
        <n v="1417"/>
        <n v="1416"/>
        <n v="1415"/>
        <n v="753"/>
        <n v="752"/>
        <n v="751"/>
        <n v="750"/>
        <n v="749"/>
        <n v="748"/>
        <n v="747"/>
        <n v="746"/>
        <n v="745"/>
        <n v="744"/>
        <n v="743"/>
        <n v="742"/>
        <n v="1414"/>
        <n v="1413"/>
        <n v="1412"/>
        <n v="1411"/>
        <n v="1410"/>
        <n v="1409"/>
        <n v="741"/>
        <n v="740"/>
        <n v="739"/>
        <n v="1408"/>
        <n v="1407"/>
        <n v="1406"/>
        <n v="1405"/>
        <n v="738"/>
        <n v="737"/>
        <n v="736"/>
        <n v="1404"/>
        <n v="1403"/>
        <n v="1402"/>
        <n v="1401"/>
        <n v="1400"/>
        <n v="1399"/>
        <n v="1398"/>
        <n v="1397"/>
        <n v="735"/>
        <n v="734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733"/>
        <n v="732"/>
        <n v="731"/>
        <n v="730"/>
        <n v="1383"/>
        <n v="1382"/>
        <n v="1381"/>
        <n v="1380"/>
        <n v="1379"/>
        <n v="1378"/>
        <n v="729"/>
        <n v="728"/>
        <n v="727"/>
        <n v="726"/>
        <n v="725"/>
        <n v="724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218"/>
        <n v="721"/>
        <n v="720"/>
        <n v="719"/>
        <n v="718"/>
        <n v="1361"/>
        <n v="1360"/>
        <n v="717"/>
        <n v="716"/>
        <n v="715"/>
        <n v="714"/>
        <n v="713"/>
        <n v="712"/>
        <n v="711"/>
        <n v="1359"/>
        <n v="1358"/>
        <n v="710"/>
        <n v="709"/>
        <n v="708"/>
        <n v="707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706"/>
        <n v="705"/>
        <n v="704"/>
        <n v="703"/>
        <n v="702"/>
        <n v="701"/>
        <n v="1319"/>
        <n v="1318"/>
        <n v="700"/>
        <n v="699"/>
        <n v="1317"/>
        <n v="1316"/>
        <n v="1315"/>
        <n v="1314"/>
        <n v="1313"/>
        <n v="217"/>
        <n v="216"/>
        <n v="215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672"/>
        <n v="674"/>
        <n v="673"/>
        <n v="671"/>
        <n v="670"/>
        <n v="669"/>
        <n v="668"/>
        <n v="1281"/>
        <n v="1280"/>
        <n v="1279"/>
        <n v="1278"/>
        <n v="667"/>
        <n v="666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214"/>
        <n v="213"/>
        <n v="212"/>
        <n v="211"/>
        <n v="665"/>
        <n v="664"/>
        <n v="1265"/>
        <n v="1264"/>
        <n v="1263"/>
        <n v="1262"/>
        <n v="1261"/>
        <n v="1260"/>
        <n v="663"/>
        <n v="662"/>
        <n v="210"/>
        <n v="209"/>
        <n v="1259"/>
        <n v="1258"/>
        <n v="1257"/>
        <n v="1256"/>
        <n v="1255"/>
        <n v="1254"/>
        <n v="1253"/>
        <n v="1252"/>
        <n v="1251"/>
        <n v="1250"/>
        <n v="657"/>
        <n v="656"/>
        <n v="1249"/>
        <n v="1248"/>
        <n v="655"/>
        <n v="654"/>
        <n v="653"/>
        <n v="652"/>
        <n v="651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19"/>
        <n v="1218"/>
        <n v="1217"/>
        <n v="1216"/>
        <n v="1215"/>
        <n v="650"/>
        <n v="649"/>
        <n v="1214"/>
        <n v="1213"/>
        <n v="1212"/>
        <n v="1211"/>
        <n v="1210"/>
        <n v="1209"/>
        <n v="1208"/>
        <n v="1207"/>
        <n v="1206"/>
        <n v="1205"/>
        <n v="1204"/>
        <n v="648"/>
        <n v="647"/>
        <n v="646"/>
        <n v="645"/>
        <n v="1203"/>
        <n v="1202"/>
        <n v="1201"/>
        <n v="1200"/>
        <n v="644"/>
        <n v="643"/>
        <n v="1199"/>
        <n v="1198"/>
        <n v="642"/>
        <n v="641"/>
        <n v="1197"/>
        <n v="1196"/>
        <n v="1195"/>
        <n v="1194"/>
        <n v="1193"/>
        <n v="1192"/>
        <n v="1191"/>
        <n v="1190"/>
        <n v="1189"/>
        <n v="1188"/>
        <n v="640"/>
        <n v="639"/>
        <n v="638"/>
        <n v="637"/>
        <n v="1187"/>
        <n v="1186"/>
        <n v="1185"/>
        <n v="1184"/>
        <n v="636"/>
        <n v="635"/>
        <n v="634"/>
        <n v="633"/>
        <n v="632"/>
        <n v="1183"/>
        <n v="1182"/>
        <n v="1181"/>
        <n v="1180"/>
        <n v="631"/>
        <n v="630"/>
        <n v="629"/>
        <n v="628"/>
        <n v="627"/>
        <n v="1179"/>
        <n v="1178"/>
        <n v="1177"/>
        <n v="1176"/>
        <n v="1175"/>
        <n v="1174"/>
        <n v="1173"/>
        <n v="1172"/>
        <n v="1171"/>
      </sharedItems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1-03T00:00:00" maxDate="2025-11-01T00:00:00" count="35">
        <d v="2025-10-31T00:00:00"/>
        <d v="2025-10-30T00:00:00"/>
        <d v="2025-10-29T00:00:00"/>
        <d v="2025-10-28T00:00:00"/>
        <d v="2025-10-27T00:00:00"/>
        <d v="2025-10-24T00:00:00"/>
        <d v="2025-10-23T00:00:00"/>
        <d v="2025-10-22T00:00:00"/>
        <d v="2025-10-18T00:00:00"/>
        <d v="2025-10-17T00:00:00"/>
        <d v="2025-10-16T00:00:00"/>
        <d v="2025-10-15T00:00:00"/>
        <d v="2025-10-14T00:00:00"/>
        <d v="2025-10-13T00:00:00"/>
        <d v="2025-10-11T00:00:00"/>
        <d v="2025-10-10T00:00:00"/>
        <d v="2025-10-09T00:00:00"/>
        <d v="2025-10-07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46"/>
    </cacheField>
    <cacheField name="hora_de_emision" numFmtId="22">
      <sharedItems containsSemiMixedTypes="0" containsNonDate="0" containsDate="1" containsString="0" minDate="2025-11-03T00:00:00" maxDate="2025-11-03T21:08:28"/>
    </cacheField>
    <cacheField name="nom_proveedor" numFmtId="0">
      <sharedItems count="144">
        <s v="G &amp; N MUSIC S.A.C."/>
        <s v="ALFREDO CALDERON MEDINA"/>
        <s v="ROBERTO RAMOS RUIZ"/>
        <s v="NESTOR ARMANDO NUÃ‘EZ DIAZ"/>
        <s v="CRISTIE SOLEDAD WHITEHEAD MORI"/>
        <s v="NUTRI MASTER LA GRANJA E.I.R.L."/>
        <s v="RM MUSIC BUSINESS E.I.R.L."/>
        <s v="EMPRESA MUSICAL INTERNACIONAL LA BELLA LUZ E.I.R.L."/>
        <s v="PETER OSMAR MENDOZA SANCHEZ"/>
        <s v="JEAN CARLOS HUARACA HUARANGA"/>
        <s v="JULIO CESAR CHINCHAY MENA"/>
        <s v="NAHOMY TRILCE CHAMORRO TORRES"/>
        <s v="RONALD LUIS MAYTA RAMOS"/>
        <s v="JOSE AUGUSTO HUAMAN SANCHEZ"/>
        <s v="PROMOTORA DE ESPECTACULOS A&amp;G S.A.C."/>
        <s v="RICHARD EDINSON DAVIRAN GUTIERREZ"/>
        <s v="HERMOGENES HUAMAN ESPINOZA"/>
        <s v="CASTILLO PRODUCTIONS SOCIEDAD ANONIMA CERRADA"/>
        <s v="ALEJANDRA FLORES TICONA"/>
        <s v="ALVARO FRANCO VEGA AMARO"/>
        <s v="QUISPE AGUILAR GROBER GLENN"/>
        <s v="COMPLEJO TURÃSTICO EL REMANSO SAC"/>
        <s v="Club AtlÃ©tico Grau"/>
        <s v="PROMOTORA Y SONIDO MUSICAL WC E.I.R.L."/>
        <s v="LA ESPERANZA CASA DE PRESTAMOS Y EMPEÃ‘OS E.I.R.L."/>
        <s v="CONSORCIO CHUNGA &amp; ASOCIADOS S.A.C."/>
        <s v="JOSEFINA CASA CLUB S.R.L."/>
        <s v="MARVIN FRANKLIN SERRATO CARDENAS"/>
        <s v="JULIO MACHA MUNIVE"/>
        <s v="EULALIA GAUDENCIA PEREZ CARHUAMACA"/>
        <s v="Piero Macha PÃ©rez"/>
        <s v="CORPORACION DIAMOND B &amp; P S.A.C"/>
        <s v="MENDOZA HUALLPA LOYDA REBECA"/>
        <s v="JESUS FLORDELI CORONEL FERNANDEZ"/>
        <s v="IBRAHIM AMATHORE MEDINA MAMANI"/>
        <s v="CRISTELL ROCIO LOZANO GARCIA"/>
        <s v="OSCAR ALEXIS ARZAPALO POMASUNCO"/>
        <s v="CARLOS HERNANDEZ HERNANDEZ"/>
        <s v="A10 COMPANI S.A.C."/>
        <s v="LIGA DEPORTIVA DEPARTAMENTAL DE FUTBOL DE LAMBAYEQUE"/>
        <s v="CALERO APONTE GIULLIANA LIZZETT"/>
        <s v="PROMOTORA SR. DE MURUHUAY E.I.R.L."/>
        <s v="JHON EDWIN FERNANDEZ GALARZA"/>
        <s v="EMOZIONA PRODUCCIONES E.I.R.L."/>
        <s v="LISSETH MARITZA AMPUERO GUILLEN"/>
        <s v="MERO LOCO PRODUCCIONES E.I.R.L."/>
        <s v="MAURO PRODUCCIONES E.I.R.L."/>
        <s v="FLEMIN JESUS SILVA ROSEL"/>
        <s v="COOPERATIVA DE AHORRO Y CREDITO NORANDINO LTDA, DirecciÃ³n de factura"/>
        <s v="COOPERATIVA DE AHORRO Y CREDITO NORANDINO LTDA"/>
        <s v="EDUCATENEA S.A.C."/>
        <s v="EVENTOS &amp; INVERSIONES SAN CRISTOBAL SAC"/>
        <s v="YANQUIS PRODUCCIONES EIRL"/>
        <s v="Juan Elera Guerrero"/>
        <s v="LUIS ANTONIO ARIAS RAMIREZ"/>
        <s v="ROY EDSON VERGARA CAPUÃ‘AY"/>
        <s v="JOSE MANUEL BACA ANTON PRESIDENTE DE LA LIGA DEPARTAMENTAL PIURA"/>
        <s v="CUSQUI LUIS MIGUEL ALFREDO"/>
        <s v="CHAVEZ MELGAREJO HENRY YUNIOR"/>
        <s v="MENDOZA VILLABON EDWIN MAURICIO"/>
        <s v="AYLAS MARQUIÃ‘O ERROL"/>
        <s v="Adrian Dolores Flores"/>
        <s v="ENTRENARTE EVENTOS DEPORTIVOS S.A.C."/>
        <s v="CORPORACION WAYRA PRODUCCIONES S.A.C."/>
        <s v="MARTINEZ GABALDONI GUSTAVO ARISTIDES"/>
        <s v="YOLANDA FLORINDA MANCHA DE LA CRUZ"/>
        <s v="SONIC ENTERTAINMENT S.A.C."/>
        <s v="JP Producciones Generales EIRL"/>
        <s v="MICHAEL STEVEN WHARTON ALBERTO"/>
        <s v="DOROTEO VELASQUEZ JAHN PAVEL FERNANDO"/>
        <s v="PISFIL PINZON ARNOLD'S JOSE LUIS"/>
        <s v="CARDANO PRODUCCIONES S.A.C."/>
        <s v="RANDOLF STHIVEN GARCIA MEDINA"/>
        <s v="FIGUEROA ROSADO GABRIELA BRIYIT"/>
        <s v="ANGEL GABRIEL RODRÃGUEZ PINEDA"/>
        <s v="JOSELYN VERONICA GUTIERREZ HUANCA"/>
        <s v="AMARANTA MUSIC CORP S.A.C."/>
        <s v="MANUEL CARLOS AMIAS SHAPIAMA"/>
        <s v="ALAN INVERSIONES &amp; REPRESENTACIONES S.A.C."/>
        <s v="RIVERA GUERRERO ANGGELA RINA"/>
        <s v="JESUS MANUEL COTRINA CORPUS"/>
        <s v="PROMOTORA M&amp;M S.R.L."/>
        <s v="ESPECTACULOS MARCABALITO S.A.C."/>
        <s v="JUAN EDGAR VENTURA MACAZANA"/>
        <s v="PERUVIAN PRODUCTIONS SOCIEDAD ANONIMA CERRADA"/>
        <s v="MACHA MUNIVE JULIO"/>
        <s v="REYNOSO BENDEZU CARLOS ARTURO"/>
        <s v="RODRIGO ANTONIO QUISPE MONTAÃ‘EZ"/>
        <s v="FIESTA KARIBEÃ‘A SOCIEDAD ANONIMA CERRADA"/>
        <s v="YARIT ZARI ALANYA PEREZ"/>
        <s v="Erol Aylas MarquiÃ±o"/>
        <s v="MAKWA ENTERTAINMENT S.A.C."/>
        <s v="LA MATARINA PUENTE PIEDRA E.I.R.L."/>
        <s v="Humberto Ronald Mendoza Chacha"/>
        <s v="Tarpuy Producciones E.I.R.L"/>
        <s v="GARELD ZAID HERRERA CARDENAS"/>
        <s v="SEVAFRA SAC"/>
        <s v="MULTISERVICIOS YATACO E.I.R.L."/>
        <s v="EL PADRINO DIVERSIONES SAC"/>
        <s v="INVERSIONES SAM &amp; ASOCIADOS SAC"/>
        <s v="NEGOCIACIONES Y PRODUCCIONES VEGA S.A.C"/>
        <s v="JAVIER ABEL SANCHEZ NUNTON"/>
        <s v="JDA BUSINESS PERU S.A.C."/>
        <s v="RAMOS CRUZ MILAGRITOS"/>
        <s v="TORRES TOVAR WILDER"/>
        <s v="JHON DANNY BERNABLE BERNABLE"/>
        <s v="SILVIA SEMIRA SANCHEZ SANGAMA"/>
        <s v="CHAMORRO AYALA ERIKA SOLEDAD"/>
        <s v="JORGE ANDRES RAMOS VILCAS"/>
        <s v="MOGROVEJO RAMOS ERWIN KERMER"/>
        <s v="MARIA ANTONELA GUERRERO GONZALES"/>
        <s v="RESTAURANTE RECEPCIONES CHEPITA ROYAL EMPRESA INDIVIDUAL DE RESPONSABILIDAD LIMITADA"/>
        <s v="MARIA ALICIA CORONADO MALUQUIS"/>
        <s v="ORLANDO ALDAIR POMACAJA CARVO"/>
        <s v="Empresa Promotora de Eventos Magda PerÃº SAC"/>
        <s v="JOHEL EDWIN RICALDI ARIAS"/>
        <s v="3A BUSINESS EMPRESA INDIVIDUAL DE RESPONSABILIDAD LIMITADA"/>
        <s v="JC SAN MARTIN EN SU SALSA E.I.R.L."/>
        <s v="JESSMIR PRODUCCIONES S.A.C."/>
        <s v="FENCO GORDILLO MAXIMO"/>
        <s v="JHONATHAN CALDERON QUISPE"/>
        <s v="JORGE NIKITA GALLO PEREZ"/>
        <s v="M.C.A. SERVICIOS INDUSTRIALES E.I.R.L."/>
        <s v="FIESTAS BRAVAS GROUP S.A.C."/>
        <s v="GEINER DAVID QUIROZ GIL"/>
        <s v="ALAN GUILLERMO PAUCAR GARRO"/>
        <s v="EMILIANO MINCHOLA RIVEROS"/>
        <s v="LIMA VIAJES Y TURISMO S.A.C."/>
        <s v="EMPRESA OK MEDIOS PERU SAC"/>
        <s v="LA PLAZA GASTRONOMICA S.A.C."/>
        <s v="ECO CABAÃ‘AS DEL ESTE S.A.C."/>
        <s v="SABORES CRIOLLOS DEL PERU SAC"/>
        <s v="SAOCO FR E.I.R.L."/>
        <s v="ALEX DARWIN MUERAS PORRAS"/>
        <s v="Dilbert Aguilar"/>
        <s v="MARGARITA ARROYO FLORES"/>
        <s v="COJAL ARROYO JAVIER MARCIANO"/>
        <s v="SUPER LEO SAC"/>
        <s v="JOSE CORPUS CERDAN DIAZ"/>
        <s v="MAQUINA DEL TIEMPO S.A.C."/>
        <s v="JENNER ROBERTO CRISANTA RIOS"/>
        <s v="CRISTHIAM ABEL ALDANA CASTILLO"/>
        <s v="A&amp;Q AYLLU S.A.C"/>
        <s v="PERCY ORDINOLA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1" maxValue="6"/>
    </cacheField>
    <cacheField name="doc_proveedor" numFmtId="0">
      <sharedItems containsMixedTypes="1" containsNumber="1" containsInteger="1" minValue="9059888" maxValue="2061392722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1-03T00:00:00" maxDate="2025-11-01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7152" maxValue="33418"/>
    </cacheField>
    <cacheField name="item.codigo_producto" numFmtId="0">
      <sharedItems containsSemiMixedTypes="0" containsString="0" containsNumber="1" containsInteger="1" minValue="216" maxValue="2344" count="137">
        <n v="1924"/>
        <n v="1895"/>
        <n v="2274"/>
        <n v="2315"/>
        <n v="224"/>
        <n v="1786"/>
        <n v="216"/>
        <n v="2264"/>
        <n v="2318"/>
        <n v="2276"/>
        <n v="2314"/>
        <n v="2261"/>
        <n v="2342"/>
        <n v="1916"/>
        <n v="223"/>
        <n v="2344"/>
        <n v="2324"/>
        <n v="1788"/>
        <n v="2322"/>
        <n v="2316"/>
        <n v="2317"/>
        <n v="2320"/>
        <n v="985"/>
        <n v="984"/>
        <n v="983"/>
        <n v="982"/>
        <n v="877"/>
        <n v="870"/>
        <n v="981"/>
        <n v="980"/>
        <n v="940"/>
        <n v="979"/>
        <n v="978"/>
        <n v="938"/>
        <n v="937"/>
        <n v="977"/>
        <n v="936"/>
        <n v="935"/>
        <n v="976"/>
        <n v="871"/>
        <n v="874"/>
        <n v="975"/>
        <n v="974"/>
        <n v="934"/>
        <n v="933"/>
        <n v="921"/>
        <n v="973"/>
        <n v="972"/>
        <n v="971"/>
        <n v="970"/>
        <n v="969"/>
        <n v="968"/>
        <n v="967"/>
        <n v="885"/>
        <n v="992"/>
        <n v="966"/>
        <n v="993"/>
        <n v="965"/>
        <n v="964"/>
        <n v="963"/>
        <n v="962"/>
        <n v="961"/>
        <n v="960"/>
        <n v="959"/>
        <n v="878"/>
        <n v="949"/>
        <n v="958"/>
        <n v="955"/>
        <n v="957"/>
        <n v="956"/>
        <n v="954"/>
        <n v="953"/>
        <n v="952"/>
        <n v="951"/>
        <n v="950"/>
        <n v="913"/>
        <n v="948"/>
        <n v="882"/>
        <n v="947"/>
        <n v="946"/>
        <n v="945"/>
        <n v="944"/>
        <n v="939"/>
        <n v="942"/>
        <n v="943"/>
        <n v="941"/>
        <n v="932"/>
        <n v="931"/>
        <n v="930"/>
        <n v="929"/>
        <n v="928"/>
        <n v="927"/>
        <n v="926"/>
        <n v="925"/>
        <n v="924"/>
        <n v="923"/>
        <n v="922"/>
        <n v="920"/>
        <n v="919"/>
        <n v="918"/>
        <n v="917"/>
        <n v="916"/>
        <n v="915"/>
        <n v="914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3"/>
        <n v="881"/>
        <n v="990"/>
        <n v="875"/>
        <n v="873"/>
        <n v="872"/>
      </sharedItems>
    </cacheField>
    <cacheField name="item.nom_producto" numFmtId="0">
      <sharedItems count="129">
        <s v="BOLETO FULL COLOR CON QR"/>
        <s v="BRAZALETE CON QR"/>
        <s v="COMISION CORTESIA "/>
        <s v="PAUTA PUBLICITARIA"/>
        <s v="FEE ADMINISTRATIVO"/>
        <s v="COMISION VAOPE SEGUN CONTRATO"/>
        <s v="COMISION PAGOS DIGITALES SEGUN CONTRATO"/>
        <s v="VOUCHER IMPRESO CON QR"/>
        <s v="SERV DEVOLUCIONES"/>
        <s v="PUNTO DE VENTA"/>
        <s v="SERV VALIDADORES"/>
        <s v="VOUCHER DIGITAL CON QR"/>
        <s v="SERVICIO DE DISENO "/>
        <s v="DELIVERY"/>
        <s v="BOLETO PREMIUN CON QR"/>
        <s v="Descuento"/>
        <s v="ENTRADAS IMPRESAS"/>
        <s v="STICKER CON QR"/>
        <s v="SUPERVISOR VALIDADORES"/>
        <s v="COMISION CORTESIA"/>
        <s v="BRAZALETES VIP-ARMONIA 10 EN DISCOTECA COCOS DE LINCE BRAZALETES PLATINIUM Y PERSONAL DELIVERY"/>
        <s v="ENTRADAS IMPRESAS FULL COLOR GENERAL BRAZALETES VIP -CORAZON SERRANO BARRANCA - 0902 Y PERSONAL DELIVERY"/>
        <s v="ENTRADAS IMPRESAS  FULL COLOR GENERAL "/>
        <s v="COMISION CORTESIA - ACTUALIZACION GRAFICA"/>
        <s v="COMISION CORTESIA - PUNTO DE VENTA"/>
        <s v="PERSONAL - PAUTA PUBLICITARIA - EULALIA PEREZ"/>
        <s v="COMISION PAGOS DIGITALES SEGUN CONTRATO - EULALIA PEREZ"/>
        <s v="COMISION VAOPE SEGUN CONTRATO - EULALIA PEREZ "/>
        <s v="PERSONAL - PAUTA PUBLICITARIA JULIO MACHA"/>
        <s v="COMISION PAGOS DIGITALES SEGUN CONTRATO - JULIO MACHA "/>
        <s v="COMISION VAOPE SEGUN CONTRATO - JULIO MACHA"/>
        <s v="PERSONAL - PAUTA PUBLICITARIA - YARIT ALANYA"/>
        <s v="COMISION PAGOS DIGITALES SEGUN CONTRATO - YARIT ALANYA"/>
        <s v="COMISION VAOPE SEGUN CONTRATO - YARIT ALANYA"/>
        <s v="PERSONAL - PAUTA PUBLICITARIA"/>
        <s v="COMISION PAGOS DIGITALES SEGUN CONTRATO "/>
        <s v="PERSONAL - SERV DEVOLUCIONES"/>
        <s v="PERSONAL - PAUTA PUBLICITARIA -PIERO MACHA"/>
        <s v="COMISION PAGOS DIGITALES SEGUN CONTRATO - PIERO MACHA"/>
        <s v="COMISION VAOPE SEGUN CONTRATO - PIERO MACHA"/>
        <s v="PERSONAL - Servicio de 04 validadores Inc IGV"/>
        <s v="ENTRADAS IMPRESAS - ORDEN DE VENTA N569_x000a_  Fieston de Carnavales con La Bella Luz Linda Caba y Deyvis Orosco en El Remanso de Comas  1500 FULL COLOR ADULTO 1000 FULL COLOR PROMO ADULTO 500 FULL COLOR NINO S141600_x000a_"/>
        <s v="COMISION CORTESIA - PAUTA PUIBLICITARIA"/>
        <s v="PERSONAL - PAUTA PUBLICITARIA - DELIVERY"/>
        <s v="ENTRADAS IMPRESAS - Orden de venta No 580_x000a_  LA UNICA TROPICAL PAITA - 08 DE FEB - I - P  1000 BRAZALETES VIP S70800_x000a_"/>
        <s v="ENTRADAS IMPRESAS - Orden de venta No 579_x000a_  LA UNICA TROPICAL MOTUPE - 05 DE FEB - I - P  2000 BRAZALETES VIP S141600"/>
        <s v="ENTRADAS IMPRESAS - ORDEN DE VENTA N573_x000a_  La Unica Tropical en Sullana  2000 BRAZALETES VIP S141600"/>
        <s v="COMISION PAGOS DIGITALES SEGUN CONTRAT"/>
        <s v="COMISION CORTESIA - DELIVERY"/>
        <s v="PERSONAL - PUBLICIDAD"/>
        <s v="FEE ADMINISTRATIVOFee administrativo por adelanto"/>
        <s v="ENTRADAS IMPRESAS - ORDEN DE VENTA N529_x000a_  CORAZON SERRANO Y DINA PAUCAR EN REAL HOTEL HUASCARAN EN HUARAZ 500 TICKETS PREMIUM PLATINUM 500 TICKETS PREMIUM VIP S109740"/>
        <s v="ENTRADAS IMPRESAS - ORDEN DE VENTA N575_x000a_  La Unica Tropical en Colan  1000 BRAZALETES VIP S70800"/>
        <s v="ENTRADAS IMPRESAS - ORDEN DE VENTA N574_x000a_  La Unica Tropical en Talara  1000 BRAZALETES VIP S70800"/>
        <s v="PERSONAL - ENVIO"/>
        <s v="ENTRADAS IMPRESAS FULL COLOR GENERAL -ARMONIA 10 Y PERSONAL DELIVERY"/>
        <s v="PERSONAL - punto de venta"/>
        <s v="COMISION VAOPE SEGUN CONTRATO "/>
        <s v="COMISION CORTESIA - pauta publicitaria"/>
        <s v="ENTRADAS IMPRESAS - ORDEN DE VENTA N563_x000a_  2do Aniversario de Suu Rabanal con La Unica Tropical Tony Rosado y mas en la Explanada de Agua Dulce  4000 FULL COLOR GENERAL  2000 BRAZALETES VIP  500 BRAZALETES PLATINUM S365800"/>
        <s v="PERSONAL - PUBLICIDAD - FACEBOOK"/>
        <s v="COMISION CORTESIA - punto de venta "/>
        <s v="PERSONAL - Servicio de 01 validador Inc IGV"/>
        <s v="PERSONAL - PAUTA PUBLICITARIA- CORTESIA"/>
        <s v="COMISION CORTESIA - PAUTA PUBLICITARIA- FACEBOOK- PUNTO VENTA "/>
        <s v="PERSONAL - Servicio de 01 validador Inc IGV "/>
        <s v="PERSONAL - PAUTA PUBLICITARIA - FACEBOOK"/>
        <s v="PERSONAL - PUBLICIDAD - FACEBOOK "/>
        <s v="PERSONAL - Servicio de 02 validadores Inc IGV"/>
        <s v="ENTRADAS IMPRESAS - ORDEN DE VENTA N564_x000a_  La Unica Tropical en el Padrino Club de Jicamarca  1000 FULL COLOR GENERAL  1000 BRAZALETES VIP  500 FULL COLOR NINOS"/>
        <s v="PERSONAL - Servicio de 05 validadores Inc IGV"/>
        <s v="ENTRADAS IMPRESAS - ORDEN DE VENTA N557_x000a_ PRIMER PISCINAZO 2025 CON EL AGUA MAS RICA DEL PERU  3000 FULL COLOR GENERAL ADULTO  500 FULL COLOR GENERAL NINOS S185850"/>
        <s v="ENTRADAS IMPRESAS FULL COLOR GENERALARMONIA 10 EN YAPATERA 22 DE ENE Y HUAMACHUCO 25 DE ENE BRAZALETES VIP Y PERSONAL DELIVERY"/>
        <s v="ENTRADAS IMPRESAS FULL COLOR GENERAL -CORAZON SERRANO CHANCAY - 2601 BRAZALETES VIP Y PERSONAL DELIVERY "/>
        <s v="ENTRADAS IMPRESAS FULL COLOR GENERAL -CORAZON SERRANO YAPATERA - 2401 Y PERSONAL DELIVERY"/>
        <s v="COMISION VAOPE SEGUN CONTRATO - EULALIA PEREZ"/>
        <s v="COMISION PAGOS DIGITALES SEGUN CONTRATO - JULIO MACHA"/>
        <s v="COMISION VAOPE SEGUN CONTRATO - PIERO MACHA "/>
        <s v="COMISION PAGOS DIGITALES SEGUN CONTRATO - YARIT ALANYA "/>
        <s v="FEE ADMINISTRATIVO - Fee por adelanto a agua marina 2 Inc IGV "/>
        <s v="FEE ADMINISTRATIVO - Fee por adelanto a agua marina Inc IGV"/>
        <s v="ENTRADAS IMPRESAS - ORDEN DE VENTA N541_x000a_  LA UNICA TROPICAL EN CHEPEN - 20 DE ENERO - I - P  2000 FULL COLOR GENERAL  1000 BRAZALETES VIP S165200_x000a_"/>
        <s v="ENTRADAS IMPRESAS - ORDEN DE VENTA N537_x000a_  La Unica Tropical en Ilo  2000 FULL COLOR GENERAL  1000 BRAZALETES VIP S165200"/>
        <s v="ENTRADAS IMPRESAS - ORDEN DE VENTA N538_x000a_  La Unica Tropical en Tacna  3000 FULL COLOR GENERAL  2000 BRAZALETES VIP S283200"/>
        <s v="ENTRADAS IMPRESAS - ORDEN DE VENTA N517_x000a_  LA UNICA TROPICAL - CIUDAD DE DIOS - 06 DE ENERO - I - P 2000 FULL COLOR GENERAL S94400_x000a_"/>
        <s v="ENTRADAS IMPRESAS - ORDEN DE VENTA N516_x000a_  LA UNICA TROPICAL CARTAVIO - 03 DE ENERO - I - P  2000 FULL COLOR GENERAL S94400_x000a_"/>
        <s v="ENTRADAS IMPRESAS - ORDEN DE VENTA N515_x000a_  La Unica Tropical en Talara  2000 FULL COLOR GENERAL S94400"/>
        <s v="ENTRADAS IMPRESAS - ORDEN DE VENTA N513_x000a_  LA UNICA TROPICAL COLAN - 05 DE ENERO - I - P  5000 FULL COLOR GENERAL  1000 BRAZALETES VIP S259600_x000a_"/>
        <s v="ENTRADAS IMPRESAS - ORDEN DE VENTA N550_x000a_  FIESTA BLANCA HUACHO - ZAPEROKO 31 DE DICIEMBRE - I - P 500 BRAZALETES VIP 500 BRAZALETES PLATINUM S70800"/>
        <s v="ENTRADAS IMPRESAS - ORDEN DE VENTA N528_x000a_  Marama en Explanada Bahua en Barranca 500 BRAZALETES VIP 200 BRAZALETES GENERAL  300 BRAZALETES BOX S77880"/>
        <s v="ENTRADAS IMPRESAS -  Duelo de Divas con Pamela Franco Marisol y Brunella Torpoco en El Remanso de Comas  2000 FULL COLOR GENERAL ADULTO  500 FULL COLOR GENERAL NINOS S118000"/>
        <s v="ENTRADAS IMPRESAS - ORDEN DE VENTA N540_x000a_  La Unica Tropical en Mejia Arequipa  2000 FULL COLOR GENERAL  1000 BRAZALETES VIP S165200"/>
        <s v="ENTRADAS IMPRESAS - ORDEN DE VENTA N539_x000a_  La Unica Tropical en Camana Arequipa  2000 FULL COLOR GENERAL  1000 BRAZALETES VIP S165200"/>
        <s v="BRAZALETES STICKERS SIN ZONA - CARNABRAVAZO - 09 DE MARZO - I - P Y  PERSONAL DELIVERY"/>
        <s v="ENTRADAS IMPRESAS FULL COLOR -CORAZON SERRANO PAITA- 2001 "/>
        <s v="ENTRADAS IMPRESAS FULL COLOR - CORAZON SERRANO VICE- 1901"/>
        <s v="ENTRADAS IMPRESAS FULL COLOR -CORAZON SERRANO PARACHIQUE- 1701 Y PERSONAL DELIVERY"/>
        <s v="BRAZALETES VIP-CORAZON SERRANO SAN JUAN DE BIGOTE- 1101 ENTRADAS IMPRESAS FULL COLOR PERSONAL DELIVERY"/>
        <s v="BRAZALETES vip- CORAZON SERRANO CRUCETA - 1001 Y ENTRADAS IMPRESAS FULL COLOR"/>
        <s v="COMISION CORTESIA - JP PRODUCCIONES GENERALES SAC"/>
        <s v="PERSONAL - VALIDADORES- JP PRODUCCIONES GENERALES SAC"/>
        <s v="COMISION PAGOS DIGITALES SEGUN CONTRATO - JP PRODUCCIONES GENERALES SAC"/>
        <s v="COMISION VAOPE SEGUN CONTRATO - JP PRODUCCIONES GENERALES SAC"/>
        <s v="COMISION CORTESIA - GN MUSIC SAC"/>
        <s v="COMISION PAGOS DIGITALES SEGUN CONTRATO - GN MUSIC SAC "/>
        <s v="COMISION VAOPE SEGUN CONTRATO - GN MUSIC SAC"/>
        <s v="PERSONAL - Servicio de 04 validadores Inc IGV "/>
        <s v="PERSONAL - SERVICIO DE 03 VALIDADORES"/>
        <s v="ENTRADAS IMPRESAS - ORDEN DE VENTA N518   Caribepiscinazo con Caribenos en El Remanso de Comas  2000 FULL COLOR GENERAL ADULTOS  300 FULL COLOR GENERAL NINOS S108560 "/>
        <s v="PERSONAL - gasto envio"/>
        <s v="ENTRADAS IMPRESAS - ORDEN DE VENTA N505_x000a_  La Unica Tropical en Casa Cub Sullana  3000 FULL COLOR GENERAL  1000 BRAZALETES VIP S212400"/>
        <s v="ENTRADAS IMPRESAS - ORDEN DE VENTA N493_x000a_  FELIZ NAVIDAD SECHURA - I - P  2000 FULL COLOR GENERAL S94400"/>
        <s v="ENTRADAS IMPRESAS - ORDEN DE VENTA N500_x000a_  LA UNICA TROPICAL - EL ALTO - PIURA - 30 DE DIC  2000 FULL COLOR GENERAL S94400"/>
        <s v="ENTRADAS IMPRESAS - ORDEN DE VENTA N501_x000a_  LA UNICA TROPICAL - LA UNION - BAJO PIURA - 28 DE DIC  2000 FULL COLOR GENERAL S94400"/>
        <s v="ENTRADAS IMPRESAS - ORDEN DE VENTA N514_x000a_  LA UNICA TROPICAL EN PLAZA NORTE - I - P  2000 FULL COLOR  2000 BRAZALETES VIP S236000"/>
        <s v="ENTRADAS IMPRESAS - ORDEN DE VENTA N512_x000a_  La Unica Tropical en Aqualandia de Piura - 2DO PEDIDO - 3112 - I - P 2000 BRAZALETES VIP S141600_x000a_"/>
        <s v="ENTRADAS IMPRESAS - ORDEN DE VENTA N502 La Unica Tropical en Aqualandia de Piura  10000 FULL COLOR GENERAL  3000 FULL COLOR NINOS S613600"/>
        <s v="PERSONAL - Servicio de 03 validadores inc IGV"/>
        <s v="ENTRADAS IMPRESAS - ORDEN DE VENTA N509_x000a_  Fieston de Ano Nuevo en Lima Sur con Armonia 10 Pamela Franco Deyvis Orosco y mas  4000 FULL COLOR GENERAL  2000 BRAZALETES VIP  1000 BRAZALETES PLATINUM S401200"/>
        <s v="ENTRADAS IMPRESAS - ORDEN DE VENTA N509  Fieston de Ano Nuevo en Lima Sur con Armonia 10 Pamela Franco Deyvis Orosco y mas  4000 FULL COLOR GENERAL  2000 BRAZALETES VIP  1000 BRAZALETES PLATINUM S401200"/>
        <s v="PERSONAL - delivery - entradas cortesia "/>
        <s v="FEE ADMINISTRATIVO - Fee administrativo adelanto de recaudacion"/>
        <s v="COMISION VAOPE SEGUN CONTRATO - MARGARITA ARROYO "/>
        <s v="COMISION PAGOS DIGITALES SEGUN CONTRATO - MARGARITA ARROYO "/>
        <s v="PERSONAL - CREACION CONTENIDO- PROMOCIONAR EVENTO "/>
        <s v="ENTRADAS IMPRESAS - ORDEN DE VENTA N506_x000a_  Alberto Barros en El Remanso de Comas 1200 BRAZALETES VIP  2250 FULL COLOR GENERAL S177000_x000a_"/>
        <s v="ENTRADAS IMPRESAS - ORDEN DE VENTA N510  Ano Nuevo 2025 en Arequipa con Armonia 10 Yarita Lizeth Deyvis Orosco y mas  4000 FULL COLOR GENERAL  2000 BRAZALETES VIP  1000 BRAZALETES PLATINUM S401200"/>
        <s v="PERSONAL - Servicio de 03 validadores Inc IGV "/>
        <s v="ENTRADAS IMPRESAS - ORDEN DE VENTA N508_x000a_  Fieston de Ano Nuevo Lima Norte en Plaza de Acho con Armonia 10 Pamela Franco Deyvis Orosco y mas 4000 FULL COLOR GENERAL  2000 BRAZALETES VIP  1500 BRAZALETES PLATINUM S436600"/>
      </sharedItems>
    </cacheField>
    <cacheField name="item.categoria_producto" numFmtId="0">
      <sharedItems count="2">
        <s v="consu"/>
        <s v="service"/>
      </sharedItems>
    </cacheField>
    <cacheField name="item.cantidad" numFmtId="0">
      <sharedItems containsSemiMixedTypes="0" containsString="0" containsNumber="1" containsInteger="1" minValue="1" maxValue="6000"/>
    </cacheField>
    <cacheField name="item.valor_unitario" numFmtId="0">
      <sharedItems containsSemiMixedTypes="0" containsString="0" containsNumber="1" minValue="-634.20000000000005" maxValue="8035.2"/>
    </cacheField>
    <cacheField name="item.precio_unitario" numFmtId="0">
      <sharedItems containsSemiMixedTypes="0" containsString="0" containsNumber="1" minValue="-748.36" maxValue="9481.5400000000009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-634.20000000000005" maxValue="8035.2"/>
    </cacheField>
    <cacheField name="item.porcentaje_de_igv" numFmtId="0">
      <sharedItems containsSemiMixedTypes="0" containsString="0" containsNumber="1" containsInteger="1" minValue="18" maxValue="18"/>
    </cacheField>
    <cacheField name="item.igv" numFmtId="0">
      <sharedItems containsSemiMixedTypes="0" containsString="0" containsNumber="1" minValue="-114.16" maxValue="1446.34"/>
    </cacheField>
    <cacheField name="item.total" numFmtId="0">
      <sharedItems containsSemiMixedTypes="0" containsString="0" containsNumber="1" minValue="-748.36" maxValue="9481.5400000000009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SemiMixedTypes="0" containsString="0" containsNumber="1" containsInteger="1" minValue="1" maxValue="1"/>
    </cacheField>
    <cacheField name="item.id_estado" numFmtId="0">
      <sharedItems count="3">
        <s v="paid"/>
        <s v="reversed"/>
        <s v="not_paid"/>
      </sharedItems>
    </cacheField>
    <cacheField name="item.nombre_estado" numFmtId="0">
      <sharedItems count="3">
        <s v="Pagado"/>
        <s v="Revertido"/>
        <s v="Sin pagar"/>
      </sharedItems>
    </cacheField>
    <cacheField name="item.id_vendedor" numFmtId="0">
      <sharedItems containsSemiMixedTypes="0" containsString="0" containsNumber="1" containsInteger="1" minValue="2" maxValue="16" count="2">
        <n v="16"/>
        <n v="2"/>
      </sharedItems>
    </cacheField>
    <cacheField name="item.nom_vendedor" numFmtId="0">
      <sharedItems/>
    </cacheField>
    <cacheField name="item.id_cuenta_analitica" numFmtId="0">
      <sharedItems containsSemiMixedTypes="0" containsString="0" containsNumber="1" containsInteger="1" minValue="1106" maxValue="6959" count="4">
        <n v="1106"/>
        <n v="6937"/>
        <n v="6959"/>
        <n v="6936"/>
      </sharedItems>
    </cacheField>
    <cacheField name="item.nom_cuenta_analitica" numFmtId="0">
      <sharedItems/>
    </cacheField>
    <cacheField name="item.distribucion_analitica" numFmtId="0">
      <sharedItems count="17">
        <s v="[[{'codigo': 82, 'nom_distribucion': 'Impresos', 'sub_categoria': 'Ime', 'porcentaje': '100.00'}]]"/>
        <s v="[[{'codigo': 149, 'nom_distribucion': 'Venta', 'sub_categoria': 'ComisiÃ³n Pagos digitales', 'porcentaje': '100.00'}]]"/>
        <s v="[[{'codigo': 89, 'nom_distribucion': 'Marketing', 'sub_categoria': 'Pauta', 'porcentaje': '100.00'}]]"/>
        <s v="[[{'codigo': 148, 'nom_distribucion': 'Impresos', 'sub_categoria': 'Suministros Venta', 'porcentaje': '100.00'}]]"/>
        <s v="[[{'codigo': 154, 'nom_distribucion': 'Venta', 'sub_categoria': 'Fee Administrativo', 'porcentaje': '100.00'}]]"/>
        <s v="[[{'codigo': 103, 'nom_distribucion': 'Validadores', 'sub_categoria': 'Personal temporal', 'porcentaje': '100.00'}]]"/>
        <s v="[]"/>
        <s v="[[{'codigo': 93, 'nom_distribucion': 'Operaciones', 'sub_categoria': 'Ime', 'porcentaje': '100.00'}]]"/>
        <s v="[[{'codigo': 144, 'nom_distribucion': 'Operaciones', 'sub_categoria': 'Otros', 'porcentaje': '100.00'}]]"/>
        <s v="[[{'codigo': 77, 'nom_distribucion': 'DiseÃ±o', 'sub_categoria': 'Ime', 'porcentaje': '100.00'}]]"/>
        <s v="[[{'codigo': 84, 'nom_distribucion': 'Impresos', 'sub_categoria': 'OPERATIVOS', 'porcentaje': '100.00'}]]"/>
        <s v="[[{'codigo': 83, 'nom_distribucion': 'Impresos', 'sub_categoria': 'Suministros Compra', 'porcentaje': '100.00'}]]"/>
        <s v="[[{'codigo': 105, 'nom_distribucion': 'Administrativo', 'sub_categoria': 'Capacitaciones', 'porcentaje': '100.00'}]]"/>
        <s v="[[{'codigo': 61, 'nom_distribucion': 'Administrativo', 'sub_categoria': 'Operativos', 'porcentaje': '100.00'}]]"/>
        <s v="[[{'codigo': 81, 'nom_distribucion': 'Impresos', 'sub_categoria': 'Otros', 'porcentaje': '100.00'}]]"/>
        <s v="[[{'codigo': 63, 'nom_distribucion': 'Administrativo', 'sub_categoria': 'Delivery', 'porcentaje': '100.00'}]]"/>
        <s v="[[{'codigo': 73, 'nom_distribucion': 'Contenido', 'sub_categoria': 'Personal temporal', 'porcentaje': '100.00'}]]"/>
      </sharedItems>
    </cacheField>
    <cacheField name="item.evento.id_evento" numFmtId="0">
      <sharedItems containsString="0" containsBlank="1" containsNumber="1" containsInteger="1" minValue="2471" maxValue="3349" count="112">
        <n v="3349"/>
        <n v="3319"/>
        <n v="3301"/>
        <n v="3300"/>
        <n v="3260"/>
        <n v="3207"/>
        <n v="3173"/>
        <n v="3175"/>
        <n v="3177"/>
        <n v="3155"/>
        <n v="3235"/>
        <n v="3142"/>
        <n v="3193"/>
        <n v="3200"/>
        <n v="3252"/>
        <n v="2856"/>
        <n v="3215"/>
        <n v="3163"/>
        <n v="3174"/>
        <n v="3195"/>
        <n v="3275"/>
        <n v="3025"/>
        <n v="3074"/>
        <n v="3135"/>
        <n v="3196"/>
        <n v="3211"/>
        <n v="3280"/>
        <n v="3302"/>
        <n v="3277"/>
        <n v="3278"/>
        <n v="3264"/>
        <n v="3306"/>
        <m/>
        <n v="3324"/>
        <n v="3317"/>
        <n v="3288"/>
        <n v="3318"/>
        <n v="3316"/>
        <n v="3023"/>
        <n v="3079"/>
        <n v="2952"/>
        <n v="2912"/>
        <n v="3171"/>
        <n v="3104"/>
        <n v="3055"/>
        <n v="3297"/>
        <n v="3206"/>
        <n v="3154"/>
        <n v="3269"/>
        <n v="3249"/>
        <n v="3205"/>
        <n v="3063"/>
        <n v="3271"/>
        <n v="3281"/>
        <n v="3014"/>
        <n v="3225"/>
        <n v="3198"/>
        <n v="3250"/>
        <n v="3098"/>
        <n v="3222"/>
        <n v="3035"/>
        <n v="3071"/>
        <n v="2929"/>
        <n v="3124"/>
        <n v="3070"/>
        <n v="3165"/>
        <n v="2972"/>
        <n v="3158"/>
        <n v="3134"/>
        <n v="3176"/>
        <n v="3230"/>
        <n v="3197"/>
        <n v="3037"/>
        <n v="3182"/>
        <n v="3090"/>
        <n v="3106"/>
        <n v="3150"/>
        <n v="3227"/>
        <n v="3057"/>
        <n v="3121"/>
        <n v="3185"/>
        <n v="3191"/>
        <n v="3157"/>
        <n v="2471"/>
        <n v="3141"/>
        <n v="2616"/>
        <n v="3050"/>
        <n v="3015"/>
        <n v="3156"/>
        <n v="3162"/>
        <n v="3127"/>
        <n v="3100"/>
        <n v="3060"/>
        <n v="3081"/>
        <n v="3066"/>
        <n v="3029"/>
        <n v="3188"/>
        <n v="3051"/>
        <n v="3030"/>
        <n v="2897"/>
        <n v="2899"/>
        <n v="2898"/>
        <n v="2953"/>
        <n v="3094"/>
        <n v="3172"/>
        <n v="3092"/>
        <n v="3123"/>
        <n v="3065"/>
        <n v="3168"/>
        <n v="3147"/>
        <n v="3190"/>
        <n v="3149"/>
      </sharedItems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5-08-30T00:00:00" maxDate="2025-11-25T00:00:00"/>
    </cacheField>
    <cacheField name="item.evento.fecha_hora_fin_event" numFmtId="0">
      <sharedItems containsNonDate="0" containsDate="1" containsString="0" containsBlank="1" minDate="2025-08-30T00:00:00" maxDate="2025-11-25T00:00:00"/>
    </cacheField>
    <cacheField name="item.evento.id_organizador" numFmtId="0">
      <sharedItems containsSemiMixedTypes="0" containsString="0" containsNumber="1" containsInteger="1" minValue="385" maxValue="6833" count="142">
        <n v="1128"/>
        <n v="5710"/>
        <n v="6695"/>
        <n v="5396"/>
        <n v="6074"/>
        <n v="6149"/>
        <n v="6104"/>
        <n v="5251"/>
        <n v="416"/>
        <n v="5080"/>
        <n v="5658"/>
        <n v="1168"/>
        <n v="5553"/>
        <n v="5210"/>
        <n v="5473"/>
        <n v="5601"/>
        <n v="405"/>
        <n v="5498"/>
        <n v="1173"/>
        <n v="5490"/>
        <n v="6601"/>
        <n v="390"/>
        <n v="388"/>
        <n v="1127"/>
        <n v="5214"/>
        <n v="1136"/>
        <n v="6833"/>
        <n v="5354"/>
        <n v="6660"/>
        <n v="418"/>
        <n v="5597"/>
        <n v="6580"/>
        <n v="5088"/>
        <n v="6056"/>
        <n v="5822"/>
        <n v="5611"/>
        <n v="6085"/>
        <n v="6723"/>
        <n v="1118"/>
        <n v="5613"/>
        <n v="5284"/>
        <n v="5305"/>
        <n v="5425"/>
        <n v="5521"/>
        <n v="5519"/>
        <n v="5546"/>
        <n v="6616"/>
        <n v="6240"/>
        <n v="5606"/>
        <n v="5445"/>
        <n v="435"/>
        <n v="5984"/>
        <n v="6249"/>
        <n v="5554"/>
        <n v="5825"/>
        <n v="5129"/>
        <n v="1157"/>
        <n v="5228"/>
        <n v="5084"/>
        <n v="6123"/>
        <n v="5507"/>
        <n v="5933"/>
        <n v="5539"/>
        <n v="397"/>
        <n v="5600"/>
        <n v="5974"/>
        <n v="1142"/>
        <n v="5199"/>
        <n v="387"/>
        <n v="5603"/>
        <n v="5605"/>
        <n v="5586"/>
        <n v="5592"/>
        <n v="5805"/>
        <n v="5804"/>
        <n v="393"/>
        <n v="5118"/>
        <n v="1124"/>
        <n v="5562"/>
        <n v="1151"/>
        <n v="1150"/>
        <n v="1149"/>
        <n v="1177"/>
        <n v="385"/>
        <n v="1166"/>
        <n v="1165"/>
        <n v="1164"/>
        <n v="432"/>
        <n v="1148"/>
        <n v="1147"/>
        <n v="463"/>
        <n v="1146"/>
        <n v="1176"/>
        <n v="1145"/>
        <n v="1144"/>
        <n v="1116"/>
        <n v="1143"/>
        <n v="396"/>
        <n v="1174"/>
        <n v="1130"/>
        <n v="1141"/>
        <n v="1140"/>
        <n v="1175"/>
        <n v="421"/>
        <n v="1139"/>
        <n v="1172"/>
        <n v="1138"/>
        <n v="1171"/>
        <n v="1137"/>
        <n v="1170"/>
        <n v="1169"/>
        <n v="1135"/>
        <n v="1167"/>
        <n v="1134"/>
        <n v="1133"/>
        <n v="1132"/>
        <n v="1131"/>
        <n v="1163"/>
        <n v="1162"/>
        <n v="1129"/>
        <n v="1123"/>
        <n v="1161"/>
        <n v="449"/>
        <n v="1159"/>
        <n v="1158"/>
        <n v="1126"/>
        <n v="1125"/>
        <n v="1122"/>
        <n v="1121"/>
        <n v="1120"/>
        <n v="1119"/>
        <n v="1156"/>
        <n v="411"/>
        <n v="1155"/>
        <n v="1117"/>
        <n v="1115"/>
        <n v="1154"/>
        <n v="1114"/>
        <n v="441"/>
        <n v="1153"/>
        <n v="1113"/>
        <n v="1152"/>
      </sharedItems>
    </cacheField>
    <cacheField name="item.evento.nom_organizador" numFmtId="0">
      <sharedItems containsBlank="1"/>
    </cacheField>
    <cacheField name="item.evento.tipo_organizador" numFmtId="0">
      <sharedItems/>
    </cacheField>
    <cacheField name="UNIFICADO" numFmtId="0">
      <sharedItems count="751">
        <s v="(01) Factura FOF1-00000223"/>
        <s v="(03) Boleta BOB1-00000155"/>
        <s v="(03) Boleta BOB1-00000154"/>
        <s v="(03) Boleta BOB1-00000153"/>
        <s v="(03) Boleta BOB1-00000152"/>
        <s v="(03) Boleta BOB1-00000151"/>
        <s v="(03) Boleta BOB1-00000150"/>
        <s v="(03) Boleta BOB1-00000149"/>
        <s v="(03) Boleta BOB1-00000148"/>
        <s v="(03) Boleta BOB1-00000147"/>
        <s v="(03) Boleta BOB1-00000146"/>
        <s v="(03) Boleta BOB1-00000145"/>
        <s v="(03) Boleta BOB1-00000144"/>
        <s v="(03) Boleta BOB1-00000143"/>
        <s v="(03) Boleta BOB1-00000142"/>
        <s v="(01) Factura FOF1-00000222"/>
        <s v="(01) Factura FOF1-00000221"/>
        <s v="(03) Boleta BOB1-00000141"/>
        <s v="(03) Boleta BOB1-00000140"/>
        <s v="(03) Boleta BOB1-00000139"/>
        <s v="(03) Boleta BOB1-00000138"/>
        <s v="(03) Boleta BOB1-00000137"/>
        <s v="(01) Factura FOF1-00000220"/>
        <s v="(01) Factura FOF1-00000219"/>
        <s v="(01) Factura FOF1-00000218"/>
        <s v="(01) Factura FOF1-00000217"/>
        <s v="(01) Factura FOF1-00000216"/>
        <s v="(01) Factura FOF1-00000215"/>
        <s v="(01) Factura FOF1-00000214"/>
        <s v="(01) Factura FOF1-00000213"/>
        <s v="(03) Boleta BOB1-00000136"/>
        <s v="(03) Boleta BOB1-00000135"/>
        <s v="(03) Boleta BOB1-00000134"/>
        <s v="(03) Boleta BOB1-00000133"/>
        <s v="(03) Boleta BOB1-00000132"/>
        <s v="(03) Boleta BOB1-00000131"/>
        <s v="(03) Boleta BOB1-00000130"/>
        <s v="(03) Boleta BOB1-00000129"/>
        <s v="(03) Boleta BOB1-00000128"/>
        <s v="(03) Boleta BOB1-00000127"/>
        <s v="(03) Boleta BOB1-00000126"/>
        <s v="(03) Boleta BOB1-00000125"/>
        <s v="(03) Boleta BOB1-00000124"/>
        <s v="(03) Boleta BOB1-00000123"/>
        <s v="(03) Boleta BOB1-00000122"/>
        <s v="(03) Boleta BOB1-00000121"/>
        <s v="(03) Boleta BOB1-00000120"/>
        <s v="(03) Boleta BOB1-00000119"/>
        <s v="(03) Boleta BOB1-00000118"/>
        <s v="(03) Boleta BOB1-00000117"/>
        <s v="(03) Boleta BOB1-00000116"/>
        <s v="(01) Factura FOF1-00000212"/>
        <s v="(01) Factura FOF1-00000211"/>
        <s v="(03) Boleta BOB1-00000115"/>
        <s v="(03) Boleta BOB1-00000114"/>
        <s v="(03) Boleta BOB1-00000113"/>
        <s v="(03) Boleta BOB1-00000112"/>
        <s v="(03) Boleta BOB1-00000111"/>
        <s v="(03) Boleta BOB1-00000110"/>
        <s v="(03) Boleta BOB1-00000109"/>
        <s v="(03) Boleta BOB1-00000108"/>
        <s v="(03) Boleta BOB1-00000107"/>
        <s v="(03) Boleta BOB1-00000106"/>
        <s v="(01) Factura FOF1-00000210"/>
        <s v="(01) Factura FOF1-00000209"/>
        <s v="(03) Boleta BOB1-00000105"/>
        <s v="(03) Boleta BOB1-00000104"/>
        <s v="(03) Boleta BOB1-00000103"/>
        <s v="(03) Boleta BOB1-00000102"/>
        <s v="(03) Boleta BOB1-00000101"/>
        <s v="(03) Boleta BOB1-00000100"/>
        <s v="(01) Factura FOF1-00000208"/>
        <s v="(01) Factura FOF1-00000207"/>
        <s v="(01) Factura FOF1-00000206"/>
        <s v="(01) Factura FOF1-00000205"/>
        <s v="(01) Factura FOF1-00000204"/>
        <s v="(01) Factura FOF1-00000203"/>
        <s v="(01) Factura FOF1-00000202"/>
        <s v="(01) Factura FOF1-00000201"/>
        <s v="(01) Factura FOF1-00000200"/>
        <s v="(01) Factura FOF1-00000199"/>
        <s v="(01) Factura FOF1-00000198"/>
        <s v="(01) Factura FOF1-00000197"/>
        <s v="(01) Factura FOF1-00000196"/>
        <s v="(01) Factura FOF1-00000195"/>
        <s v="(01) Factura FOF1-00000194"/>
        <s v="(01) Factura FOF1-00000193"/>
        <s v="(01) Factura FOF1-00000192"/>
        <s v="(01) Factura FOF1-00000191"/>
        <s v="(01) Factura FOF1-00000190"/>
        <s v="(01) Factura FOF1-00000189"/>
        <s v="(01) Factura FOF1-00000188"/>
        <s v="(01) Factura FOF1-00000187"/>
        <s v="(01) Factura FOF1-00000186"/>
        <s v="(03) Boleta BOB1-00000099"/>
        <s v="(01) Factura FOF1-00000185"/>
        <s v="(01) Factura FOF1-00000184"/>
        <s v="(01) Factura FOF1-00000183"/>
        <s v="(03) Boleta BOB1-00000098"/>
        <s v="(03) Boleta BOB1-00000097"/>
        <s v="(03) Boleta BOB1-00000096"/>
        <s v="(03) Boleta BOB1-00000095"/>
        <s v="(03) Boleta BOB1-00000094"/>
        <s v="(03) Boleta BOB1-00000093"/>
        <s v="(03) Boleta BOB1-00000092"/>
        <s v="(03) Boleta BOB1-00000091"/>
        <s v="(03) Boleta BOB1-00000090"/>
        <s v="(03) Boleta BOB1-00000089"/>
        <s v="(03) Boleta BOB1-00000088"/>
        <s v="(01) Factura FOF1-00000182"/>
        <s v="(01) Factura FOF1-00000181"/>
        <s v="(01) Factura FOF1-00000180"/>
        <s v="(01) Factura FOF1-00000179"/>
        <s v="(01) Factura FOF1-00000178"/>
        <s v="(01) Factura FOF1-00000177"/>
        <s v="(01) Factura FOF1-00000176"/>
        <s v="(01) Factura FOF1-00000175"/>
        <s v="(01) Factura FOF1-00000174"/>
        <s v="(01) Factura FOF1-00000173"/>
        <s v="(01) Factura FOF1-00000172"/>
        <s v="(01) Factura FOF1-00000171"/>
        <s v="(01) Factura FOF1-00000170"/>
        <s v="(01) Factura FOF1-00000169"/>
        <s v="(01) Factura FOF1-00000168"/>
        <s v="(01) Factura FOF1-00000167"/>
        <s v="(03) Boleta BOB1-00000087"/>
        <s v="(03) Boleta BOB1-00000086"/>
        <s v="(03) Boleta BOB1-00000085"/>
        <s v="(03) Boleta BOB1-00000084"/>
        <s v="(03) Boleta BOB1-00000083"/>
        <s v="(03) Boleta BOB1-00000082"/>
        <s v="(03) Boleta BOB1-00000081"/>
        <s v="(03) Boleta BOB1-00000080"/>
        <s v="(03) Boleta BOB1-00000079"/>
        <s v="(03) Boleta BOB1-00000078"/>
        <s v="(03) Boleta BOB1-00000077"/>
        <s v="(01) Factura FOF1-00000166"/>
        <s v="(01) Factura FOF1-00000162"/>
        <s v="(01) Factura FOF1-00000161"/>
        <s v="(01) Factura FOF1-00000160"/>
        <s v="(01) Factura FOF1-00000159"/>
        <s v="(01) Factura FOF1-00000158"/>
        <s v="(01) Factura FOF1-00000157"/>
        <s v="(01) Factura FOF1-00000156"/>
        <s v="(01) Factura FOF1-00000155"/>
        <s v="(01) Factura FOF1-00000154"/>
        <s v="(01) Factura FOF1-00000153"/>
        <s v="(01) Factura FOF1-00000152"/>
        <s v="(01) Factura FOF1-00000151"/>
        <s v="(01) Factura FOF1-00000150"/>
        <s v="(01) Factura FOF1-00000149"/>
        <s v="(01) Factura FOF1-00000148"/>
        <s v="(01) Factura FOF1-00000147"/>
        <s v="(03) Boleta BOB1-00000076"/>
        <s v="(03) Boleta BOB1-00000075"/>
        <s v="(01) Factura FOF1-00000146"/>
        <s v="(01) Factura FOF1-00000145"/>
        <s v="(01) Factura FOF1-00000144"/>
        <s v="(03) Boleta BOB1-00000074"/>
        <s v="(01) Factura FOF1-00000142"/>
        <s v="(01) Factura FOF1-00000141"/>
        <s v="(01) Factura FOF1-00000140"/>
        <s v="(01) Factura FOF1-00000139"/>
        <s v="(03) Boleta BOB1-00000073"/>
        <s v="(01) Factura FOF1-00000136"/>
        <s v="(01) Factura FOF1-00000135"/>
        <s v="(01) Factura FOF1-00000134"/>
        <s v="(01) Factura FOF1-00000133"/>
        <s v="(01) Factura FOF1-00000132"/>
        <s v="(01) Factura FOF1-00000131"/>
        <s v="(01) Factura FOF1-00000130"/>
        <s v="(03) Boleta BOB1-00000072"/>
        <s v="(01) Factura FOF1-00000129"/>
        <s v="(01) Factura FOF1-00000128"/>
        <s v="(01) Factura FOF1-00000127"/>
        <s v="(01) Factura FOF1-00000126"/>
        <s v="(03) Boleta BOB1-00000071"/>
        <s v="(03) Boleta BOB1-00000070"/>
        <s v="(03) Boleta BOB1-00000069"/>
        <s v="(03) Boleta BOB1-00000068"/>
        <s v="(03) Boleta BOB1-00000067"/>
        <s v="(03) Boleta BOB1-00000066"/>
        <s v="(03) Boleta BOB1-00000065"/>
        <s v="(03) Boleta BOB1-00000064"/>
        <s v="(03) Boleta BOB1-00000063"/>
        <s v="(03) Boleta BOB1-00000062"/>
        <s v="(01) Factura FOF1-00000125"/>
        <s v="(01) Factura FOF1-00000124"/>
        <s v="(01) Factura FOF1-00000123"/>
        <s v="(01) Factura FOF1-00000122"/>
        <s v="(01) Factura FOF1-00000121"/>
        <s v="(01) Factura FOF1-00000120"/>
        <s v="(01) Factura FOF1-00000119"/>
        <s v="(01) Factura FOF1-00000118"/>
        <s v="(01) Factura FOF1-00000117"/>
        <s v="(03) Boleta BOB1-00000061"/>
        <s v="(03) Boleta BOB1-00000060"/>
        <s v="(03) Boleta BOB1-00000059"/>
        <s v="(03) Boleta BOB1-00000058"/>
        <s v="(03) Boleta BOB1-00000057"/>
        <s v="(01) Factura FOF1-00000116"/>
        <s v="(03) Boleta BOB1-00000056"/>
        <s v="(03) Boleta BOB1-00000055"/>
        <s v="(03) Boleta BOB1-00000054"/>
        <s v="(03) Boleta BOB1-00000053"/>
        <s v="(03) Boleta BOB1-00000052"/>
        <s v="(03) Boleta BOB1-00000051"/>
        <s v="(01) Factura FOF1-00000115"/>
        <s v="(01) Factura FOF1-00000114"/>
        <s v="(01) Factura FOF1-00000113"/>
        <s v="(01) Factura FOF1-00000112"/>
        <s v="(01) Factura FOF1-00000111"/>
        <s v="(01) Factura FOF1-00000110"/>
        <s v="(01) Factura FOF1-00000109"/>
        <s v="(01) Factura FOF1-00000108"/>
        <s v="(01) Factura FOF1-00000107"/>
        <s v="(01) Factura FOF1-00000106"/>
        <s v="(03) Boleta BOB1-00000050"/>
        <s v="(03) Boleta BOB1-00000049"/>
        <s v="(03) Boleta BOB1-00000048"/>
        <s v="(01) Factura FOF1-00000105"/>
        <s v="(01) Factura FOF1-00000104"/>
        <s v="(01) Factura FOF1-00000103"/>
        <s v="(03) Boleta BOB1-00000047"/>
        <s v="(03) Boleta BOB1-00000046"/>
        <s v="(03) Boleta BOB1-00000045"/>
        <s v="(03) Boleta BOB1-00000044"/>
        <s v="(01) Factura FOF1-00000102"/>
        <s v="(01) Factura FOF1-00000101"/>
        <s v="(01) Factura FOF1-00000100"/>
        <s v="(01) Factura FOF1-00000099"/>
        <s v="(01) Factura FOF1-00000098"/>
        <s v="(01) Factura FOF1-00000097"/>
        <s v="(01) Factura FOF1-00000096"/>
        <s v="(01) Factura FOF1-00000095"/>
        <s v="(01) Factura FOF1-00000094"/>
        <s v="(01) Factura FOF1-00000093"/>
        <s v="(01) Factura FOF1-00000092"/>
        <s v="(01) Factura FOF1-00000091"/>
        <s v="(01) Factura FOF1-00000090"/>
        <s v="(01) Factura FOF1-00000089"/>
        <s v="(01) Factura FOF1-00000088"/>
        <s v="(01) Factura FOF1-00000087"/>
        <s v="(03) Boleta BOB1-00000043"/>
        <s v="(03) Boleta BOB1-00000042"/>
        <s v="(01) Factura FOF1-00000086"/>
        <s v="(01) Factura FOF1-00000085"/>
        <s v="(01) Factura FOF1-00000084"/>
        <s v="(01) Factura FOF1-00000083"/>
        <s v="(03) Boleta BOB1-00000041"/>
        <s v="(03) Boleta BOB1-00000040"/>
        <s v="(01) Factura FOF1-00000082"/>
        <s v="(01) Factura FOF1-00000081"/>
        <s v="(01) Factura FOF1-00000080"/>
        <s v="(01) Factura FOF1-00000079"/>
        <s v="(01) Factura FOF1-00000078"/>
        <s v="(01) Factura FOF1-00000077"/>
        <s v="(01) Factura FOF1-00000076"/>
        <s v="(01) Factura FOF1-00000075"/>
        <s v="(01) Factura FOF1-00000074"/>
        <s v="(01) Factura FOF1-00000073"/>
        <s v="(01) Factura FOF1-00000072"/>
        <s v="(01) Factura FOF1-00000071"/>
        <s v="(01) Factura FOF1-00000070"/>
        <s v="(01) Factura FOF1-00000069"/>
        <s v="(01) Factura FOF1-00000066"/>
        <s v="(01) Factura FOF1-00000065"/>
        <s v="(01) Factura FOF1-00000064"/>
        <s v="(01) Factura FOF1-00000063"/>
        <s v="(01) Factura FOF1-00000062"/>
        <s v="(03) Boleta BOB1-00000039"/>
        <s v="(03) Boleta BOB1-00000038"/>
        <s v="(03) Boleta BOB1-00000037"/>
        <s v="(01) Factura FOF1-00000061"/>
        <s v="(01) Factura FOF1-00000060"/>
        <s v="(01) Factura FOF1-00000059"/>
        <s v="(01) Factura FOF1-00000058"/>
        <s v="(03) Boleta BOB1-00000036"/>
        <s v="(03) Boleta BOB1-00000035"/>
        <s v="(01) Factura FOF1-00000057"/>
        <s v="(01) Factura FOF1-00000056"/>
        <s v="(01) Factura FOF1-00000055"/>
        <s v="(01) Factura FOF1-00000054"/>
        <s v="(01) Factura FOF1-00000053"/>
        <s v="(01) Factura FOF1-00000052"/>
        <s v="(01) Factura FOF1-00000051"/>
        <s v="(01) Factura FOF1-00000050"/>
        <s v="(03) Boleta BOB1-00000034"/>
        <s v="(03) Boleta BOB1-00000033"/>
        <s v="(01) Factura FOF1-00000049"/>
        <s v="(01) Factura FOF1-00000048"/>
        <s v="(03) Boleta BOB1-00000032"/>
        <s v="(01) Factura FOF1-00000047"/>
        <s v="(03) Boleta BOB1-00000031"/>
        <s v="(03) Boleta BOB1-00000030"/>
        <s v="(03) Boleta BOB1-00000029"/>
        <s v="(01) Factura FOF1-00000046"/>
        <s v="(01) Factura FOF1-00000045"/>
        <s v="(01) Factura FOF1-00000044"/>
        <s v="(01) Factura FOF1-00000043"/>
        <s v="(01) Factura FOF1-00000042"/>
        <s v="(01) Factura FOF1-00000041"/>
        <s v="(01) Factura FOF1-00000040"/>
        <s v="(03) Boleta BOB1-00000028"/>
        <s v="(03) Boleta BOB1-00000027"/>
        <s v="(03) Boleta BOB1-00000026"/>
        <s v="(03) Boleta BOB1-00000025"/>
        <s v="(03) Boleta BOB1-00000024"/>
        <s v="(03) Boleta BOB1-00000023"/>
        <s v="(01) Factura FOF1-00000039"/>
        <s v="(01) Factura FOF1-00000038"/>
        <s v="(01) Factura FOF1-00000037"/>
        <s v="(01) Factura FOF1-00000036"/>
        <s v="(01) Factura FOF1-00000035"/>
        <s v="(01) Factura FOF1-00000034"/>
        <s v="(03) Boleta BOB1-00000022"/>
        <s v="(03) Boleta BOB1-00000021"/>
        <s v="(03) Boleta BOB1-00000020"/>
        <s v="(03) Boleta BOB1-00000019"/>
        <s v="(01) Factura FOF1-00000033"/>
        <s v="(01) Factura FOF1-00000032"/>
        <s v="(01) Factura FOF1-00000031"/>
        <s v="(01) Factura FOF1-00000030"/>
        <s v="(01) Factura FOF1-00000029"/>
        <s v="(01) Factura FOF1-00000028"/>
        <s v="(01) Factura FOF1-00000027"/>
        <s v="(01) Factura FOF1-00000026"/>
        <s v="(03) Boleta BOB1-00000018"/>
        <s v="(03) Boleta BOB1-00000017"/>
        <s v="(03) Boleta BOB1-00000016"/>
        <s v="(03) Boleta BOB1-00000015"/>
        <s v="(03) Boleta BOB1-00000014"/>
        <s v="(03) Boleta BOB1-00000013"/>
        <s v="(03) Boleta BOB1-00000012"/>
        <s v="(03) Boleta BOB1-00000011"/>
        <s v="(03) Boleta BOB1-00000010"/>
        <s v="(01) Factura FOF1-00000025"/>
        <s v="(01) Factura FOF1-00000024"/>
        <s v="(01) Factura FOF1-00000023"/>
        <s v="(01) Factura FOF1-00000022"/>
        <s v="(01) Factura FOF1-00000021"/>
        <s v="(01) Factura FOF1-00000020"/>
        <s v="(03) Boleta BOB1-00000009"/>
        <s v="(01) Factura FOF1-00000019"/>
        <s v="(01) Factura FOF1-00000018"/>
        <s v="(01) Factura FOF1-00000017"/>
        <s v="(01) Factura FOF1-00000016"/>
        <s v="(01) Factura FOF1-00000015"/>
        <s v="(03) Boleta BOB1-00000008"/>
        <s v="(03) Boleta BOB1-00000007"/>
        <s v="(03) Boleta BOB1-00000006"/>
        <s v="(03) Boleta BOB1-00000005"/>
        <s v="(03) Boleta BOB1-00000004"/>
        <s v="(01) Factura FOF1-00000014"/>
        <s v="(01) Factura FOF1-00000013"/>
        <s v="(01) Factura FOF1-00000012"/>
        <s v="(01) Factura FOF1-00000011"/>
        <s v="(01) Factura FOF1-00000010"/>
        <s v="(01) Factura FOF1-00000009"/>
        <s v="(01) Factura FOF1-00000008"/>
        <s v="(01) Factura FOF1-00000006"/>
        <s v="(03) Boleta BOB1-00000003"/>
        <s v="(03) Boleta BOB1-00000002"/>
        <s v="(01) Factura FOF1-00000004"/>
        <s v="(01) Factura FOF1-00000003"/>
        <s v="(03) Boleta BOB1-00000001"/>
        <s v="(01) Factura FOF1-00000002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FB01-1414"/>
        <s v="FB01-1413"/>
        <s v="FB01-1412"/>
        <s v="FB01-1411"/>
        <s v="FB01-1410"/>
        <s v="FB01-1409"/>
        <s v="BB01-741"/>
        <s v="BB01-740"/>
        <s v="BB01-739"/>
        <s v="FB01-1408"/>
        <s v="FB01-1407"/>
        <s v="FB01-1406"/>
        <s v="FB01-1405"/>
        <s v="BB01-738"/>
        <s v="BB01-737"/>
        <s v="BB01-736"/>
        <s v="FB01-1404"/>
        <s v="FB01-1403"/>
        <s v="FB01-1402"/>
        <s v="FB01-1401"/>
        <s v="FB01-1400"/>
        <s v="FB01-1399"/>
        <s v="FB01-1398"/>
        <s v="FB01-1397"/>
        <s v="BB01-735"/>
        <s v="BB01-734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BB01-733"/>
        <s v="BB01-732"/>
        <s v="BB01-731"/>
        <s v="BB01-730"/>
        <s v="FB01-1383"/>
        <s v="FB01-1382"/>
        <s v="FB01-1381"/>
        <s v="FB01-1380"/>
        <s v="FB01-1379"/>
        <s v="FB01-1378"/>
        <s v="BB01-729"/>
        <s v="BB01-728"/>
        <s v="BB01-727"/>
        <s v="BB01-726"/>
        <s v="BB01-725"/>
        <s v="BB01-724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FB01-1362"/>
        <s v="FFF1-218"/>
        <s v="BB01-721"/>
        <s v="BB01-720"/>
        <s v="BB01-719"/>
        <s v="BB01-718"/>
        <s v="FB01-1361"/>
        <s v="FB01-1360"/>
        <s v="BB01-717"/>
        <s v="BB01-716"/>
        <s v="BB01-715"/>
        <s v="BB01-714"/>
        <s v="BB01-713"/>
        <s v="BB01-712"/>
        <s v="BB01-711"/>
        <s v="FB01-1359"/>
        <s v="FB01-1358"/>
        <s v="BB01-710"/>
        <s v="BB01-709"/>
        <s v="BB01-708"/>
        <s v="BB01-707"/>
        <s v="FB01-1357"/>
        <s v="FB01-1356"/>
        <s v="FB01-1355"/>
        <s v="FB01-1354"/>
        <s v="FB01-1353"/>
        <s v="FB01-1352"/>
        <s v="FB01-1351"/>
        <s v="FB01-1350"/>
        <s v="FB01-1349"/>
        <s v="FB01-1348"/>
        <s v="FB01-1347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BB01-706"/>
        <s v="BB01-705"/>
        <s v="BB01-704"/>
        <s v="BB01-703"/>
        <s v="BB01-702"/>
        <s v="BB01-701"/>
        <s v="FB01-1319"/>
        <s v="FB01-1318"/>
        <s v="BB01-700"/>
        <s v="BB01-699"/>
        <s v="FB01-1317"/>
        <s v="FB01-1316"/>
        <s v="FB01-1315"/>
        <s v="FB01-1314"/>
        <s v="FB01-1313"/>
        <s v="FFF1-217"/>
        <s v="FFF1-216"/>
        <s v="FFF1-215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BB01-679"/>
        <s v="BB01-678"/>
        <s v="BB01-677"/>
        <s v="BB01-676"/>
        <s v="BB01-675"/>
        <s v="FB01-1312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FB01-1285"/>
        <s v="FB01-1284"/>
        <s v="FB01-1283"/>
        <s v="FB01-1282"/>
        <s v="BB01-672"/>
        <s v="BB01-674"/>
        <s v="BB01-673"/>
        <s v="BB01-671"/>
        <s v="BB01-670"/>
        <s v="BB01-669"/>
        <s v="BB01-668"/>
        <s v="FB01-1281"/>
        <s v="FB01-1280"/>
        <s v="FB01-1279"/>
        <s v="FB01-1278"/>
        <s v="BB01-667"/>
        <s v="BB01-666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FFF1-214"/>
        <s v="FFF1-213"/>
        <s v="FFF1-212"/>
        <s v="FFF1-211"/>
        <s v="BB01-665"/>
        <s v="BB01-664"/>
        <s v="FB01-1265"/>
        <s v="FB01-1264"/>
        <s v="FB01-1263"/>
        <s v="FB01-1262"/>
        <s v="FB01-1261"/>
        <s v="FB01-1260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BB01-657"/>
        <s v="BB01-656"/>
        <s v="FB01-1249"/>
        <s v="FB01-1248"/>
        <s v="BB01-655"/>
        <s v="BB01-654"/>
        <s v="BB01-653"/>
        <s v="BB01-652"/>
        <s v="BB01-651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FB01-1222"/>
        <s v="FB01-1219"/>
        <s v="FB01-1218"/>
        <s v="FB01-1217"/>
        <s v="FB01-1216"/>
        <s v="FB01-1215"/>
        <s v="BB01-650"/>
        <s v="BB01-649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BB01-648"/>
        <s v="BB01-647"/>
        <s v="BB01-646"/>
        <s v="BB01-645"/>
        <s v="FB01-1203"/>
        <s v="FB01-1202"/>
        <s v="FB01-1201"/>
        <s v="FB01-1200"/>
        <s v="BB01-644"/>
        <s v="BB01-643"/>
        <s v="FB01-1199"/>
        <s v="FB01-1198"/>
        <s v="BB01-642"/>
        <s v="BB01-641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BB01-640"/>
        <s v="BB01-639"/>
        <s v="BB01-638"/>
        <s v="BB01-637"/>
        <s v="FB01-1187"/>
        <s v="FB01-1186"/>
        <s v="FB01-1185"/>
        <s v="FB01-1184"/>
        <s v="BB01-636"/>
        <s v="BB01-635"/>
        <s v="BB01-634"/>
        <s v="BB01-633"/>
        <s v="BB01-632"/>
        <s v="FB01-1183"/>
        <s v="FB01-1182"/>
        <s v="FB01-1181"/>
        <s v="FB01-1180"/>
        <s v="BB01-631"/>
        <s v="BB01-630"/>
        <s v="BB01-629"/>
        <s v="BB01-628"/>
        <s v="BB01-627"/>
        <s v="FB01-1179"/>
        <s v="FB01-1178"/>
        <s v="FB01-1177"/>
        <s v="FB01-1176"/>
        <s v="FB01-1175"/>
        <s v="FB01-1174"/>
        <s v="FB01-1173"/>
        <s v="FB01-1172"/>
        <s v="FB01-1171"/>
      </sharedItems>
    </cacheField>
    <cacheField name="Días (fecha_de_emision)" numFmtId="0" databaseField="0">
      <fieldGroup base="3">
        <rangePr groupBy="days" startDate="2025-01-03T00:00:00" endDate="2025-11-01T00:00:00"/>
        <groupItems count="368">
          <s v="&lt;3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1/2025"/>
        </groupItems>
      </fieldGroup>
    </cacheField>
    <cacheField name="Meses (fecha_de_emision)" numFmtId="0" databaseField="0">
      <fieldGroup base="3">
        <rangePr groupBy="months" startDate="2025-01-03T00:00:00" endDate="2025-11-01T00:00:00"/>
        <groupItems count="14">
          <s v="&lt;3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12.2"/>
    <n v="2.2000000000000002"/>
    <n v="14.4"/>
    <n v="14.4"/>
    <m/>
    <s v="PEN"/>
    <b v="0"/>
    <s v="Revertido"/>
    <s v="Enviado"/>
    <m/>
    <m/>
    <x v="0"/>
    <m/>
    <m/>
    <m/>
    <m/>
    <m/>
    <m/>
    <x v="0"/>
    <x v="0"/>
    <m/>
    <m/>
    <x v="0"/>
  </r>
  <r>
    <x v="1"/>
    <n v="3100"/>
    <s v="Trilogia Pxndx Festival III en Lince"/>
    <s v="(03) Boleta"/>
    <x v="0"/>
    <x v="0"/>
    <d v="2025-10-15T00:00:00"/>
    <d v="2025-10-15T00:00:00"/>
    <m/>
    <m/>
    <s v="SAMUEL CHUQUISTA"/>
    <s v="Ventas"/>
    <m/>
    <s v="COLABORATIVA S.A.C."/>
    <n v="41.14"/>
    <n v="7.41"/>
    <n v="48.55"/>
    <n v="48.55"/>
    <n v="48.55"/>
    <s v="PEN"/>
    <b v="0"/>
    <s v="Sin pagar"/>
    <s v="Enviado"/>
    <m/>
    <m/>
    <x v="0"/>
    <m/>
    <m/>
    <m/>
    <m/>
    <m/>
    <m/>
    <x v="0"/>
    <x v="0"/>
    <m/>
    <m/>
    <x v="0"/>
  </r>
  <r>
    <x v="2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2701"/>
    <n v="486.18"/>
    <n v="3187.18"/>
    <n v="3187.18"/>
    <n v="3187.18"/>
    <s v="PEN"/>
    <b v="0"/>
    <s v="Sin pagar"/>
    <s v="Enviado"/>
    <m/>
    <m/>
    <x v="0"/>
    <m/>
    <m/>
    <m/>
    <m/>
    <m/>
    <m/>
    <x v="0"/>
    <x v="0"/>
    <m/>
    <m/>
    <x v="0"/>
  </r>
  <r>
    <x v="3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4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688.56"/>
    <n v="303.94"/>
    <n v="1992.5"/>
    <n v="1992.5"/>
    <n v="1992.5"/>
    <s v="PEN"/>
    <b v="0"/>
    <s v="Sin pagar"/>
    <s v="Enviado"/>
    <m/>
    <m/>
    <x v="0"/>
    <m/>
    <m/>
    <m/>
    <m/>
    <m/>
    <m/>
    <x v="0"/>
    <x v="0"/>
    <m/>
    <m/>
    <x v="0"/>
  </r>
  <r>
    <x v="5"/>
    <n v="3066"/>
    <s v="Son del Duke y mucho más en el Crucero del Amor de SJL"/>
    <s v="(03) Boleta"/>
    <x v="1"/>
    <x v="0"/>
    <d v="2025-10-15T00:00:00"/>
    <d v="2025-10-15T00:00:00"/>
    <m/>
    <m/>
    <s v="SAMUEL CHUQUISTA"/>
    <s v="Ventas"/>
    <m/>
    <s v="COLABORATIVA S.A.C."/>
    <n v="1340.25"/>
    <n v="241.25"/>
    <n v="1581.5"/>
    <n v="1581.5"/>
    <n v="1581.5"/>
    <s v="PEN"/>
    <b v="0"/>
    <s v="Sin pagar"/>
    <s v="Enviado"/>
    <m/>
    <m/>
    <x v="0"/>
    <m/>
    <m/>
    <m/>
    <m/>
    <m/>
    <m/>
    <x v="0"/>
    <x v="0"/>
    <m/>
    <m/>
    <x v="0"/>
  </r>
  <r>
    <x v="6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25.93"/>
    <n v="4.67"/>
    <n v="30.6"/>
    <n v="30.6"/>
    <n v="30.6"/>
    <s v="PEN"/>
    <b v="0"/>
    <s v="Sin pagar"/>
    <s v="Enviado"/>
    <m/>
    <m/>
    <x v="0"/>
    <m/>
    <m/>
    <m/>
    <m/>
    <m/>
    <m/>
    <x v="0"/>
    <x v="0"/>
    <m/>
    <m/>
    <x v="0"/>
  </r>
  <r>
    <x v="7"/>
    <n v="3029"/>
    <s v="3er Aniversario Complejo Deportivo y Cultural Los Cumpas con Alegres de Bambamarca, Martin Vera y más en Puente Piedra"/>
    <s v="(03) Boleta"/>
    <x v="2"/>
    <x v="0"/>
    <d v="2025-10-15T00:00:00"/>
    <d v="2025-10-15T00:00:00"/>
    <m/>
    <m/>
    <s v="SAMUEL CHUQUISTA"/>
    <s v="Ventas"/>
    <m/>
    <s v="COLABORATIVA S.A.C."/>
    <n v="18.309999999999999"/>
    <n v="3.3"/>
    <n v="21.61"/>
    <n v="21.61"/>
    <n v="21.61"/>
    <s v="PEN"/>
    <b v="0"/>
    <s v="Sin pagar"/>
    <s v="Enviado"/>
    <m/>
    <m/>
    <x v="0"/>
    <m/>
    <m/>
    <m/>
    <m/>
    <m/>
    <m/>
    <x v="0"/>
    <x v="0"/>
    <m/>
    <m/>
    <x v="0"/>
  </r>
  <r>
    <x v="8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63"/>
    <n v="11.34"/>
    <n v="74.34"/>
    <n v="74.34"/>
    <n v="74.34"/>
    <s v="PEN"/>
    <b v="0"/>
    <s v="Sin pagar"/>
    <s v="Enviado"/>
    <m/>
    <m/>
    <x v="0"/>
    <m/>
    <m/>
    <m/>
    <m/>
    <m/>
    <m/>
    <x v="0"/>
    <x v="0"/>
    <m/>
    <m/>
    <x v="0"/>
  </r>
  <r>
    <x v="9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0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785.59"/>
    <n v="141.41"/>
    <n v="927"/>
    <n v="927"/>
    <n v="927"/>
    <s v="PEN"/>
    <b v="0"/>
    <s v="Sin pagar"/>
    <s v="Enviado"/>
    <m/>
    <m/>
    <x v="0"/>
    <m/>
    <m/>
    <m/>
    <m/>
    <m/>
    <m/>
    <x v="0"/>
    <x v="0"/>
    <m/>
    <m/>
    <x v="0"/>
  </r>
  <r>
    <x v="11"/>
    <n v="3030"/>
    <s v="Trilogía de Oro con Max Castro, William Luna y Marco Antonio en Pucallpa"/>
    <s v="(03) Boleta"/>
    <x v="3"/>
    <x v="0"/>
    <d v="2025-10-15T00:00:00"/>
    <d v="2025-10-15T00:00:00"/>
    <m/>
    <m/>
    <s v="SAMUEL CHUQUISTA"/>
    <s v="Ventas"/>
    <m/>
    <s v="COLABORATIVA S.A.C."/>
    <n v="943.14"/>
    <n v="169.77"/>
    <n v="1112.9100000000001"/>
    <n v="1112.9100000000001"/>
    <n v="1112.9100000000001"/>
    <s v="PEN"/>
    <b v="0"/>
    <s v="Sin pagar"/>
    <s v="Enviado"/>
    <m/>
    <m/>
    <x v="0"/>
    <m/>
    <m/>
    <m/>
    <m/>
    <m/>
    <m/>
    <x v="0"/>
    <x v="0"/>
    <m/>
    <m/>
    <x v="0"/>
  </r>
  <r>
    <x v="12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"/>
    <n v="5.4"/>
    <n v="35.4"/>
    <n v="35.4"/>
    <n v="35.4"/>
    <s v="PEN"/>
    <b v="0"/>
    <s v="Sin pagar"/>
    <s v="Enviado"/>
    <m/>
    <m/>
    <x v="0"/>
    <m/>
    <m/>
    <m/>
    <m/>
    <m/>
    <m/>
    <x v="0"/>
    <x v="0"/>
    <m/>
    <m/>
    <x v="0"/>
  </r>
  <r>
    <x v="13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14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2687.46"/>
    <n v="483.74"/>
    <n v="3171.2"/>
    <n v="3171.2"/>
    <n v="3171.2"/>
    <s v="PEN"/>
    <b v="0"/>
    <s v="Sin pagar"/>
    <s v="Enviado"/>
    <m/>
    <m/>
    <x v="0"/>
    <m/>
    <m/>
    <m/>
    <m/>
    <m/>
    <m/>
    <x v="0"/>
    <x v="0"/>
    <m/>
    <m/>
    <x v="0"/>
  </r>
  <r>
    <x v="15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6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00"/>
    <n v="18"/>
    <n v="118"/>
    <n v="118"/>
    <n v="118"/>
    <s v="PEN"/>
    <b v="0"/>
    <s v="Sin pagar"/>
    <s v="Enviado"/>
    <m/>
    <m/>
    <x v="0"/>
    <m/>
    <m/>
    <m/>
    <m/>
    <m/>
    <m/>
    <x v="0"/>
    <x v="0"/>
    <m/>
    <m/>
    <x v="0"/>
  </r>
  <r>
    <x v="17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300"/>
    <n v="54"/>
    <n v="354"/>
    <n v="354"/>
    <n v="354"/>
    <s v="PEN"/>
    <b v="0"/>
    <s v="Sin pagar"/>
    <s v="Enviado"/>
    <m/>
    <m/>
    <x v="0"/>
    <m/>
    <m/>
    <m/>
    <m/>
    <m/>
    <m/>
    <x v="0"/>
    <x v="0"/>
    <m/>
    <m/>
    <x v="0"/>
  </r>
  <r>
    <x v="18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1630.51"/>
    <n v="293.49"/>
    <n v="1924"/>
    <n v="1924"/>
    <n v="1924"/>
    <s v="PEN"/>
    <b v="0"/>
    <s v="Sin pagar"/>
    <s v="Enviado"/>
    <m/>
    <m/>
    <x v="0"/>
    <m/>
    <m/>
    <m/>
    <m/>
    <m/>
    <m/>
    <x v="0"/>
    <x v="0"/>
    <m/>
    <m/>
    <x v="0"/>
  </r>
  <r>
    <x v="19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88.4"/>
    <n v="177.91"/>
    <n v="1166.31"/>
    <n v="1166.31"/>
    <n v="1166.31"/>
    <s v="PEN"/>
    <b v="0"/>
    <s v="Sin pagar"/>
    <s v="Enviado"/>
    <m/>
    <m/>
    <x v="0"/>
    <m/>
    <m/>
    <m/>
    <m/>
    <m/>
    <m/>
    <x v="0"/>
    <x v="0"/>
    <m/>
    <m/>
    <x v="0"/>
  </r>
  <r>
    <x v="20"/>
    <n v="2953"/>
    <s v="Primer Festival de la Música Latino Americana en Chiclayo"/>
    <s v="(03) Boleta"/>
    <x v="4"/>
    <x v="0"/>
    <d v="2025-10-15T00:00:00"/>
    <d v="2025-10-15T00:00:00"/>
    <m/>
    <m/>
    <s v="SAMUEL CHUQUISTA"/>
    <s v="Ventas"/>
    <m/>
    <s v="COLABORATIVA S.A.C."/>
    <n v="904.65"/>
    <n v="162.84"/>
    <n v="1067.49"/>
    <n v="1067.49"/>
    <n v="1067.49"/>
    <s v="PEN"/>
    <b v="0"/>
    <s v="Sin pagar"/>
    <s v="Enviado"/>
    <m/>
    <m/>
    <x v="0"/>
    <m/>
    <m/>
    <m/>
    <m/>
    <m/>
    <m/>
    <x v="0"/>
    <x v="0"/>
    <m/>
    <m/>
    <x v="0"/>
  </r>
  <r>
    <x v="21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4.5"/>
    <n v="2.61"/>
    <n v="17.11"/>
    <n v="17.11"/>
    <n v="17.11"/>
    <s v="PEN"/>
    <b v="0"/>
    <s v="Sin pagar"/>
    <s v="Enviado"/>
    <m/>
    <m/>
    <x v="0"/>
    <m/>
    <m/>
    <m/>
    <m/>
    <m/>
    <m/>
    <x v="0"/>
    <x v="0"/>
    <m/>
    <m/>
    <x v="0"/>
  </r>
  <r>
    <x v="22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84.5"/>
    <n v="15.21"/>
    <n v="99.71"/>
    <n v="99.71"/>
    <n v="99.71"/>
    <s v="PEN"/>
    <b v="0"/>
    <s v="Sin pagar"/>
    <s v="Enviado"/>
    <m/>
    <m/>
    <x v="0"/>
    <m/>
    <m/>
    <m/>
    <m/>
    <m/>
    <m/>
    <x v="0"/>
    <x v="0"/>
    <m/>
    <m/>
    <x v="0"/>
  </r>
  <r>
    <x v="23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0"/>
  </r>
  <r>
    <x v="24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600"/>
    <n v="288"/>
    <n v="1888"/>
    <n v="1888"/>
    <n v="1888"/>
    <s v="PEN"/>
    <b v="0"/>
    <s v="Sin pagar"/>
    <s v="Enviado"/>
    <m/>
    <m/>
    <x v="0"/>
    <m/>
    <m/>
    <m/>
    <m/>
    <m/>
    <m/>
    <x v="0"/>
    <x v="0"/>
    <m/>
    <m/>
    <x v="0"/>
  </r>
  <r>
    <x v="25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0"/>
  </r>
  <r>
    <x v="26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6305.08"/>
    <n v="1134.9100000000001"/>
    <n v="7439.99"/>
    <n v="7439.99"/>
    <n v="7439.99"/>
    <s v="PEN"/>
    <b v="0"/>
    <s v="Sin pagar"/>
    <s v="Enviado"/>
    <m/>
    <m/>
    <x v="0"/>
    <m/>
    <m/>
    <m/>
    <m/>
    <m/>
    <m/>
    <x v="0"/>
    <x v="0"/>
    <m/>
    <m/>
    <x v="0"/>
  </r>
  <r>
    <x v="27"/>
    <n v="3081"/>
    <s v="El Clásico de la Cumbia Norteña en Huancayo con Agua Marina y Walther Lozada &amp; Orquesta"/>
    <s v="(01) Factura"/>
    <x v="5"/>
    <x v="0"/>
    <d v="2025-10-15T00:00:00"/>
    <d v="2025-10-15T00:00:00"/>
    <m/>
    <m/>
    <s v="SAMUEL CHUQUISTA"/>
    <s v="Ventas"/>
    <m/>
    <s v="COLABORATIVA S.A.C."/>
    <n v="2880.59"/>
    <n v="518.51"/>
    <n v="3399.1"/>
    <n v="3399.1"/>
    <n v="3399.1"/>
    <s v="PEN"/>
    <b v="0"/>
    <s v="Sin pagar"/>
    <s v="Enviado"/>
    <m/>
    <m/>
    <x v="0"/>
    <m/>
    <m/>
    <m/>
    <m/>
    <m/>
    <m/>
    <x v="0"/>
    <x v="0"/>
    <m/>
    <m/>
    <x v="0"/>
  </r>
  <r>
    <x v="28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369.41"/>
    <n v="66.489999999999995"/>
    <n v="435.9"/>
    <n v="435.9"/>
    <n v="435.9"/>
    <s v="PEN"/>
    <b v="0"/>
    <s v="Sin pagar"/>
    <s v="Enviado"/>
    <m/>
    <m/>
    <x v="0"/>
    <m/>
    <m/>
    <m/>
    <m/>
    <m/>
    <m/>
    <x v="0"/>
    <x v="0"/>
    <m/>
    <m/>
    <x v="0"/>
  </r>
  <r>
    <x v="29"/>
    <n v="3188"/>
    <s v="La Bella Luz y más en Ate Vitarte"/>
    <s v="(01) Factura"/>
    <x v="6"/>
    <x v="0"/>
    <d v="2025-10-15T00:00:00"/>
    <d v="2025-10-15T00:00:00"/>
    <m/>
    <m/>
    <s v="SAMUEL CHUQUISTA"/>
    <s v="Ventas"/>
    <m/>
    <s v="COLABORATIVA S.A.C."/>
    <n v="256.61"/>
    <n v="46.19"/>
    <n v="302.8"/>
    <n v="302.8"/>
    <n v="302.8"/>
    <s v="PEN"/>
    <b v="0"/>
    <s v="Sin pagar"/>
    <s v="Enviado"/>
    <m/>
    <m/>
    <x v="0"/>
    <m/>
    <m/>
    <m/>
    <m/>
    <m/>
    <m/>
    <x v="0"/>
    <x v="0"/>
    <m/>
    <m/>
    <x v="0"/>
  </r>
  <r>
    <x v="30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0"/>
  </r>
  <r>
    <x v="31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400"/>
    <n v="252"/>
    <n v="1652"/>
    <n v="1652"/>
    <n v="1652"/>
    <s v="PEN"/>
    <b v="0"/>
    <s v="Sin pagar"/>
    <s v="Enviado"/>
    <m/>
    <m/>
    <x v="0"/>
    <m/>
    <m/>
    <m/>
    <m/>
    <m/>
    <m/>
    <x v="0"/>
    <x v="0"/>
    <m/>
    <m/>
    <x v="0"/>
  </r>
  <r>
    <x v="32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3741.1"/>
    <n v="673.4"/>
    <n v="4414.5"/>
    <n v="4414.5"/>
    <n v="4414.5"/>
    <s v="PEN"/>
    <b v="0"/>
    <s v="Sin pagar"/>
    <s v="Enviado"/>
    <m/>
    <m/>
    <x v="0"/>
    <m/>
    <m/>
    <m/>
    <m/>
    <m/>
    <m/>
    <x v="0"/>
    <x v="0"/>
    <m/>
    <m/>
    <x v="0"/>
  </r>
  <r>
    <x v="33"/>
    <n v="3051"/>
    <s v="Agua Marina en Pichanaki"/>
    <s v="(01) Factura"/>
    <x v="5"/>
    <x v="0"/>
    <d v="2025-10-15T00:00:00"/>
    <d v="2025-10-15T00:00:00"/>
    <m/>
    <m/>
    <s v="SAMUEL CHUQUISTA"/>
    <s v="Ventas"/>
    <m/>
    <s v="COLABORATIVA S.A.C."/>
    <n v="1571.02"/>
    <n v="282.77999999999997"/>
    <n v="1853.8"/>
    <n v="1853.8"/>
    <n v="1853.8"/>
    <s v="PEN"/>
    <b v="0"/>
    <s v="Sin pagar"/>
    <s v="Enviado"/>
    <m/>
    <m/>
    <x v="0"/>
    <m/>
    <m/>
    <m/>
    <m/>
    <m/>
    <m/>
    <x v="0"/>
    <x v="0"/>
    <m/>
    <m/>
    <x v="0"/>
  </r>
  <r>
    <x v="34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1820"/>
    <n v="327.60000000000002"/>
    <n v="2147.6"/>
    <n v="2147.6"/>
    <n v="2147.6"/>
    <s v="PEN"/>
    <b v="0"/>
    <s v="Sin pagar"/>
    <s v="Enviado"/>
    <m/>
    <m/>
    <x v="0"/>
    <m/>
    <m/>
    <m/>
    <m/>
    <m/>
    <m/>
    <x v="0"/>
    <x v="0"/>
    <m/>
    <m/>
    <x v="0"/>
  </r>
  <r>
    <x v="35"/>
    <n v="2897"/>
    <s v="Amaranta en Cusco"/>
    <s v="(01) Factura"/>
    <x v="7"/>
    <x v="0"/>
    <d v="2025-10-15T00:00:00"/>
    <d v="2025-10-15T00:00:00"/>
    <m/>
    <m/>
    <s v="SAMUEL CHUQUISTA"/>
    <s v="Ventas"/>
    <m/>
    <s v="COLABORATIVA S.A.C."/>
    <n v="2213.98"/>
    <n v="398.52"/>
    <n v="2612.5"/>
    <n v="2612.5"/>
    <n v="2612.5"/>
    <s v="PEN"/>
    <b v="0"/>
    <s v="Sin pagar"/>
    <s v="Enviado"/>
    <m/>
    <m/>
    <x v="0"/>
    <m/>
    <m/>
    <m/>
    <m/>
    <m/>
    <m/>
    <x v="0"/>
    <x v="0"/>
    <m/>
    <m/>
    <x v="0"/>
  </r>
  <r>
    <x v="36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Enviado"/>
    <m/>
    <m/>
    <x v="0"/>
    <m/>
    <m/>
    <m/>
    <m/>
    <m/>
    <m/>
    <x v="0"/>
    <x v="0"/>
    <m/>
    <m/>
    <x v="1"/>
  </r>
  <r>
    <x v="37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174.24"/>
    <n v="211.36"/>
    <n v="1385.6"/>
    <n v="1385.6"/>
    <n v="1385.6"/>
    <s v="PEN"/>
    <b v="0"/>
    <s v="Sin pagar"/>
    <s v="Enviado"/>
    <m/>
    <m/>
    <x v="0"/>
    <m/>
    <m/>
    <m/>
    <m/>
    <m/>
    <m/>
    <x v="0"/>
    <x v="0"/>
    <m/>
    <m/>
    <x v="0"/>
  </r>
  <r>
    <x v="38"/>
    <n v="2899"/>
    <s v="Amaranta en Juliaca"/>
    <s v="(01) Factura"/>
    <x v="7"/>
    <x v="0"/>
    <d v="2025-10-15T00:00:00"/>
    <d v="2025-10-15T00:00:00"/>
    <m/>
    <m/>
    <s v="SAMUEL CHUQUISTA"/>
    <s v="Ventas"/>
    <m/>
    <s v="COLABORATIVA S.A.C."/>
    <n v="1463.05"/>
    <n v="263.35000000000002"/>
    <n v="1726.4"/>
    <n v="1726.4"/>
    <n v="1726.4"/>
    <s v="PEN"/>
    <b v="0"/>
    <s v="Sin pagar"/>
    <s v="Enviado"/>
    <m/>
    <m/>
    <x v="0"/>
    <m/>
    <m/>
    <m/>
    <m/>
    <m/>
    <m/>
    <x v="0"/>
    <x v="0"/>
    <m/>
    <m/>
    <x v="0"/>
  </r>
  <r>
    <x v="39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6"/>
    <n v="1.08"/>
    <n v="7.08"/>
    <n v="7.08"/>
    <n v="7.08"/>
    <s v="PEN"/>
    <b v="0"/>
    <s v="Sin pagar"/>
    <s v="Enviado"/>
    <m/>
    <m/>
    <x v="0"/>
    <m/>
    <m/>
    <m/>
    <m/>
    <m/>
    <m/>
    <x v="0"/>
    <x v="0"/>
    <m/>
    <m/>
    <x v="0"/>
  </r>
  <r>
    <x v="40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056.19"/>
    <n v="550.11"/>
    <n v="3606.3"/>
    <n v="3606.3"/>
    <n v="3606.3"/>
    <s v="PEN"/>
    <b v="0"/>
    <s v="Sin pagar"/>
    <s v="Enviado"/>
    <m/>
    <m/>
    <x v="0"/>
    <m/>
    <m/>
    <m/>
    <m/>
    <m/>
    <m/>
    <x v="0"/>
    <x v="0"/>
    <m/>
    <m/>
    <x v="0"/>
  </r>
  <r>
    <x v="41"/>
    <n v="2898"/>
    <s v="Amaranta en Arequipa"/>
    <s v="(01) Factura"/>
    <x v="7"/>
    <x v="0"/>
    <d v="2025-10-15T00:00:00"/>
    <d v="2025-10-15T00:00:00"/>
    <m/>
    <m/>
    <s v="SAMUEL CHUQUISTA"/>
    <s v="Ventas"/>
    <m/>
    <s v="COLABORATIVA S.A.C."/>
    <n v="3740.42"/>
    <n v="673.28"/>
    <n v="4413.7"/>
    <n v="4413.7"/>
    <n v="4413.7"/>
    <s v="PEN"/>
    <b v="0"/>
    <s v="Sin pagar"/>
    <s v="Enviado"/>
    <m/>
    <m/>
    <x v="0"/>
    <m/>
    <m/>
    <m/>
    <m/>
    <m/>
    <m/>
    <x v="0"/>
    <x v="0"/>
    <m/>
    <m/>
    <x v="0"/>
  </r>
  <r>
    <x v="42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1934.24"/>
    <n v="348.16"/>
    <n v="2282.4"/>
    <n v="2282.4"/>
    <n v="2282.4"/>
    <s v="PEN"/>
    <b v="0"/>
    <s v="Sin pagar"/>
    <s v="Enviado"/>
    <m/>
    <m/>
    <x v="0"/>
    <m/>
    <m/>
    <m/>
    <m/>
    <m/>
    <m/>
    <x v="0"/>
    <x v="0"/>
    <m/>
    <m/>
    <x v="0"/>
  </r>
  <r>
    <x v="43"/>
    <n v="3094"/>
    <s v="24 Aniversario de Victor Manuel del Perú, Max Castro, Milder Ore y más en Trujillo"/>
    <s v="(01) Factura"/>
    <x v="8"/>
    <x v="0"/>
    <d v="2025-10-15T00:00:00"/>
    <d v="2025-10-15T00:00:00"/>
    <m/>
    <m/>
    <s v="SAMUEL CHUQUISTA"/>
    <s v="Ventas"/>
    <m/>
    <s v="COLABORATIVA S.A.C."/>
    <n v="2316.61"/>
    <n v="416.99"/>
    <n v="2733.6"/>
    <n v="2733.6"/>
    <n v="2733.6"/>
    <s v="PEN"/>
    <b v="0"/>
    <s v="Sin pagar"/>
    <s v="Enviado"/>
    <m/>
    <m/>
    <x v="0"/>
    <m/>
    <m/>
    <m/>
    <m/>
    <m/>
    <m/>
    <x v="0"/>
    <x v="0"/>
    <m/>
    <m/>
    <x v="0"/>
  </r>
  <r>
    <x v="44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1427.8"/>
    <n v="257"/>
    <n v="1684.8"/>
    <n v="1684.8"/>
    <n v="1684.8"/>
    <s v="PEN"/>
    <b v="0"/>
    <s v="Sin pagar"/>
    <s v="Enviado"/>
    <m/>
    <m/>
    <x v="0"/>
    <m/>
    <m/>
    <m/>
    <m/>
    <m/>
    <m/>
    <x v="0"/>
    <x v="0"/>
    <m/>
    <m/>
    <x v="0"/>
  </r>
  <r>
    <x v="45"/>
    <n v="3172"/>
    <s v="La Bella Luz en Pachacamac"/>
    <s v="(01) Factura"/>
    <x v="6"/>
    <x v="0"/>
    <d v="2025-10-15T00:00:00"/>
    <d v="2025-10-15T00:00:00"/>
    <m/>
    <m/>
    <s v="SAMUEL CHUQUISTA"/>
    <s v="Ventas"/>
    <m/>
    <s v="COLABORATIVA S.A.C."/>
    <n v="976.78"/>
    <n v="175.82"/>
    <n v="1152.5999999999999"/>
    <n v="1152.5999999999999"/>
    <n v="1152.5999999999999"/>
    <s v="PEN"/>
    <b v="0"/>
    <s v="Sin pagar"/>
    <s v="Enviado"/>
    <m/>
    <m/>
    <x v="0"/>
    <m/>
    <m/>
    <m/>
    <m/>
    <m/>
    <m/>
    <x v="0"/>
    <x v="0"/>
    <m/>
    <m/>
    <x v="0"/>
  </r>
  <r>
    <x v="46"/>
    <n v="3123"/>
    <s v="Agua Marina en Barranca"/>
    <s v="(03) Boleta"/>
    <x v="9"/>
    <x v="1"/>
    <d v="2025-10-14T00:00:00"/>
    <d v="2025-10-14T00:00:00"/>
    <m/>
    <m/>
    <s v="SAMUEL CHUQUISTA"/>
    <s v="Ventas"/>
    <m/>
    <s v="COLABORATIVA S.A.C."/>
    <n v="60"/>
    <n v="10.8"/>
    <n v="70.8"/>
    <n v="70.8"/>
    <n v="70.8"/>
    <s v="PEN"/>
    <b v="0"/>
    <s v="Sin pagar"/>
    <s v="Enviado"/>
    <m/>
    <m/>
    <x v="0"/>
    <m/>
    <m/>
    <m/>
    <m/>
    <m/>
    <m/>
    <x v="0"/>
    <x v="0"/>
    <m/>
    <m/>
    <x v="2"/>
  </r>
  <r>
    <x v="47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651.53"/>
    <n v="117.28"/>
    <n v="768.81"/>
    <n v="768.81"/>
    <n v="768.81"/>
    <s v="PEN"/>
    <b v="0"/>
    <s v="Sin pagar"/>
    <s v="Enviado"/>
    <m/>
    <m/>
    <x v="0"/>
    <m/>
    <m/>
    <m/>
    <m/>
    <m/>
    <m/>
    <x v="0"/>
    <x v="0"/>
    <m/>
    <m/>
    <x v="2"/>
  </r>
  <r>
    <x v="48"/>
    <n v="3092"/>
    <s v="Desde Colombia Lil Silvio &amp; El Vega en Cajamarca"/>
    <s v="(01) Factura"/>
    <x v="10"/>
    <x v="1"/>
    <d v="2025-10-14T00:00:00"/>
    <d v="2025-10-14T00:00:00"/>
    <m/>
    <m/>
    <s v="SAMUEL CHUQUISTA"/>
    <s v="Ventas"/>
    <m/>
    <s v="COLABORATIVA S.A.C."/>
    <n v="556.44000000000005"/>
    <n v="100.16"/>
    <n v="656.6"/>
    <n v="656.6"/>
    <n v="656.6"/>
    <s v="PEN"/>
    <b v="0"/>
    <s v="Sin pagar"/>
    <s v="Enviado"/>
    <m/>
    <m/>
    <x v="0"/>
    <m/>
    <m/>
    <m/>
    <m/>
    <m/>
    <m/>
    <x v="0"/>
    <x v="0"/>
    <m/>
    <m/>
    <x v="2"/>
  </r>
  <r>
    <x v="49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.5"/>
    <n v="2.25"/>
    <n v="14.75"/>
    <n v="14.75"/>
    <n v="14.75"/>
    <s v="PEN"/>
    <b v="0"/>
    <s v="Sin pagar"/>
    <s v="Enviado"/>
    <m/>
    <m/>
    <x v="0"/>
    <m/>
    <m/>
    <m/>
    <m/>
    <m/>
    <m/>
    <x v="0"/>
    <x v="0"/>
    <m/>
    <m/>
    <x v="2"/>
  </r>
  <r>
    <x v="50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271.19"/>
    <n v="228.81"/>
    <n v="1500"/>
    <n v="1500"/>
    <n v="1500"/>
    <s v="PEN"/>
    <b v="0"/>
    <s v="Sin pagar"/>
    <s v="Enviado"/>
    <m/>
    <m/>
    <x v="0"/>
    <m/>
    <m/>
    <m/>
    <m/>
    <m/>
    <m/>
    <x v="0"/>
    <x v="0"/>
    <m/>
    <m/>
    <x v="2"/>
  </r>
  <r>
    <x v="51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4676.95"/>
    <n v="841.85"/>
    <n v="5518.8"/>
    <n v="5518.8"/>
    <n v="5518.8"/>
    <s v="PEN"/>
    <b v="0"/>
    <s v="Sin pagar"/>
    <s v="Enviado"/>
    <m/>
    <m/>
    <x v="0"/>
    <m/>
    <m/>
    <m/>
    <m/>
    <m/>
    <m/>
    <x v="0"/>
    <x v="0"/>
    <m/>
    <m/>
    <x v="2"/>
  </r>
  <r>
    <x v="52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150"/>
    <n v="27"/>
    <n v="177"/>
    <n v="177"/>
    <n v="177"/>
    <s v="PEN"/>
    <b v="0"/>
    <s v="Sin pagar"/>
    <s v="Enviado"/>
    <m/>
    <m/>
    <x v="0"/>
    <m/>
    <m/>
    <m/>
    <m/>
    <m/>
    <m/>
    <x v="0"/>
    <x v="0"/>
    <m/>
    <m/>
    <x v="2"/>
  </r>
  <r>
    <x v="53"/>
    <n v="3065"/>
    <s v="Corazón Serrano en la Isla del Paraíso del Callao"/>
    <s v="(01) Factura"/>
    <x v="11"/>
    <x v="1"/>
    <d v="2025-10-14T00:00:00"/>
    <d v="2025-10-14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  <x v="2"/>
  </r>
  <r>
    <x v="54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500"/>
    <n v="90"/>
    <n v="590"/>
    <n v="590"/>
    <n v="590"/>
    <s v="PEN"/>
    <b v="0"/>
    <s v="Sin pagar"/>
    <s v="Enviado"/>
    <m/>
    <m/>
    <x v="0"/>
    <m/>
    <m/>
    <m/>
    <m/>
    <m/>
    <m/>
    <x v="0"/>
    <x v="0"/>
    <m/>
    <m/>
    <x v="3"/>
  </r>
  <r>
    <x v="55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000"/>
    <n v="180"/>
    <n v="1180"/>
    <n v="1180"/>
    <n v="1180"/>
    <s v="PEN"/>
    <b v="0"/>
    <s v="Sin pagar"/>
    <s v="Enviado"/>
    <m/>
    <m/>
    <x v="0"/>
    <m/>
    <m/>
    <m/>
    <m/>
    <m/>
    <m/>
    <x v="0"/>
    <x v="0"/>
    <m/>
    <m/>
    <x v="3"/>
  </r>
  <r>
    <x v="56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1800"/>
    <n v="324"/>
    <n v="2124"/>
    <n v="2124"/>
    <n v="2124"/>
    <s v="PEN"/>
    <b v="0"/>
    <s v="Sin pagar"/>
    <s v="Enviado"/>
    <m/>
    <m/>
    <x v="0"/>
    <m/>
    <m/>
    <m/>
    <m/>
    <m/>
    <m/>
    <x v="0"/>
    <x v="0"/>
    <m/>
    <m/>
    <x v="3"/>
  </r>
  <r>
    <x v="57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38.30999999999995"/>
    <n v="114.9"/>
    <n v="753.21"/>
    <n v="753.21"/>
    <n v="753.21"/>
    <s v="PEN"/>
    <b v="0"/>
    <s v="Sin pagar"/>
    <s v="Enviado"/>
    <m/>
    <m/>
    <x v="0"/>
    <m/>
    <m/>
    <m/>
    <m/>
    <m/>
    <m/>
    <x v="0"/>
    <x v="0"/>
    <m/>
    <m/>
    <x v="3"/>
  </r>
  <r>
    <x v="58"/>
    <n v="3123"/>
    <s v="Agua Marina en Barranca"/>
    <s v="(03) Boleta"/>
    <x v="9"/>
    <x v="2"/>
    <d v="2025-10-13T00:00:00"/>
    <d v="2025-10-13T00:00:00"/>
    <m/>
    <m/>
    <s v="SAMUEL CHUQUISTA"/>
    <s v="Ventas"/>
    <m/>
    <s v="COLABORATIVA S.A.C."/>
    <n v="652.20000000000005"/>
    <n v="117.4"/>
    <n v="769.6"/>
    <n v="769.6"/>
    <n v="769.6"/>
    <s v="PEN"/>
    <b v="0"/>
    <s v="Sin pagar"/>
    <s v="Enviado"/>
    <m/>
    <m/>
    <x v="0"/>
    <m/>
    <m/>
    <m/>
    <m/>
    <m/>
    <m/>
    <x v="0"/>
    <x v="0"/>
    <m/>
    <m/>
    <x v="3"/>
  </r>
  <r>
    <x v="59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75"/>
    <n v="13.5"/>
    <n v="88.5"/>
    <n v="88.5"/>
    <n v="88.5"/>
    <s v="PEN"/>
    <b v="0"/>
    <s v="Sin pagar"/>
    <s v="Enviado"/>
    <m/>
    <m/>
    <x v="0"/>
    <m/>
    <m/>
    <m/>
    <m/>
    <m/>
    <m/>
    <x v="0"/>
    <x v="0"/>
    <m/>
    <m/>
    <x v="3"/>
  </r>
  <r>
    <x v="60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423.73"/>
    <n v="76.27"/>
    <n v="500"/>
    <n v="500"/>
    <n v="500"/>
    <s v="PEN"/>
    <b v="0"/>
    <s v="Sin pagar"/>
    <s v="Enviado"/>
    <m/>
    <m/>
    <x v="0"/>
    <m/>
    <m/>
    <m/>
    <m/>
    <m/>
    <m/>
    <x v="0"/>
    <x v="0"/>
    <m/>
    <m/>
    <x v="3"/>
  </r>
  <r>
    <x v="61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695.17"/>
    <n v="305.13"/>
    <n v="2000.3"/>
    <n v="2000.3"/>
    <n v="2000.3"/>
    <s v="PEN"/>
    <b v="0"/>
    <s v="Sin pagar"/>
    <s v="Enviado"/>
    <m/>
    <m/>
    <x v="0"/>
    <m/>
    <m/>
    <m/>
    <m/>
    <m/>
    <m/>
    <x v="0"/>
    <x v="0"/>
    <m/>
    <m/>
    <x v="3"/>
  </r>
  <r>
    <x v="62"/>
    <n v="3168"/>
    <s v="Feliz Día de la Suegra con la Bella Luz y más en El Huaralino"/>
    <s v="(01) Factura"/>
    <x v="6"/>
    <x v="2"/>
    <d v="2025-10-13T00:00:00"/>
    <d v="2025-10-13T00:00:00"/>
    <m/>
    <m/>
    <s v="SAMUEL CHUQUISTA"/>
    <s v="Ventas"/>
    <m/>
    <s v="COLABORATIVA S.A.C."/>
    <n v="1163.56"/>
    <n v="209.44"/>
    <n v="1373"/>
    <n v="1373"/>
    <n v="1373"/>
    <s v="PEN"/>
    <b v="0"/>
    <s v="Sin pagar"/>
    <s v="Enviado"/>
    <m/>
    <m/>
    <x v="0"/>
    <m/>
    <m/>
    <m/>
    <m/>
    <m/>
    <m/>
    <x v="0"/>
    <x v="0"/>
    <m/>
    <m/>
    <x v="3"/>
  </r>
  <r>
    <x v="63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375.53"/>
    <n v="67.599999999999994"/>
    <n v="443.13"/>
    <n v="443.13"/>
    <n v="443.13"/>
    <s v="PEN"/>
    <b v="0"/>
    <s v="Sin pagar"/>
    <s v="Enviado"/>
    <m/>
    <m/>
    <x v="0"/>
    <m/>
    <m/>
    <m/>
    <m/>
    <m/>
    <m/>
    <x v="0"/>
    <x v="0"/>
    <m/>
    <m/>
    <x v="3"/>
  </r>
  <r>
    <x v="64"/>
    <n v="3147"/>
    <s v="Flor Pileña, Alegres de Bambarmarca y Victor Manuel en Cajabamba"/>
    <s v="(01) Factura"/>
    <x v="12"/>
    <x v="2"/>
    <d v="2025-10-13T00:00:00"/>
    <d v="2025-10-13T00:00:00"/>
    <m/>
    <m/>
    <s v="SAMUEL CHUQUISTA"/>
    <s v="Ventas"/>
    <m/>
    <s v="COLABORATIVA S.A.C."/>
    <n v="268.52999999999997"/>
    <n v="48.34"/>
    <n v="316.87"/>
    <n v="316.87"/>
    <n v="316.87"/>
    <s v="PEN"/>
    <b v="0"/>
    <s v="Sin pagar"/>
    <s v="Enviado"/>
    <m/>
    <m/>
    <x v="0"/>
    <m/>
    <m/>
    <m/>
    <m/>
    <m/>
    <m/>
    <x v="0"/>
    <x v="0"/>
    <m/>
    <m/>
    <x v="3"/>
  </r>
  <r>
    <x v="65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708.9"/>
    <n v="127.6"/>
    <n v="836.5"/>
    <n v="836.5"/>
    <n v="836.5"/>
    <s v="PEN"/>
    <b v="0"/>
    <s v="Sin pagar"/>
    <s v="Enviado"/>
    <m/>
    <m/>
    <x v="0"/>
    <m/>
    <m/>
    <m/>
    <m/>
    <m/>
    <m/>
    <x v="0"/>
    <x v="0"/>
    <m/>
    <m/>
    <x v="3"/>
  </r>
  <r>
    <x v="66"/>
    <n v="3190"/>
    <s v="Feliz Aniversario Barranca con La Bella Luz"/>
    <s v="(01) Factura"/>
    <x v="6"/>
    <x v="2"/>
    <d v="2025-10-13T00:00:00"/>
    <d v="2025-10-13T00:00:00"/>
    <m/>
    <m/>
    <s v="SAMUEL CHUQUISTA"/>
    <s v="Ventas"/>
    <m/>
    <s v="COLABORATIVA S.A.C."/>
    <n v="488.81"/>
    <n v="87.99"/>
    <n v="576.79999999999995"/>
    <n v="576.79999999999995"/>
    <n v="576.79999999999995"/>
    <s v="PEN"/>
    <b v="0"/>
    <s v="Sin pagar"/>
    <s v="Enviado"/>
    <m/>
    <m/>
    <x v="0"/>
    <m/>
    <m/>
    <m/>
    <m/>
    <m/>
    <m/>
    <x v="0"/>
    <x v="0"/>
    <m/>
    <m/>
    <x v="3"/>
  </r>
  <r>
    <x v="67"/>
    <n v="3149"/>
    <s v="18° Aniversario de Illari del Cusco con Chinito del Ande, Osito Pardo, Los Puntos del Amor y más en Huaracondo de SJL"/>
    <s v="(03) Boleta"/>
    <x v="13"/>
    <x v="3"/>
    <d v="2025-10-11T00:00:00"/>
    <d v="2025-10-11T00:00:00"/>
    <m/>
    <m/>
    <s v="SAMUEL CHUQUISTA"/>
    <s v="Ventas"/>
    <m/>
    <s v="COLABORATIVA S.A.C."/>
    <n v="79.75"/>
    <n v="14.36"/>
    <n v="94.11"/>
    <n v="94.11"/>
    <n v="94.11"/>
    <s v="PEN"/>
    <b v="0"/>
    <s v="Sin pagar"/>
    <s v="Enviado"/>
    <m/>
    <m/>
    <x v="0"/>
    <m/>
    <m/>
    <m/>
    <m/>
    <m/>
    <m/>
    <x v="0"/>
    <x v="0"/>
    <m/>
    <m/>
    <x v="4"/>
  </r>
  <r>
    <x v="68"/>
    <n v="3149"/>
    <s v="18° Aniversario de Illari del Cusco con Chinito del Ande, Osito Pardo, Los Puntos del Amor y más en Huaracondo de SJL"/>
    <s v="(03) Boleta"/>
    <x v="13"/>
    <x v="4"/>
    <d v="2025-10-10T00:00:00"/>
    <d v="2025-10-10T00:00:00"/>
    <m/>
    <m/>
    <s v="SAMUEL CHUQUISTA"/>
    <s v="Ventas"/>
    <m/>
    <s v="COLABORATIVA S.A.C."/>
    <n v="73.47"/>
    <n v="13.22"/>
    <n v="86.69"/>
    <n v="86.69"/>
    <n v="86.69"/>
    <s v="PEN"/>
    <b v="0"/>
    <s v="Sin pagar"/>
    <s v="Enviado"/>
    <m/>
    <m/>
    <x v="0"/>
    <m/>
    <m/>
    <m/>
    <m/>
    <m/>
    <m/>
    <x v="0"/>
    <x v="0"/>
    <m/>
    <m/>
    <x v="5"/>
  </r>
  <r>
    <x v="69"/>
    <n v="3157"/>
    <s v="Corazón Serrano en Huacho"/>
    <s v="(01) Factura"/>
    <x v="14"/>
    <x v="4"/>
    <d v="2025-10-10T00:00:00"/>
    <d v="2025-10-10T00:00:00"/>
    <m/>
    <m/>
    <s v="SAMUEL CHUQUISTA"/>
    <s v="Ventas"/>
    <m/>
    <s v="COLABORATIVA S.A.C."/>
    <n v="482.54"/>
    <n v="86.86"/>
    <n v="569.4"/>
    <n v="569.4"/>
    <n v="569.4"/>
    <s v="PEN"/>
    <b v="0"/>
    <s v="Sin pagar"/>
    <s v="Enviado"/>
    <m/>
    <m/>
    <x v="0"/>
    <m/>
    <m/>
    <m/>
    <m/>
    <m/>
    <m/>
    <x v="0"/>
    <x v="0"/>
    <m/>
    <m/>
    <x v="5"/>
  </r>
  <r>
    <x v="70"/>
    <n v="3157"/>
    <s v="Corazón Serrano en Huacho"/>
    <s v="(01) Factura"/>
    <x v="14"/>
    <x v="5"/>
    <d v="2025-10-09T00:00:00"/>
    <d v="2025-10-09T00:00:00"/>
    <m/>
    <m/>
    <s v="SAMUEL CHUQUISTA"/>
    <s v="Ventas"/>
    <m/>
    <s v="COLABORATIVA S.A.C."/>
    <n v="317.5"/>
    <n v="57.15"/>
    <n v="374.65"/>
    <n v="374.65"/>
    <n v="374.65"/>
    <s v="PEN"/>
    <b v="0"/>
    <s v="Sin pagar"/>
    <s v="Enviado"/>
    <m/>
    <m/>
    <x v="0"/>
    <m/>
    <m/>
    <m/>
    <m/>
    <m/>
    <m/>
    <x v="0"/>
    <x v="0"/>
    <m/>
    <m/>
    <x v="6"/>
  </r>
  <r>
    <x v="71"/>
    <n v="3185"/>
    <s v="Atlético Torino vs Bagua FC - Copa Perú 2025"/>
    <s v="(03) Boleta"/>
    <x v="15"/>
    <x v="6"/>
    <d v="2025-10-07T00:00:00"/>
    <d v="2025-10-07T00:00:00"/>
    <m/>
    <m/>
    <s v="SAMUEL CHUQUISTA"/>
    <s v="Ventas"/>
    <m/>
    <s v="COLABORATIVA S.A.C."/>
    <n v="4123.66"/>
    <n v="742.26"/>
    <n v="4865.92"/>
    <n v="4865.92"/>
    <n v="4865.92"/>
    <s v="PEN"/>
    <b v="0"/>
    <s v="Sin pagar"/>
    <s v="Enviado"/>
    <m/>
    <m/>
    <x v="0"/>
    <m/>
    <m/>
    <m/>
    <m/>
    <m/>
    <m/>
    <x v="0"/>
    <x v="0"/>
    <m/>
    <m/>
    <x v="7"/>
  </r>
  <r>
    <x v="72"/>
    <n v="3065"/>
    <s v="Corazón Serrano en la Isla del Paraíso del Callao"/>
    <s v="(01) Factura"/>
    <x v="11"/>
    <x v="6"/>
    <d v="2025-10-07T00:00:00"/>
    <d v="2025-10-07T00:00:00"/>
    <m/>
    <m/>
    <s v="SAMUEL CHUQUISTA"/>
    <s v="Ventas"/>
    <m/>
    <s v="COLABORATIVA S.A.C."/>
    <n v="5603.9"/>
    <n v="1008.7"/>
    <n v="6612.6"/>
    <n v="6612.6"/>
    <n v="6612.6"/>
    <s v="PEN"/>
    <b v="0"/>
    <s v="Sin pagar"/>
    <s v="Enviado"/>
    <m/>
    <m/>
    <x v="0"/>
    <m/>
    <m/>
    <m/>
    <m/>
    <m/>
    <m/>
    <x v="0"/>
    <x v="0"/>
    <m/>
    <m/>
    <x v="7"/>
  </r>
  <r>
    <x v="73"/>
    <n v="0"/>
    <m/>
    <s v="(01) Factura"/>
    <x v="16"/>
    <x v="7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66 error: Error en envio de documeto '&lt;/p&gt;"/>
    <x v="0"/>
    <m/>
    <m/>
    <m/>
    <m/>
    <m/>
    <m/>
    <x v="0"/>
    <x v="0"/>
    <m/>
    <m/>
    <x v="8"/>
  </r>
  <r>
    <x v="74"/>
    <n v="0"/>
    <m/>
    <s v="(01) Factura"/>
    <x v="14"/>
    <x v="7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78 error: Error en envio de documeto '&lt;/p&gt;"/>
    <x v="0"/>
    <m/>
    <m/>
    <m/>
    <m/>
    <m/>
    <m/>
    <x v="0"/>
    <x v="0"/>
    <m/>
    <m/>
    <x v="8"/>
  </r>
  <r>
    <x v="75"/>
    <n v="0"/>
    <m/>
    <s v="(01) Factura"/>
    <x v="17"/>
    <x v="7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296 error: Error en envio de documeto '&lt;/p&gt;"/>
    <x v="0"/>
    <m/>
    <m/>
    <m/>
    <m/>
    <m/>
    <m/>
    <x v="0"/>
    <x v="0"/>
    <m/>
    <m/>
    <x v="8"/>
  </r>
  <r>
    <x v="76"/>
    <n v="0"/>
    <m/>
    <s v="(01) Factura"/>
    <x v="18"/>
    <x v="8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11 error: Error en envio de documeto '&lt;/p&gt;"/>
    <x v="0"/>
    <m/>
    <m/>
    <m/>
    <m/>
    <m/>
    <m/>
    <x v="0"/>
    <x v="0"/>
    <m/>
    <m/>
    <x v="9"/>
  </r>
  <r>
    <x v="77"/>
    <n v="0"/>
    <m/>
    <s v="(01) Factura"/>
    <x v="18"/>
    <x v="8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22 error: Error en envio de documeto '&lt;/p&gt;"/>
    <x v="0"/>
    <m/>
    <m/>
    <m/>
    <m/>
    <m/>
    <m/>
    <x v="0"/>
    <x v="0"/>
    <m/>
    <m/>
    <x v="9"/>
  </r>
  <r>
    <x v="78"/>
    <n v="0"/>
    <m/>
    <s v="(01) Factura"/>
    <x v="18"/>
    <x v="8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41 error: Error en envio de documeto '&lt;/p&gt;"/>
    <x v="0"/>
    <m/>
    <m/>
    <m/>
    <m/>
    <m/>
    <m/>
    <x v="0"/>
    <x v="0"/>
    <m/>
    <m/>
    <x v="9"/>
  </r>
  <r>
    <x v="79"/>
    <n v="0"/>
    <m/>
    <s v="(03) Boleta"/>
    <x v="19"/>
    <x v="8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62 error: Error en envio de documeto '&lt;/p&gt;"/>
    <x v="0"/>
    <m/>
    <m/>
    <m/>
    <m/>
    <m/>
    <m/>
    <x v="0"/>
    <x v="0"/>
    <m/>
    <m/>
    <x v="9"/>
  </r>
  <r>
    <x v="80"/>
    <n v="0"/>
    <m/>
    <s v="(03) Boleta"/>
    <x v="19"/>
    <x v="8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389 error: Error en envio de documeto '&lt;/p&gt;"/>
    <x v="0"/>
    <m/>
    <m/>
    <m/>
    <m/>
    <m/>
    <m/>
    <x v="0"/>
    <x v="0"/>
    <m/>
    <m/>
    <x v="9"/>
  </r>
  <r>
    <x v="81"/>
    <n v="0"/>
    <m/>
    <s v="(01) Factura"/>
    <x v="20"/>
    <x v="9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40 error: Error en envio de documeto '&lt;/p&gt;"/>
    <x v="0"/>
    <m/>
    <m/>
    <m/>
    <m/>
    <m/>
    <m/>
    <x v="0"/>
    <x v="0"/>
    <m/>
    <m/>
    <x v="10"/>
  </r>
  <r>
    <x v="82"/>
    <n v="0"/>
    <m/>
    <s v="(01) Factura"/>
    <x v="20"/>
    <x v="9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487 error: Error en envio de documeto '&lt;/p&gt;"/>
    <x v="0"/>
    <m/>
    <m/>
    <m/>
    <m/>
    <m/>
    <m/>
    <x v="0"/>
    <x v="0"/>
    <m/>
    <m/>
    <x v="10"/>
  </r>
  <r>
    <x v="83"/>
    <n v="0"/>
    <m/>
    <s v="(01) Factura"/>
    <x v="20"/>
    <x v="9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55 error: Error en envio de documeto '&lt;/p&gt;"/>
    <x v="0"/>
    <m/>
    <m/>
    <m/>
    <m/>
    <m/>
    <m/>
    <x v="0"/>
    <x v="0"/>
    <m/>
    <m/>
    <x v="10"/>
  </r>
  <r>
    <x v="84"/>
    <n v="0"/>
    <m/>
    <s v="(01) Factura"/>
    <x v="21"/>
    <x v="9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61 error: Error en envio de documeto '&lt;/p&gt;"/>
    <x v="0"/>
    <m/>
    <m/>
    <m/>
    <m/>
    <m/>
    <m/>
    <x v="0"/>
    <x v="0"/>
    <m/>
    <m/>
    <x v="10"/>
  </r>
  <r>
    <x v="85"/>
    <n v="0"/>
    <m/>
    <s v="(01) Factura"/>
    <x v="21"/>
    <x v="9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584 error: Error en envio de documeto '&lt;/p&gt;"/>
    <x v="0"/>
    <m/>
    <m/>
    <m/>
    <m/>
    <m/>
    <m/>
    <x v="0"/>
    <x v="0"/>
    <m/>
    <m/>
    <x v="10"/>
  </r>
  <r>
    <x v="86"/>
    <n v="0"/>
    <m/>
    <s v="(01) Factura"/>
    <x v="22"/>
    <x v="9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07 error: Error en envio de documeto '&lt;/p&gt;"/>
    <x v="0"/>
    <m/>
    <m/>
    <m/>
    <m/>
    <m/>
    <m/>
    <x v="0"/>
    <x v="0"/>
    <m/>
    <m/>
    <x v="10"/>
  </r>
  <r>
    <x v="87"/>
    <n v="0"/>
    <m/>
    <s v="(01) Factura"/>
    <x v="22"/>
    <x v="9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16 error: Error en envio de documeto '&lt;/p&gt;"/>
    <x v="0"/>
    <m/>
    <m/>
    <m/>
    <m/>
    <m/>
    <m/>
    <x v="0"/>
    <x v="0"/>
    <m/>
    <m/>
    <x v="10"/>
  </r>
  <r>
    <x v="88"/>
    <n v="0"/>
    <m/>
    <s v="(01) Factura"/>
    <x v="22"/>
    <x v="9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43 error: Error en envio de documeto '&lt;/p&gt;"/>
    <x v="0"/>
    <m/>
    <m/>
    <m/>
    <m/>
    <m/>
    <m/>
    <x v="0"/>
    <x v="0"/>
    <m/>
    <m/>
    <x v="10"/>
  </r>
  <r>
    <x v="89"/>
    <n v="0"/>
    <m/>
    <s v="(01) Factura"/>
    <x v="22"/>
    <x v="9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54 error: Error en envio de documeto '&lt;/p&gt;"/>
    <x v="0"/>
    <m/>
    <m/>
    <m/>
    <m/>
    <m/>
    <m/>
    <x v="0"/>
    <x v="0"/>
    <m/>
    <m/>
    <x v="10"/>
  </r>
  <r>
    <x v="9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85 error: Error en envio de documeto '&lt;/p&gt;"/>
    <x v="0"/>
    <m/>
    <m/>
    <m/>
    <m/>
    <m/>
    <m/>
    <x v="0"/>
    <x v="0"/>
    <m/>
    <m/>
    <x v="10"/>
  </r>
  <r>
    <x v="91"/>
    <n v="0"/>
    <m/>
    <s v="(01) Factura"/>
    <x v="23"/>
    <x v="9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699 error: Error en envio de documeto '&lt;/p&gt;"/>
    <x v="0"/>
    <m/>
    <m/>
    <m/>
    <m/>
    <m/>
    <m/>
    <x v="0"/>
    <x v="0"/>
    <m/>
    <m/>
    <x v="10"/>
  </r>
  <r>
    <x v="92"/>
    <n v="0"/>
    <m/>
    <s v="(01) Factura"/>
    <x v="23"/>
    <x v="9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21 error: Error en envio de documeto '&lt;/p&gt;"/>
    <x v="0"/>
    <m/>
    <m/>
    <m/>
    <m/>
    <m/>
    <m/>
    <x v="0"/>
    <x v="0"/>
    <m/>
    <m/>
    <x v="10"/>
  </r>
  <r>
    <x v="93"/>
    <n v="0"/>
    <m/>
    <s v="(01) Factura"/>
    <x v="23"/>
    <x v="9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36 error: Error en envio de documeto '&lt;/p&gt;"/>
    <x v="0"/>
    <m/>
    <m/>
    <m/>
    <m/>
    <m/>
    <m/>
    <x v="0"/>
    <x v="0"/>
    <m/>
    <m/>
    <x v="10"/>
  </r>
  <r>
    <x v="94"/>
    <n v="0"/>
    <m/>
    <s v="(01) Factura"/>
    <x v="24"/>
    <x v="9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54 error: Error en envio de documeto '&lt;/p&gt;"/>
    <x v="0"/>
    <m/>
    <m/>
    <m/>
    <m/>
    <m/>
    <m/>
    <x v="0"/>
    <x v="0"/>
    <m/>
    <m/>
    <x v="10"/>
  </r>
  <r>
    <x v="95"/>
    <n v="0"/>
    <m/>
    <s v="(01) Factura"/>
    <x v="24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70 error: Error en envio de documeto '&lt;/p&gt;"/>
    <x v="0"/>
    <m/>
    <m/>
    <m/>
    <m/>
    <m/>
    <m/>
    <x v="0"/>
    <x v="0"/>
    <m/>
    <m/>
    <x v="10"/>
  </r>
  <r>
    <x v="96"/>
    <n v="0"/>
    <m/>
    <s v="(01) Factura"/>
    <x v="24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799 error: Error en envio de documeto '&lt;/p&gt;"/>
    <x v="0"/>
    <m/>
    <m/>
    <m/>
    <m/>
    <m/>
    <m/>
    <x v="0"/>
    <x v="0"/>
    <m/>
    <m/>
    <x v="10"/>
  </r>
  <r>
    <x v="97"/>
    <n v="0"/>
    <m/>
    <s v="(01) Factura"/>
    <x v="24"/>
    <x v="9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23 error: Error en envio de documeto '&lt;/p&gt;"/>
    <x v="0"/>
    <m/>
    <m/>
    <m/>
    <m/>
    <m/>
    <m/>
    <x v="0"/>
    <x v="0"/>
    <m/>
    <m/>
    <x v="10"/>
  </r>
  <r>
    <x v="98"/>
    <n v="0"/>
    <m/>
    <s v="(01) Factura"/>
    <x v="24"/>
    <x v="9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32 error: Error en envio de documeto '&lt;/p&gt;"/>
    <x v="0"/>
    <m/>
    <m/>
    <m/>
    <m/>
    <m/>
    <m/>
    <x v="0"/>
    <x v="0"/>
    <m/>
    <m/>
    <x v="10"/>
  </r>
  <r>
    <x v="99"/>
    <n v="0"/>
    <m/>
    <s v="(01) Factura"/>
    <x v="25"/>
    <x v="9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47 error: Error en envio de documeto '&lt;/p&gt;"/>
    <x v="0"/>
    <m/>
    <m/>
    <m/>
    <m/>
    <m/>
    <m/>
    <x v="0"/>
    <x v="0"/>
    <m/>
    <m/>
    <x v="10"/>
  </r>
  <r>
    <x v="100"/>
    <n v="0"/>
    <m/>
    <s v="(01) Factura"/>
    <x v="25"/>
    <x v="9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873 error: Error en envio de documeto '&lt;/p&gt;"/>
    <x v="0"/>
    <m/>
    <m/>
    <m/>
    <m/>
    <m/>
    <m/>
    <x v="0"/>
    <x v="0"/>
    <m/>
    <m/>
    <x v="10"/>
  </r>
  <r>
    <x v="101"/>
    <n v="0"/>
    <m/>
    <s v="(01) Factura"/>
    <x v="25"/>
    <x v="9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07 error: Error en envio de documeto '&lt;/p&gt;"/>
    <x v="0"/>
    <m/>
    <m/>
    <m/>
    <m/>
    <m/>
    <m/>
    <x v="0"/>
    <x v="0"/>
    <m/>
    <m/>
    <x v="10"/>
  </r>
  <r>
    <x v="102"/>
    <n v="0"/>
    <m/>
    <s v="(01) Factura"/>
    <x v="26"/>
    <x v="9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22 error: Error en envio de documeto '&lt;/p&gt;"/>
    <x v="0"/>
    <m/>
    <m/>
    <m/>
    <m/>
    <m/>
    <m/>
    <x v="0"/>
    <x v="0"/>
    <m/>
    <m/>
    <x v="10"/>
  </r>
  <r>
    <x v="103"/>
    <n v="0"/>
    <m/>
    <s v="(01) Factura"/>
    <x v="26"/>
    <x v="9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2 error: Error en envio de documeto '&lt;/p&gt;"/>
    <x v="0"/>
    <m/>
    <m/>
    <m/>
    <m/>
    <m/>
    <m/>
    <x v="0"/>
    <x v="0"/>
    <m/>
    <m/>
    <x v="10"/>
  </r>
  <r>
    <x v="104"/>
    <n v="0"/>
    <m/>
    <s v="(01) Factura"/>
    <x v="27"/>
    <x v="9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37 error: Error en envio de documeto '&lt;/p&gt;"/>
    <x v="0"/>
    <m/>
    <m/>
    <m/>
    <m/>
    <m/>
    <m/>
    <x v="0"/>
    <x v="0"/>
    <m/>
    <m/>
    <x v="10"/>
  </r>
  <r>
    <x v="105"/>
    <n v="0"/>
    <m/>
    <s v="(01) Factura"/>
    <x v="27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57 error: Error en envio de documeto '&lt;/p&gt;"/>
    <x v="0"/>
    <m/>
    <m/>
    <m/>
    <m/>
    <m/>
    <m/>
    <x v="0"/>
    <x v="0"/>
    <m/>
    <m/>
    <x v="10"/>
  </r>
  <r>
    <x v="106"/>
    <n v="0"/>
    <m/>
    <s v="(01) Factura"/>
    <x v="28"/>
    <x v="9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72 error: Error en envio de documeto '&lt;/p&gt;"/>
    <x v="0"/>
    <m/>
    <m/>
    <m/>
    <m/>
    <m/>
    <m/>
    <x v="0"/>
    <x v="0"/>
    <m/>
    <m/>
    <x v="10"/>
  </r>
  <r>
    <x v="107"/>
    <n v="0"/>
    <m/>
    <s v="(01) Factura"/>
    <x v="28"/>
    <x v="9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81 error: Error en envio de documeto '&lt;/p&gt;"/>
    <x v="0"/>
    <m/>
    <m/>
    <m/>
    <m/>
    <m/>
    <m/>
    <x v="0"/>
    <x v="0"/>
    <m/>
    <m/>
    <x v="10"/>
  </r>
  <r>
    <x v="108"/>
    <n v="0"/>
    <m/>
    <s v="(01) Factura"/>
    <x v="29"/>
    <x v="9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7995 error: Error en envio de documeto '&lt;/p&gt;"/>
    <x v="0"/>
    <m/>
    <m/>
    <m/>
    <m/>
    <m/>
    <m/>
    <x v="0"/>
    <x v="0"/>
    <m/>
    <m/>
    <x v="10"/>
  </r>
  <r>
    <x v="109"/>
    <n v="0"/>
    <m/>
    <s v="(01) Factura"/>
    <x v="29"/>
    <x v="9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05 error: Error en envio de documeto '&lt;/p&gt;"/>
    <x v="0"/>
    <m/>
    <m/>
    <m/>
    <m/>
    <m/>
    <m/>
    <x v="0"/>
    <x v="0"/>
    <m/>
    <m/>
    <x v="10"/>
  </r>
  <r>
    <x v="110"/>
    <n v="0"/>
    <m/>
    <s v="(01) Factura"/>
    <x v="30"/>
    <x v="9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15 error: Error en envio de documeto '&lt;/p&gt;"/>
    <x v="0"/>
    <m/>
    <m/>
    <m/>
    <m/>
    <m/>
    <m/>
    <x v="0"/>
    <x v="0"/>
    <m/>
    <m/>
    <x v="10"/>
  </r>
  <r>
    <x v="111"/>
    <n v="0"/>
    <m/>
    <s v="(01) Factura"/>
    <x v="30"/>
    <x v="9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26 error: Error en envio de documeto '&lt;/p&gt;"/>
    <x v="0"/>
    <m/>
    <m/>
    <m/>
    <m/>
    <m/>
    <m/>
    <x v="0"/>
    <x v="0"/>
    <m/>
    <m/>
    <x v="10"/>
  </r>
  <r>
    <x v="112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45 error: Error en envio de documeto '&lt;/p&gt;"/>
    <x v="0"/>
    <m/>
    <m/>
    <m/>
    <m/>
    <m/>
    <m/>
    <x v="0"/>
    <x v="0"/>
    <m/>
    <m/>
    <x v="10"/>
  </r>
  <r>
    <x v="113"/>
    <n v="0"/>
    <m/>
    <s v="(01) Factura"/>
    <x v="23"/>
    <x v="9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67 error: Error en envio de documeto '&lt;/p&gt;"/>
    <x v="0"/>
    <m/>
    <m/>
    <m/>
    <m/>
    <m/>
    <m/>
    <x v="0"/>
    <x v="0"/>
    <m/>
    <m/>
    <x v="10"/>
  </r>
  <r>
    <x v="114"/>
    <n v="0"/>
    <m/>
    <s v="(01) Factura"/>
    <x v="23"/>
    <x v="9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80 error: Error en envio de documeto '&lt;/p&gt;"/>
    <x v="0"/>
    <m/>
    <m/>
    <m/>
    <m/>
    <m/>
    <m/>
    <x v="0"/>
    <x v="0"/>
    <m/>
    <m/>
    <x v="10"/>
  </r>
  <r>
    <x v="115"/>
    <n v="0"/>
    <m/>
    <s v="(01) Factura"/>
    <x v="23"/>
    <x v="9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094 error: Error en envio de documeto '&lt;/p&gt;"/>
    <x v="0"/>
    <m/>
    <m/>
    <m/>
    <m/>
    <m/>
    <m/>
    <x v="0"/>
    <x v="0"/>
    <m/>
    <m/>
    <x v="10"/>
  </r>
  <r>
    <x v="116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09 error: Error en envio de documeto '&lt;/p&gt;"/>
    <x v="0"/>
    <m/>
    <m/>
    <m/>
    <m/>
    <m/>
    <m/>
    <x v="0"/>
    <x v="0"/>
    <m/>
    <m/>
    <x v="10"/>
  </r>
  <r>
    <x v="117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31 error: Error en envio de documeto '&lt;/p&gt;"/>
    <x v="0"/>
    <m/>
    <m/>
    <m/>
    <m/>
    <m/>
    <m/>
    <x v="0"/>
    <x v="0"/>
    <m/>
    <m/>
    <x v="10"/>
  </r>
  <r>
    <x v="118"/>
    <n v="0"/>
    <m/>
    <s v="(01) Factura"/>
    <x v="23"/>
    <x v="9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45 error: Error en envio de documeto '&lt;/p&gt;"/>
    <x v="0"/>
    <m/>
    <m/>
    <m/>
    <m/>
    <m/>
    <m/>
    <x v="0"/>
    <x v="0"/>
    <m/>
    <m/>
    <x v="10"/>
  </r>
  <r>
    <x v="119"/>
    <n v="0"/>
    <m/>
    <s v="(01) Factura"/>
    <x v="23"/>
    <x v="9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66 error: Error en envio de documeto '&lt;/p&gt;"/>
    <x v="0"/>
    <m/>
    <m/>
    <m/>
    <m/>
    <m/>
    <m/>
    <x v="0"/>
    <x v="0"/>
    <m/>
    <m/>
    <x v="10"/>
  </r>
  <r>
    <x v="120"/>
    <n v="0"/>
    <m/>
    <s v="(01) Factura"/>
    <x v="23"/>
    <x v="9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193 error: Error en envio de documeto '&lt;/p&gt;"/>
    <x v="0"/>
    <m/>
    <m/>
    <m/>
    <m/>
    <m/>
    <m/>
    <x v="0"/>
    <x v="0"/>
    <m/>
    <m/>
    <x v="10"/>
  </r>
  <r>
    <x v="121"/>
    <n v="0"/>
    <m/>
    <s v="(01) Factura"/>
    <x v="31"/>
    <x v="9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18 error: Error en envio de documeto '&lt;/p&gt;"/>
    <x v="0"/>
    <m/>
    <m/>
    <m/>
    <m/>
    <m/>
    <m/>
    <x v="0"/>
    <x v="0"/>
    <m/>
    <m/>
    <x v="10"/>
  </r>
  <r>
    <x v="122"/>
    <n v="0"/>
    <m/>
    <s v="(01) Factura"/>
    <x v="31"/>
    <x v="9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33 error: Error en envio de documeto '&lt;/p&gt;"/>
    <x v="0"/>
    <m/>
    <m/>
    <m/>
    <m/>
    <m/>
    <m/>
    <x v="0"/>
    <x v="0"/>
    <m/>
    <m/>
    <x v="10"/>
  </r>
  <r>
    <x v="123"/>
    <n v="0"/>
    <m/>
    <s v="(01) Factura"/>
    <x v="32"/>
    <x v="9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49 error: Error en envio de documeto '&lt;/p&gt;"/>
    <x v="0"/>
    <m/>
    <m/>
    <m/>
    <m/>
    <m/>
    <m/>
    <x v="0"/>
    <x v="0"/>
    <m/>
    <m/>
    <x v="10"/>
  </r>
  <r>
    <x v="124"/>
    <n v="0"/>
    <m/>
    <s v="(01) Factura"/>
    <x v="32"/>
    <x v="9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67 error: Error en envio de documeto '&lt;/p&gt;"/>
    <x v="0"/>
    <m/>
    <m/>
    <m/>
    <m/>
    <m/>
    <m/>
    <x v="0"/>
    <x v="0"/>
    <m/>
    <m/>
    <x v="10"/>
  </r>
  <r>
    <x v="125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278 error: Error en envio de documeto '&lt;/p&gt;"/>
    <x v="0"/>
    <m/>
    <m/>
    <m/>
    <m/>
    <m/>
    <m/>
    <x v="0"/>
    <x v="0"/>
    <m/>
    <m/>
    <x v="10"/>
  </r>
  <r>
    <x v="126"/>
    <n v="0"/>
    <m/>
    <s v="(01) Factura"/>
    <x v="23"/>
    <x v="9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09 error: Error en envio de documeto '&lt;/p&gt;"/>
    <x v="0"/>
    <m/>
    <m/>
    <m/>
    <m/>
    <m/>
    <m/>
    <x v="0"/>
    <x v="0"/>
    <m/>
    <m/>
    <x v="10"/>
  </r>
  <r>
    <x v="127"/>
    <n v="0"/>
    <m/>
    <s v="(01) Factura"/>
    <x v="23"/>
    <x v="9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36 error: Error en envio de documeto '&lt;/p&gt;"/>
    <x v="0"/>
    <m/>
    <m/>
    <m/>
    <m/>
    <m/>
    <m/>
    <x v="0"/>
    <x v="0"/>
    <m/>
    <m/>
    <x v="10"/>
  </r>
  <r>
    <x v="128"/>
    <n v="0"/>
    <m/>
    <s v="(01) Factura"/>
    <x v="33"/>
    <x v="9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44 error: Error en envio de documeto '&lt;/p&gt;"/>
    <x v="0"/>
    <m/>
    <m/>
    <m/>
    <m/>
    <m/>
    <m/>
    <x v="0"/>
    <x v="0"/>
    <m/>
    <m/>
    <x v="10"/>
  </r>
  <r>
    <x v="129"/>
    <n v="0"/>
    <m/>
    <s v="(01) Factura"/>
    <x v="33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55 error: Error en envio de documeto '&lt;/p&gt;"/>
    <x v="0"/>
    <m/>
    <m/>
    <m/>
    <m/>
    <m/>
    <m/>
    <x v="0"/>
    <x v="0"/>
    <m/>
    <m/>
    <x v="10"/>
  </r>
  <r>
    <x v="130"/>
    <n v="0"/>
    <m/>
    <s v="(01) Factura"/>
    <x v="23"/>
    <x v="9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383 error: Error en envio de documeto '&lt;/p&gt;"/>
    <x v="0"/>
    <m/>
    <m/>
    <m/>
    <m/>
    <m/>
    <m/>
    <x v="0"/>
    <x v="0"/>
    <m/>
    <m/>
    <x v="10"/>
  </r>
  <r>
    <x v="131"/>
    <n v="0"/>
    <m/>
    <s v="(01) Factura"/>
    <x v="23"/>
    <x v="9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03 error: Error en envio de documeto '&lt;/p&gt;"/>
    <x v="0"/>
    <m/>
    <m/>
    <m/>
    <m/>
    <m/>
    <m/>
    <x v="0"/>
    <x v="0"/>
    <m/>
    <m/>
    <x v="10"/>
  </r>
  <r>
    <x v="132"/>
    <n v="0"/>
    <m/>
    <s v="(01) Factura"/>
    <x v="23"/>
    <x v="9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34 error: Error en envio de documeto '&lt;/p&gt;"/>
    <x v="0"/>
    <m/>
    <m/>
    <m/>
    <m/>
    <m/>
    <m/>
    <x v="0"/>
    <x v="0"/>
    <m/>
    <m/>
    <x v="10"/>
  </r>
  <r>
    <x v="133"/>
    <n v="0"/>
    <m/>
    <s v="(01) Factura"/>
    <x v="23"/>
    <x v="9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46 error: Error en envio de documeto '&lt;/p&gt;"/>
    <x v="0"/>
    <m/>
    <m/>
    <m/>
    <m/>
    <m/>
    <m/>
    <x v="0"/>
    <x v="0"/>
    <m/>
    <m/>
    <x v="10"/>
  </r>
  <r>
    <x v="134"/>
    <n v="0"/>
    <m/>
    <s v="(01) Factura"/>
    <x v="34"/>
    <x v="9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75 error: Error en envio de documeto '&lt;/p&gt;"/>
    <x v="0"/>
    <m/>
    <m/>
    <m/>
    <m/>
    <m/>
    <m/>
    <x v="0"/>
    <x v="0"/>
    <m/>
    <m/>
    <x v="10"/>
  </r>
  <r>
    <x v="135"/>
    <n v="0"/>
    <m/>
    <s v="(01) Factura"/>
    <x v="34"/>
    <x v="9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482 error: Error en envio de documeto '&lt;/p&gt;"/>
    <x v="0"/>
    <m/>
    <m/>
    <m/>
    <m/>
    <m/>
    <m/>
    <x v="0"/>
    <x v="0"/>
    <m/>
    <m/>
    <x v="10"/>
  </r>
  <r>
    <x v="136"/>
    <n v="0"/>
    <m/>
    <s v="(03) Boleta"/>
    <x v="35"/>
    <x v="9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09 error: Error en envio de documeto '&lt;/p&gt;"/>
    <x v="0"/>
    <m/>
    <m/>
    <m/>
    <m/>
    <m/>
    <m/>
    <x v="0"/>
    <x v="0"/>
    <m/>
    <m/>
    <x v="10"/>
  </r>
  <r>
    <x v="137"/>
    <n v="0"/>
    <m/>
    <s v="(03) Boleta"/>
    <x v="35"/>
    <x v="9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16 error: Error en envio de documeto '&lt;/p&gt;"/>
    <x v="0"/>
    <m/>
    <m/>
    <m/>
    <m/>
    <m/>
    <m/>
    <x v="0"/>
    <x v="0"/>
    <m/>
    <m/>
    <x v="10"/>
  </r>
  <r>
    <x v="138"/>
    <n v="0"/>
    <m/>
    <s v="(03) Boleta"/>
    <x v="35"/>
    <x v="9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24 error: Error en envio de documeto '&lt;/p&gt;"/>
    <x v="0"/>
    <m/>
    <m/>
    <m/>
    <m/>
    <m/>
    <m/>
    <x v="0"/>
    <x v="0"/>
    <m/>
    <m/>
    <x v="10"/>
  </r>
  <r>
    <x v="139"/>
    <n v="0"/>
    <m/>
    <s v="(03) Boleta"/>
    <x v="36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35 error: Error en envio de documeto '&lt;/p&gt;"/>
    <x v="0"/>
    <m/>
    <m/>
    <m/>
    <m/>
    <m/>
    <m/>
    <x v="0"/>
    <x v="0"/>
    <m/>
    <m/>
    <x v="10"/>
  </r>
  <r>
    <x v="140"/>
    <n v="0"/>
    <m/>
    <s v="(03) Boleta"/>
    <x v="36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44 error: Error en envio de documeto '&lt;/p&gt;"/>
    <x v="0"/>
    <m/>
    <m/>
    <m/>
    <m/>
    <m/>
    <m/>
    <x v="0"/>
    <x v="0"/>
    <m/>
    <m/>
    <x v="10"/>
  </r>
  <r>
    <x v="141"/>
    <n v="0"/>
    <m/>
    <s v="(03) Boleta"/>
    <x v="36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51 error: Error en envio de documeto '&lt;/p&gt;"/>
    <x v="0"/>
    <m/>
    <m/>
    <m/>
    <m/>
    <m/>
    <m/>
    <x v="0"/>
    <x v="0"/>
    <m/>
    <m/>
    <x v="10"/>
  </r>
  <r>
    <x v="142"/>
    <n v="0"/>
    <m/>
    <s v="(03) Boleta"/>
    <x v="37"/>
    <x v="9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72 error: Error en envio de documeto '&lt;/p&gt;"/>
    <x v="0"/>
    <m/>
    <m/>
    <m/>
    <m/>
    <m/>
    <m/>
    <x v="0"/>
    <x v="0"/>
    <m/>
    <m/>
    <x v="10"/>
  </r>
  <r>
    <x v="143"/>
    <n v="0"/>
    <m/>
    <s v="(03) Boleta"/>
    <x v="37"/>
    <x v="9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582 error: Error en envio de documeto '&lt;/p&gt;"/>
    <x v="0"/>
    <m/>
    <m/>
    <m/>
    <m/>
    <m/>
    <m/>
    <x v="0"/>
    <x v="0"/>
    <m/>
    <m/>
    <x v="10"/>
  </r>
  <r>
    <x v="144"/>
    <n v="0"/>
    <m/>
    <s v="(03) Boleta"/>
    <x v="37"/>
    <x v="9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19 error: Error en envio de documeto '&lt;/p&gt;"/>
    <x v="0"/>
    <m/>
    <m/>
    <m/>
    <m/>
    <m/>
    <m/>
    <x v="0"/>
    <x v="0"/>
    <m/>
    <m/>
    <x v="10"/>
  </r>
  <r>
    <x v="145"/>
    <n v="0"/>
    <m/>
    <s v="(03) Boleta"/>
    <x v="38"/>
    <x v="9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42 error: Error en envio de documeto '&lt;/p&gt;"/>
    <x v="0"/>
    <m/>
    <m/>
    <m/>
    <m/>
    <m/>
    <m/>
    <x v="0"/>
    <x v="0"/>
    <m/>
    <m/>
    <x v="10"/>
  </r>
  <r>
    <x v="146"/>
    <n v="0"/>
    <m/>
    <s v="(03) Boleta"/>
    <x v="38"/>
    <x v="9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55 error: Error en envio de documeto '&lt;/p&gt;"/>
    <x v="0"/>
    <m/>
    <m/>
    <m/>
    <m/>
    <m/>
    <m/>
    <x v="0"/>
    <x v="0"/>
    <m/>
    <m/>
    <x v="10"/>
  </r>
  <r>
    <x v="147"/>
    <n v="0"/>
    <m/>
    <s v="(03) Boleta"/>
    <x v="38"/>
    <x v="9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67 error: Error en envio de documeto '&lt;/p&gt;"/>
    <x v="0"/>
    <m/>
    <m/>
    <m/>
    <m/>
    <m/>
    <m/>
    <x v="0"/>
    <x v="0"/>
    <m/>
    <m/>
    <x v="10"/>
  </r>
  <r>
    <x v="148"/>
    <n v="0"/>
    <m/>
    <s v="(03) Boleta"/>
    <x v="39"/>
    <x v="9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680 error: Error en envio de documeto '&lt;/p&gt;"/>
    <x v="0"/>
    <m/>
    <m/>
    <m/>
    <m/>
    <m/>
    <m/>
    <x v="0"/>
    <x v="0"/>
    <m/>
    <m/>
    <x v="10"/>
  </r>
  <r>
    <x v="149"/>
    <n v="0"/>
    <m/>
    <s v="(03) Boleta"/>
    <x v="39"/>
    <x v="9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13 error: Error en envio de documeto '&lt;/p&gt;"/>
    <x v="0"/>
    <m/>
    <m/>
    <m/>
    <m/>
    <m/>
    <m/>
    <x v="0"/>
    <x v="0"/>
    <m/>
    <m/>
    <x v="10"/>
  </r>
  <r>
    <x v="150"/>
    <n v="0"/>
    <m/>
    <s v="(03) Boleta"/>
    <x v="39"/>
    <x v="9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20 error: Error en envio de documeto '&lt;/p&gt;"/>
    <x v="0"/>
    <m/>
    <m/>
    <m/>
    <m/>
    <m/>
    <m/>
    <x v="0"/>
    <x v="0"/>
    <m/>
    <m/>
    <x v="10"/>
  </r>
  <r>
    <x v="151"/>
    <n v="0"/>
    <m/>
    <s v="(03) Boleta"/>
    <x v="40"/>
    <x v="9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37 error: Error en envio de documeto '&lt;/p&gt;"/>
    <x v="0"/>
    <m/>
    <m/>
    <m/>
    <m/>
    <m/>
    <m/>
    <x v="0"/>
    <x v="0"/>
    <m/>
    <m/>
    <x v="10"/>
  </r>
  <r>
    <x v="152"/>
    <n v="0"/>
    <m/>
    <s v="(03) Boleta"/>
    <x v="40"/>
    <x v="9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29184353 error: Error en envio de documeto '&lt;/p&gt;"/>
    <x v="0"/>
    <m/>
    <m/>
    <m/>
    <m/>
    <m/>
    <m/>
    <x v="0"/>
    <x v="0"/>
    <m/>
    <m/>
    <x v="10"/>
  </r>
  <r>
    <x v="153"/>
    <n v="0"/>
    <m/>
    <s v="(03) Boleta"/>
    <x v="40"/>
    <x v="9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66 error: Error en envio de documeto '&lt;/p&gt;"/>
    <x v="0"/>
    <m/>
    <m/>
    <m/>
    <m/>
    <m/>
    <m/>
    <x v="0"/>
    <x v="0"/>
    <m/>
    <m/>
    <x v="10"/>
  </r>
  <r>
    <x v="154"/>
    <n v="0"/>
    <m/>
    <s v="(03) Boleta"/>
    <x v="41"/>
    <x v="9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75 error: Error en envio de documeto '&lt;/p&gt;"/>
    <x v="0"/>
    <m/>
    <m/>
    <m/>
    <m/>
    <m/>
    <m/>
    <x v="0"/>
    <x v="0"/>
    <m/>
    <m/>
    <x v="10"/>
  </r>
  <r>
    <x v="155"/>
    <n v="0"/>
    <m/>
    <s v="(03) Boleta"/>
    <x v="41"/>
    <x v="9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82 error: Error en envio de documeto '&lt;/p&gt;"/>
    <x v="0"/>
    <m/>
    <m/>
    <m/>
    <m/>
    <m/>
    <m/>
    <x v="0"/>
    <x v="0"/>
    <m/>
    <m/>
    <x v="10"/>
  </r>
  <r>
    <x v="156"/>
    <n v="0"/>
    <m/>
    <s v="(03) Boleta"/>
    <x v="42"/>
    <x v="9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793 error: Error en envio de documeto '&lt;/p&gt;"/>
    <x v="0"/>
    <m/>
    <m/>
    <m/>
    <m/>
    <m/>
    <m/>
    <x v="0"/>
    <x v="0"/>
    <m/>
    <m/>
    <x v="10"/>
  </r>
  <r>
    <x v="157"/>
    <n v="0"/>
    <m/>
    <s v="(03) Boleta"/>
    <x v="42"/>
    <x v="9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2 error: Error en envio de documeto '&lt;/p&gt;"/>
    <x v="0"/>
    <m/>
    <m/>
    <m/>
    <m/>
    <m/>
    <m/>
    <x v="0"/>
    <x v="0"/>
    <m/>
    <m/>
    <x v="10"/>
  </r>
  <r>
    <x v="158"/>
    <n v="0"/>
    <m/>
    <s v="(03) Boleta"/>
    <x v="42"/>
    <x v="9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09 error: Error en envio de documeto '&lt;/p&gt;"/>
    <x v="0"/>
    <m/>
    <m/>
    <m/>
    <m/>
    <m/>
    <m/>
    <x v="0"/>
    <x v="0"/>
    <m/>
    <m/>
    <x v="10"/>
  </r>
  <r>
    <x v="159"/>
    <n v="0"/>
    <m/>
    <s v="(03) Boleta"/>
    <x v="42"/>
    <x v="9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22 error: Error en envio de documeto '&lt;/p&gt;"/>
    <x v="0"/>
    <m/>
    <m/>
    <m/>
    <m/>
    <m/>
    <m/>
    <x v="0"/>
    <x v="0"/>
    <m/>
    <m/>
    <x v="10"/>
  </r>
  <r>
    <x v="160"/>
    <n v="0"/>
    <m/>
    <s v="(03) Boleta"/>
    <x v="9"/>
    <x v="9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46 error: Error en envio de documeto '&lt;/p&gt;"/>
    <x v="0"/>
    <m/>
    <m/>
    <m/>
    <m/>
    <m/>
    <m/>
    <x v="0"/>
    <x v="0"/>
    <m/>
    <m/>
    <x v="10"/>
  </r>
  <r>
    <x v="161"/>
    <n v="0"/>
    <m/>
    <s v="(03) Boleta"/>
    <x v="9"/>
    <x v="9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1 error: Error en envio de documeto '&lt;/p&gt;"/>
    <x v="0"/>
    <m/>
    <m/>
    <m/>
    <m/>
    <m/>
    <m/>
    <x v="0"/>
    <x v="0"/>
    <m/>
    <m/>
    <x v="10"/>
  </r>
  <r>
    <x v="162"/>
    <n v="0"/>
    <m/>
    <s v="(03) Boleta"/>
    <x v="9"/>
    <x v="9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866 error: Error en envio de documeto '&lt;/p&gt;"/>
    <x v="0"/>
    <m/>
    <m/>
    <m/>
    <m/>
    <m/>
    <m/>
    <x v="0"/>
    <x v="0"/>
    <m/>
    <m/>
    <x v="10"/>
  </r>
  <r>
    <x v="163"/>
    <n v="0"/>
    <m/>
    <s v="(03) Boleta"/>
    <x v="9"/>
    <x v="9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02 error: Error en envio de documeto '&lt;/p&gt;"/>
    <x v="0"/>
    <m/>
    <m/>
    <m/>
    <m/>
    <m/>
    <m/>
    <x v="0"/>
    <x v="0"/>
    <m/>
    <m/>
    <x v="10"/>
  </r>
  <r>
    <x v="164"/>
    <n v="0"/>
    <m/>
    <s v="(03) Boleta"/>
    <x v="9"/>
    <x v="9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28 error: Error en envio de documeto '&lt;/p&gt;"/>
    <x v="0"/>
    <m/>
    <m/>
    <m/>
    <m/>
    <m/>
    <m/>
    <x v="0"/>
    <x v="0"/>
    <m/>
    <m/>
    <x v="10"/>
  </r>
  <r>
    <x v="165"/>
    <n v="0"/>
    <m/>
    <s v="(03) Boleta"/>
    <x v="9"/>
    <x v="9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51 error: Error en envio de documeto '&lt;/p&gt;"/>
    <x v="0"/>
    <m/>
    <m/>
    <m/>
    <m/>
    <m/>
    <m/>
    <x v="0"/>
    <x v="0"/>
    <m/>
    <m/>
    <x v="10"/>
  </r>
  <r>
    <x v="166"/>
    <n v="0"/>
    <m/>
    <s v="(01) Factura"/>
    <x v="23"/>
    <x v="1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60 error: Error en envio de documeto '&lt;/p&gt;"/>
    <x v="0"/>
    <m/>
    <m/>
    <m/>
    <m/>
    <m/>
    <m/>
    <x v="0"/>
    <x v="0"/>
    <m/>
    <m/>
    <x v="11"/>
  </r>
  <r>
    <x v="167"/>
    <n v="0"/>
    <m/>
    <s v="(01) Factura"/>
    <x v="16"/>
    <x v="11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1 error: Error en envio de documeto '&lt;/p&gt;"/>
    <x v="0"/>
    <m/>
    <m/>
    <m/>
    <m/>
    <m/>
    <m/>
    <x v="0"/>
    <x v="0"/>
    <m/>
    <m/>
    <x v="12"/>
  </r>
  <r>
    <x v="168"/>
    <n v="0"/>
    <m/>
    <s v="(01) Factura"/>
    <x v="43"/>
    <x v="12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8988 error: Error en envio de documeto '&lt;/p&gt;"/>
    <x v="0"/>
    <m/>
    <m/>
    <m/>
    <m/>
    <m/>
    <m/>
    <x v="0"/>
    <x v="0"/>
    <m/>
    <m/>
    <x v="13"/>
  </r>
  <r>
    <x v="169"/>
    <n v="0"/>
    <m/>
    <s v="(01) Factura"/>
    <x v="43"/>
    <x v="12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04 error: Error en envio de documeto '&lt;/p&gt;"/>
    <x v="0"/>
    <m/>
    <m/>
    <m/>
    <m/>
    <m/>
    <m/>
    <x v="0"/>
    <x v="0"/>
    <m/>
    <m/>
    <x v="13"/>
  </r>
  <r>
    <x v="170"/>
    <n v="0"/>
    <m/>
    <s v="(03) Boleta"/>
    <x v="44"/>
    <x v="12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0 error: Error en envio de documeto '&lt;/p&gt;"/>
    <x v="0"/>
    <m/>
    <m/>
    <m/>
    <m/>
    <m/>
    <m/>
    <x v="0"/>
    <x v="0"/>
    <m/>
    <m/>
    <x v="13"/>
  </r>
  <r>
    <x v="171"/>
    <n v="0"/>
    <m/>
    <s v="(03) Boleta"/>
    <x v="44"/>
    <x v="12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15 error: Error en envio de documeto '&lt;/p&gt;"/>
    <x v="0"/>
    <m/>
    <m/>
    <m/>
    <m/>
    <m/>
    <m/>
    <x v="0"/>
    <x v="0"/>
    <m/>
    <m/>
    <x v="13"/>
  </r>
  <r>
    <x v="172"/>
    <n v="0"/>
    <m/>
    <s v="(03) Boleta"/>
    <x v="45"/>
    <x v="12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35 error: Error en envio de documeto '&lt;/p&gt;"/>
    <x v="0"/>
    <m/>
    <m/>
    <m/>
    <m/>
    <m/>
    <m/>
    <x v="0"/>
    <x v="0"/>
    <m/>
    <m/>
    <x v="13"/>
  </r>
  <r>
    <x v="173"/>
    <n v="0"/>
    <m/>
    <s v="(03) Boleta"/>
    <x v="45"/>
    <x v="12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40 error: Error en envio de documeto '&lt;/p&gt;"/>
    <x v="0"/>
    <m/>
    <m/>
    <m/>
    <m/>
    <m/>
    <m/>
    <x v="0"/>
    <x v="0"/>
    <m/>
    <m/>
    <x v="13"/>
  </r>
  <r>
    <x v="174"/>
    <n v="0"/>
    <m/>
    <s v="(03) Boleta"/>
    <x v="42"/>
    <x v="13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61 error: Error en envio de documeto '&lt;/p&gt;"/>
    <x v="0"/>
    <m/>
    <m/>
    <m/>
    <m/>
    <m/>
    <m/>
    <x v="0"/>
    <x v="0"/>
    <m/>
    <m/>
    <x v="14"/>
  </r>
  <r>
    <x v="175"/>
    <n v="0"/>
    <m/>
    <s v="(03) Boleta"/>
    <x v="42"/>
    <x v="13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072 error: Error en envio de documeto '&lt;/p&gt;"/>
    <x v="0"/>
    <m/>
    <m/>
    <m/>
    <m/>
    <m/>
    <m/>
    <x v="0"/>
    <x v="0"/>
    <m/>
    <m/>
    <x v="14"/>
  </r>
  <r>
    <x v="176"/>
    <n v="0"/>
    <m/>
    <s v="(03) Boleta"/>
    <x v="46"/>
    <x v="13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598888847 error: Error en envio de documento '&lt;/p&gt;"/>
    <x v="0"/>
    <m/>
    <m/>
    <m/>
    <m/>
    <m/>
    <m/>
    <x v="0"/>
    <x v="0"/>
    <m/>
    <m/>
    <x v="14"/>
  </r>
  <r>
    <x v="177"/>
    <n v="0"/>
    <m/>
    <s v="(03) Boleta"/>
    <x v="46"/>
    <x v="13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08 error: Error en envio de documeto '&lt;/p&gt;"/>
    <x v="0"/>
    <m/>
    <m/>
    <m/>
    <m/>
    <m/>
    <m/>
    <x v="0"/>
    <x v="0"/>
    <m/>
    <m/>
    <x v="14"/>
  </r>
  <r>
    <x v="178"/>
    <n v="0"/>
    <m/>
    <s v="(03) Boleta"/>
    <x v="46"/>
    <x v="13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17 error: Error en envio de documeto '&lt;/p&gt;"/>
    <x v="0"/>
    <m/>
    <m/>
    <m/>
    <m/>
    <m/>
    <m/>
    <x v="0"/>
    <x v="0"/>
    <m/>
    <m/>
    <x v="14"/>
  </r>
  <r>
    <x v="179"/>
    <n v="0"/>
    <m/>
    <s v="(03) Boleta"/>
    <x v="47"/>
    <x v="13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25 error: Error en envio de documeto '&lt;/p&gt;"/>
    <x v="0"/>
    <m/>
    <m/>
    <m/>
    <m/>
    <m/>
    <m/>
    <x v="0"/>
    <x v="0"/>
    <m/>
    <m/>
    <x v="14"/>
  </r>
  <r>
    <x v="180"/>
    <n v="0"/>
    <m/>
    <s v="(03) Boleta"/>
    <x v="47"/>
    <x v="13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3 error: Error en envio de documeto '&lt;/p&gt;"/>
    <x v="0"/>
    <m/>
    <m/>
    <m/>
    <m/>
    <m/>
    <m/>
    <x v="0"/>
    <x v="0"/>
    <m/>
    <m/>
    <x v="14"/>
  </r>
  <r>
    <x v="181"/>
    <n v="0"/>
    <m/>
    <s v="(01) Factura"/>
    <x v="48"/>
    <x v="14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39 error: Error en envio de documeto '&lt;/p&gt;"/>
    <x v="0"/>
    <m/>
    <m/>
    <m/>
    <m/>
    <m/>
    <m/>
    <x v="0"/>
    <x v="0"/>
    <m/>
    <m/>
    <x v="15"/>
  </r>
  <r>
    <x v="182"/>
    <n v="0"/>
    <m/>
    <s v="(01) Factura"/>
    <x v="48"/>
    <x v="14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1 error: Error en envio de documeto '&lt;/p&gt;"/>
    <x v="0"/>
    <m/>
    <m/>
    <m/>
    <m/>
    <m/>
    <m/>
    <x v="0"/>
    <x v="0"/>
    <m/>
    <m/>
    <x v="15"/>
  </r>
  <r>
    <x v="183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54 error: Error en envio de documeto '&lt;/p&gt;"/>
    <x v="0"/>
    <m/>
    <m/>
    <m/>
    <m/>
    <m/>
    <m/>
    <x v="0"/>
    <x v="0"/>
    <m/>
    <m/>
    <x v="15"/>
  </r>
  <r>
    <x v="184"/>
    <n v="0"/>
    <m/>
    <s v="(01) Factura"/>
    <x v="49"/>
    <x v="14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61 error: Error en envio de documeto '&lt;/p&gt;"/>
    <x v="0"/>
    <m/>
    <m/>
    <m/>
    <m/>
    <m/>
    <m/>
    <x v="0"/>
    <x v="0"/>
    <m/>
    <m/>
    <x v="15"/>
  </r>
  <r>
    <x v="18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77 error: Error en envio de documeto '&lt;/p&gt;"/>
    <x v="0"/>
    <m/>
    <m/>
    <m/>
    <m/>
    <m/>
    <m/>
    <x v="0"/>
    <x v="0"/>
    <m/>
    <m/>
    <x v="15"/>
  </r>
  <r>
    <x v="186"/>
    <n v="0"/>
    <m/>
    <s v="(01) Factura"/>
    <x v="49"/>
    <x v="14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192 error: Error en envio de documeto '&lt;/p&gt;"/>
    <x v="0"/>
    <m/>
    <m/>
    <m/>
    <m/>
    <m/>
    <m/>
    <x v="0"/>
    <x v="0"/>
    <m/>
    <m/>
    <x v="15"/>
  </r>
  <r>
    <x v="187"/>
    <n v="0"/>
    <m/>
    <s v="(01) Factura"/>
    <x v="49"/>
    <x v="14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1 error: Error en envio de documeto '&lt;/p&gt;"/>
    <x v="0"/>
    <m/>
    <m/>
    <m/>
    <m/>
    <m/>
    <m/>
    <x v="0"/>
    <x v="0"/>
    <m/>
    <m/>
    <x v="15"/>
  </r>
  <r>
    <x v="18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16 error: Error en envio de documeto '&lt;/p&gt;"/>
    <x v="0"/>
    <m/>
    <m/>
    <m/>
    <m/>
    <m/>
    <m/>
    <x v="0"/>
    <x v="0"/>
    <m/>
    <m/>
    <x v="15"/>
  </r>
  <r>
    <x v="189"/>
    <n v="0"/>
    <m/>
    <s v="(01) Factura"/>
    <x v="49"/>
    <x v="14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5 error: Error en envio de documeto '&lt;/p&gt;"/>
    <x v="0"/>
    <m/>
    <m/>
    <m/>
    <m/>
    <m/>
    <m/>
    <x v="0"/>
    <x v="0"/>
    <m/>
    <m/>
    <x v="15"/>
  </r>
  <r>
    <x v="190"/>
    <n v="0"/>
    <m/>
    <s v="(01) Factura"/>
    <x v="49"/>
    <x v="14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39 error: Error en envio de documeto '&lt;/p&gt;"/>
    <x v="0"/>
    <m/>
    <m/>
    <m/>
    <m/>
    <m/>
    <m/>
    <x v="0"/>
    <x v="0"/>
    <m/>
    <m/>
    <x v="15"/>
  </r>
  <r>
    <x v="191"/>
    <n v="0"/>
    <m/>
    <s v="(01) Factura"/>
    <x v="49"/>
    <x v="14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48 error: Error en envio de documeto '&lt;/p&gt;"/>
    <x v="0"/>
    <m/>
    <m/>
    <m/>
    <m/>
    <m/>
    <m/>
    <x v="0"/>
    <x v="0"/>
    <m/>
    <m/>
    <x v="15"/>
  </r>
  <r>
    <x v="192"/>
    <n v="0"/>
    <m/>
    <s v="(01) Factura"/>
    <x v="49"/>
    <x v="14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62 error: Error en envio de documeto '&lt;/p&gt;"/>
    <x v="0"/>
    <m/>
    <m/>
    <m/>
    <m/>
    <m/>
    <m/>
    <x v="0"/>
    <x v="0"/>
    <m/>
    <m/>
    <x v="15"/>
  </r>
  <r>
    <x v="193"/>
    <n v="0"/>
    <m/>
    <s v="(01) Factura"/>
    <x v="49"/>
    <x v="14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78 error: Error en envio de documeto '&lt;/p&gt;"/>
    <x v="0"/>
    <m/>
    <m/>
    <m/>
    <m/>
    <m/>
    <m/>
    <x v="0"/>
    <x v="0"/>
    <m/>
    <m/>
    <x v="15"/>
  </r>
  <r>
    <x v="194"/>
    <n v="0"/>
    <m/>
    <s v="(01) Factura"/>
    <x v="49"/>
    <x v="14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297 error: Error en envio de documeto '&lt;/p&gt;"/>
    <x v="0"/>
    <m/>
    <m/>
    <m/>
    <m/>
    <m/>
    <m/>
    <x v="0"/>
    <x v="0"/>
    <m/>
    <m/>
    <x v="15"/>
  </r>
  <r>
    <x v="195"/>
    <n v="0"/>
    <m/>
    <s v="(01) Factura"/>
    <x v="49"/>
    <x v="14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05 error: Error en envio de documeto '&lt;/p&gt;"/>
    <x v="0"/>
    <m/>
    <m/>
    <m/>
    <m/>
    <m/>
    <m/>
    <x v="0"/>
    <x v="0"/>
    <m/>
    <m/>
    <x v="15"/>
  </r>
  <r>
    <x v="196"/>
    <n v="0"/>
    <m/>
    <s v="(01) Factura"/>
    <x v="49"/>
    <x v="14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31 error: Error en envio de documeto '&lt;/p&gt;"/>
    <x v="0"/>
    <m/>
    <m/>
    <m/>
    <m/>
    <m/>
    <m/>
    <x v="0"/>
    <x v="0"/>
    <m/>
    <m/>
    <x v="15"/>
  </r>
  <r>
    <x v="197"/>
    <n v="0"/>
    <m/>
    <s v="(01) Factura"/>
    <x v="49"/>
    <x v="14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44 error: Error en envio de documeto '&lt;/p&gt;"/>
    <x v="0"/>
    <m/>
    <m/>
    <m/>
    <m/>
    <m/>
    <m/>
    <x v="0"/>
    <x v="0"/>
    <m/>
    <m/>
    <x v="15"/>
  </r>
  <r>
    <x v="198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51 error: Error en envio de documeto '&lt;/p&gt;"/>
    <x v="0"/>
    <m/>
    <m/>
    <m/>
    <m/>
    <m/>
    <m/>
    <x v="0"/>
    <x v="0"/>
    <m/>
    <m/>
    <x v="15"/>
  </r>
  <r>
    <x v="199"/>
    <n v="0"/>
    <m/>
    <s v="(01) Factura"/>
    <x v="49"/>
    <x v="14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64 error: Error en envio de documeto '&lt;/p&gt;"/>
    <x v="0"/>
    <m/>
    <m/>
    <m/>
    <m/>
    <m/>
    <m/>
    <x v="0"/>
    <x v="0"/>
    <m/>
    <m/>
    <x v="15"/>
  </r>
  <r>
    <x v="200"/>
    <n v="0"/>
    <m/>
    <s v="(01) Factura"/>
    <x v="49"/>
    <x v="14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73 error: Error en envio de documeto '&lt;/p&gt;"/>
    <x v="0"/>
    <m/>
    <m/>
    <m/>
    <m/>
    <m/>
    <m/>
    <x v="0"/>
    <x v="0"/>
    <m/>
    <m/>
    <x v="15"/>
  </r>
  <r>
    <x v="201"/>
    <n v="0"/>
    <m/>
    <s v="(01) Factura"/>
    <x v="49"/>
    <x v="14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84 error: Error en envio de documeto '&lt;/p&gt;"/>
    <x v="0"/>
    <m/>
    <m/>
    <m/>
    <m/>
    <m/>
    <m/>
    <x v="0"/>
    <x v="0"/>
    <m/>
    <m/>
    <x v="15"/>
  </r>
  <r>
    <x v="202"/>
    <n v="0"/>
    <m/>
    <s v="(01) Factura"/>
    <x v="49"/>
    <x v="14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398 error: Error en envio de documeto '&lt;/p&gt;"/>
    <x v="0"/>
    <m/>
    <m/>
    <m/>
    <m/>
    <m/>
    <m/>
    <x v="0"/>
    <x v="0"/>
    <m/>
    <m/>
    <x v="15"/>
  </r>
  <r>
    <x v="203"/>
    <n v="0"/>
    <m/>
    <s v="(01) Factura"/>
    <x v="49"/>
    <x v="14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09 error: Error en envio de documeto '&lt;/p&gt;"/>
    <x v="0"/>
    <m/>
    <m/>
    <m/>
    <m/>
    <m/>
    <m/>
    <x v="0"/>
    <x v="0"/>
    <m/>
    <m/>
    <x v="15"/>
  </r>
  <r>
    <x v="204"/>
    <n v="0"/>
    <m/>
    <s v="(01) Factura"/>
    <x v="49"/>
    <x v="14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24 error: Error en envio de documeto '&lt;/p&gt;"/>
    <x v="0"/>
    <m/>
    <m/>
    <m/>
    <m/>
    <m/>
    <m/>
    <x v="0"/>
    <x v="0"/>
    <m/>
    <m/>
    <x v="15"/>
  </r>
  <r>
    <x v="205"/>
    <n v="0"/>
    <m/>
    <s v="(01) Factura"/>
    <x v="49"/>
    <x v="14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34 error: Error en envio de documeto '&lt;/p&gt;"/>
    <x v="0"/>
    <m/>
    <m/>
    <m/>
    <m/>
    <m/>
    <m/>
    <x v="0"/>
    <x v="0"/>
    <m/>
    <m/>
    <x v="15"/>
  </r>
  <r>
    <x v="206"/>
    <n v="0"/>
    <m/>
    <s v="(03) Boleta"/>
    <x v="50"/>
    <x v="14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42 error: Error en envio de documeto '&lt;/p&gt;"/>
    <x v="0"/>
    <m/>
    <m/>
    <m/>
    <m/>
    <m/>
    <m/>
    <x v="0"/>
    <x v="0"/>
    <m/>
    <m/>
    <x v="15"/>
  </r>
  <r>
    <x v="207"/>
    <n v="0"/>
    <m/>
    <s v="(03) Boleta"/>
    <x v="50"/>
    <x v="14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2 error: Error en envio de documeto '&lt;/p&gt;"/>
    <x v="0"/>
    <m/>
    <m/>
    <m/>
    <m/>
    <m/>
    <m/>
    <x v="0"/>
    <x v="0"/>
    <m/>
    <m/>
    <x v="15"/>
  </r>
  <r>
    <x v="208"/>
    <n v="0"/>
    <m/>
    <s v="(03) Boleta"/>
    <x v="50"/>
    <x v="14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56 error: Error en envio de documeto '&lt;/p&gt;"/>
    <x v="0"/>
    <m/>
    <m/>
    <m/>
    <m/>
    <m/>
    <m/>
    <x v="0"/>
    <x v="0"/>
    <m/>
    <m/>
    <x v="15"/>
  </r>
  <r>
    <x v="209"/>
    <n v="0"/>
    <m/>
    <s v="(03) Boleta"/>
    <x v="50"/>
    <x v="14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70 error: Error en envio de documeto '&lt;/p&gt;"/>
    <x v="0"/>
    <m/>
    <m/>
    <m/>
    <m/>
    <m/>
    <m/>
    <x v="0"/>
    <x v="0"/>
    <m/>
    <m/>
    <x v="15"/>
  </r>
  <r>
    <x v="210"/>
    <n v="0"/>
    <m/>
    <s v="(01) Factura"/>
    <x v="16"/>
    <x v="15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0 error: Error en envio de documeto '&lt;/p&gt;"/>
    <x v="0"/>
    <m/>
    <m/>
    <m/>
    <m/>
    <m/>
    <m/>
    <x v="0"/>
    <x v="0"/>
    <m/>
    <m/>
    <x v="16"/>
  </r>
  <r>
    <x v="211"/>
    <n v="0"/>
    <m/>
    <s v="(01) Factura"/>
    <x v="23"/>
    <x v="15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86 error: Error en envio de documeto '&lt;/p&gt;"/>
    <x v="0"/>
    <m/>
    <m/>
    <m/>
    <m/>
    <m/>
    <m/>
    <x v="0"/>
    <x v="0"/>
    <m/>
    <m/>
    <x v="16"/>
  </r>
  <r>
    <x v="212"/>
    <n v="0"/>
    <m/>
    <s v="(01) Factura"/>
    <x v="23"/>
    <x v="15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495 error: Error en envio de documeto '&lt;/p&gt;"/>
    <x v="0"/>
    <m/>
    <m/>
    <m/>
    <m/>
    <m/>
    <m/>
    <x v="0"/>
    <x v="0"/>
    <m/>
    <m/>
    <x v="16"/>
  </r>
  <r>
    <x v="213"/>
    <n v="0"/>
    <m/>
    <s v="(01) Factura"/>
    <x v="23"/>
    <x v="15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13 error: Error en envio de documeto '&lt;/p&gt;"/>
    <x v="0"/>
    <m/>
    <m/>
    <m/>
    <m/>
    <m/>
    <m/>
    <x v="0"/>
    <x v="0"/>
    <m/>
    <m/>
    <x v="16"/>
  </r>
  <r>
    <x v="214"/>
    <n v="0"/>
    <m/>
    <s v="(01) Factura"/>
    <x v="23"/>
    <x v="15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23 error: Error en envio de documeto '&lt;/p&gt;"/>
    <x v="0"/>
    <m/>
    <m/>
    <m/>
    <m/>
    <m/>
    <m/>
    <x v="0"/>
    <x v="0"/>
    <m/>
    <m/>
    <x v="16"/>
  </r>
  <r>
    <x v="215"/>
    <n v="0"/>
    <m/>
    <s v="(01) Factura"/>
    <x v="24"/>
    <x v="15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34 error: Error en envio de documeto '&lt;/p&gt;"/>
    <x v="0"/>
    <m/>
    <m/>
    <m/>
    <m/>
    <m/>
    <m/>
    <x v="0"/>
    <x v="0"/>
    <m/>
    <m/>
    <x v="16"/>
  </r>
  <r>
    <x v="216"/>
    <n v="0"/>
    <m/>
    <s v="(01) Factura"/>
    <x v="24"/>
    <x v="15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3 error: Error en envio de documeto '&lt;/p&gt;"/>
    <x v="0"/>
    <m/>
    <m/>
    <m/>
    <m/>
    <m/>
    <m/>
    <x v="0"/>
    <x v="0"/>
    <m/>
    <m/>
    <x v="16"/>
  </r>
  <r>
    <x v="217"/>
    <n v="0"/>
    <m/>
    <s v="(01) Factura"/>
    <x v="24"/>
    <x v="15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49 error: Error en envio de documeto '&lt;/p&gt;"/>
    <x v="0"/>
    <m/>
    <m/>
    <m/>
    <m/>
    <m/>
    <m/>
    <x v="0"/>
    <x v="0"/>
    <m/>
    <m/>
    <x v="16"/>
  </r>
  <r>
    <x v="218"/>
    <n v="0"/>
    <m/>
    <s v="(01) Factura"/>
    <x v="24"/>
    <x v="15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3 error: Error en envio de documeto '&lt;/p&gt;"/>
    <x v="0"/>
    <m/>
    <m/>
    <m/>
    <m/>
    <m/>
    <m/>
    <x v="0"/>
    <x v="0"/>
    <m/>
    <m/>
    <x v="16"/>
  </r>
  <r>
    <x v="219"/>
    <n v="0"/>
    <m/>
    <s v="(01) Factura"/>
    <x v="24"/>
    <x v="15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59 error: Error en envio de documeto '&lt;/p&gt;"/>
    <x v="0"/>
    <m/>
    <m/>
    <m/>
    <m/>
    <m/>
    <m/>
    <x v="0"/>
    <x v="0"/>
    <m/>
    <m/>
    <x v="16"/>
  </r>
  <r>
    <x v="220"/>
    <n v="0"/>
    <m/>
    <s v="(01) Factura"/>
    <x v="31"/>
    <x v="15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597 error: Error en envio de documeto '&lt;/p&gt;"/>
    <x v="0"/>
    <m/>
    <m/>
    <m/>
    <m/>
    <m/>
    <m/>
    <x v="0"/>
    <x v="0"/>
    <m/>
    <m/>
    <x v="16"/>
  </r>
  <r>
    <x v="221"/>
    <n v="0"/>
    <m/>
    <s v="(01) Factura"/>
    <x v="31"/>
    <x v="15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15 error: Error en envio de documeto '&lt;/p&gt;"/>
    <x v="0"/>
    <m/>
    <m/>
    <m/>
    <m/>
    <m/>
    <m/>
    <x v="0"/>
    <x v="0"/>
    <m/>
    <m/>
    <x v="16"/>
  </r>
  <r>
    <x v="222"/>
    <n v="0"/>
    <m/>
    <s v="(01) Factura"/>
    <x v="32"/>
    <x v="15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46 error: Error en envio de documeto '&lt;/p&gt;"/>
    <x v="0"/>
    <m/>
    <m/>
    <m/>
    <m/>
    <m/>
    <m/>
    <x v="0"/>
    <x v="0"/>
    <m/>
    <m/>
    <x v="16"/>
  </r>
  <r>
    <x v="223"/>
    <n v="0"/>
    <m/>
    <s v="(01) Factura"/>
    <x v="32"/>
    <x v="15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675 error: Error en envio de documeto '&lt;/p&gt;"/>
    <x v="0"/>
    <m/>
    <m/>
    <m/>
    <m/>
    <m/>
    <m/>
    <x v="0"/>
    <x v="0"/>
    <m/>
    <m/>
    <x v="16"/>
  </r>
  <r>
    <x v="224"/>
    <n v="0"/>
    <m/>
    <s v="(01) Factura"/>
    <x v="30"/>
    <x v="15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23 error: Error en envio de documeto '&lt;/p&gt;"/>
    <x v="0"/>
    <m/>
    <m/>
    <m/>
    <m/>
    <m/>
    <m/>
    <x v="0"/>
    <x v="0"/>
    <m/>
    <m/>
    <x v="16"/>
  </r>
  <r>
    <x v="225"/>
    <n v="0"/>
    <m/>
    <s v="(01) Factura"/>
    <x v="30"/>
    <x v="15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48 error: Error en envio de documeto '&lt;/p&gt;"/>
    <x v="0"/>
    <m/>
    <m/>
    <m/>
    <m/>
    <m/>
    <m/>
    <x v="0"/>
    <x v="0"/>
    <m/>
    <m/>
    <x v="16"/>
  </r>
  <r>
    <x v="226"/>
    <n v="0"/>
    <m/>
    <s v="(01) Factura"/>
    <x v="51"/>
    <x v="15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70 error: Error en envio de documeto '&lt;/p&gt;"/>
    <x v="0"/>
    <m/>
    <m/>
    <m/>
    <m/>
    <m/>
    <m/>
    <x v="0"/>
    <x v="0"/>
    <m/>
    <m/>
    <x v="16"/>
  </r>
  <r>
    <x v="227"/>
    <n v="0"/>
    <m/>
    <s v="(01) Factura"/>
    <x v="51"/>
    <x v="15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796 error: Error en envio de documeto '&lt;/p&gt;"/>
    <x v="0"/>
    <m/>
    <m/>
    <m/>
    <m/>
    <m/>
    <m/>
    <x v="0"/>
    <x v="0"/>
    <m/>
    <m/>
    <x v="16"/>
  </r>
  <r>
    <x v="228"/>
    <n v="0"/>
    <m/>
    <s v="(01) Factura"/>
    <x v="52"/>
    <x v="15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07 error: Error en envio de documeto '&lt;/p&gt;"/>
    <x v="0"/>
    <m/>
    <m/>
    <m/>
    <m/>
    <m/>
    <m/>
    <x v="0"/>
    <x v="0"/>
    <m/>
    <m/>
    <x v="16"/>
  </r>
  <r>
    <x v="229"/>
    <n v="0"/>
    <m/>
    <s v="(01) Factura"/>
    <x v="52"/>
    <x v="15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24 error: Error en envio de documeto '&lt;/p&gt;"/>
    <x v="0"/>
    <m/>
    <m/>
    <m/>
    <m/>
    <m/>
    <m/>
    <x v="0"/>
    <x v="0"/>
    <m/>
    <m/>
    <x v="16"/>
  </r>
  <r>
    <x v="230"/>
    <n v="0"/>
    <m/>
    <s v="(01) Factura"/>
    <x v="53"/>
    <x v="15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38 error: Error en envio de documeto '&lt;/p&gt;"/>
    <x v="0"/>
    <m/>
    <m/>
    <m/>
    <m/>
    <m/>
    <m/>
    <x v="0"/>
    <x v="0"/>
    <m/>
    <m/>
    <x v="16"/>
  </r>
  <r>
    <x v="231"/>
    <n v="0"/>
    <m/>
    <s v="(01) Factura"/>
    <x v="53"/>
    <x v="15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51 error: Error en envio de documeto '&lt;/p&gt;"/>
    <x v="0"/>
    <m/>
    <m/>
    <m/>
    <m/>
    <m/>
    <m/>
    <x v="0"/>
    <x v="0"/>
    <m/>
    <m/>
    <x v="16"/>
  </r>
  <r>
    <x v="232"/>
    <n v="0"/>
    <m/>
    <s v="(01) Factura"/>
    <x v="53"/>
    <x v="15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69 error: Error en envio de documeto '&lt;/p&gt;"/>
    <x v="0"/>
    <m/>
    <m/>
    <m/>
    <m/>
    <m/>
    <m/>
    <x v="0"/>
    <x v="0"/>
    <m/>
    <m/>
    <x v="16"/>
  </r>
  <r>
    <x v="233"/>
    <n v="0"/>
    <m/>
    <s v="(03) Boleta"/>
    <x v="54"/>
    <x v="15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887 error: Error en envio de documeto '&lt;/p&gt;"/>
    <x v="0"/>
    <m/>
    <m/>
    <m/>
    <m/>
    <m/>
    <m/>
    <x v="0"/>
    <x v="0"/>
    <m/>
    <m/>
    <x v="16"/>
  </r>
  <r>
    <x v="234"/>
    <n v="0"/>
    <m/>
    <s v="(03) Boleta"/>
    <x v="54"/>
    <x v="15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03 error: Error en envio de documeto '&lt;/p&gt;"/>
    <x v="0"/>
    <m/>
    <m/>
    <m/>
    <m/>
    <m/>
    <m/>
    <x v="0"/>
    <x v="0"/>
    <m/>
    <m/>
    <x v="16"/>
  </r>
  <r>
    <x v="235"/>
    <n v="0"/>
    <m/>
    <s v="(03) Boleta"/>
    <x v="55"/>
    <x v="15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11 error: Error en envio de documeto '&lt;/p&gt;"/>
    <x v="0"/>
    <m/>
    <m/>
    <m/>
    <m/>
    <m/>
    <m/>
    <x v="0"/>
    <x v="0"/>
    <m/>
    <m/>
    <x v="16"/>
  </r>
  <r>
    <x v="236"/>
    <n v="0"/>
    <m/>
    <s v="(03) Boleta"/>
    <x v="55"/>
    <x v="15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29 error: Error en envio de documeto '&lt;/p&gt;"/>
    <x v="0"/>
    <m/>
    <m/>
    <m/>
    <m/>
    <m/>
    <m/>
    <x v="0"/>
    <x v="0"/>
    <m/>
    <m/>
    <x v="16"/>
  </r>
  <r>
    <x v="237"/>
    <n v="0"/>
    <m/>
    <s v="(03) Boleta"/>
    <x v="56"/>
    <x v="15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43 error: Error en envio de documeto '&lt;/p&gt;"/>
    <x v="0"/>
    <m/>
    <m/>
    <m/>
    <m/>
    <m/>
    <m/>
    <x v="0"/>
    <x v="0"/>
    <m/>
    <m/>
    <x v="16"/>
  </r>
  <r>
    <x v="238"/>
    <n v="0"/>
    <m/>
    <s v="(03) Boleta"/>
    <x v="56"/>
    <x v="15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55 error: Error en envio de documeto '&lt;/p&gt;"/>
    <x v="0"/>
    <m/>
    <m/>
    <m/>
    <m/>
    <m/>
    <m/>
    <x v="0"/>
    <x v="0"/>
    <m/>
    <m/>
    <x v="16"/>
  </r>
  <r>
    <x v="239"/>
    <n v="0"/>
    <m/>
    <s v="(03) Boleta"/>
    <x v="57"/>
    <x v="15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67 error: Error en envio de documeto '&lt;/p&gt;"/>
    <x v="0"/>
    <m/>
    <m/>
    <m/>
    <m/>
    <m/>
    <m/>
    <x v="0"/>
    <x v="0"/>
    <m/>
    <m/>
    <x v="16"/>
  </r>
  <r>
    <x v="240"/>
    <n v="0"/>
    <m/>
    <s v="(03) Boleta"/>
    <x v="57"/>
    <x v="15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299980 error: Error en envio de documeto '&lt;/p&gt;"/>
    <x v="0"/>
    <m/>
    <m/>
    <m/>
    <m/>
    <m/>
    <m/>
    <x v="0"/>
    <x v="0"/>
    <m/>
    <m/>
    <x v="16"/>
  </r>
  <r>
    <x v="241"/>
    <n v="0"/>
    <m/>
    <s v="(01) Factura"/>
    <x v="14"/>
    <x v="16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00 error: Error en envio de documeto '&lt;/p&gt;"/>
    <x v="0"/>
    <m/>
    <m/>
    <m/>
    <m/>
    <m/>
    <m/>
    <x v="0"/>
    <x v="0"/>
    <m/>
    <m/>
    <x v="17"/>
  </r>
  <r>
    <x v="242"/>
    <n v="0"/>
    <m/>
    <s v="(01) Factura"/>
    <x v="14"/>
    <x v="17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13 error: Error en envio de documeto '&lt;/p&gt;"/>
    <x v="0"/>
    <m/>
    <m/>
    <m/>
    <m/>
    <m/>
    <m/>
    <x v="0"/>
    <x v="0"/>
    <m/>
    <m/>
    <x v="18"/>
  </r>
  <r>
    <x v="243"/>
    <n v="0"/>
    <m/>
    <s v="(01) Factura"/>
    <x v="58"/>
    <x v="17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25 error: Error en envio de documeto '&lt;/p&gt;"/>
    <x v="0"/>
    <m/>
    <m/>
    <m/>
    <m/>
    <m/>
    <m/>
    <x v="0"/>
    <x v="0"/>
    <m/>
    <m/>
    <x v="18"/>
  </r>
  <r>
    <x v="244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1 error: Error en envio de documeto '&lt;/p&gt;"/>
    <x v="0"/>
    <m/>
    <m/>
    <m/>
    <m/>
    <m/>
    <m/>
    <x v="0"/>
    <x v="0"/>
    <m/>
    <m/>
    <x v="18"/>
  </r>
  <r>
    <x v="245"/>
    <n v="0"/>
    <m/>
    <s v="(01) Factura"/>
    <x v="58"/>
    <x v="17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38 error: Error en envio de documeto '&lt;/p&gt;"/>
    <x v="0"/>
    <m/>
    <m/>
    <m/>
    <m/>
    <m/>
    <m/>
    <x v="0"/>
    <x v="0"/>
    <m/>
    <m/>
    <x v="18"/>
  </r>
  <r>
    <x v="246"/>
    <n v="0"/>
    <m/>
    <s v="(01) Factura"/>
    <x v="58"/>
    <x v="17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65 error: Error en envio de documeto '&lt;/p&gt;"/>
    <x v="0"/>
    <m/>
    <m/>
    <m/>
    <m/>
    <m/>
    <m/>
    <x v="0"/>
    <x v="0"/>
    <m/>
    <m/>
    <x v="18"/>
  </r>
  <r>
    <x v="247"/>
    <n v="0"/>
    <m/>
    <s v="(01) Factura"/>
    <x v="58"/>
    <x v="17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72 error: Error en envio de documeto '&lt;/p&gt;"/>
    <x v="0"/>
    <m/>
    <m/>
    <m/>
    <m/>
    <m/>
    <m/>
    <x v="0"/>
    <x v="0"/>
    <m/>
    <m/>
    <x v="18"/>
  </r>
  <r>
    <x v="248"/>
    <n v="0"/>
    <m/>
    <s v="(01) Factura"/>
    <x v="20"/>
    <x v="17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1 error: Error en envio de documeto '&lt;/p&gt;"/>
    <x v="0"/>
    <m/>
    <m/>
    <m/>
    <m/>
    <m/>
    <m/>
    <x v="0"/>
    <x v="0"/>
    <m/>
    <m/>
    <x v="18"/>
  </r>
  <r>
    <x v="249"/>
    <n v="0"/>
    <m/>
    <s v="(01) Factura"/>
    <x v="20"/>
    <x v="17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89 error: Error en envio de documeto '&lt;/p&gt;"/>
    <x v="0"/>
    <m/>
    <m/>
    <m/>
    <m/>
    <m/>
    <m/>
    <x v="0"/>
    <x v="0"/>
    <m/>
    <m/>
    <x v="18"/>
  </r>
  <r>
    <x v="250"/>
    <n v="0"/>
    <m/>
    <s v="(01) Factura"/>
    <x v="30"/>
    <x v="17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096 error: Error en envio de documeto '&lt;/p&gt;"/>
    <x v="0"/>
    <m/>
    <m/>
    <m/>
    <m/>
    <m/>
    <m/>
    <x v="0"/>
    <x v="0"/>
    <m/>
    <m/>
    <x v="18"/>
  </r>
  <r>
    <x v="251"/>
    <n v="0"/>
    <m/>
    <s v="(01) Factura"/>
    <x v="30"/>
    <x v="17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07 error: Error en envio de documeto '&lt;/p&gt;"/>
    <x v="0"/>
    <m/>
    <m/>
    <m/>
    <m/>
    <m/>
    <m/>
    <x v="0"/>
    <x v="0"/>
    <m/>
    <m/>
    <x v="18"/>
  </r>
  <r>
    <x v="252"/>
    <n v="0"/>
    <m/>
    <s v="(01) Factura"/>
    <x v="30"/>
    <x v="17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15 error: Error en envio de documeto '&lt;/p&gt;"/>
    <x v="0"/>
    <m/>
    <m/>
    <m/>
    <m/>
    <m/>
    <m/>
    <x v="0"/>
    <x v="0"/>
    <m/>
    <m/>
    <x v="18"/>
  </r>
  <r>
    <x v="253"/>
    <n v="0"/>
    <m/>
    <s v="(01) Factura"/>
    <x v="26"/>
    <x v="17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2 error: Error en envio de documeto '&lt;/p&gt;"/>
    <x v="0"/>
    <m/>
    <m/>
    <m/>
    <m/>
    <m/>
    <m/>
    <x v="0"/>
    <x v="0"/>
    <m/>
    <m/>
    <x v="18"/>
  </r>
  <r>
    <x v="254"/>
    <n v="0"/>
    <m/>
    <s v="(01) Factura"/>
    <x v="26"/>
    <x v="17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28 error: Error en envio de documeto '&lt;/p&gt;"/>
    <x v="0"/>
    <m/>
    <m/>
    <m/>
    <m/>
    <m/>
    <m/>
    <x v="0"/>
    <x v="0"/>
    <m/>
    <m/>
    <x v="18"/>
  </r>
  <r>
    <x v="255"/>
    <n v="0"/>
    <m/>
    <s v="(01) Factura"/>
    <x v="28"/>
    <x v="17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38 error: Error en envio de documeto '&lt;/p&gt;"/>
    <x v="0"/>
    <m/>
    <m/>
    <m/>
    <m/>
    <m/>
    <m/>
    <x v="0"/>
    <x v="0"/>
    <m/>
    <m/>
    <x v="18"/>
  </r>
  <r>
    <x v="256"/>
    <n v="0"/>
    <m/>
    <s v="(01) Factura"/>
    <x v="28"/>
    <x v="17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0 error: Error en envio de documeto '&lt;/p&gt;"/>
    <x v="0"/>
    <m/>
    <m/>
    <m/>
    <m/>
    <m/>
    <m/>
    <x v="0"/>
    <x v="0"/>
    <m/>
    <m/>
    <x v="18"/>
  </r>
  <r>
    <x v="257"/>
    <n v="0"/>
    <m/>
    <s v="(01) Factura"/>
    <x v="59"/>
    <x v="17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59 error: Error en envio de documeto '&lt;/p&gt;"/>
    <x v="0"/>
    <m/>
    <m/>
    <m/>
    <m/>
    <m/>
    <m/>
    <x v="0"/>
    <x v="0"/>
    <m/>
    <m/>
    <x v="18"/>
  </r>
  <r>
    <x v="258"/>
    <n v="0"/>
    <m/>
    <s v="(01) Factura"/>
    <x v="59"/>
    <x v="17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67 error: Error en envio de documeto '&lt;/p&gt;"/>
    <x v="0"/>
    <m/>
    <m/>
    <m/>
    <m/>
    <m/>
    <m/>
    <x v="0"/>
    <x v="0"/>
    <m/>
    <m/>
    <x v="18"/>
  </r>
  <r>
    <x v="259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74 error: Error en envio de documeto '&lt;/p&gt;"/>
    <x v="0"/>
    <m/>
    <m/>
    <m/>
    <m/>
    <m/>
    <m/>
    <x v="0"/>
    <x v="0"/>
    <m/>
    <m/>
    <x v="18"/>
  </r>
  <r>
    <x v="260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88 error: Error en envio de documeto '&lt;/p&gt;"/>
    <x v="0"/>
    <m/>
    <m/>
    <m/>
    <m/>
    <m/>
    <m/>
    <x v="0"/>
    <x v="0"/>
    <m/>
    <m/>
    <x v="18"/>
  </r>
  <r>
    <x v="261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197 error: Error en envio de documeto '&lt;/p&gt;"/>
    <x v="0"/>
    <m/>
    <m/>
    <m/>
    <m/>
    <m/>
    <m/>
    <x v="0"/>
    <x v="0"/>
    <m/>
    <m/>
    <x v="18"/>
  </r>
  <r>
    <x v="262"/>
    <n v="0"/>
    <m/>
    <s v="(01) Factura"/>
    <x v="23"/>
    <x v="17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10 error: Error en envio de documeto '&lt;/p&gt;"/>
    <x v="0"/>
    <m/>
    <m/>
    <m/>
    <m/>
    <m/>
    <m/>
    <x v="0"/>
    <x v="0"/>
    <m/>
    <m/>
    <x v="18"/>
  </r>
  <r>
    <x v="263"/>
    <n v="0"/>
    <m/>
    <s v="(01) Factura"/>
    <x v="23"/>
    <x v="17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21 error: Error en envio de documeto '&lt;/p&gt;"/>
    <x v="0"/>
    <m/>
    <m/>
    <m/>
    <m/>
    <m/>
    <m/>
    <x v="0"/>
    <x v="0"/>
    <m/>
    <m/>
    <x v="18"/>
  </r>
  <r>
    <x v="264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33 error: Error en envio de documeto '&lt;/p&gt;"/>
    <x v="0"/>
    <m/>
    <m/>
    <m/>
    <m/>
    <m/>
    <m/>
    <x v="0"/>
    <x v="0"/>
    <m/>
    <m/>
    <x v="18"/>
  </r>
  <r>
    <x v="265"/>
    <n v="0"/>
    <m/>
    <s v="(01) Factura"/>
    <x v="23"/>
    <x v="17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52 error: Error en envio de documeto '&lt;/p&gt;"/>
    <x v="0"/>
    <m/>
    <m/>
    <m/>
    <m/>
    <m/>
    <m/>
    <x v="0"/>
    <x v="0"/>
    <m/>
    <m/>
    <x v="18"/>
  </r>
  <r>
    <x v="266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62 error: Error en envio de documeto '&lt;/p&gt;"/>
    <x v="0"/>
    <m/>
    <m/>
    <m/>
    <m/>
    <m/>
    <m/>
    <x v="0"/>
    <x v="0"/>
    <m/>
    <m/>
    <x v="18"/>
  </r>
  <r>
    <x v="267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76 error: Error en envio de documeto '&lt;/p&gt;"/>
    <x v="0"/>
    <m/>
    <m/>
    <m/>
    <m/>
    <m/>
    <m/>
    <x v="0"/>
    <x v="0"/>
    <m/>
    <m/>
    <x v="18"/>
  </r>
  <r>
    <x v="268"/>
    <n v="0"/>
    <m/>
    <s v="(01) Factura"/>
    <x v="23"/>
    <x v="17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284 error: Error en envio de documeto '&lt;/p&gt;"/>
    <x v="0"/>
    <m/>
    <m/>
    <m/>
    <m/>
    <m/>
    <m/>
    <x v="0"/>
    <x v="0"/>
    <m/>
    <m/>
    <x v="18"/>
  </r>
  <r>
    <x v="269"/>
    <n v="0"/>
    <m/>
    <s v="(01) Factura"/>
    <x v="23"/>
    <x v="17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03 error: Error en envio de documeto '&lt;/p&gt;"/>
    <x v="0"/>
    <m/>
    <m/>
    <m/>
    <m/>
    <m/>
    <m/>
    <x v="0"/>
    <x v="0"/>
    <m/>
    <m/>
    <x v="18"/>
  </r>
  <r>
    <x v="270"/>
    <n v="0"/>
    <m/>
    <s v="(01) Factura"/>
    <x v="23"/>
    <x v="17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36 error: Error en envio de documeto '&lt;/p&gt;"/>
    <x v="0"/>
    <m/>
    <m/>
    <m/>
    <m/>
    <m/>
    <m/>
    <x v="0"/>
    <x v="0"/>
    <m/>
    <m/>
    <x v="18"/>
  </r>
  <r>
    <x v="271"/>
    <n v="0"/>
    <m/>
    <s v="(01) Factura"/>
    <x v="23"/>
    <x v="17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62 error: Error en envio de documeto '&lt;/p&gt;"/>
    <x v="0"/>
    <m/>
    <m/>
    <m/>
    <m/>
    <m/>
    <m/>
    <x v="0"/>
    <x v="0"/>
    <m/>
    <m/>
    <x v="18"/>
  </r>
  <r>
    <x v="272"/>
    <n v="0"/>
    <m/>
    <s v="(01) Factura"/>
    <x v="32"/>
    <x v="17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389 error: Error en envio de documeto '&lt;/p&gt;"/>
    <x v="0"/>
    <m/>
    <m/>
    <m/>
    <m/>
    <m/>
    <m/>
    <x v="0"/>
    <x v="0"/>
    <m/>
    <m/>
    <x v="18"/>
  </r>
  <r>
    <x v="273"/>
    <n v="0"/>
    <m/>
    <s v="(01) Factura"/>
    <x v="32"/>
    <x v="17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27 error: Error en envio de documeto '&lt;/p&gt;"/>
    <x v="0"/>
    <m/>
    <m/>
    <m/>
    <m/>
    <m/>
    <m/>
    <x v="0"/>
    <x v="0"/>
    <m/>
    <m/>
    <x v="18"/>
  </r>
  <r>
    <x v="274"/>
    <n v="0"/>
    <m/>
    <s v="(01) Factura"/>
    <x v="24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464 error: Error en envio de documeto '&lt;/p&gt;"/>
    <x v="0"/>
    <m/>
    <m/>
    <m/>
    <m/>
    <m/>
    <m/>
    <x v="0"/>
    <x v="0"/>
    <m/>
    <m/>
    <x v="18"/>
  </r>
  <r>
    <x v="275"/>
    <n v="0"/>
    <m/>
    <s v="(01) Factura"/>
    <x v="24"/>
    <x v="17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44 error: Error en envio de documeto '&lt;/p&gt;"/>
    <x v="0"/>
    <m/>
    <m/>
    <m/>
    <m/>
    <m/>
    <m/>
    <x v="0"/>
    <x v="0"/>
    <m/>
    <m/>
    <x v="18"/>
  </r>
  <r>
    <x v="276"/>
    <n v="0"/>
    <m/>
    <s v="(01) Factura"/>
    <x v="24"/>
    <x v="17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62 error: Error en envio de documeto '&lt;/p&gt;"/>
    <x v="0"/>
    <m/>
    <m/>
    <m/>
    <m/>
    <m/>
    <m/>
    <x v="0"/>
    <x v="0"/>
    <m/>
    <m/>
    <x v="18"/>
  </r>
  <r>
    <x v="277"/>
    <n v="0"/>
    <m/>
    <s v="(01) Factura"/>
    <x v="24"/>
    <x v="17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75 error: Error en envio de documeto '&lt;/p&gt;"/>
    <x v="0"/>
    <m/>
    <m/>
    <m/>
    <m/>
    <m/>
    <m/>
    <x v="0"/>
    <x v="0"/>
    <m/>
    <m/>
    <x v="18"/>
  </r>
  <r>
    <x v="278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597 error: Error en envio de documeto '&lt;/p&gt;"/>
    <x v="0"/>
    <m/>
    <m/>
    <m/>
    <m/>
    <m/>
    <m/>
    <x v="0"/>
    <x v="0"/>
    <m/>
    <m/>
    <x v="18"/>
  </r>
  <r>
    <x v="279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17 error: Error en envio de documeto '&lt;/p&gt;"/>
    <x v="0"/>
    <m/>
    <m/>
    <m/>
    <m/>
    <m/>
    <m/>
    <x v="0"/>
    <x v="0"/>
    <m/>
    <m/>
    <x v="18"/>
  </r>
  <r>
    <x v="280"/>
    <n v="0"/>
    <m/>
    <s v="(01) Factura"/>
    <x v="23"/>
    <x v="17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40 error: Error en envio de documeto '&lt;/p&gt;"/>
    <x v="0"/>
    <m/>
    <m/>
    <m/>
    <m/>
    <m/>
    <m/>
    <x v="0"/>
    <x v="0"/>
    <m/>
    <m/>
    <x v="18"/>
  </r>
  <r>
    <x v="281"/>
    <n v="0"/>
    <m/>
    <s v="(01) Factura"/>
    <x v="23"/>
    <x v="17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691 error: Error en envio de documeto '&lt;/p&gt;"/>
    <x v="0"/>
    <m/>
    <m/>
    <m/>
    <m/>
    <m/>
    <m/>
    <x v="0"/>
    <x v="0"/>
    <m/>
    <m/>
    <x v="18"/>
  </r>
  <r>
    <x v="282"/>
    <n v="0"/>
    <m/>
    <s v="(01) Factura"/>
    <x v="23"/>
    <x v="17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19 error: Error en envio de documeto '&lt;/p&gt;"/>
    <x v="0"/>
    <m/>
    <m/>
    <m/>
    <m/>
    <m/>
    <m/>
    <x v="0"/>
    <x v="0"/>
    <m/>
    <m/>
    <x v="18"/>
  </r>
  <r>
    <x v="283"/>
    <n v="0"/>
    <m/>
    <s v="(01) Factura"/>
    <x v="23"/>
    <x v="17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753 error: Error en envio de documeto '&lt;/p&gt;"/>
    <x v="0"/>
    <m/>
    <m/>
    <m/>
    <m/>
    <m/>
    <m/>
    <x v="0"/>
    <x v="0"/>
    <m/>
    <m/>
    <x v="18"/>
  </r>
  <r>
    <x v="284"/>
    <n v="0"/>
    <m/>
    <s v="(01) Factura"/>
    <x v="23"/>
    <x v="17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03 error: Error en envio de documeto '&lt;/p&gt;"/>
    <x v="0"/>
    <m/>
    <m/>
    <m/>
    <m/>
    <m/>
    <m/>
    <x v="0"/>
    <x v="0"/>
    <m/>
    <m/>
    <x v="18"/>
  </r>
  <r>
    <x v="285"/>
    <n v="0"/>
    <m/>
    <s v="(01) Factura"/>
    <x v="23"/>
    <x v="17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34 error: Error en envio de documeto '&lt;/p&gt;"/>
    <x v="0"/>
    <m/>
    <m/>
    <m/>
    <m/>
    <m/>
    <m/>
    <x v="0"/>
    <x v="0"/>
    <m/>
    <m/>
    <x v="18"/>
  </r>
  <r>
    <x v="286"/>
    <n v="0"/>
    <m/>
    <s v="(01) Factura"/>
    <x v="31"/>
    <x v="17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77 error: Error en envio de documeto '&lt;/p&gt;"/>
    <x v="0"/>
    <m/>
    <m/>
    <m/>
    <m/>
    <m/>
    <m/>
    <x v="0"/>
    <x v="0"/>
    <m/>
    <m/>
    <x v="18"/>
  </r>
  <r>
    <x v="287"/>
    <n v="0"/>
    <m/>
    <s v="(01) Factura"/>
    <x v="31"/>
    <x v="17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893 error: Error en envio de documeto '&lt;/p&gt;"/>
    <x v="0"/>
    <m/>
    <m/>
    <m/>
    <m/>
    <m/>
    <m/>
    <x v="0"/>
    <x v="0"/>
    <m/>
    <m/>
    <x v="18"/>
  </r>
  <r>
    <x v="288"/>
    <n v="0"/>
    <m/>
    <s v="(01) Factura"/>
    <x v="60"/>
    <x v="17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08 error: Error en envio de documeto '&lt;/p&gt;"/>
    <x v="0"/>
    <m/>
    <m/>
    <m/>
    <m/>
    <m/>
    <m/>
    <x v="0"/>
    <x v="0"/>
    <m/>
    <m/>
    <x v="18"/>
  </r>
  <r>
    <x v="289"/>
    <n v="0"/>
    <m/>
    <s v="(01) Factura"/>
    <x v="60"/>
    <x v="17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28 error: Error en envio de documeto '&lt;/p&gt;"/>
    <x v="0"/>
    <m/>
    <m/>
    <m/>
    <m/>
    <m/>
    <m/>
    <x v="0"/>
    <x v="0"/>
    <m/>
    <m/>
    <x v="18"/>
  </r>
  <r>
    <x v="290"/>
    <n v="0"/>
    <m/>
    <s v="(03) Boleta"/>
    <x v="35"/>
    <x v="17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45 error: Error en envio de documeto '&lt;/p&gt;"/>
    <x v="0"/>
    <m/>
    <m/>
    <m/>
    <m/>
    <m/>
    <m/>
    <x v="0"/>
    <x v="0"/>
    <m/>
    <m/>
    <x v="18"/>
  </r>
  <r>
    <x v="291"/>
    <n v="0"/>
    <m/>
    <s v="(03) Boleta"/>
    <x v="35"/>
    <x v="17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3 error: Error en envio de documeto '&lt;/p&gt;"/>
    <x v="0"/>
    <m/>
    <m/>
    <m/>
    <m/>
    <m/>
    <m/>
    <x v="0"/>
    <x v="0"/>
    <m/>
    <m/>
    <x v="18"/>
  </r>
  <r>
    <x v="292"/>
    <n v="0"/>
    <m/>
    <s v="(03) Boleta"/>
    <x v="36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69 error: Error en envio de documeto '&lt;/p&gt;"/>
    <x v="0"/>
    <m/>
    <m/>
    <m/>
    <m/>
    <m/>
    <m/>
    <x v="0"/>
    <x v="0"/>
    <m/>
    <m/>
    <x v="18"/>
  </r>
  <r>
    <x v="293"/>
    <n v="0"/>
    <m/>
    <s v="(03) Boleta"/>
    <x v="36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0992 error: Error en envio de documeto '&lt;/p&gt;"/>
    <x v="0"/>
    <m/>
    <m/>
    <m/>
    <m/>
    <m/>
    <m/>
    <x v="0"/>
    <x v="0"/>
    <m/>
    <m/>
    <x v="18"/>
  </r>
  <r>
    <x v="294"/>
    <n v="0"/>
    <m/>
    <s v="(03) Boleta"/>
    <x v="37"/>
    <x v="17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03 error: Error en envio de documeto '&lt;/p&gt;"/>
    <x v="0"/>
    <m/>
    <m/>
    <m/>
    <m/>
    <m/>
    <m/>
    <x v="0"/>
    <x v="0"/>
    <m/>
    <m/>
    <x v="18"/>
  </r>
  <r>
    <x v="295"/>
    <n v="0"/>
    <m/>
    <s v="(03) Boleta"/>
    <x v="37"/>
    <x v="17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3 error: Error en envio de documeto '&lt;/p&gt;"/>
    <x v="0"/>
    <m/>
    <m/>
    <m/>
    <m/>
    <m/>
    <m/>
    <x v="0"/>
    <x v="0"/>
    <m/>
    <m/>
    <x v="18"/>
  </r>
  <r>
    <x v="296"/>
    <n v="0"/>
    <m/>
    <s v="(03) Boleta"/>
    <x v="40"/>
    <x v="17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27 error: Error en envio de documeto '&lt;/p&gt;"/>
    <x v="0"/>
    <m/>
    <m/>
    <m/>
    <m/>
    <m/>
    <m/>
    <x v="0"/>
    <x v="0"/>
    <m/>
    <m/>
    <x v="18"/>
  </r>
  <r>
    <x v="297"/>
    <n v="0"/>
    <m/>
    <s v="(03) Boleta"/>
    <x v="40"/>
    <x v="17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48 error: Error en envio de documeto '&lt;/p&gt;"/>
    <x v="0"/>
    <m/>
    <m/>
    <m/>
    <m/>
    <m/>
    <m/>
    <x v="0"/>
    <x v="0"/>
    <m/>
    <m/>
    <x v="18"/>
  </r>
  <r>
    <x v="298"/>
    <n v="0"/>
    <m/>
    <s v="(03) Boleta"/>
    <x v="35"/>
    <x v="17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59 error: Error en envio de documeto '&lt;/p&gt;"/>
    <x v="0"/>
    <m/>
    <m/>
    <m/>
    <m/>
    <m/>
    <m/>
    <x v="0"/>
    <x v="0"/>
    <m/>
    <m/>
    <x v="18"/>
  </r>
  <r>
    <x v="299"/>
    <n v="0"/>
    <m/>
    <s v="(03) Boleta"/>
    <x v="35"/>
    <x v="17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0 error: Error en envio de documeto '&lt;/p&gt;"/>
    <x v="0"/>
    <m/>
    <m/>
    <m/>
    <m/>
    <m/>
    <m/>
    <x v="0"/>
    <x v="0"/>
    <m/>
    <m/>
    <x v="18"/>
  </r>
  <r>
    <x v="300"/>
    <n v="0"/>
    <m/>
    <s v="(03) Boleta"/>
    <x v="36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086 error: Error en envio de documeto '&lt;/p&gt;"/>
    <x v="0"/>
    <m/>
    <m/>
    <m/>
    <m/>
    <m/>
    <m/>
    <x v="0"/>
    <x v="0"/>
    <m/>
    <m/>
    <x v="18"/>
  </r>
  <r>
    <x v="301"/>
    <n v="0"/>
    <m/>
    <s v="(03) Boleta"/>
    <x v="36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02 error: Error en envio de documeto '&lt;/p&gt;"/>
    <x v="0"/>
    <m/>
    <m/>
    <m/>
    <m/>
    <m/>
    <m/>
    <x v="0"/>
    <x v="0"/>
    <m/>
    <m/>
    <x v="18"/>
  </r>
  <r>
    <x v="302"/>
    <n v="0"/>
    <m/>
    <s v="(03) Boleta"/>
    <x v="37"/>
    <x v="17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30 error: Error en envio de documeto '&lt;/p&gt;"/>
    <x v="0"/>
    <m/>
    <m/>
    <m/>
    <m/>
    <m/>
    <m/>
    <x v="0"/>
    <x v="0"/>
    <m/>
    <m/>
    <x v="18"/>
  </r>
  <r>
    <x v="303"/>
    <n v="0"/>
    <m/>
    <s v="(03) Boleta"/>
    <x v="37"/>
    <x v="17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43 error: Error en envio de documeto '&lt;/p&gt;"/>
    <x v="0"/>
    <m/>
    <m/>
    <m/>
    <m/>
    <m/>
    <m/>
    <x v="0"/>
    <x v="0"/>
    <m/>
    <m/>
    <x v="18"/>
  </r>
  <r>
    <x v="304"/>
    <n v="0"/>
    <m/>
    <s v="(03) Boleta"/>
    <x v="40"/>
    <x v="17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54 error: Error en envio de documeto '&lt;/p&gt;"/>
    <x v="0"/>
    <m/>
    <m/>
    <m/>
    <m/>
    <m/>
    <m/>
    <x v="0"/>
    <x v="0"/>
    <m/>
    <m/>
    <x v="18"/>
  </r>
  <r>
    <x v="305"/>
    <n v="0"/>
    <m/>
    <s v="(03) Boleta"/>
    <x v="40"/>
    <x v="17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66 error: Error en envio de documeto '&lt;/p&gt;"/>
    <x v="0"/>
    <m/>
    <m/>
    <m/>
    <m/>
    <m/>
    <m/>
    <x v="0"/>
    <x v="0"/>
    <m/>
    <m/>
    <x v="18"/>
  </r>
  <r>
    <x v="306"/>
    <n v="0"/>
    <m/>
    <s v="(03) Boleta"/>
    <x v="35"/>
    <x v="17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75 error: Error en envio de documeto '&lt;/p&gt;"/>
    <x v="0"/>
    <m/>
    <m/>
    <m/>
    <m/>
    <m/>
    <m/>
    <x v="0"/>
    <x v="0"/>
    <m/>
    <m/>
    <x v="18"/>
  </r>
  <r>
    <x v="307"/>
    <n v="0"/>
    <m/>
    <s v="(03) Boleta"/>
    <x v="35"/>
    <x v="17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1 error: Error en envio de documeto '&lt;/p&gt;"/>
    <x v="0"/>
    <m/>
    <m/>
    <m/>
    <m/>
    <m/>
    <m/>
    <x v="0"/>
    <x v="0"/>
    <m/>
    <m/>
    <x v="18"/>
  </r>
  <r>
    <x v="308"/>
    <n v="0"/>
    <m/>
    <s v="(03) Boleta"/>
    <x v="36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88 error: Error en envio de documeto '&lt;/p&gt;"/>
    <x v="0"/>
    <m/>
    <m/>
    <m/>
    <m/>
    <m/>
    <m/>
    <x v="0"/>
    <x v="0"/>
    <m/>
    <m/>
    <x v="18"/>
  </r>
  <r>
    <x v="309"/>
    <n v="0"/>
    <m/>
    <s v="(03) Boleta"/>
    <x v="36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196 error: Error en envio de documeto '&lt;/p&gt;"/>
    <x v="0"/>
    <m/>
    <m/>
    <m/>
    <m/>
    <m/>
    <m/>
    <x v="0"/>
    <x v="0"/>
    <m/>
    <m/>
    <x v="18"/>
  </r>
  <r>
    <x v="310"/>
    <n v="0"/>
    <m/>
    <s v="(03) Boleta"/>
    <x v="37"/>
    <x v="17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08 error: Error en envio de documeto '&lt;/p&gt;"/>
    <x v="0"/>
    <m/>
    <m/>
    <m/>
    <m/>
    <m/>
    <m/>
    <x v="0"/>
    <x v="0"/>
    <m/>
    <m/>
    <x v="18"/>
  </r>
  <r>
    <x v="311"/>
    <n v="0"/>
    <m/>
    <s v="(03) Boleta"/>
    <x v="37"/>
    <x v="17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14 error: Error en envio de documeto '&lt;/p&gt;"/>
    <x v="0"/>
    <m/>
    <m/>
    <m/>
    <m/>
    <m/>
    <m/>
    <x v="0"/>
    <x v="0"/>
    <m/>
    <m/>
    <x v="18"/>
  </r>
  <r>
    <x v="312"/>
    <n v="0"/>
    <m/>
    <s v="(03) Boleta"/>
    <x v="40"/>
    <x v="17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24 error: Error en envio de documeto '&lt;/p&gt;"/>
    <x v="0"/>
    <m/>
    <m/>
    <m/>
    <m/>
    <m/>
    <m/>
    <x v="0"/>
    <x v="0"/>
    <m/>
    <m/>
    <x v="18"/>
  </r>
  <r>
    <x v="313"/>
    <n v="0"/>
    <m/>
    <s v="(03) Boleta"/>
    <x v="40"/>
    <x v="17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37 error: Error en envio de documeto '&lt;/p&gt;"/>
    <x v="0"/>
    <m/>
    <m/>
    <m/>
    <m/>
    <m/>
    <m/>
    <x v="0"/>
    <x v="0"/>
    <m/>
    <m/>
    <x v="18"/>
  </r>
  <r>
    <x v="314"/>
    <n v="0"/>
    <m/>
    <s v="(03) Boleta"/>
    <x v="61"/>
    <x v="17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64 error: Error en envio de documeto '&lt;/p&gt;"/>
    <x v="0"/>
    <m/>
    <m/>
    <m/>
    <m/>
    <m/>
    <m/>
    <x v="0"/>
    <x v="0"/>
    <m/>
    <m/>
    <x v="18"/>
  </r>
  <r>
    <x v="315"/>
    <n v="0"/>
    <m/>
    <s v="(03) Boleta"/>
    <x v="61"/>
    <x v="17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73 error: Error en envio de documeto '&lt;/p&gt;"/>
    <x v="0"/>
    <m/>
    <m/>
    <m/>
    <m/>
    <m/>
    <m/>
    <x v="0"/>
    <x v="0"/>
    <m/>
    <m/>
    <x v="18"/>
  </r>
  <r>
    <x v="316"/>
    <n v="0"/>
    <m/>
    <s v="(03) Boleta"/>
    <x v="9"/>
    <x v="17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3 error: Error en envio de documeto '&lt;/p&gt;"/>
    <x v="0"/>
    <m/>
    <m/>
    <m/>
    <m/>
    <m/>
    <m/>
    <x v="0"/>
    <x v="0"/>
    <m/>
    <m/>
    <x v="18"/>
  </r>
  <r>
    <x v="317"/>
    <n v="0"/>
    <m/>
    <s v="(03) Boleta"/>
    <x v="9"/>
    <x v="17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89 error: Error en envio de documeto '&lt;/p&gt;"/>
    <x v="0"/>
    <m/>
    <m/>
    <m/>
    <m/>
    <m/>
    <m/>
    <x v="0"/>
    <x v="0"/>
    <m/>
    <m/>
    <x v="18"/>
  </r>
  <r>
    <x v="318"/>
    <n v="0"/>
    <m/>
    <s v="(03) Boleta"/>
    <x v="9"/>
    <x v="17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296 error: Error en envio de documeto '&lt;/p&gt;"/>
    <x v="0"/>
    <m/>
    <m/>
    <m/>
    <m/>
    <m/>
    <m/>
    <x v="0"/>
    <x v="0"/>
    <m/>
    <m/>
    <x v="18"/>
  </r>
  <r>
    <x v="319"/>
    <n v="0"/>
    <m/>
    <s v="(03) Boleta"/>
    <x v="9"/>
    <x v="17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3 error: Error en envio de documeto '&lt;/p&gt;"/>
    <x v="0"/>
    <m/>
    <m/>
    <m/>
    <m/>
    <m/>
    <m/>
    <x v="0"/>
    <x v="0"/>
    <m/>
    <m/>
    <x v="18"/>
  </r>
  <r>
    <x v="320"/>
    <n v="0"/>
    <m/>
    <s v="(03) Boleta"/>
    <x v="9"/>
    <x v="17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19 error: Error en envio de documeto '&lt;/p&gt;"/>
    <x v="0"/>
    <m/>
    <m/>
    <m/>
    <m/>
    <m/>
    <m/>
    <x v="0"/>
    <x v="0"/>
    <m/>
    <m/>
    <x v="18"/>
  </r>
  <r>
    <x v="321"/>
    <n v="0"/>
    <m/>
    <s v="(03) Boleta"/>
    <x v="62"/>
    <x v="17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34 error: Error en envio de documeto '&lt;/p&gt;"/>
    <x v="0"/>
    <m/>
    <m/>
    <m/>
    <m/>
    <m/>
    <m/>
    <x v="0"/>
    <x v="0"/>
    <m/>
    <m/>
    <x v="18"/>
  </r>
  <r>
    <x v="322"/>
    <n v="0"/>
    <m/>
    <s v="(03) Boleta"/>
    <x v="62"/>
    <x v="17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41 error: Error en envio de documeto '&lt;/p&gt;"/>
    <x v="0"/>
    <m/>
    <m/>
    <m/>
    <m/>
    <m/>
    <m/>
    <x v="0"/>
    <x v="0"/>
    <m/>
    <m/>
    <x v="18"/>
  </r>
  <r>
    <x v="323"/>
    <n v="0"/>
    <m/>
    <s v="(01) Factura"/>
    <x v="63"/>
    <x v="18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55 error: Error en envio de documeto '&lt;/p&gt;"/>
    <x v="0"/>
    <m/>
    <m/>
    <m/>
    <m/>
    <m/>
    <m/>
    <x v="0"/>
    <x v="0"/>
    <m/>
    <m/>
    <x v="19"/>
  </r>
  <r>
    <x v="324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385 error: Error en envio de documeto '&lt;/p&gt;"/>
    <x v="0"/>
    <m/>
    <m/>
    <m/>
    <m/>
    <m/>
    <m/>
    <x v="0"/>
    <x v="0"/>
    <m/>
    <m/>
    <x v="19"/>
  </r>
  <r>
    <x v="325"/>
    <n v="0"/>
    <m/>
    <s v="(01) Factura"/>
    <x v="14"/>
    <x v="18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08 error: Error en envio de documeto '&lt;/p&gt;"/>
    <x v="0"/>
    <m/>
    <m/>
    <m/>
    <m/>
    <m/>
    <m/>
    <x v="0"/>
    <x v="0"/>
    <m/>
    <m/>
    <x v="19"/>
  </r>
  <r>
    <x v="326"/>
    <n v="0"/>
    <m/>
    <s v="(01) Factura"/>
    <x v="14"/>
    <x v="18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31 error: Error en envio de documeto '&lt;/p&gt;"/>
    <x v="0"/>
    <m/>
    <m/>
    <m/>
    <m/>
    <m/>
    <m/>
    <x v="0"/>
    <x v="0"/>
    <m/>
    <m/>
    <x v="19"/>
  </r>
  <r>
    <x v="327"/>
    <n v="0"/>
    <m/>
    <s v="(01) Factura"/>
    <x v="24"/>
    <x v="19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61 error: Error en envio de documeto '&lt;/p&gt;"/>
    <x v="0"/>
    <m/>
    <m/>
    <m/>
    <m/>
    <m/>
    <m/>
    <x v="0"/>
    <x v="0"/>
    <m/>
    <m/>
    <x v="20"/>
  </r>
  <r>
    <x v="328"/>
    <n v="0"/>
    <m/>
    <s v="(01) Factura"/>
    <x v="24"/>
    <x v="19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82 error: Error en envio de documeto '&lt;/p&gt;"/>
    <x v="0"/>
    <m/>
    <m/>
    <m/>
    <m/>
    <m/>
    <m/>
    <x v="0"/>
    <x v="0"/>
    <m/>
    <m/>
    <x v="20"/>
  </r>
  <r>
    <x v="329"/>
    <n v="0"/>
    <m/>
    <s v="(01) Factura"/>
    <x v="24"/>
    <x v="19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3 error: Error en envio de documeto '&lt;/p&gt;"/>
    <x v="0"/>
    <m/>
    <m/>
    <m/>
    <m/>
    <m/>
    <m/>
    <x v="0"/>
    <x v="0"/>
    <m/>
    <m/>
    <x v="20"/>
  </r>
  <r>
    <x v="330"/>
    <n v="0"/>
    <m/>
    <s v="(01) Factura"/>
    <x v="28"/>
    <x v="19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497 error: Error en envio de documeto '&lt;/p&gt;"/>
    <x v="0"/>
    <m/>
    <m/>
    <m/>
    <m/>
    <m/>
    <m/>
    <x v="0"/>
    <x v="0"/>
    <m/>
    <m/>
    <x v="20"/>
  </r>
  <r>
    <x v="331"/>
    <n v="0"/>
    <m/>
    <s v="(01) Factura"/>
    <x v="28"/>
    <x v="19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04 error: Error en envio de documeto '&lt;/p&gt;"/>
    <x v="0"/>
    <m/>
    <m/>
    <m/>
    <m/>
    <m/>
    <m/>
    <x v="0"/>
    <x v="0"/>
    <m/>
    <m/>
    <x v="20"/>
  </r>
  <r>
    <x v="332"/>
    <n v="0"/>
    <m/>
    <s v="(01) Factura"/>
    <x v="28"/>
    <x v="19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20 error: Error en envio de documeto '&lt;/p&gt;"/>
    <x v="0"/>
    <m/>
    <m/>
    <m/>
    <m/>
    <m/>
    <m/>
    <x v="0"/>
    <x v="0"/>
    <m/>
    <m/>
    <x v="20"/>
  </r>
  <r>
    <x v="333"/>
    <n v="0"/>
    <m/>
    <s v="(03) Boleta"/>
    <x v="64"/>
    <x v="19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41 error: Error en envio de documeto '&lt;/p&gt;"/>
    <x v="0"/>
    <m/>
    <m/>
    <m/>
    <m/>
    <m/>
    <m/>
    <x v="0"/>
    <x v="0"/>
    <m/>
    <m/>
    <x v="20"/>
  </r>
  <r>
    <x v="334"/>
    <n v="0"/>
    <m/>
    <s v="(03) Boleta"/>
    <x v="64"/>
    <x v="19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54 error: Error en envio de documeto '&lt;/p&gt;"/>
    <x v="0"/>
    <m/>
    <m/>
    <m/>
    <m/>
    <m/>
    <m/>
    <x v="0"/>
    <x v="0"/>
    <m/>
    <m/>
    <x v="20"/>
  </r>
  <r>
    <x v="335"/>
    <n v="0"/>
    <m/>
    <s v="(03) Boleta"/>
    <x v="42"/>
    <x v="19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1 error: Error en envio de documeto '&lt;/p&gt;"/>
    <x v="0"/>
    <m/>
    <m/>
    <m/>
    <m/>
    <m/>
    <m/>
    <x v="0"/>
    <x v="0"/>
    <m/>
    <m/>
    <x v="20"/>
  </r>
  <r>
    <x v="336"/>
    <n v="0"/>
    <m/>
    <s v="(03) Boleta"/>
    <x v="42"/>
    <x v="19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79 error: Error en envio de documeto '&lt;/p&gt;"/>
    <x v="0"/>
    <m/>
    <m/>
    <m/>
    <m/>
    <m/>
    <m/>
    <x v="0"/>
    <x v="0"/>
    <m/>
    <m/>
    <x v="20"/>
  </r>
  <r>
    <x v="337"/>
    <n v="0"/>
    <m/>
    <s v="(01) Factura"/>
    <x v="14"/>
    <x v="2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596 error: Error en envio de documeto '&lt;/p&gt;"/>
    <x v="0"/>
    <m/>
    <m/>
    <m/>
    <m/>
    <m/>
    <m/>
    <x v="0"/>
    <x v="0"/>
    <m/>
    <m/>
    <x v="21"/>
  </r>
  <r>
    <x v="338"/>
    <n v="0"/>
    <m/>
    <s v="(01) Factura"/>
    <x v="14"/>
    <x v="2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04 error: Error en envio de documeto '&lt;/p&gt;"/>
    <x v="0"/>
    <m/>
    <m/>
    <m/>
    <m/>
    <m/>
    <m/>
    <x v="0"/>
    <x v="0"/>
    <m/>
    <m/>
    <x v="21"/>
  </r>
  <r>
    <x v="339"/>
    <n v="0"/>
    <m/>
    <s v="(01) Factura"/>
    <x v="5"/>
    <x v="21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2 error: Error en envio de documeto '&lt;/p&gt;"/>
    <x v="0"/>
    <m/>
    <m/>
    <m/>
    <m/>
    <m/>
    <m/>
    <x v="0"/>
    <x v="0"/>
    <m/>
    <m/>
    <x v="22"/>
  </r>
  <r>
    <x v="340"/>
    <n v="0"/>
    <m/>
    <s v="(01) Factura"/>
    <x v="5"/>
    <x v="21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29 error: Error en envio de documeto '&lt;/p&gt;"/>
    <x v="0"/>
    <m/>
    <m/>
    <m/>
    <m/>
    <m/>
    <m/>
    <x v="0"/>
    <x v="0"/>
    <m/>
    <m/>
    <x v="22"/>
  </r>
  <r>
    <x v="341"/>
    <n v="0"/>
    <m/>
    <s v="(01) Factura"/>
    <x v="5"/>
    <x v="21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36 error: Error en envio de documeto '&lt;/p&gt;"/>
    <x v="0"/>
    <m/>
    <m/>
    <m/>
    <m/>
    <m/>
    <m/>
    <x v="0"/>
    <x v="0"/>
    <m/>
    <m/>
    <x v="22"/>
  </r>
  <r>
    <x v="342"/>
    <n v="0"/>
    <m/>
    <s v="(01) Factura"/>
    <x v="5"/>
    <x v="21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43 error: Error en envio de documeto '&lt;/p&gt;"/>
    <x v="0"/>
    <m/>
    <m/>
    <m/>
    <m/>
    <m/>
    <m/>
    <x v="0"/>
    <x v="0"/>
    <m/>
    <m/>
    <x v="22"/>
  </r>
  <r>
    <x v="343"/>
    <n v="0"/>
    <m/>
    <s v="(01) Factura"/>
    <x v="14"/>
    <x v="21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54 error: Error en envio de documeto '&lt;/p&gt;"/>
    <x v="0"/>
    <m/>
    <m/>
    <m/>
    <m/>
    <m/>
    <m/>
    <x v="0"/>
    <x v="0"/>
    <m/>
    <m/>
    <x v="22"/>
  </r>
  <r>
    <x v="344"/>
    <n v="0"/>
    <m/>
    <s v="(01) Factura"/>
    <x v="14"/>
    <x v="21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63 error: Error en envio de documeto '&lt;/p&gt;"/>
    <x v="0"/>
    <m/>
    <m/>
    <m/>
    <m/>
    <m/>
    <m/>
    <x v="0"/>
    <x v="0"/>
    <m/>
    <m/>
    <x v="22"/>
  </r>
  <r>
    <x v="345"/>
    <n v="0"/>
    <m/>
    <s v="(01) Factura"/>
    <x v="14"/>
    <x v="21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72 error: Error en envio de documeto '&lt;/p&gt;"/>
    <x v="0"/>
    <m/>
    <m/>
    <m/>
    <m/>
    <m/>
    <m/>
    <x v="0"/>
    <x v="0"/>
    <m/>
    <m/>
    <x v="22"/>
  </r>
  <r>
    <x v="346"/>
    <n v="0"/>
    <m/>
    <s v="(01) Factura"/>
    <x v="14"/>
    <x v="21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688 error: Error en envio de documeto '&lt;/p&gt;"/>
    <x v="0"/>
    <m/>
    <m/>
    <m/>
    <m/>
    <m/>
    <m/>
    <x v="0"/>
    <x v="0"/>
    <m/>
    <m/>
    <x v="22"/>
  </r>
  <r>
    <x v="347"/>
    <n v="0"/>
    <m/>
    <s v="(01) Factura"/>
    <x v="65"/>
    <x v="21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04 error: Error en envio de documeto '&lt;/p&gt;"/>
    <x v="0"/>
    <m/>
    <m/>
    <m/>
    <m/>
    <m/>
    <m/>
    <x v="0"/>
    <x v="0"/>
    <m/>
    <m/>
    <x v="22"/>
  </r>
  <r>
    <x v="348"/>
    <n v="0"/>
    <m/>
    <s v="(01) Factura"/>
    <x v="65"/>
    <x v="21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12 error: Error en envio de documeto '&lt;/p&gt;"/>
    <x v="0"/>
    <m/>
    <m/>
    <m/>
    <m/>
    <m/>
    <m/>
    <x v="0"/>
    <x v="0"/>
    <m/>
    <m/>
    <x v="22"/>
  </r>
  <r>
    <x v="349"/>
    <n v="0"/>
    <m/>
    <s v="(01) Factura"/>
    <x v="28"/>
    <x v="21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3 error: Error en envio de documeto '&lt;/p&gt;"/>
    <x v="0"/>
    <m/>
    <m/>
    <m/>
    <m/>
    <m/>
    <m/>
    <x v="0"/>
    <x v="0"/>
    <m/>
    <m/>
    <x v="22"/>
  </r>
  <r>
    <x v="350"/>
    <n v="0"/>
    <m/>
    <s v="(01) Factura"/>
    <x v="28"/>
    <x v="21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28 error: Error en envio de documeto '&lt;/p&gt;"/>
    <x v="0"/>
    <m/>
    <m/>
    <m/>
    <m/>
    <m/>
    <m/>
    <x v="0"/>
    <x v="0"/>
    <m/>
    <m/>
    <x v="22"/>
  </r>
  <r>
    <x v="351"/>
    <n v="0"/>
    <m/>
    <s v="(01) Factura"/>
    <x v="24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33 error: Error en envio de documeto '&lt;/p&gt;"/>
    <x v="0"/>
    <m/>
    <m/>
    <m/>
    <m/>
    <m/>
    <m/>
    <x v="0"/>
    <x v="0"/>
    <m/>
    <m/>
    <x v="22"/>
  </r>
  <r>
    <x v="352"/>
    <n v="0"/>
    <m/>
    <s v="(01) Factura"/>
    <x v="24"/>
    <x v="21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43 error: Error en envio de documeto '&lt;/p&gt;"/>
    <x v="0"/>
    <m/>
    <m/>
    <m/>
    <m/>
    <m/>
    <m/>
    <x v="0"/>
    <x v="0"/>
    <m/>
    <m/>
    <x v="22"/>
  </r>
  <r>
    <x v="353"/>
    <n v="0"/>
    <m/>
    <s v="(01) Factura"/>
    <x v="24"/>
    <x v="21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55 error: Error en envio de documeto '&lt;/p&gt;"/>
    <x v="0"/>
    <m/>
    <m/>
    <m/>
    <m/>
    <m/>
    <m/>
    <x v="0"/>
    <x v="0"/>
    <m/>
    <m/>
    <x v="22"/>
  </r>
  <r>
    <x v="354"/>
    <n v="0"/>
    <m/>
    <s v="(01) Factura"/>
    <x v="24"/>
    <x v="21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0 error: Error en envio de documeto '&lt;/p&gt;"/>
    <x v="0"/>
    <m/>
    <m/>
    <m/>
    <m/>
    <m/>
    <m/>
    <x v="0"/>
    <x v="0"/>
    <m/>
    <m/>
    <x v="22"/>
  </r>
  <r>
    <x v="355"/>
    <n v="0"/>
    <m/>
    <s v="(01) Factura"/>
    <x v="32"/>
    <x v="21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65 error: Error en envio de documeto '&lt;/p&gt;"/>
    <x v="0"/>
    <m/>
    <m/>
    <m/>
    <m/>
    <m/>
    <m/>
    <x v="0"/>
    <x v="0"/>
    <m/>
    <m/>
    <x v="22"/>
  </r>
  <r>
    <x v="356"/>
    <n v="0"/>
    <m/>
    <s v="(01) Factura"/>
    <x v="32"/>
    <x v="21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785 error: Error en envio de documeto '&lt;/p&gt;"/>
    <x v="0"/>
    <m/>
    <m/>
    <m/>
    <m/>
    <m/>
    <m/>
    <x v="0"/>
    <x v="0"/>
    <m/>
    <m/>
    <x v="22"/>
  </r>
  <r>
    <x v="357"/>
    <n v="0"/>
    <m/>
    <s v="(01) Factura"/>
    <x v="23"/>
    <x v="21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01 error: Error en envio de documeto '&lt;/p&gt;"/>
    <x v="0"/>
    <m/>
    <m/>
    <m/>
    <m/>
    <m/>
    <m/>
    <x v="0"/>
    <x v="0"/>
    <m/>
    <m/>
    <x v="22"/>
  </r>
  <r>
    <x v="358"/>
    <n v="0"/>
    <m/>
    <s v="(01) Factura"/>
    <x v="23"/>
    <x v="21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0 error: Error en envio de documeto '&lt;/p&gt;"/>
    <x v="0"/>
    <m/>
    <m/>
    <m/>
    <m/>
    <m/>
    <m/>
    <x v="0"/>
    <x v="0"/>
    <m/>
    <m/>
    <x v="22"/>
  </r>
  <r>
    <x v="359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17 error: Error en envio de documeto '&lt;/p&gt;"/>
    <x v="0"/>
    <m/>
    <m/>
    <m/>
    <m/>
    <m/>
    <m/>
    <x v="0"/>
    <x v="0"/>
    <m/>
    <m/>
    <x v="22"/>
  </r>
  <r>
    <x v="360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22 error: Error en envio de documeto '&lt;/p&gt;"/>
    <x v="0"/>
    <m/>
    <m/>
    <m/>
    <m/>
    <m/>
    <m/>
    <x v="0"/>
    <x v="0"/>
    <m/>
    <m/>
    <x v="22"/>
  </r>
  <r>
    <x v="361"/>
    <n v="0"/>
    <m/>
    <s v="(01) Factura"/>
    <x v="23"/>
    <x v="21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31 error: Error en envio de documeto '&lt;/p&gt;"/>
    <x v="0"/>
    <m/>
    <m/>
    <m/>
    <m/>
    <m/>
    <m/>
    <x v="0"/>
    <x v="0"/>
    <m/>
    <m/>
    <x v="22"/>
  </r>
  <r>
    <x v="362"/>
    <n v="0"/>
    <m/>
    <s v="(01) Factura"/>
    <x v="23"/>
    <x v="21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42 error: Error en envio de documeto '&lt;/p&gt;"/>
    <x v="0"/>
    <m/>
    <m/>
    <m/>
    <m/>
    <m/>
    <m/>
    <x v="0"/>
    <x v="0"/>
    <m/>
    <m/>
    <x v="22"/>
  </r>
  <r>
    <x v="363"/>
    <n v="0"/>
    <m/>
    <s v="(01) Factura"/>
    <x v="23"/>
    <x v="21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50 error: Error en envio de documeto '&lt;/p&gt;"/>
    <x v="0"/>
    <m/>
    <m/>
    <m/>
    <m/>
    <m/>
    <m/>
    <x v="0"/>
    <x v="0"/>
    <m/>
    <m/>
    <x v="22"/>
  </r>
  <r>
    <x v="364"/>
    <n v="0"/>
    <m/>
    <s v="(01) Factura"/>
    <x v="23"/>
    <x v="21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61 error: Error en envio de documeto '&lt;/p&gt;"/>
    <x v="0"/>
    <m/>
    <m/>
    <m/>
    <m/>
    <m/>
    <m/>
    <x v="0"/>
    <x v="0"/>
    <m/>
    <m/>
    <x v="22"/>
  </r>
  <r>
    <x v="365"/>
    <n v="0"/>
    <m/>
    <s v="(01) Factura"/>
    <x v="23"/>
    <x v="21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77 error: Error en envio de documeto '&lt;/p&gt;"/>
    <x v="0"/>
    <m/>
    <m/>
    <m/>
    <m/>
    <m/>
    <m/>
    <x v="0"/>
    <x v="0"/>
    <m/>
    <m/>
    <x v="22"/>
  </r>
  <r>
    <x v="366"/>
    <n v="0"/>
    <m/>
    <s v="(01) Factura"/>
    <x v="23"/>
    <x v="21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896 error: Error en envio de documeto '&lt;/p&gt;"/>
    <x v="0"/>
    <m/>
    <m/>
    <m/>
    <m/>
    <m/>
    <m/>
    <x v="0"/>
    <x v="0"/>
    <m/>
    <m/>
    <x v="22"/>
  </r>
  <r>
    <x v="367"/>
    <n v="0"/>
    <m/>
    <s v="(01) Factura"/>
    <x v="20"/>
    <x v="21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25 error: Error en envio de documeto '&lt;/p&gt;"/>
    <x v="0"/>
    <m/>
    <m/>
    <m/>
    <m/>
    <m/>
    <m/>
    <x v="0"/>
    <x v="0"/>
    <m/>
    <m/>
    <x v="22"/>
  </r>
  <r>
    <x v="368"/>
    <n v="0"/>
    <m/>
    <s v="(01) Factura"/>
    <x v="20"/>
    <x v="21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57 error: Error en envio de documeto '&lt;/p&gt;"/>
    <x v="0"/>
    <m/>
    <m/>
    <m/>
    <m/>
    <m/>
    <m/>
    <x v="0"/>
    <x v="0"/>
    <m/>
    <m/>
    <x v="22"/>
  </r>
  <r>
    <x v="369"/>
    <n v="0"/>
    <m/>
    <s v="(01) Factura"/>
    <x v="20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1984 error: Error en envio de documeto '&lt;/p&gt;"/>
    <x v="0"/>
    <m/>
    <m/>
    <m/>
    <m/>
    <m/>
    <m/>
    <x v="0"/>
    <x v="0"/>
    <m/>
    <m/>
    <x v="22"/>
  </r>
  <r>
    <x v="370"/>
    <n v="0"/>
    <m/>
    <s v="(01) Factura"/>
    <x v="20"/>
    <x v="21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15 error: Error en envio de documeto '&lt;/p&gt;"/>
    <x v="0"/>
    <m/>
    <m/>
    <m/>
    <m/>
    <m/>
    <m/>
    <x v="0"/>
    <x v="0"/>
    <m/>
    <m/>
    <x v="22"/>
  </r>
  <r>
    <x v="371"/>
    <n v="0"/>
    <m/>
    <s v="(01) Factura"/>
    <x v="20"/>
    <x v="21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52 error: Error en envio de documeto '&lt;/p&gt;"/>
    <x v="0"/>
    <m/>
    <m/>
    <m/>
    <m/>
    <m/>
    <m/>
    <x v="0"/>
    <x v="0"/>
    <m/>
    <m/>
    <x v="22"/>
  </r>
  <r>
    <x v="372"/>
    <n v="0"/>
    <m/>
    <s v="(01) Factura"/>
    <x v="66"/>
    <x v="21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1 error: Error en envio de documeto '&lt;/p&gt;"/>
    <x v="0"/>
    <m/>
    <m/>
    <m/>
    <m/>
    <m/>
    <m/>
    <x v="0"/>
    <x v="0"/>
    <m/>
    <m/>
    <x v="22"/>
  </r>
  <r>
    <x v="373"/>
    <n v="0"/>
    <m/>
    <s v="(01) Factura"/>
    <x v="66"/>
    <x v="21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078 error: Error en envio de documeto '&lt;/p&gt;"/>
    <x v="0"/>
    <m/>
    <m/>
    <m/>
    <m/>
    <m/>
    <m/>
    <x v="0"/>
    <x v="0"/>
    <m/>
    <m/>
    <x v="22"/>
  </r>
  <r>
    <x v="374"/>
    <n v="0"/>
    <m/>
    <s v="(01) Factura"/>
    <x v="66"/>
    <x v="21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02 error: Error en envio de documeto '&lt;/p&gt;"/>
    <x v="0"/>
    <m/>
    <m/>
    <m/>
    <m/>
    <m/>
    <m/>
    <x v="0"/>
    <x v="0"/>
    <m/>
    <m/>
    <x v="22"/>
  </r>
  <r>
    <x v="375"/>
    <n v="0"/>
    <m/>
    <s v="(01) Factura"/>
    <x v="66"/>
    <x v="21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18 error: Error en envio de documeto '&lt;/p&gt;"/>
    <x v="0"/>
    <m/>
    <m/>
    <m/>
    <m/>
    <m/>
    <m/>
    <x v="0"/>
    <x v="0"/>
    <m/>
    <m/>
    <x v="22"/>
  </r>
  <r>
    <x v="376"/>
    <n v="0"/>
    <m/>
    <s v="(03) Boleta"/>
    <x v="67"/>
    <x v="21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33 error: Error en envio de documeto '&lt;/p&gt;"/>
    <x v="0"/>
    <m/>
    <m/>
    <m/>
    <m/>
    <m/>
    <m/>
    <x v="0"/>
    <x v="0"/>
    <m/>
    <m/>
    <x v="22"/>
  </r>
  <r>
    <x v="377"/>
    <n v="0"/>
    <m/>
    <s v="(03) Boleta"/>
    <x v="67"/>
    <x v="21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44 error: Error en envio de documeto '&lt;/p&gt;"/>
    <x v="0"/>
    <m/>
    <m/>
    <m/>
    <m/>
    <m/>
    <m/>
    <x v="0"/>
    <x v="0"/>
    <m/>
    <m/>
    <x v="22"/>
  </r>
  <r>
    <x v="378"/>
    <n v="0"/>
    <m/>
    <s v="(03) Boleta"/>
    <x v="68"/>
    <x v="21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61 error: Error en envio de documeto '&lt;/p&gt;"/>
    <x v="0"/>
    <m/>
    <m/>
    <m/>
    <m/>
    <m/>
    <m/>
    <x v="0"/>
    <x v="0"/>
    <m/>
    <m/>
    <x v="22"/>
  </r>
  <r>
    <x v="379"/>
    <n v="0"/>
    <m/>
    <s v="(03) Boleta"/>
    <x v="68"/>
    <x v="21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70 error: Error en envio de documeto '&lt;/p&gt;"/>
    <x v="0"/>
    <m/>
    <m/>
    <m/>
    <m/>
    <m/>
    <m/>
    <x v="0"/>
    <x v="0"/>
    <m/>
    <m/>
    <x v="22"/>
  </r>
  <r>
    <x v="380"/>
    <n v="0"/>
    <m/>
    <s v="(03) Boleta"/>
    <x v="68"/>
    <x v="21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82 error: Error en envio de documeto '&lt;/p&gt;"/>
    <x v="0"/>
    <m/>
    <m/>
    <m/>
    <m/>
    <m/>
    <m/>
    <x v="0"/>
    <x v="0"/>
    <m/>
    <m/>
    <x v="22"/>
  </r>
  <r>
    <x v="381"/>
    <n v="0"/>
    <m/>
    <s v="(03) Boleta"/>
    <x v="69"/>
    <x v="21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198 error: Error en envio de documeto '&lt;/p&gt;"/>
    <x v="0"/>
    <m/>
    <m/>
    <m/>
    <m/>
    <m/>
    <m/>
    <x v="0"/>
    <x v="0"/>
    <m/>
    <m/>
    <x v="22"/>
  </r>
  <r>
    <x v="382"/>
    <n v="0"/>
    <m/>
    <s v="(03) Boleta"/>
    <x v="69"/>
    <x v="21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13 error: Error en envio de documeto '&lt;/p&gt;"/>
    <x v="0"/>
    <m/>
    <m/>
    <m/>
    <m/>
    <m/>
    <m/>
    <x v="0"/>
    <x v="0"/>
    <m/>
    <m/>
    <x v="22"/>
  </r>
  <r>
    <x v="383"/>
    <n v="0"/>
    <m/>
    <s v="(01) Factura"/>
    <x v="70"/>
    <x v="22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31 error: Error en envio de documeto '&lt;/p&gt;"/>
    <x v="0"/>
    <m/>
    <m/>
    <m/>
    <m/>
    <m/>
    <m/>
    <x v="0"/>
    <x v="0"/>
    <m/>
    <m/>
    <x v="23"/>
  </r>
  <r>
    <x v="384"/>
    <n v="0"/>
    <m/>
    <s v="(01) Factura"/>
    <x v="70"/>
    <x v="22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46 error: Error en envio de documeto '&lt;/p&gt;"/>
    <x v="0"/>
    <m/>
    <m/>
    <m/>
    <m/>
    <m/>
    <m/>
    <x v="0"/>
    <x v="0"/>
    <m/>
    <m/>
    <x v="23"/>
  </r>
  <r>
    <x v="385"/>
    <n v="0"/>
    <m/>
    <s v="(01) Factura"/>
    <x v="70"/>
    <x v="22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60 error: Error en envio de documeto '&lt;/p&gt;"/>
    <x v="0"/>
    <m/>
    <m/>
    <m/>
    <m/>
    <m/>
    <m/>
    <x v="0"/>
    <x v="0"/>
    <m/>
    <m/>
    <x v="23"/>
  </r>
  <r>
    <x v="386"/>
    <n v="0"/>
    <m/>
    <s v="(01) Factura"/>
    <x v="12"/>
    <x v="22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6 error: Error en envio de documeto '&lt;/p&gt;"/>
    <x v="0"/>
    <m/>
    <m/>
    <m/>
    <m/>
    <m/>
    <m/>
    <x v="0"/>
    <x v="0"/>
    <m/>
    <m/>
    <x v="23"/>
  </r>
  <r>
    <x v="387"/>
    <n v="0"/>
    <m/>
    <s v="(01) Factura"/>
    <x v="12"/>
    <x v="22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79 error: Error en envio de documeto '&lt;/p&gt;"/>
    <x v="0"/>
    <m/>
    <m/>
    <m/>
    <m/>
    <m/>
    <m/>
    <x v="0"/>
    <x v="0"/>
    <m/>
    <m/>
    <x v="23"/>
  </r>
  <r>
    <x v="388"/>
    <n v="0"/>
    <m/>
    <s v="(01) Factura"/>
    <x v="12"/>
    <x v="22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84 error: Error en envio de documeto '&lt;/p&gt;"/>
    <x v="0"/>
    <m/>
    <m/>
    <m/>
    <m/>
    <m/>
    <m/>
    <x v="0"/>
    <x v="0"/>
    <m/>
    <m/>
    <x v="23"/>
  </r>
  <r>
    <x v="389"/>
    <n v="0"/>
    <m/>
    <s v="(01) Factura"/>
    <x v="63"/>
    <x v="22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1 error: Error en envio de documeto '&lt;/p&gt;"/>
    <x v="0"/>
    <m/>
    <m/>
    <m/>
    <m/>
    <m/>
    <m/>
    <x v="0"/>
    <x v="0"/>
    <m/>
    <m/>
    <x v="23"/>
  </r>
  <r>
    <x v="390"/>
    <n v="0"/>
    <m/>
    <s v="(01) Factura"/>
    <x v="63"/>
    <x v="22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297 error: Error en envio de documeto '&lt;/p&gt;"/>
    <x v="0"/>
    <m/>
    <m/>
    <m/>
    <m/>
    <m/>
    <m/>
    <x v="0"/>
    <x v="0"/>
    <m/>
    <m/>
    <x v="23"/>
  </r>
  <r>
    <x v="391"/>
    <n v="0"/>
    <m/>
    <s v="(01) Factura"/>
    <x v="71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06 error: Error en envio de documeto '&lt;/p&gt;"/>
    <x v="0"/>
    <m/>
    <m/>
    <m/>
    <m/>
    <m/>
    <m/>
    <x v="0"/>
    <x v="0"/>
    <m/>
    <m/>
    <x v="23"/>
  </r>
  <r>
    <x v="392"/>
    <n v="0"/>
    <m/>
    <s v="(01) Factura"/>
    <x v="71"/>
    <x v="22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18 error: Error en envio de documeto '&lt;/p&gt;"/>
    <x v="0"/>
    <m/>
    <m/>
    <m/>
    <m/>
    <m/>
    <m/>
    <x v="0"/>
    <x v="0"/>
    <m/>
    <m/>
    <x v="23"/>
  </r>
  <r>
    <x v="393"/>
    <n v="0"/>
    <m/>
    <s v="(01) Factura"/>
    <x v="72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32 error: Error en envio de documeto '&lt;/p&gt;"/>
    <x v="0"/>
    <m/>
    <m/>
    <m/>
    <m/>
    <m/>
    <m/>
    <x v="0"/>
    <x v="0"/>
    <m/>
    <m/>
    <x v="23"/>
  </r>
  <r>
    <x v="394"/>
    <n v="0"/>
    <m/>
    <s v="(01) Factura"/>
    <x v="72"/>
    <x v="22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42 error: Error en envio de documeto '&lt;/p&gt;"/>
    <x v="0"/>
    <m/>
    <m/>
    <m/>
    <m/>
    <m/>
    <m/>
    <x v="0"/>
    <x v="0"/>
    <m/>
    <m/>
    <x v="23"/>
  </r>
  <r>
    <x v="395"/>
    <n v="0"/>
    <m/>
    <s v="(01) Factura"/>
    <x v="73"/>
    <x v="22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58 error: Error en envio de documeto '&lt;/p&gt;"/>
    <x v="0"/>
    <m/>
    <m/>
    <m/>
    <m/>
    <m/>
    <m/>
    <x v="0"/>
    <x v="0"/>
    <m/>
    <m/>
    <x v="23"/>
  </r>
  <r>
    <x v="396"/>
    <n v="0"/>
    <m/>
    <s v="(01) Factura"/>
    <x v="73"/>
    <x v="22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65 error: Error en envio de documeto '&lt;/p&gt;"/>
    <x v="0"/>
    <m/>
    <m/>
    <m/>
    <m/>
    <m/>
    <m/>
    <x v="0"/>
    <x v="0"/>
    <m/>
    <m/>
    <x v="23"/>
  </r>
  <r>
    <x v="397"/>
    <n v="0"/>
    <m/>
    <s v="(01) Factura"/>
    <x v="74"/>
    <x v="22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4 error: Error en envio de documeto '&lt;/p&gt;"/>
    <x v="0"/>
    <m/>
    <m/>
    <m/>
    <m/>
    <m/>
    <m/>
    <x v="0"/>
    <x v="0"/>
    <m/>
    <m/>
    <x v="23"/>
  </r>
  <r>
    <x v="398"/>
    <n v="0"/>
    <m/>
    <s v="(01) Factura"/>
    <x v="74"/>
    <x v="22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6 error: Error en envio de documeto '&lt;/p&gt;"/>
    <x v="0"/>
    <m/>
    <m/>
    <m/>
    <m/>
    <m/>
    <m/>
    <x v="0"/>
    <x v="0"/>
    <m/>
    <m/>
    <x v="23"/>
  </r>
  <r>
    <x v="399"/>
    <n v="0"/>
    <m/>
    <s v="(01) Factura"/>
    <x v="74"/>
    <x v="22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379 error: Error en envio de documeto '&lt;/p&gt;"/>
    <x v="0"/>
    <m/>
    <m/>
    <m/>
    <m/>
    <m/>
    <m/>
    <x v="0"/>
    <x v="0"/>
    <m/>
    <m/>
    <x v="23"/>
  </r>
  <r>
    <x v="400"/>
    <n v="0"/>
    <m/>
    <s v="(01) Factura"/>
    <x v="34"/>
    <x v="22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01 error: Error en envio de documeto '&lt;/p&gt;"/>
    <x v="0"/>
    <m/>
    <m/>
    <m/>
    <m/>
    <m/>
    <m/>
    <x v="0"/>
    <x v="0"/>
    <m/>
    <m/>
    <x v="23"/>
  </r>
  <r>
    <x v="401"/>
    <n v="0"/>
    <m/>
    <s v="(01) Factura"/>
    <x v="34"/>
    <x v="22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36 error: Error en envio de documeto '&lt;/p&gt;"/>
    <x v="0"/>
    <m/>
    <m/>
    <m/>
    <m/>
    <m/>
    <m/>
    <x v="0"/>
    <x v="0"/>
    <m/>
    <m/>
    <x v="23"/>
  </r>
  <r>
    <x v="402"/>
    <n v="0"/>
    <m/>
    <s v="(01) Factura"/>
    <x v="75"/>
    <x v="22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47 error: Error en envio de documeto '&lt;/p&gt;"/>
    <x v="0"/>
    <m/>
    <m/>
    <m/>
    <m/>
    <m/>
    <m/>
    <x v="0"/>
    <x v="0"/>
    <m/>
    <m/>
    <x v="23"/>
  </r>
  <r>
    <x v="403"/>
    <n v="0"/>
    <m/>
    <s v="(01) Factura"/>
    <x v="75"/>
    <x v="22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53 error: Error en envio de documeto '&lt;/p&gt;"/>
    <x v="0"/>
    <m/>
    <m/>
    <m/>
    <m/>
    <m/>
    <m/>
    <x v="0"/>
    <x v="0"/>
    <m/>
    <m/>
    <x v="23"/>
  </r>
  <r>
    <x v="404"/>
    <n v="0"/>
    <m/>
    <s v="(01) Factura"/>
    <x v="76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64 error: Error en envio de documeto '&lt;/p&gt;"/>
    <x v="0"/>
    <m/>
    <m/>
    <m/>
    <m/>
    <m/>
    <m/>
    <x v="0"/>
    <x v="0"/>
    <m/>
    <m/>
    <x v="23"/>
  </r>
  <r>
    <x v="405"/>
    <n v="0"/>
    <m/>
    <s v="(01) Factura"/>
    <x v="76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81 error: Error en envio de documeto '&lt;/p&gt;"/>
    <x v="0"/>
    <m/>
    <m/>
    <m/>
    <m/>
    <m/>
    <m/>
    <x v="0"/>
    <x v="0"/>
    <m/>
    <m/>
    <x v="23"/>
  </r>
  <r>
    <x v="406"/>
    <n v="0"/>
    <m/>
    <s v="(01) Factura"/>
    <x v="24"/>
    <x v="22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1 error: Error en envio de documeto '&lt;/p&gt;"/>
    <x v="0"/>
    <m/>
    <m/>
    <m/>
    <m/>
    <m/>
    <m/>
    <x v="0"/>
    <x v="0"/>
    <m/>
    <m/>
    <x v="23"/>
  </r>
  <r>
    <x v="407"/>
    <n v="0"/>
    <m/>
    <s v="(01) Factura"/>
    <x v="24"/>
    <x v="22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494 error: Error en envio de documeto '&lt;/p&gt;"/>
    <x v="0"/>
    <m/>
    <m/>
    <m/>
    <m/>
    <m/>
    <m/>
    <x v="0"/>
    <x v="0"/>
    <m/>
    <m/>
    <x v="23"/>
  </r>
  <r>
    <x v="408"/>
    <n v="0"/>
    <m/>
    <s v="(01) Factura"/>
    <x v="24"/>
    <x v="22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02 error: Error en envio de documeto '&lt;/p&gt;"/>
    <x v="0"/>
    <m/>
    <m/>
    <m/>
    <m/>
    <m/>
    <m/>
    <x v="0"/>
    <x v="0"/>
    <m/>
    <m/>
    <x v="23"/>
  </r>
  <r>
    <x v="409"/>
    <n v="0"/>
    <m/>
    <s v="(01) Factura"/>
    <x v="24"/>
    <x v="22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13 error: Error en envio de documeto '&lt;/p&gt;"/>
    <x v="0"/>
    <m/>
    <m/>
    <m/>
    <m/>
    <m/>
    <m/>
    <x v="0"/>
    <x v="0"/>
    <m/>
    <m/>
    <x v="23"/>
  </r>
  <r>
    <x v="410"/>
    <n v="0"/>
    <m/>
    <s v="(01) Factura"/>
    <x v="24"/>
    <x v="22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24 error: Error en envio de documeto '&lt;/p&gt;"/>
    <x v="0"/>
    <m/>
    <m/>
    <m/>
    <m/>
    <m/>
    <m/>
    <x v="0"/>
    <x v="0"/>
    <m/>
    <m/>
    <x v="23"/>
  </r>
  <r>
    <x v="411"/>
    <n v="0"/>
    <m/>
    <s v="(01) Factura"/>
    <x v="24"/>
    <x v="22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37 error: Error en envio de documeto '&lt;/p&gt;"/>
    <x v="0"/>
    <m/>
    <m/>
    <m/>
    <m/>
    <m/>
    <m/>
    <x v="0"/>
    <x v="0"/>
    <m/>
    <m/>
    <x v="23"/>
  </r>
  <r>
    <x v="412"/>
    <n v="0"/>
    <m/>
    <s v="(01) Factura"/>
    <x v="28"/>
    <x v="22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2 error: Error en envio de documeto '&lt;/p&gt;"/>
    <x v="0"/>
    <m/>
    <m/>
    <m/>
    <m/>
    <m/>
    <m/>
    <x v="0"/>
    <x v="0"/>
    <m/>
    <m/>
    <x v="23"/>
  </r>
  <r>
    <x v="413"/>
    <n v="0"/>
    <m/>
    <s v="(01) Factura"/>
    <x v="28"/>
    <x v="22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55 error: Error en envio de documeto '&lt;/p&gt;"/>
    <x v="0"/>
    <m/>
    <m/>
    <m/>
    <m/>
    <m/>
    <m/>
    <x v="0"/>
    <x v="0"/>
    <m/>
    <m/>
    <x v="23"/>
  </r>
  <r>
    <x v="414"/>
    <n v="0"/>
    <m/>
    <s v="(01) Factura"/>
    <x v="77"/>
    <x v="22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73 error: Error en envio de documeto '&lt;/p&gt;"/>
    <x v="0"/>
    <m/>
    <m/>
    <m/>
    <m/>
    <m/>
    <m/>
    <x v="0"/>
    <x v="0"/>
    <m/>
    <m/>
    <x v="23"/>
  </r>
  <r>
    <x v="415"/>
    <n v="0"/>
    <m/>
    <s v="(01) Factura"/>
    <x v="77"/>
    <x v="22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0 error: Error en envio de documeto '&lt;/p&gt;"/>
    <x v="0"/>
    <m/>
    <m/>
    <m/>
    <m/>
    <m/>
    <m/>
    <x v="0"/>
    <x v="0"/>
    <m/>
    <m/>
    <x v="23"/>
  </r>
  <r>
    <x v="416"/>
    <n v="0"/>
    <m/>
    <s v="(01) Factura"/>
    <x v="32"/>
    <x v="22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86 error: Error en envio de documeto '&lt;/p&gt;"/>
    <x v="0"/>
    <m/>
    <m/>
    <m/>
    <m/>
    <m/>
    <m/>
    <x v="0"/>
    <x v="0"/>
    <m/>
    <m/>
    <x v="23"/>
  </r>
  <r>
    <x v="417"/>
    <n v="0"/>
    <m/>
    <s v="(01) Factura"/>
    <x v="32"/>
    <x v="22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593 error: Error en envio de documeto '&lt;/p&gt;"/>
    <x v="0"/>
    <m/>
    <m/>
    <m/>
    <m/>
    <m/>
    <m/>
    <x v="0"/>
    <x v="0"/>
    <m/>
    <m/>
    <x v="23"/>
  </r>
  <r>
    <x v="418"/>
    <n v="0"/>
    <m/>
    <s v="(01) Factura"/>
    <x v="78"/>
    <x v="22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01 error: Error en envio de documeto '&lt;/p&gt;"/>
    <x v="0"/>
    <m/>
    <m/>
    <m/>
    <m/>
    <m/>
    <m/>
    <x v="0"/>
    <x v="0"/>
    <m/>
    <m/>
    <x v="23"/>
  </r>
  <r>
    <x v="419"/>
    <n v="0"/>
    <m/>
    <s v="(01) Factura"/>
    <x v="78"/>
    <x v="22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32 error: Error en envio de documeto '&lt;/p&gt;"/>
    <x v="0"/>
    <m/>
    <m/>
    <m/>
    <m/>
    <m/>
    <m/>
    <x v="0"/>
    <x v="0"/>
    <m/>
    <m/>
    <x v="23"/>
  </r>
  <r>
    <x v="420"/>
    <n v="0"/>
    <m/>
    <s v="(03) Boleta"/>
    <x v="79"/>
    <x v="22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73 error: Error en envio de documeto '&lt;/p&gt;"/>
    <x v="0"/>
    <m/>
    <m/>
    <m/>
    <m/>
    <m/>
    <m/>
    <x v="0"/>
    <x v="0"/>
    <m/>
    <m/>
    <x v="23"/>
  </r>
  <r>
    <x v="421"/>
    <n v="0"/>
    <m/>
    <s v="(03) Boleta"/>
    <x v="79"/>
    <x v="22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688 error: Error en envio de documeto '&lt;/p&gt;"/>
    <x v="0"/>
    <m/>
    <m/>
    <m/>
    <m/>
    <m/>
    <m/>
    <x v="0"/>
    <x v="0"/>
    <m/>
    <m/>
    <x v="23"/>
  </r>
  <r>
    <x v="422"/>
    <n v="0"/>
    <m/>
    <s v="(03) Boleta"/>
    <x v="80"/>
    <x v="22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09 error: Error en envio de documeto '&lt;/p&gt;"/>
    <x v="0"/>
    <m/>
    <m/>
    <m/>
    <m/>
    <m/>
    <m/>
    <x v="0"/>
    <x v="0"/>
    <m/>
    <m/>
    <x v="23"/>
  </r>
  <r>
    <x v="423"/>
    <n v="0"/>
    <m/>
    <s v="(03) Boleta"/>
    <x v="80"/>
    <x v="22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31 error: Error en envio de documeto '&lt;/p&gt;"/>
    <x v="0"/>
    <m/>
    <m/>
    <m/>
    <m/>
    <m/>
    <m/>
    <x v="0"/>
    <x v="0"/>
    <m/>
    <m/>
    <x v="23"/>
  </r>
  <r>
    <x v="424"/>
    <n v="0"/>
    <m/>
    <s v="(03) Boleta"/>
    <x v="81"/>
    <x v="22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53 error: Error en envio de documeto '&lt;/p&gt;"/>
    <x v="0"/>
    <m/>
    <m/>
    <m/>
    <m/>
    <m/>
    <m/>
    <x v="0"/>
    <x v="0"/>
    <m/>
    <m/>
    <x v="23"/>
  </r>
  <r>
    <x v="425"/>
    <n v="0"/>
    <m/>
    <s v="(03) Boleta"/>
    <x v="81"/>
    <x v="22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67 error: Error en envio de documeto '&lt;/p&gt;"/>
    <x v="0"/>
    <m/>
    <m/>
    <m/>
    <m/>
    <m/>
    <m/>
    <x v="0"/>
    <x v="0"/>
    <m/>
    <m/>
    <x v="23"/>
  </r>
  <r>
    <x v="426"/>
    <n v="0"/>
    <m/>
    <s v="(03) Boleta"/>
    <x v="82"/>
    <x v="22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81 error: Error en envio de documeto '&lt;/p&gt;"/>
    <x v="0"/>
    <m/>
    <m/>
    <m/>
    <m/>
    <m/>
    <m/>
    <x v="0"/>
    <x v="0"/>
    <m/>
    <m/>
    <x v="23"/>
  </r>
  <r>
    <x v="427"/>
    <n v="0"/>
    <m/>
    <s v="(03) Boleta"/>
    <x v="82"/>
    <x v="22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797 error: Error en envio de documeto '&lt;/p&gt;"/>
    <x v="0"/>
    <m/>
    <m/>
    <m/>
    <m/>
    <m/>
    <m/>
    <x v="0"/>
    <x v="0"/>
    <m/>
    <m/>
    <x v="23"/>
  </r>
  <r>
    <x v="428"/>
    <n v="0"/>
    <m/>
    <s v="(03) Boleta"/>
    <x v="83"/>
    <x v="22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09 error: Error en envio de documeto '&lt;/p&gt;"/>
    <x v="0"/>
    <m/>
    <m/>
    <m/>
    <m/>
    <m/>
    <m/>
    <x v="0"/>
    <x v="0"/>
    <m/>
    <m/>
    <x v="23"/>
  </r>
  <r>
    <x v="429"/>
    <n v="0"/>
    <m/>
    <s v="(03) Boleta"/>
    <x v="83"/>
    <x v="22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28 error: Error en envio de documeto '&lt;/p&gt;"/>
    <x v="0"/>
    <m/>
    <m/>
    <m/>
    <m/>
    <m/>
    <m/>
    <x v="0"/>
    <x v="0"/>
    <m/>
    <m/>
    <x v="23"/>
  </r>
  <r>
    <x v="430"/>
    <n v="0"/>
    <m/>
    <s v="(03) Boleta"/>
    <x v="45"/>
    <x v="22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45 error: Error en envio de documeto '&lt;/p&gt;"/>
    <x v="0"/>
    <m/>
    <m/>
    <m/>
    <m/>
    <m/>
    <m/>
    <x v="0"/>
    <x v="0"/>
    <m/>
    <m/>
    <x v="23"/>
  </r>
  <r>
    <x v="431"/>
    <n v="0"/>
    <m/>
    <s v="(03) Boleta"/>
    <x v="45"/>
    <x v="22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57 error: Error en envio de documeto '&lt;/p&gt;"/>
    <x v="0"/>
    <m/>
    <m/>
    <m/>
    <m/>
    <m/>
    <m/>
    <x v="0"/>
    <x v="0"/>
    <m/>
    <m/>
    <x v="23"/>
  </r>
  <r>
    <x v="432"/>
    <n v="0"/>
    <m/>
    <s v="(03) Boleta"/>
    <x v="84"/>
    <x v="22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882 error: Error en envio de documeto '&lt;/p&gt;"/>
    <x v="0"/>
    <m/>
    <m/>
    <m/>
    <m/>
    <m/>
    <m/>
    <x v="0"/>
    <x v="0"/>
    <m/>
    <m/>
    <x v="23"/>
  </r>
  <r>
    <x v="433"/>
    <n v="0"/>
    <m/>
    <s v="(03) Boleta"/>
    <x v="84"/>
    <x v="22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07 error: Error en envio de documeto '&lt;/p&gt;"/>
    <x v="0"/>
    <m/>
    <m/>
    <m/>
    <m/>
    <m/>
    <m/>
    <x v="0"/>
    <x v="0"/>
    <m/>
    <m/>
    <x v="23"/>
  </r>
  <r>
    <x v="434"/>
    <n v="0"/>
    <m/>
    <s v="(01) Factura"/>
    <x v="85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35 error: Error en envio de documeto '&lt;/p&gt;"/>
    <x v="0"/>
    <m/>
    <m/>
    <m/>
    <m/>
    <m/>
    <m/>
    <x v="0"/>
    <x v="0"/>
    <m/>
    <m/>
    <x v="24"/>
  </r>
  <r>
    <x v="435"/>
    <n v="0"/>
    <m/>
    <s v="(01) Factura"/>
    <x v="85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73 error: Error en envio de documeto '&lt;/p&gt;"/>
    <x v="0"/>
    <m/>
    <m/>
    <m/>
    <m/>
    <m/>
    <m/>
    <x v="0"/>
    <x v="0"/>
    <m/>
    <m/>
    <x v="24"/>
  </r>
  <r>
    <x v="436"/>
    <n v="0"/>
    <m/>
    <s v="(01) Factura"/>
    <x v="85"/>
    <x v="23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2 error: Error en envio de documeto '&lt;/p&gt;"/>
    <x v="0"/>
    <m/>
    <m/>
    <m/>
    <m/>
    <m/>
    <m/>
    <x v="0"/>
    <x v="0"/>
    <m/>
    <m/>
    <x v="24"/>
  </r>
  <r>
    <x v="437"/>
    <n v="0"/>
    <m/>
    <s v="(01) Factura"/>
    <x v="85"/>
    <x v="23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2997 error: Error en envio de documeto '&lt;/p&gt;"/>
    <x v="0"/>
    <m/>
    <m/>
    <m/>
    <m/>
    <m/>
    <m/>
    <x v="0"/>
    <x v="0"/>
    <m/>
    <m/>
    <x v="24"/>
  </r>
  <r>
    <x v="438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07 error: Error en envio de documeto '&lt;/p&gt;"/>
    <x v="0"/>
    <m/>
    <m/>
    <m/>
    <m/>
    <m/>
    <m/>
    <x v="0"/>
    <x v="0"/>
    <m/>
    <m/>
    <x v="24"/>
  </r>
  <r>
    <x v="439"/>
    <n v="0"/>
    <m/>
    <s v="(01) Factura"/>
    <x v="20"/>
    <x v="23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24 error: Error en envio de documeto '&lt;/p&gt;"/>
    <x v="0"/>
    <m/>
    <m/>
    <m/>
    <m/>
    <m/>
    <m/>
    <x v="0"/>
    <x v="0"/>
    <m/>
    <m/>
    <x v="24"/>
  </r>
  <r>
    <x v="440"/>
    <n v="0"/>
    <m/>
    <s v="(01) Factura"/>
    <x v="20"/>
    <x v="23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47 error: Error en envio de documeto '&lt;/p&gt;"/>
    <x v="0"/>
    <m/>
    <m/>
    <m/>
    <m/>
    <m/>
    <m/>
    <x v="0"/>
    <x v="0"/>
    <m/>
    <m/>
    <x v="24"/>
  </r>
  <r>
    <x v="441"/>
    <n v="0"/>
    <m/>
    <s v="(01) Factura"/>
    <x v="20"/>
    <x v="23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58 error: Error en envio de documeto '&lt;/p&gt;"/>
    <x v="0"/>
    <m/>
    <m/>
    <m/>
    <m/>
    <m/>
    <m/>
    <x v="0"/>
    <x v="0"/>
    <m/>
    <m/>
    <x v="24"/>
  </r>
  <r>
    <x v="442"/>
    <n v="0"/>
    <m/>
    <s v="(01) Factura"/>
    <x v="20"/>
    <x v="23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68 error: Error en envio de documeto '&lt;/p&gt;"/>
    <x v="0"/>
    <m/>
    <m/>
    <m/>
    <m/>
    <m/>
    <m/>
    <x v="0"/>
    <x v="0"/>
    <m/>
    <m/>
    <x v="24"/>
  </r>
  <r>
    <x v="443"/>
    <n v="0"/>
    <m/>
    <s v="(01) Factura"/>
    <x v="20"/>
    <x v="23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73 error: Error en envio de documeto '&lt;/p&gt;"/>
    <x v="0"/>
    <m/>
    <m/>
    <m/>
    <m/>
    <m/>
    <m/>
    <x v="0"/>
    <x v="0"/>
    <m/>
    <m/>
    <x v="24"/>
  </r>
  <r>
    <x v="444"/>
    <n v="0"/>
    <m/>
    <s v="(01) Factura"/>
    <x v="20"/>
    <x v="23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80 error: Error en envio de documeto '&lt;/p&gt;"/>
    <x v="0"/>
    <m/>
    <m/>
    <m/>
    <m/>
    <m/>
    <m/>
    <x v="0"/>
    <x v="0"/>
    <m/>
    <m/>
    <x v="24"/>
  </r>
  <r>
    <x v="445"/>
    <n v="0"/>
    <m/>
    <s v="(01) Factura"/>
    <x v="20"/>
    <x v="23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092 error: Error en envio de documeto '&lt;/p&gt;"/>
    <x v="0"/>
    <m/>
    <m/>
    <m/>
    <m/>
    <m/>
    <m/>
    <x v="0"/>
    <x v="0"/>
    <m/>
    <m/>
    <x v="24"/>
  </r>
  <r>
    <x v="446"/>
    <n v="0"/>
    <m/>
    <s v="(01) Factura"/>
    <x v="20"/>
    <x v="23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13 error: Error en envio de documeto '&lt;/p&gt;"/>
    <x v="0"/>
    <m/>
    <m/>
    <m/>
    <m/>
    <m/>
    <m/>
    <x v="0"/>
    <x v="0"/>
    <m/>
    <m/>
    <x v="24"/>
  </r>
  <r>
    <x v="447"/>
    <n v="0"/>
    <m/>
    <s v="(03) Boleta"/>
    <x v="86"/>
    <x v="23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29 error: Error en envio de documeto '&lt;/p&gt;"/>
    <x v="0"/>
    <m/>
    <m/>
    <m/>
    <m/>
    <m/>
    <m/>
    <x v="0"/>
    <x v="0"/>
    <m/>
    <m/>
    <x v="24"/>
  </r>
  <r>
    <x v="448"/>
    <n v="0"/>
    <m/>
    <s v="(03) Boleta"/>
    <x v="86"/>
    <x v="23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46 error: Error en envio de documeto '&lt;/p&gt;"/>
    <x v="0"/>
    <m/>
    <m/>
    <m/>
    <m/>
    <m/>
    <m/>
    <x v="0"/>
    <x v="0"/>
    <m/>
    <m/>
    <x v="24"/>
  </r>
  <r>
    <x v="449"/>
    <n v="0"/>
    <m/>
    <s v="(03) Boleta"/>
    <x v="86"/>
    <x v="23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61 error: Error en envio de documeto '&lt;/p&gt;"/>
    <x v="0"/>
    <m/>
    <m/>
    <m/>
    <m/>
    <m/>
    <m/>
    <x v="0"/>
    <x v="0"/>
    <m/>
    <m/>
    <x v="24"/>
  </r>
  <r>
    <x v="450"/>
    <n v="0"/>
    <m/>
    <s v="(03) Boleta"/>
    <x v="87"/>
    <x v="23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83 error: Error en envio de documeto '&lt;/p&gt;"/>
    <x v="0"/>
    <m/>
    <m/>
    <m/>
    <m/>
    <m/>
    <m/>
    <x v="0"/>
    <x v="0"/>
    <m/>
    <m/>
    <x v="24"/>
  </r>
  <r>
    <x v="451"/>
    <n v="0"/>
    <m/>
    <s v="(03) Boleta"/>
    <x v="87"/>
    <x v="23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193 error: Error en envio de documeto '&lt;/p&gt;"/>
    <x v="0"/>
    <m/>
    <m/>
    <m/>
    <m/>
    <m/>
    <m/>
    <x v="0"/>
    <x v="0"/>
    <m/>
    <m/>
    <x v="24"/>
  </r>
  <r>
    <x v="452"/>
    <n v="0"/>
    <m/>
    <s v="(03) Boleta"/>
    <x v="83"/>
    <x v="23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05 error: Error en envio de documeto '&lt;/p&gt;"/>
    <x v="0"/>
    <m/>
    <m/>
    <m/>
    <m/>
    <m/>
    <m/>
    <x v="0"/>
    <x v="0"/>
    <m/>
    <m/>
    <x v="24"/>
  </r>
  <r>
    <x v="453"/>
    <n v="0"/>
    <m/>
    <s v="(03) Boleta"/>
    <x v="83"/>
    <x v="23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22 error: Error en envio de documeto '&lt;/p&gt;"/>
    <x v="0"/>
    <m/>
    <m/>
    <m/>
    <m/>
    <m/>
    <m/>
    <x v="0"/>
    <x v="0"/>
    <m/>
    <m/>
    <x v="24"/>
  </r>
  <r>
    <x v="454"/>
    <n v="0"/>
    <m/>
    <s v="(03) Boleta"/>
    <x v="83"/>
    <x v="23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36 error: Error en envio de documeto '&lt;/p&gt;"/>
    <x v="0"/>
    <m/>
    <m/>
    <m/>
    <m/>
    <m/>
    <m/>
    <x v="0"/>
    <x v="0"/>
    <m/>
    <m/>
    <x v="24"/>
  </r>
  <r>
    <x v="455"/>
    <n v="0"/>
    <m/>
    <s v="(03) Boleta"/>
    <x v="88"/>
    <x v="23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64 error: Error en envio de documeto '&lt;/p&gt;"/>
    <x v="0"/>
    <m/>
    <m/>
    <m/>
    <m/>
    <m/>
    <m/>
    <x v="0"/>
    <x v="0"/>
    <m/>
    <m/>
    <x v="24"/>
  </r>
  <r>
    <x v="456"/>
    <n v="0"/>
    <m/>
    <s v="(03) Boleta"/>
    <x v="88"/>
    <x v="23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s v="Por enviar"/>
    <s v="Error"/>
    <s v="&lt;p&gt;Your RUC is not linked to Digiflow as OSE, please make sure you have follow this process in the SUNAT portal:_x000a_1. Linked Digiflow as OSE._x000a_2. Authorize Digiflow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527303277 error: Error en envio de documeto '&lt;/p&gt;"/>
    <x v="0"/>
    <m/>
    <m/>
    <m/>
    <m/>
    <m/>
    <m/>
    <x v="0"/>
    <x v="0"/>
    <m/>
    <m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0">
  <r>
    <x v="0"/>
    <x v="0"/>
    <s v="COLABORATIVA S.A.C."/>
    <x v="0"/>
    <d v="2025-11-03T15:00:00"/>
    <x v="0"/>
    <m/>
    <n v="6"/>
    <n v="20611018925"/>
    <s v="[{'id_producto': 33414, 'codigo_producto': 1924, 'nom_producto': 'BOLETO FULL COLOR CON QR', 'categoria_producto': 'consu', 'cantidad': '2000.0', 'valor_unitario': 0.36, 'precio_unitario': 0.42, 'descuento': 0.0, 'subtotal': 720.0, 'porcentaje_de_igv': '18.00', 'igv': 129.6, 'total': 849.6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7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8, 'codigo_producto': 1895, 'nom_producto': 'BRAZALETE CON QR', 'categoria_producto': 'consu', 'cantidad': '1500.0', 'valor_unitario': 0.5, 'precio_unitario': 0.59, 'descuento': 0.0, 'subtotal': 750.0, 'porcentaje_de_igv': '18.00', 'igv': 135.0, 'total': 88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31T00:00:00"/>
    <m/>
    <m/>
    <m/>
    <m/>
    <m/>
    <n v="33414"/>
    <x v="0"/>
    <x v="0"/>
    <x v="0"/>
    <n v="2000"/>
    <n v="0.36"/>
    <n v="0.42"/>
    <n v="0"/>
    <n v="720"/>
    <n v="18"/>
    <n v="129.6"/>
    <n v="849.6"/>
    <n v="1"/>
    <n v="1"/>
    <x v="0"/>
    <x v="0"/>
    <x v="0"/>
    <s v="JENNY MANCO"/>
    <x v="0"/>
    <s v="7012100 MercaderÃ­as-Venta Local-Terceros"/>
    <x v="0"/>
    <x v="0"/>
    <s v="CORAZON SERRANO HUARAL - 29/10 -I - P"/>
    <d v="2025-10-29T00:00:00"/>
    <d v="2025-10-29T00:00:00"/>
    <x v="0"/>
    <s v="G &amp; N MUSIC S.A.C."/>
    <s v="Empresa"/>
    <x v="0"/>
  </r>
  <r>
    <x v="0"/>
    <x v="0"/>
    <s v="COLABORATIVA S.A.C."/>
    <x v="0"/>
    <d v="2025-11-03T15:00:00"/>
    <x v="0"/>
    <m/>
    <n v="6"/>
    <n v="20611018925"/>
    <s v="[{'id_producto': 33414, 'codigo_producto': 1924, 'nom_producto': 'BOLETO FULL COLOR CON QR', 'categoria_producto': 'consu', 'cantidad': '2000.0', 'valor_unitario': 0.36, 'precio_unitario': 0.42, 'descuento': 0.0, 'subtotal': 720.0, 'porcentaje_de_igv': '18.00', 'igv': 129.6, 'total': 849.6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7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8, 'codigo_producto': 1895, 'nom_producto': 'BRAZALETE CON QR', 'categoria_producto': 'consu', 'cantidad': '1500.0', 'valor_unitario': 0.5, 'precio_unitario': 0.59, 'descuento': 0.0, 'subtotal': 750.0, 'porcentaje_de_igv': '18.00', 'igv': 135.0, 'total': 88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31T00:00:00"/>
    <m/>
    <m/>
    <m/>
    <m/>
    <m/>
    <n v="33417"/>
    <x v="1"/>
    <x v="1"/>
    <x v="0"/>
    <n v="500"/>
    <n v="0.5"/>
    <n v="0.59"/>
    <n v="0"/>
    <n v="250"/>
    <n v="18"/>
    <n v="45"/>
    <n v="295"/>
    <n v="1"/>
    <n v="1"/>
    <x v="0"/>
    <x v="0"/>
    <x v="0"/>
    <s v="JENNY MANCO"/>
    <x v="0"/>
    <s v="7012100 MercaderÃ­as-Venta Local-Terceros"/>
    <x v="0"/>
    <x v="0"/>
    <s v="CORAZON SERRANO HUARAL - 29/10 -I - P"/>
    <d v="2025-10-29T00:00:00"/>
    <d v="2025-10-29T00:00:00"/>
    <x v="0"/>
    <s v="G &amp; N MUSIC S.A.C."/>
    <s v="Empresa"/>
    <x v="0"/>
  </r>
  <r>
    <x v="0"/>
    <x v="0"/>
    <s v="COLABORATIVA S.A.C."/>
    <x v="0"/>
    <d v="2025-11-03T15:00:00"/>
    <x v="0"/>
    <m/>
    <n v="6"/>
    <n v="20611018925"/>
    <s v="[{'id_producto': 33414, 'codigo_producto': 1924, 'nom_producto': 'BOLETO FULL COLOR CON QR', 'categoria_producto': 'consu', 'cantidad': '2000.0', 'valor_unitario': 0.36, 'precio_unitario': 0.42, 'descuento': 0.0, 'subtotal': 720.0, 'porcentaje_de_igv': '18.00', 'igv': 129.6, 'total': 849.6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7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3418, 'codigo_producto': 1895, 'nom_producto': 'BRAZALETE CON QR', 'categoria_producto': 'consu', 'cantidad': '1500.0', 'valor_unitario': 0.5, 'precio_unitario': 0.59, 'descuento': 0.0, 'subtotal': 750.0, 'porcentaje_de_igv': '18.00', 'igv': 135.0, 'total': 885.0, 'moneda': '1', 'tipo_de_cambio': 1.0, 'id_estado': 'paid', 'nombre_estado': 'Pagado', 'evento': {'id_evento': '3349', 'nom_evento': 'CORAZON SERRANO HUARAL - 29/10 -I - P', 'fecha_hora_ini_event': '29-10-2025', 'fecha_hora_fin_event': '29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31T00:00:00"/>
    <m/>
    <m/>
    <m/>
    <m/>
    <m/>
    <n v="33418"/>
    <x v="1"/>
    <x v="1"/>
    <x v="0"/>
    <n v="1500"/>
    <n v="0.5"/>
    <n v="0.59"/>
    <n v="0"/>
    <n v="750"/>
    <n v="18"/>
    <n v="135"/>
    <n v="885"/>
    <n v="1"/>
    <n v="1"/>
    <x v="0"/>
    <x v="0"/>
    <x v="0"/>
    <s v="JENNY MANCO"/>
    <x v="0"/>
    <s v="7012100 MercaderÃ­as-Venta Local-Terceros"/>
    <x v="0"/>
    <x v="0"/>
    <s v="CORAZON SERRANO HUARAL - 29/10 -I - P"/>
    <d v="2025-10-29T00:00:00"/>
    <d v="2025-10-29T00:00:00"/>
    <x v="0"/>
    <s v="G &amp; N MUSIC S.A.C."/>
    <s v="Empresa"/>
    <x v="0"/>
  </r>
  <r>
    <x v="1"/>
    <x v="1"/>
    <s v="COLABORATIVA S.A.C."/>
    <x v="0"/>
    <d v="2025-11-03T10:09:38"/>
    <x v="1"/>
    <m/>
    <n v="1"/>
    <s v="09059888"/>
    <s v="[{'id_producto': 33175, 'codigo_producto': 2274, 'nom_producto': 'COMISION CORTESIA ', 'categoria_producto': 'consu', 'cantidad': '1.0', 'valor_unitario': 5.0, 'precio_unitario': 5.9, 'descuento': 0.0, 'subtotal': 5.0, 'porcentaje_de_igv': '18.00', 'igv': 0.9, 'total': 5.9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31T00:00:00"/>
    <m/>
    <m/>
    <m/>
    <m/>
    <m/>
    <n v="33175"/>
    <x v="2"/>
    <x v="2"/>
    <x v="0"/>
    <n v="1"/>
    <n v="5"/>
    <n v="5.9"/>
    <n v="0"/>
    <n v="5"/>
    <n v="18"/>
    <n v="0.9"/>
    <n v="5.9"/>
    <n v="1"/>
    <n v="1"/>
    <x v="0"/>
    <x v="0"/>
    <x v="1"/>
    <s v="SAMUEL CHUQUISTA"/>
    <x v="1"/>
    <s v="7032101 VENTAS COMISION VAOPE"/>
    <x v="1"/>
    <x v="1"/>
    <s v="Cierre de Aniversario en Chosica con CorazÃ³n Serrano"/>
    <d v="2025-10-27T00:00:00"/>
    <d v="2025-10-27T00:00:00"/>
    <x v="1"/>
    <s v="ALFREDO CALDERON MEDINA"/>
    <s v="Persona"/>
    <x v="1"/>
  </r>
  <r>
    <x v="1"/>
    <x v="2"/>
    <s v="COLABORATIVA S.A.C."/>
    <x v="0"/>
    <d v="2025-11-03T10:09:15"/>
    <x v="1"/>
    <m/>
    <n v="1"/>
    <s v="09059888"/>
    <s v="[{'id_producto': 33172, 'codigo_producto': 2315, 'nom_producto': 'PAUTA PUBLICITARIA', 'categoria_producto': 'service', 'cantidad': '1.0', 'valor_unitario': 847.46, 'precio_unitario': 1000.0, 'descuento': 0.0, 'subtotal': 847.46, 'porcentaje_de_igv': '18.00', 'igv': 152.54, 'total': 1000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31T00:00:00"/>
    <m/>
    <m/>
    <m/>
    <m/>
    <m/>
    <n v="33172"/>
    <x v="3"/>
    <x v="3"/>
    <x v="1"/>
    <n v="1"/>
    <n v="847.46"/>
    <n v="1000"/>
    <n v="0"/>
    <n v="847.46"/>
    <n v="18"/>
    <n v="152.54"/>
    <n v="1000"/>
    <n v="1"/>
    <n v="1"/>
    <x v="0"/>
    <x v="0"/>
    <x v="1"/>
    <s v="SAMUEL CHUQUISTA"/>
    <x v="2"/>
    <s v="7032102 VENTAS SERVICIOS VAOPE"/>
    <x v="2"/>
    <x v="1"/>
    <s v="Cierre de Aniversario en Chosica con CorazÃ³n Serrano"/>
    <d v="2025-10-27T00:00:00"/>
    <d v="2025-10-27T00:00:00"/>
    <x v="1"/>
    <s v="ALFREDO CALDERON MEDINA"/>
    <s v="Persona"/>
    <x v="2"/>
  </r>
  <r>
    <x v="1"/>
    <x v="3"/>
    <s v="COLABORATIVA S.A.C."/>
    <x v="0"/>
    <d v="2025-11-03T10:07:51"/>
    <x v="1"/>
    <m/>
    <n v="1"/>
    <s v="09059888"/>
    <s v="[{'id_producto': 33169, 'codigo_producto': 1895, 'nom_producto': 'BRAZALETE CON QR', 'categoria_producto': 'consu', 'cantidad': '1.0', 'valor_unitario': 1016.95, 'precio_unitario': 1200.0, 'descuento': 0.0, 'subtotal': 1016.95, 'porcentaje_de_igv': '18.00', 'igv': 183.05, 'total': 1200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31T00:00:00"/>
    <m/>
    <m/>
    <m/>
    <m/>
    <m/>
    <n v="33169"/>
    <x v="1"/>
    <x v="1"/>
    <x v="0"/>
    <n v="1"/>
    <n v="1016.95"/>
    <n v="1200"/>
    <n v="0"/>
    <n v="1016.95"/>
    <n v="18"/>
    <n v="183.05"/>
    <n v="1200"/>
    <n v="1"/>
    <n v="1"/>
    <x v="0"/>
    <x v="0"/>
    <x v="1"/>
    <s v="SAMUEL CHUQUISTA"/>
    <x v="0"/>
    <s v="7012100 MercaderÃ­as-Venta Local-Terceros"/>
    <x v="3"/>
    <x v="1"/>
    <s v="Cierre de Aniversario en Chosica con CorazÃ³n Serrano"/>
    <d v="2025-10-27T00:00:00"/>
    <d v="2025-10-27T00:00:00"/>
    <x v="1"/>
    <s v="ALFREDO CALDERON MEDINA"/>
    <s v="Persona"/>
    <x v="3"/>
  </r>
  <r>
    <x v="1"/>
    <x v="4"/>
    <s v="COLABORATIVA S.A.C."/>
    <x v="0"/>
    <d v="2025-11-03T10:07:10"/>
    <x v="1"/>
    <m/>
    <n v="1"/>
    <s v="09059888"/>
    <s v="[{'id_producto': 33166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31T00:00:00"/>
    <m/>
    <m/>
    <m/>
    <m/>
    <m/>
    <n v="33166"/>
    <x v="4"/>
    <x v="4"/>
    <x v="1"/>
    <n v="1"/>
    <n v="100"/>
    <n v="118"/>
    <n v="0"/>
    <n v="100"/>
    <n v="18"/>
    <n v="18"/>
    <n v="118"/>
    <n v="1"/>
    <n v="1"/>
    <x v="0"/>
    <x v="0"/>
    <x v="1"/>
    <s v="SAMUEL CHUQUISTA"/>
    <x v="2"/>
    <s v="7032102 VENTAS SERVICIOS VAOPE"/>
    <x v="4"/>
    <x v="1"/>
    <s v="Cierre de Aniversario en Chosica con CorazÃ³n Serrano"/>
    <d v="2025-10-27T00:00:00"/>
    <d v="2025-10-27T00:00:00"/>
    <x v="1"/>
    <s v="ALFREDO CALDERON MEDINA"/>
    <s v="Persona"/>
    <x v="4"/>
  </r>
  <r>
    <x v="1"/>
    <x v="5"/>
    <s v="COLABORATIVA S.A.C."/>
    <x v="0"/>
    <d v="2025-11-03T10:06:13"/>
    <x v="1"/>
    <m/>
    <n v="1"/>
    <s v="09059888"/>
    <s v="[{'id_producto': 33163, 'codigo_producto': 1786, 'nom_producto': 'COMISION VAOPE SEGUN CONTRATO', 'categoria_producto': 'service', 'cantidad': '1.0', 'valor_unitario': 8035.2, 'precio_unitario': 9481.54, 'descuento': 0.0, 'subtotal': 8035.2, 'porcentaje_de_igv': '18.00', 'igv': 1446.34, 'total': 9481.54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1T00:00:00"/>
    <m/>
    <m/>
    <m/>
    <m/>
    <m/>
    <n v="33163"/>
    <x v="5"/>
    <x v="5"/>
    <x v="1"/>
    <n v="1"/>
    <n v="8035.2"/>
    <n v="9481.5400000000009"/>
    <n v="0"/>
    <n v="8035.2"/>
    <n v="18"/>
    <n v="1446.34"/>
    <n v="9481.5400000000009"/>
    <n v="1"/>
    <n v="1"/>
    <x v="0"/>
    <x v="0"/>
    <x v="1"/>
    <s v="SAMUEL CHUQUISTA"/>
    <x v="1"/>
    <s v="7032101 VENTAS COMISION VAOPE"/>
    <x v="5"/>
    <x v="1"/>
    <s v="Cierre de Aniversario en Chosica con CorazÃ³n Serrano"/>
    <d v="2025-10-27T00:00:00"/>
    <d v="2025-10-27T00:00:00"/>
    <x v="1"/>
    <s v="ALFREDO CALDERON MEDINA"/>
    <s v="Persona"/>
    <x v="5"/>
  </r>
  <r>
    <x v="1"/>
    <x v="6"/>
    <s v="COLABORATIVA S.A.C."/>
    <x v="0"/>
    <d v="2025-11-03T10:05:54"/>
    <x v="1"/>
    <m/>
    <n v="1"/>
    <s v="09059888"/>
    <s v="[{'id_producto': 33160, 'codigo_producto': 216, 'nom_producto': 'COMISION PAGOS DIGITALES SEGUN CONTRATO', 'categoria_producto': 'service', 'cantidad': '1.0', 'valor_unitario': 6366.25, 'precio_unitario': 7512.18, 'descuento': 0.0, 'subtotal': 6366.25, 'porcentaje_de_igv': '18.00', 'igv': 1145.93, 'total': 7512.18, 'moneda': '1', 'tipo_de_cambio': 1.0, 'id_estado': 'paid', 'nombre_estado': 'Pagado', 'evento': {'id_evento': '3319', 'nom_evento': 'Cierre de Aniversario en Chosica con CorazÃ³n Serrano', 'fecha_hora_ini_event': '27-10-2025', 'fecha_hora_fin_event': '27-10-2025', 'id_organizador': 5710, 'nom_organizador': 'ALFREDO CALDERON MEDI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1T00:00:00"/>
    <m/>
    <m/>
    <m/>
    <m/>
    <m/>
    <n v="33160"/>
    <x v="6"/>
    <x v="6"/>
    <x v="1"/>
    <n v="1"/>
    <n v="6366.25"/>
    <n v="7512.18"/>
    <n v="0"/>
    <n v="6366.25"/>
    <n v="18"/>
    <n v="1145.93"/>
    <n v="7512.18"/>
    <n v="1"/>
    <n v="1"/>
    <x v="0"/>
    <x v="0"/>
    <x v="1"/>
    <s v="SAMUEL CHUQUISTA"/>
    <x v="3"/>
    <s v="7032100 Servicios-Local- VISA"/>
    <x v="1"/>
    <x v="1"/>
    <s v="Cierre de Aniversario en Chosica con CorazÃ³n Serrano"/>
    <d v="2025-10-27T00:00:00"/>
    <d v="2025-10-27T00:00:00"/>
    <x v="1"/>
    <s v="ALFREDO CALDERON MEDINA"/>
    <s v="Persona"/>
    <x v="6"/>
  </r>
  <r>
    <x v="1"/>
    <x v="7"/>
    <s v="COLABORATIVA S.A.C."/>
    <x v="1"/>
    <d v="2025-11-03T15:38:15"/>
    <x v="2"/>
    <m/>
    <n v="1"/>
    <s v="05402150"/>
    <s v="[{'id_producto': 33155, 'codigo_producto': 2264, 'nom_producto': 'VOUCHER IMPRESO CON QR', 'categoria_producto': 'consu', 'cantidad': '1.0', 'valor_unitario': 1200.0, 'precio_unitario': 1416.0, 'descuento': 0.0, 'subtotal': 1200.0, 'porcentaje_de_igv': '18.00', 'igv': 216.0, 'total': 1416.0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30T00:00:00"/>
    <m/>
    <m/>
    <m/>
    <m/>
    <m/>
    <n v="33155"/>
    <x v="7"/>
    <x v="7"/>
    <x v="0"/>
    <n v="1"/>
    <n v="1200"/>
    <n v="1416"/>
    <n v="0"/>
    <n v="1200"/>
    <n v="18"/>
    <n v="216"/>
    <n v="1416"/>
    <n v="1"/>
    <n v="1"/>
    <x v="0"/>
    <x v="0"/>
    <x v="1"/>
    <s v="SAMUEL CHUQUISTA"/>
    <x v="0"/>
    <s v="7012100 MercaderÃ­as-Venta Local-Terceros"/>
    <x v="3"/>
    <x v="2"/>
    <s v="Deportivo Anba PerÃº vs Cultural Huancarama - Copa PerÃº 2025"/>
    <d v="2025-10-26T00:00:00"/>
    <d v="2025-10-26T00:00:00"/>
    <x v="2"/>
    <s v="ROBERTO RAMOS RUIZ"/>
    <s v="Persona"/>
    <x v="7"/>
  </r>
  <r>
    <x v="1"/>
    <x v="8"/>
    <s v="COLABORATIVA S.A.C."/>
    <x v="1"/>
    <d v="2025-11-03T15:37:56"/>
    <x v="2"/>
    <m/>
    <n v="1"/>
    <s v="05402150"/>
    <s v="[{'id_producto': 33152, 'codigo_producto': 1786, 'nom_producto': 'COMISION VAOPE SEGUN CONTRATO', 'categoria_producto': 'service', 'cantidad': '1.0', 'valor_unitario': 123.09, 'precio_unitario': 145.25, 'descuento': 0.0, 'subtotal': 123.09, 'porcentaje_de_igv': '18.00', 'igv': 22.16, 'total': 145.25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52"/>
    <x v="5"/>
    <x v="5"/>
    <x v="1"/>
    <n v="1"/>
    <n v="123.09"/>
    <n v="145.25"/>
    <n v="0"/>
    <n v="123.09"/>
    <n v="18"/>
    <n v="22.16"/>
    <n v="145.25"/>
    <n v="1"/>
    <n v="1"/>
    <x v="0"/>
    <x v="0"/>
    <x v="1"/>
    <s v="SAMUEL CHUQUISTA"/>
    <x v="1"/>
    <s v="7032101 VENTAS COMISION VAOPE"/>
    <x v="5"/>
    <x v="2"/>
    <s v="Deportivo Anba PerÃº vs Cultural Huancarama - Copa PerÃº 2025"/>
    <d v="2025-10-26T00:00:00"/>
    <d v="2025-10-26T00:00:00"/>
    <x v="2"/>
    <s v="ROBERTO RAMOS RUIZ"/>
    <s v="Persona"/>
    <x v="8"/>
  </r>
  <r>
    <x v="1"/>
    <x v="9"/>
    <s v="COLABORATIVA S.A.C."/>
    <x v="1"/>
    <d v="2025-11-03T15:37:32"/>
    <x v="2"/>
    <m/>
    <n v="1"/>
    <s v="05402150"/>
    <s v="[{'id_producto': 33149, 'codigo_producto': 216, 'nom_producto': 'COMISION PAGOS DIGITALES SEGUN CONTRATO', 'categoria_producto': 'service', 'cantidad': '1.0', 'valor_unitario': 175.0, 'precio_unitario': 206.5, 'descuento': 0.0, 'subtotal': 175.0, 'porcentaje_de_igv': '18.00', 'igv': 31.5, 'total': 206.5, 'moneda': '1', 'tipo_de_cambio': 1.0, 'id_estado': 'paid', 'nombre_estado': 'Pagado', 'evento': {'id_evento': '3301', 'nom_evento': 'Deportivo Anba PerÃº vs Cultural Huancarama - Copa PerÃº 2025', 'fecha_hora_ini_event': '26-10-2025', 'fecha_hora_fin_event': '26-10-2025', 'id_organizador': 6695, 'nom_organizador': 'ROBERTO RAMOS RUI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49"/>
    <x v="6"/>
    <x v="6"/>
    <x v="1"/>
    <n v="1"/>
    <n v="175"/>
    <n v="206.5"/>
    <n v="0"/>
    <n v="175"/>
    <n v="18"/>
    <n v="31.5"/>
    <n v="206.5"/>
    <n v="1"/>
    <n v="1"/>
    <x v="0"/>
    <x v="0"/>
    <x v="1"/>
    <s v="SAMUEL CHUQUISTA"/>
    <x v="3"/>
    <s v="7032100 Servicios-Local- VISA"/>
    <x v="1"/>
    <x v="2"/>
    <s v="Deportivo Anba PerÃº vs Cultural Huancarama - Copa PerÃº 2025"/>
    <d v="2025-10-26T00:00:00"/>
    <d v="2025-10-26T00:00:00"/>
    <x v="2"/>
    <s v="ROBERTO RAMOS RUIZ"/>
    <s v="Persona"/>
    <x v="9"/>
  </r>
  <r>
    <x v="1"/>
    <x v="10"/>
    <s v="COLABORATIVA S.A.C."/>
    <x v="1"/>
    <d v="2025-11-03T15:35:42"/>
    <x v="3"/>
    <m/>
    <n v="1"/>
    <n v="43891621"/>
    <s v="[{'id_producto': 33146, 'codigo_producto': 1786, 'nom_producto': 'COMISION VAOPE SEGUN CONTRATO', 'categoria_producto': 'service', 'cantidad': '1.0', 'valor_unitario': 218.98, 'precio_unitario': 258.4, 'descuento': 0.0, 'subtotal': 218.98, 'porcentaje_de_igv': '18.00', 'igv': 39.42, 'total': 258.4, 'moneda': '1', 'tipo_de_cambio': 1.0, 'id_estado': 'paid', 'nombre_estado': 'Pagado', 'evento': {'id_evento': '3300', 'nom_evento': 'Domingo de Fiesta con Evelyn Palomino y Los Maravillosos en Tacna', 'fecha_hora_ini_event': '26-10-2025', 'fecha_hora_fin_event': '26-10-2025', 'id_organizador': 5396, 'nom_organizador': 'NESTOR ARMANDO NUÃ‘EZ DIA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46"/>
    <x v="5"/>
    <x v="5"/>
    <x v="1"/>
    <n v="1"/>
    <n v="218.98"/>
    <n v="258.39999999999998"/>
    <n v="0"/>
    <n v="218.98"/>
    <n v="18"/>
    <n v="39.42"/>
    <n v="258.39999999999998"/>
    <n v="1"/>
    <n v="1"/>
    <x v="0"/>
    <x v="0"/>
    <x v="1"/>
    <s v="SAMUEL CHUQUISTA"/>
    <x v="1"/>
    <s v="7032101 VENTAS COMISION VAOPE"/>
    <x v="5"/>
    <x v="3"/>
    <s v="Domingo de Fiesta con Evelyn Palomino y Los Maravillosos en Tacna"/>
    <d v="2025-10-26T00:00:00"/>
    <d v="2025-10-26T00:00:00"/>
    <x v="3"/>
    <s v="NESTOR ARMANDO NUÃ‘EZ DIAZ"/>
    <s v="Persona"/>
    <x v="10"/>
  </r>
  <r>
    <x v="1"/>
    <x v="11"/>
    <s v="COLABORATIVA S.A.C."/>
    <x v="1"/>
    <d v="2025-11-03T15:35:26"/>
    <x v="3"/>
    <m/>
    <n v="1"/>
    <n v="43891621"/>
    <s v="[{'id_producto': 33143, 'codigo_producto': 216, 'nom_producto': 'COMISION PAGOS DIGITALES SEGUN CONTRATO', 'categoria_producto': 'service', 'cantidad': '1.0', 'valor_unitario': 124.07, 'precio_unitario': 146.4, 'descuento': 0.0, 'subtotal': 124.07, 'porcentaje_de_igv': '18.00', 'igv': 22.33, 'total': 146.4, 'moneda': '1', 'tipo_de_cambio': 1.0, 'id_estado': 'paid', 'nombre_estado': 'Pagado', 'evento': {'id_evento': '3300', 'nom_evento': 'Domingo de Fiesta con Evelyn Palomino y Los Maravillosos en Tacna', 'fecha_hora_ini_event': '26-10-2025', 'fecha_hora_fin_event': '26-10-2025', 'id_organizador': 5396, 'nom_organizador': 'NESTOR ARMANDO NUÃ‘EZ DIA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43"/>
    <x v="6"/>
    <x v="6"/>
    <x v="1"/>
    <n v="1"/>
    <n v="124.07"/>
    <n v="146.4"/>
    <n v="0"/>
    <n v="124.07"/>
    <n v="18"/>
    <n v="22.33"/>
    <n v="146.4"/>
    <n v="1"/>
    <n v="1"/>
    <x v="0"/>
    <x v="0"/>
    <x v="1"/>
    <s v="SAMUEL CHUQUISTA"/>
    <x v="3"/>
    <s v="7032100 Servicios-Local- VISA"/>
    <x v="1"/>
    <x v="3"/>
    <s v="Domingo de Fiesta con Evelyn Palomino y Los Maravillosos en Tacna"/>
    <d v="2025-10-26T00:00:00"/>
    <d v="2025-10-26T00:00:00"/>
    <x v="3"/>
    <s v="NESTOR ARMANDO NUÃ‘EZ DIAZ"/>
    <s v="Persona"/>
    <x v="11"/>
  </r>
  <r>
    <x v="1"/>
    <x v="12"/>
    <s v="COLABORATIVA S.A.C."/>
    <x v="1"/>
    <d v="2025-11-03T14:24:57"/>
    <x v="4"/>
    <m/>
    <n v="1"/>
    <n v="70332314"/>
    <s v="[{'id_producto': 3313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59, 'nom_cuenta_analitica': '7032102 VENTAS SERVICIOS VAOPE', 'distribucion_analitica': []}]"/>
    <d v="2025-10-30T00:00:00"/>
    <m/>
    <m/>
    <m/>
    <m/>
    <m/>
    <n v="33132"/>
    <x v="8"/>
    <x v="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6"/>
    <x v="4"/>
    <s v="Segundo Evento: Las Divinas del Norte en Piura"/>
    <d v="2025-10-26T00:00:00"/>
    <d v="2025-10-26T00:00:00"/>
    <x v="4"/>
    <s v="CRISTIE SOLEDAD WHITEHEAD MORI"/>
    <s v="Persona"/>
    <x v="12"/>
  </r>
  <r>
    <x v="1"/>
    <x v="13"/>
    <s v="COLABORATIVA S.A.C."/>
    <x v="1"/>
    <d v="2025-11-03T14:24:35"/>
    <x v="4"/>
    <m/>
    <n v="1"/>
    <n v="70332314"/>
    <s v="[{'id_producto': 33129, 'codigo_producto': 1786, 'nom_producto': 'COMISION VAOPE SEGUN CONTRATO', 'categoria_producto': 'service', 'cantidad': '1.0', 'valor_unitario': 1050.72, 'precio_unitario': 1239.85, 'descuento': 0.0, 'subtotal': 1050.72, 'porcentaje_de_igv': '18.00', 'igv': 189.13, 'total': 1239.85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29"/>
    <x v="5"/>
    <x v="5"/>
    <x v="1"/>
    <n v="1"/>
    <n v="1050.72"/>
    <n v="1239.8499999999999"/>
    <n v="0"/>
    <n v="1050.72"/>
    <n v="18"/>
    <n v="189.13"/>
    <n v="1239.8499999999999"/>
    <n v="1"/>
    <n v="1"/>
    <x v="0"/>
    <x v="0"/>
    <x v="1"/>
    <s v="SAMUEL CHUQUISTA"/>
    <x v="1"/>
    <s v="7032101 VENTAS COMISION VAOPE"/>
    <x v="5"/>
    <x v="4"/>
    <s v="Segundo Evento: Las Divinas del Norte en Piura"/>
    <d v="2025-10-26T00:00:00"/>
    <d v="2025-10-26T00:00:00"/>
    <x v="4"/>
    <s v="CRISTIE SOLEDAD WHITEHEAD MORI"/>
    <s v="Persona"/>
    <x v="13"/>
  </r>
  <r>
    <x v="1"/>
    <x v="14"/>
    <s v="COLABORATIVA S.A.C."/>
    <x v="1"/>
    <d v="2025-11-03T14:24:16"/>
    <x v="4"/>
    <m/>
    <n v="1"/>
    <n v="70332314"/>
    <s v="[{'id_producto': 33126, 'codigo_producto': 216, 'nom_producto': 'COMISION PAGOS DIGITALES SEGUN CONTRATO', 'categoria_producto': 'service', 'cantidad': '1.0', 'valor_unitario': 862.54, 'precio_unitario': 1017.8, 'descuento': 0.0, 'subtotal': 862.54, 'porcentaje_de_igv': '18.00', 'igv': 155.26, 'total': 1017.8, 'moneda': '1', 'tipo_de_cambio': 1.0, 'id_estado': 'paid', 'nombre_estado': 'Pagado', 'evento': {'id_evento': '3260', 'nom_evento': 'Segundo Evento: Las Divinas del Norte en Piura', 'fecha_hora_ini_event': '26-10-2025', 'fecha_hora_fin_event': '26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26"/>
    <x v="6"/>
    <x v="6"/>
    <x v="1"/>
    <n v="1"/>
    <n v="862.54"/>
    <n v="1017.8"/>
    <n v="0"/>
    <n v="862.54"/>
    <n v="18"/>
    <n v="155.26"/>
    <n v="1017.8"/>
    <n v="1"/>
    <n v="1"/>
    <x v="0"/>
    <x v="0"/>
    <x v="1"/>
    <s v="SAMUEL CHUQUISTA"/>
    <x v="3"/>
    <s v="7032100 Servicios-Local- VISA"/>
    <x v="1"/>
    <x v="4"/>
    <s v="Segundo Evento: Las Divinas del Norte en Piura"/>
    <d v="2025-10-26T00:00:00"/>
    <d v="2025-10-26T00:00:00"/>
    <x v="4"/>
    <s v="CRISTIE SOLEDAD WHITEHEAD MORI"/>
    <s v="Persona"/>
    <x v="14"/>
  </r>
  <r>
    <x v="0"/>
    <x v="15"/>
    <s v="COLABORATIVA S.A.C."/>
    <x v="1"/>
    <d v="2025-11-03T14:22:51"/>
    <x v="5"/>
    <m/>
    <n v="6"/>
    <n v="20602442145"/>
    <s v="[{'id_producto': 33123, 'codigo_producto': 1786, 'nom_producto': 'COMISION VAOPE SEGUN CONTRATO', 'categoria_producto': 'service', 'cantidad': '1.0', 'valor_unitario': 98.78, 'precio_unitario': 116.56, 'descuento': 0.0, 'subtotal': 98.78, 'porcentaje_de_igv': '18.00', 'igv': 17.78, 'total': 116.56, 'moneda': '1', 'tipo_de_cambio': 1.0, 'id_estado': 'paid', 'nombre_estado': 'Pagado', 'evento': {'id_evento': '3207', 'nom_evento': 'La Ãšnica Tropical en Tambo Grande', 'fecha_hora_ini_event': '26-10-2025', 'fecha_hora_fin_event': '26-10-2025', 'id_organizador': 6149, 'nom_organizador': 'NUTRI MASTER LA GRANJA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23"/>
    <x v="5"/>
    <x v="5"/>
    <x v="1"/>
    <n v="1"/>
    <n v="98.78"/>
    <n v="116.56"/>
    <n v="0"/>
    <n v="98.78"/>
    <n v="18"/>
    <n v="17.78"/>
    <n v="116.56"/>
    <n v="1"/>
    <n v="1"/>
    <x v="0"/>
    <x v="0"/>
    <x v="1"/>
    <s v="SAMUEL CHUQUISTA"/>
    <x v="1"/>
    <s v="7032101 VENTAS COMISION VAOPE"/>
    <x v="5"/>
    <x v="5"/>
    <s v="La Ãšnica Tropical en Tambo Grande"/>
    <d v="2025-10-26T00:00:00"/>
    <d v="2025-10-26T00:00:00"/>
    <x v="5"/>
    <s v="NUTRI MASTER LA GRANJA E.I.R.L."/>
    <s v="Empresa"/>
    <x v="15"/>
  </r>
  <r>
    <x v="0"/>
    <x v="16"/>
    <s v="COLABORATIVA S.A.C."/>
    <x v="1"/>
    <d v="2025-11-03T14:22:31"/>
    <x v="5"/>
    <m/>
    <n v="6"/>
    <n v="20602442145"/>
    <s v="[{'id_producto': 33120, 'codigo_producto': 216, 'nom_producto': 'COMISION PAGOS DIGITALES SEGUN CONTRATO', 'categoria_producto': 'service', 'cantidad': '1.0', 'valor_unitario': 94.0, 'precio_unitario': 110.92, 'descuento': 0.0, 'subtotal': 94.0, 'porcentaje_de_igv': '18.00', 'igv': 16.92, 'total': 110.92, 'moneda': '1', 'tipo_de_cambio': 1.0, 'id_estado': 'paid', 'nombre_estado': 'Pagado', 'evento': {'id_evento': '3207', 'nom_evento': 'La Ãšnica Tropical en Tambo Grande', 'fecha_hora_ini_event': '26-10-2025', 'fecha_hora_fin_event': '26-10-2025', 'id_organizador': 6149, 'nom_organizador': 'NUTRI MASTER LA GRANJA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20"/>
    <x v="6"/>
    <x v="6"/>
    <x v="1"/>
    <n v="1"/>
    <n v="94"/>
    <n v="110.92"/>
    <n v="0"/>
    <n v="94"/>
    <n v="18"/>
    <n v="16.920000000000002"/>
    <n v="110.92"/>
    <n v="1"/>
    <n v="1"/>
    <x v="0"/>
    <x v="0"/>
    <x v="1"/>
    <s v="SAMUEL CHUQUISTA"/>
    <x v="3"/>
    <s v="7032100 Servicios-Local- VISA"/>
    <x v="1"/>
    <x v="5"/>
    <s v="La Ãšnica Tropical en Tambo Grande"/>
    <d v="2025-10-26T00:00:00"/>
    <d v="2025-10-26T00:00:00"/>
    <x v="5"/>
    <s v="NUTRI MASTER LA GRANJA E.I.R.L."/>
    <s v="Empresa"/>
    <x v="16"/>
  </r>
  <r>
    <x v="1"/>
    <x v="17"/>
    <s v="COLABORATIVA S.A.C."/>
    <x v="1"/>
    <d v="2025-11-03T14:20:04"/>
    <x v="4"/>
    <m/>
    <n v="1"/>
    <n v="70332314"/>
    <s v="[{'id_producto': 33117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59, 'nom_cuenta_analitica': '7032102 VENTAS SERVICIOS VAOPE', 'distribucion_analitica': []}]"/>
    <d v="2025-10-30T00:00:00"/>
    <m/>
    <m/>
    <m/>
    <m/>
    <m/>
    <n v="33117"/>
    <x v="8"/>
    <x v="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6"/>
    <x v="6"/>
    <s v="Las Divinas del Norte en Voley con Sorpresa en Piura"/>
    <d v="2025-10-26T00:00:00"/>
    <d v="2025-10-26T00:00:00"/>
    <x v="4"/>
    <s v="CRISTIE SOLEDAD WHITEHEAD MORI"/>
    <s v="Persona"/>
    <x v="17"/>
  </r>
  <r>
    <x v="1"/>
    <x v="18"/>
    <s v="COLABORATIVA S.A.C."/>
    <x v="1"/>
    <d v="2025-11-03T14:19:44"/>
    <x v="4"/>
    <m/>
    <n v="1"/>
    <n v="70332314"/>
    <s v="[{'id_producto': 33114, 'codigo_producto': 1786, 'nom_producto': 'COMISION VAOPE SEGUN CONTRATO', 'categoria_producto': 'service', 'cantidad': '1.0', 'valor_unitario': 986.86, 'precio_unitario': 1164.49, 'descuento': 0.0, 'subtotal': 986.86, 'porcentaje_de_igv': '18.00', 'igv': 177.63, 'total': 1164.49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14"/>
    <x v="5"/>
    <x v="5"/>
    <x v="1"/>
    <n v="1"/>
    <n v="986.86"/>
    <n v="1164.49"/>
    <n v="0"/>
    <n v="986.86"/>
    <n v="18"/>
    <n v="177.63"/>
    <n v="1164.49"/>
    <n v="1"/>
    <n v="1"/>
    <x v="0"/>
    <x v="0"/>
    <x v="1"/>
    <s v="SAMUEL CHUQUISTA"/>
    <x v="1"/>
    <s v="7032101 VENTAS COMISION VAOPE"/>
    <x v="5"/>
    <x v="6"/>
    <s v="Las Divinas del Norte en Voley con Sorpresa en Piura"/>
    <d v="2025-10-26T00:00:00"/>
    <d v="2025-10-26T00:00:00"/>
    <x v="4"/>
    <s v="CRISTIE SOLEDAD WHITEHEAD MORI"/>
    <s v="Persona"/>
    <x v="18"/>
  </r>
  <r>
    <x v="1"/>
    <x v="19"/>
    <s v="COLABORATIVA S.A.C."/>
    <x v="1"/>
    <d v="2025-11-03T14:19:26"/>
    <x v="4"/>
    <m/>
    <n v="1"/>
    <n v="70332314"/>
    <s v="[{'id_producto': 33111, 'codigo_producto': 216, 'nom_producto': 'COMISION PAGOS DIGITALES SEGUN CONTRATO', 'categoria_producto': 'service', 'cantidad': '1.0', 'valor_unitario': 698.31, 'precio_unitario': 824.01, 'descuento': 0.0, 'subtotal': 698.31, 'porcentaje_de_igv': '18.00', 'igv': 125.7, 'total': 824.01, 'moneda': '1', 'tipo_de_cambio': 1.0, 'id_estado': 'paid', 'nombre_estado': 'Pagado', 'evento': {'id_evento': '3173', 'nom_evento': 'Las Divinas del Norte en Voley con Sorpresa en Piura', 'fecha_hora_ini_event': '26-10-2025', 'fecha_hora_fin_event': '26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11"/>
    <x v="6"/>
    <x v="6"/>
    <x v="1"/>
    <n v="1"/>
    <n v="698.31"/>
    <n v="824.01"/>
    <n v="0"/>
    <n v="698.31"/>
    <n v="18"/>
    <n v="125.7"/>
    <n v="824.01"/>
    <n v="1"/>
    <n v="1"/>
    <x v="0"/>
    <x v="0"/>
    <x v="1"/>
    <s v="SAMUEL CHUQUISTA"/>
    <x v="3"/>
    <s v="7032100 Servicios-Local- VISA"/>
    <x v="1"/>
    <x v="6"/>
    <s v="Las Divinas del Norte en Voley con Sorpresa en Piura"/>
    <d v="2025-10-26T00:00:00"/>
    <d v="2025-10-26T00:00:00"/>
    <x v="4"/>
    <s v="CRISTIE SOLEDAD WHITEHEAD MORI"/>
    <s v="Persona"/>
    <x v="19"/>
  </r>
  <r>
    <x v="1"/>
    <x v="20"/>
    <s v="COLABORATIVA S.A.C."/>
    <x v="1"/>
    <d v="2025-11-03T14:17:45"/>
    <x v="4"/>
    <m/>
    <n v="1"/>
    <n v="70332314"/>
    <s v="[{'id_producto': 33108, 'codigo_producto': 1786, 'nom_producto': 'COMISION VAOPE SEGUN CONTRATO', 'categoria_producto': 'service', 'cantidad': '1.0', 'valor_unitario': 736.19, 'precio_unitario': 868.7, 'descuento': 0.0, 'subtotal': 736.19, 'porcentaje_de_igv': '18.00', 'igv': 132.51, 'total': 868.7, 'moneda': '1', 'tipo_de_cambio': 1.0, 'id_estado': 'paid', 'nombre_estado': 'Pagado', 'evento': {'id_evento': '3175', 'nom_evento': 'Las Divinas del Norte en Voley con Sorpresa en Paita', 'fecha_hora_ini_event': '25-10-2025', 'fecha_hora_fin_event': '25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108"/>
    <x v="5"/>
    <x v="5"/>
    <x v="1"/>
    <n v="1"/>
    <n v="736.19"/>
    <n v="868.7"/>
    <n v="0"/>
    <n v="736.19"/>
    <n v="18"/>
    <n v="132.51"/>
    <n v="868.7"/>
    <n v="1"/>
    <n v="1"/>
    <x v="0"/>
    <x v="0"/>
    <x v="1"/>
    <s v="SAMUEL CHUQUISTA"/>
    <x v="1"/>
    <s v="7032101 VENTAS COMISION VAOPE"/>
    <x v="5"/>
    <x v="7"/>
    <s v="Las Divinas del Norte en Voley con Sorpresa en Paita"/>
    <d v="2025-10-25T00:00:00"/>
    <d v="2025-10-25T00:00:00"/>
    <x v="4"/>
    <s v="CRISTIE SOLEDAD WHITEHEAD MORI"/>
    <s v="Persona"/>
    <x v="20"/>
  </r>
  <r>
    <x v="1"/>
    <x v="21"/>
    <s v="COLABORATIVA S.A.C."/>
    <x v="1"/>
    <d v="2025-11-03T14:17:19"/>
    <x v="4"/>
    <m/>
    <n v="1"/>
    <n v="70332314"/>
    <s v="[{'id_producto': 33105, 'codigo_producto': 216, 'nom_producto': 'COMISION PAGOS DIGITALES SEGUN CONTRATO', 'categoria_producto': 'service', 'cantidad': '1.0', 'valor_unitario': 521.36, 'precio_unitario': 615.2, 'descuento': 0.0, 'subtotal': 521.36, 'porcentaje_de_igv': '18.00', 'igv': 93.84, 'total': 615.2, 'moneda': '1', 'tipo_de_cambio': 1.0, 'id_estado': 'paid', 'nombre_estado': 'Pagado', 'evento': {'id_evento': '3175', 'nom_evento': 'Las Divinas del Norte en Voley con Sorpresa en Paita', 'fecha_hora_ini_event': '25-10-2025', 'fecha_hora_fin_event': '25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105"/>
    <x v="6"/>
    <x v="6"/>
    <x v="1"/>
    <n v="1"/>
    <n v="521.36"/>
    <n v="615.20000000000005"/>
    <n v="0"/>
    <n v="521.36"/>
    <n v="18"/>
    <n v="93.84"/>
    <n v="615.20000000000005"/>
    <n v="1"/>
    <n v="1"/>
    <x v="0"/>
    <x v="0"/>
    <x v="1"/>
    <s v="SAMUEL CHUQUISTA"/>
    <x v="3"/>
    <s v="7032100 Servicios-Local- VISA"/>
    <x v="1"/>
    <x v="7"/>
    <s v="Las Divinas del Norte en Voley con Sorpresa en Paita"/>
    <d v="2025-10-25T00:00:00"/>
    <d v="2025-10-25T00:00:00"/>
    <x v="4"/>
    <s v="CRISTIE SOLEDAD WHITEHEAD MORI"/>
    <s v="Persona"/>
    <x v="21"/>
  </r>
  <r>
    <x v="0"/>
    <x v="22"/>
    <s v="COLABORATIVA S.A.C."/>
    <x v="1"/>
    <d v="2025-11-03T14:15:46"/>
    <x v="6"/>
    <m/>
    <n v="6"/>
    <n v="20609000415"/>
    <s v="[{'id_producto': 3310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59, 'nom_cuenta_analitica': '7032102 VENTAS SERVICIOS VAOPE', 'distribucion_analitica': []}]"/>
    <d v="2025-10-30T00:00:00"/>
    <m/>
    <m/>
    <m/>
    <m/>
    <m/>
    <n v="33102"/>
    <x v="8"/>
    <x v="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6"/>
    <x v="8"/>
    <s v="DÃ¡lmata en Tarapoto"/>
    <d v="2025-10-04T00:00:00"/>
    <d v="2025-10-04T00:00:00"/>
    <x v="6"/>
    <s v="RM MUSIC BUSINESS E.I.R.L."/>
    <s v="Empresa"/>
    <x v="22"/>
  </r>
  <r>
    <x v="0"/>
    <x v="23"/>
    <s v="COLABORATIVA S.A.C."/>
    <x v="1"/>
    <d v="2025-11-03T14:15:26"/>
    <x v="6"/>
    <m/>
    <n v="6"/>
    <n v="20609000415"/>
    <s v="[{'id_producto': 33099, 'codigo_producto': 1786, 'nom_producto': 'COMISION VAOPE SEGUN CONTRATO', 'categoria_producto': 'service', 'cantidad': '1.0', 'valor_unitario': 121.73, 'precio_unitario': 143.64, 'descuento': 0.0, 'subtotal': 121.73, 'porcentaje_de_igv': '18.00', 'igv': 21.91, 'total': 143.6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099"/>
    <x v="5"/>
    <x v="5"/>
    <x v="1"/>
    <n v="1"/>
    <n v="121.73"/>
    <n v="143.63999999999999"/>
    <n v="0"/>
    <n v="121.73"/>
    <n v="18"/>
    <n v="21.91"/>
    <n v="143.63999999999999"/>
    <n v="1"/>
    <n v="1"/>
    <x v="0"/>
    <x v="0"/>
    <x v="1"/>
    <s v="SAMUEL CHUQUISTA"/>
    <x v="1"/>
    <s v="7032101 VENTAS COMISION VAOPE"/>
    <x v="5"/>
    <x v="8"/>
    <s v="DÃ¡lmata en Tarapoto"/>
    <d v="2025-10-04T00:00:00"/>
    <d v="2025-10-04T00:00:00"/>
    <x v="6"/>
    <s v="RM MUSIC BUSINESS E.I.R.L."/>
    <s v="Empresa"/>
    <x v="23"/>
  </r>
  <r>
    <x v="0"/>
    <x v="24"/>
    <s v="COLABORATIVA S.A.C."/>
    <x v="1"/>
    <d v="2025-11-03T14:15:06"/>
    <x v="6"/>
    <m/>
    <n v="6"/>
    <n v="20609000415"/>
    <s v="[{'id_producto': 33096, 'codigo_producto': 216, 'nom_producto': 'COMISION PAGOS DIGITALES SEGUN CONTRATO', 'categoria_producto': 'service', 'cantidad': '1.0', 'valor_unitario': 121.5, 'precio_unitario': 143.37, 'descuento': 0.0, 'subtotal': 121.5, 'porcentaje_de_igv': '18.00', 'igv': 21.87, 'total': 143.37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096"/>
    <x v="6"/>
    <x v="6"/>
    <x v="1"/>
    <n v="1"/>
    <n v="121.5"/>
    <n v="143.37"/>
    <n v="0"/>
    <n v="121.5"/>
    <n v="18"/>
    <n v="21.87"/>
    <n v="143.37"/>
    <n v="1"/>
    <n v="1"/>
    <x v="0"/>
    <x v="0"/>
    <x v="1"/>
    <s v="SAMUEL CHUQUISTA"/>
    <x v="3"/>
    <s v="7032100 Servicios-Local- VISA"/>
    <x v="1"/>
    <x v="8"/>
    <s v="DÃ¡lmata en Tarapoto"/>
    <d v="2025-10-04T00:00:00"/>
    <d v="2025-10-04T00:00:00"/>
    <x v="6"/>
    <s v="RM MUSIC BUSINESS E.I.R.L."/>
    <s v="Empresa"/>
    <x v="24"/>
  </r>
  <r>
    <x v="0"/>
    <x v="25"/>
    <s v="COLABORATIVA S.A.C."/>
    <x v="1"/>
    <d v="2025-11-03T14:13:23"/>
    <x v="7"/>
    <m/>
    <n v="6"/>
    <n v="20509594903"/>
    <s v="[{'id_producto': 33093, 'codigo_producto': 1786, 'nom_producto': 'COMISION VAOPE SEGUN CONTRATO', 'categoria_producto': 'service', 'cantidad': '1.0', 'valor_unitario': 988.14, 'precio_unitario': 1166.01, 'descuento': 0.0, 'subtotal': 988.14, 'porcentaje_de_igv': '18.00', 'igv': 177.87, 'total': 1166.01, 'moneda': '1', 'tipo_de_cambio': 1.0, 'id_estado': 'paid', 'nombre_estado': 'Pagado', 'evento': {'id_evento': '3155', 'nom_evento': 'La Bella Luz en Ica', 'fecha_hora_ini_event': '20-10-2025', 'fecha_hora_fin_event': '20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093"/>
    <x v="5"/>
    <x v="5"/>
    <x v="1"/>
    <n v="1"/>
    <n v="988.14"/>
    <n v="1166.01"/>
    <n v="0"/>
    <n v="988.14"/>
    <n v="18"/>
    <n v="177.87"/>
    <n v="1166.01"/>
    <n v="1"/>
    <n v="1"/>
    <x v="0"/>
    <x v="0"/>
    <x v="1"/>
    <s v="SAMUEL CHUQUISTA"/>
    <x v="1"/>
    <s v="7032101 VENTAS COMISION VAOPE"/>
    <x v="5"/>
    <x v="9"/>
    <s v="La Bella Luz en Ica"/>
    <d v="2025-10-20T00:00:00"/>
    <d v="2025-10-20T00:00:00"/>
    <x v="7"/>
    <s v="EMPRESA MUSICAL INTERNACIONAL LA BELLA LUZ E.I.R.L."/>
    <s v="Empresa"/>
    <x v="25"/>
  </r>
  <r>
    <x v="0"/>
    <x v="26"/>
    <s v="COLABORATIVA S.A.C."/>
    <x v="1"/>
    <d v="2025-11-03T14:13:02"/>
    <x v="7"/>
    <m/>
    <n v="6"/>
    <n v="20509594903"/>
    <s v="[{'id_producto': 33090, 'codigo_producto': 216, 'nom_producto': 'COMISION PAGOS DIGITALES SEGUN CONTRATO', 'categoria_producto': 'service', 'cantidad': '1.0', 'valor_unitario': 702.37, 'precio_unitario': 828.8, 'descuento': 0.0, 'subtotal': 702.37, 'porcentaje_de_igv': '18.00', 'igv': 126.43, 'total': 828.8, 'moneda': '1', 'tipo_de_cambio': 1.0, 'id_estado': 'paid', 'nombre_estado': 'Pagado', 'evento': {'id_evento': '3155', 'nom_evento': 'La Bella Luz en Ica', 'fecha_hora_ini_event': '20-10-2025', 'fecha_hora_fin_event': '20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090"/>
    <x v="6"/>
    <x v="6"/>
    <x v="1"/>
    <n v="1"/>
    <n v="702.37"/>
    <n v="828.8"/>
    <n v="0"/>
    <n v="702.37"/>
    <n v="18"/>
    <n v="126.43"/>
    <n v="828.8"/>
    <n v="1"/>
    <n v="1"/>
    <x v="0"/>
    <x v="0"/>
    <x v="1"/>
    <s v="SAMUEL CHUQUISTA"/>
    <x v="3"/>
    <s v="7032100 Servicios-Local- VISA"/>
    <x v="1"/>
    <x v="9"/>
    <s v="La Bella Luz en Ica"/>
    <d v="2025-10-20T00:00:00"/>
    <d v="2025-10-20T00:00:00"/>
    <x v="7"/>
    <s v="EMPRESA MUSICAL INTERNACIONAL LA BELLA LUZ E.I.R.L."/>
    <s v="Empresa"/>
    <x v="26"/>
  </r>
  <r>
    <x v="0"/>
    <x v="27"/>
    <s v="COLABORATIVA S.A.C."/>
    <x v="1"/>
    <d v="2025-11-03T14:11:15"/>
    <x v="0"/>
    <m/>
    <n v="6"/>
    <n v="20611018925"/>
    <s v="[{'id_producto': 33087, 'codigo_producto': 2276, 'nom_producto': 'PUNTO DE VENTA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"/>
    <d v="2025-10-30T00:00:00"/>
    <m/>
    <m/>
    <m/>
    <m/>
    <m/>
    <n v="33087"/>
    <x v="9"/>
    <x v="9"/>
    <x v="1"/>
    <n v="1"/>
    <n v="50"/>
    <n v="59"/>
    <n v="0"/>
    <n v="50"/>
    <n v="18"/>
    <n v="9"/>
    <n v="59"/>
    <n v="1"/>
    <n v="1"/>
    <x v="0"/>
    <x v="0"/>
    <x v="1"/>
    <s v="SAMUEL CHUQUISTA"/>
    <x v="2"/>
    <s v="7032102 VENTAS SERVICIOS VAOPE"/>
    <x v="6"/>
    <x v="10"/>
    <s v="CorazÃ³n Serrano en Villa Malacasi"/>
    <d v="2025-10-20T00:00:00"/>
    <d v="2025-10-20T00:00:00"/>
    <x v="0"/>
    <s v="G &amp; N MUSIC S.A.C."/>
    <s v="Empresa"/>
    <x v="27"/>
  </r>
  <r>
    <x v="0"/>
    <x v="28"/>
    <s v="COLABORATIVA S.A.C."/>
    <x v="1"/>
    <d v="2025-11-03T14:10:58"/>
    <x v="0"/>
    <m/>
    <n v="6"/>
    <n v="20611018925"/>
    <s v="[{'id_producto': 33084, 'codigo_producto': 1786, 'nom_producto': 'COMISION VAOPE SEGUN CONTRATO', 'categoria_producto': 'service', 'cantidad': '1.0', 'valor_unitario': 269.73, 'precio_unitario': 318.28, 'descuento': 0.0, 'subtotal': 269.73, 'porcentaje_de_igv': '18.00', 'igv': 48.55, 'total': 318.28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30T00:00:00"/>
    <m/>
    <m/>
    <m/>
    <m/>
    <m/>
    <n v="33084"/>
    <x v="5"/>
    <x v="5"/>
    <x v="1"/>
    <n v="1"/>
    <n v="269.73"/>
    <n v="318.27999999999997"/>
    <n v="0"/>
    <n v="269.73"/>
    <n v="18"/>
    <n v="48.55"/>
    <n v="318.27999999999997"/>
    <n v="1"/>
    <n v="1"/>
    <x v="0"/>
    <x v="0"/>
    <x v="1"/>
    <s v="SAMUEL CHUQUISTA"/>
    <x v="1"/>
    <s v="7032101 VENTAS COMISION VAOPE"/>
    <x v="5"/>
    <x v="10"/>
    <s v="CorazÃ³n Serrano en Villa Malacasi"/>
    <d v="2025-10-20T00:00:00"/>
    <d v="2025-10-20T00:00:00"/>
    <x v="0"/>
    <s v="G &amp; N MUSIC S.A.C."/>
    <s v="Empresa"/>
    <x v="28"/>
  </r>
  <r>
    <x v="0"/>
    <x v="29"/>
    <s v="COLABORATIVA S.A.C."/>
    <x v="1"/>
    <d v="2025-11-03T14:10:39"/>
    <x v="0"/>
    <m/>
    <n v="6"/>
    <n v="20611018925"/>
    <s v="[{'id_producto': 33081, 'codigo_producto': 216, 'nom_producto': 'COMISION PAGOS DIGITALES SEGUN CONTRATO', 'categoria_producto': 'service', 'cantidad': '1.0', 'valor_unitario': 213.5, 'precio_unitario': 251.93, 'descuento': 0.0, 'subtotal': 213.5, 'porcentaje_de_igv': '18.00', 'igv': 38.43, 'total': 251.93, 'moneda': '1', 'tipo_de_cambio': 1.0, 'id_estado': 'paid', 'nombre_estado': 'Pagado', 'evento': {'id_evento': '3235', 'nom_evento': 'CorazÃ³n Serrano en Villa Malacasi', 'fecha_hora_ini_event': '20-10-2025', 'fecha_hora_fin_event': '20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30T00:00:00"/>
    <m/>
    <m/>
    <m/>
    <m/>
    <m/>
    <n v="33081"/>
    <x v="6"/>
    <x v="6"/>
    <x v="1"/>
    <n v="1"/>
    <n v="213.5"/>
    <n v="251.93"/>
    <n v="0"/>
    <n v="213.5"/>
    <n v="18"/>
    <n v="38.43"/>
    <n v="251.93"/>
    <n v="1"/>
    <n v="1"/>
    <x v="0"/>
    <x v="0"/>
    <x v="1"/>
    <s v="SAMUEL CHUQUISTA"/>
    <x v="3"/>
    <s v="7032100 Servicios-Local- VISA"/>
    <x v="1"/>
    <x v="10"/>
    <s v="CorazÃ³n Serrano en Villa Malacasi"/>
    <d v="2025-10-20T00:00:00"/>
    <d v="2025-10-20T00:00:00"/>
    <x v="0"/>
    <s v="G &amp; N MUSIC S.A.C."/>
    <s v="Empresa"/>
    <x v="29"/>
  </r>
  <r>
    <x v="1"/>
    <x v="30"/>
    <s v="COLABORATIVA S.A.C."/>
    <x v="2"/>
    <d v="2025-11-03T17:21:39"/>
    <x v="8"/>
    <s v="Cliente"/>
    <n v="1"/>
    <n v="72327214"/>
    <s v="[{'id_producto': 33038, 'codigo_producto': 1786, 'nom_producto': 'COMISION VAOPE SEGUN CONTRATO', 'categoria_producto': 'service', 'cantidad': '1.0', 'valor_unitario': 2.29, 'precio_unitario': 2.7, 'descuento': 0.0, 'subtotal': 2.29, 'porcentaje_de_igv': '18.00', 'igv': 0.41, 'total': 2.7, 'moneda': '1', 'tipo_de_cambio': 1.0, 'id_estado': 'paid', 'nombre_estado': 'Pagado', 'evento': {'id_evento': '3142', 'nom_evento': 'Tributo Twenty One Pilots en el Centro de Lima', 'fecha_hora_ini_event': '18-10-2025', 'fecha_hora_fin_event': '18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3038"/>
    <x v="5"/>
    <x v="5"/>
    <x v="1"/>
    <n v="1"/>
    <n v="2.29"/>
    <n v="2.7"/>
    <n v="0"/>
    <n v="2.29"/>
    <n v="18"/>
    <n v="0.41"/>
    <n v="2.7"/>
    <n v="1"/>
    <n v="1"/>
    <x v="0"/>
    <x v="0"/>
    <x v="1"/>
    <s v="SAMUEL CHUQUISTA"/>
    <x v="1"/>
    <s v="7032101 VENTAS COMISION VAOPE"/>
    <x v="5"/>
    <x v="11"/>
    <s v="Tributo Twenty One Pilots en el Centro de Lima"/>
    <d v="2025-10-18T00:00:00"/>
    <d v="2025-10-18T00:00:00"/>
    <x v="8"/>
    <s v="PETER OSMAR MENDOZA SANCHEZ"/>
    <s v="Persona"/>
    <x v="30"/>
  </r>
  <r>
    <x v="1"/>
    <x v="31"/>
    <s v="COLABORATIVA S.A.C."/>
    <x v="2"/>
    <d v="2025-11-03T17:21:17"/>
    <x v="8"/>
    <s v="Cliente"/>
    <n v="1"/>
    <n v="72327214"/>
    <s v="[{'id_producto': 33035, 'codigo_producto': 216, 'nom_producto': 'COMISION PAGOS DIGITALES SEGUN CONTRATO', 'categoria_producto': 'service', 'cantidad': '1.0', 'valor_unitario': 43.98, 'precio_unitario': 51.9, 'descuento': 0.0, 'subtotal': 43.98, 'porcentaje_de_igv': '18.00', 'igv': 7.92, 'total': 51.9, 'moneda': '1', 'tipo_de_cambio': 1.0, 'id_estado': 'paid', 'nombre_estado': 'Pagado', 'evento': {'id_evento': '3142', 'nom_evento': 'Tributo Twenty One Pilots en el Centro de Lima', 'fecha_hora_ini_event': '18-10-2025', 'fecha_hora_fin_event': '18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35"/>
    <x v="6"/>
    <x v="6"/>
    <x v="1"/>
    <n v="1"/>
    <n v="43.98"/>
    <n v="51.9"/>
    <n v="0"/>
    <n v="43.98"/>
    <n v="18"/>
    <n v="7.92"/>
    <n v="51.9"/>
    <n v="1"/>
    <n v="1"/>
    <x v="0"/>
    <x v="0"/>
    <x v="1"/>
    <s v="SAMUEL CHUQUISTA"/>
    <x v="3"/>
    <s v="7032100 Servicios-Local- VISA"/>
    <x v="1"/>
    <x v="11"/>
    <s v="Tributo Twenty One Pilots en el Centro de Lima"/>
    <d v="2025-10-18T00:00:00"/>
    <d v="2025-10-18T00:00:00"/>
    <x v="8"/>
    <s v="PETER OSMAR MENDOZA SANCHEZ"/>
    <s v="Persona"/>
    <x v="31"/>
  </r>
  <r>
    <x v="1"/>
    <x v="32"/>
    <s v="COLABORATIVA S.A.C."/>
    <x v="2"/>
    <d v="2025-11-03T17:19:27"/>
    <x v="9"/>
    <m/>
    <n v="1"/>
    <n v="48505208"/>
    <s v="[{'id_producto': 33032, 'codigo_producto': 216, 'nom_producto': 'COMISION PAGOS DIGITALES SEGUN CONTRATO', 'categoria_producto': 'service', 'cantidad': '1.0', 'valor_unitario': 43.0, 'precio_unitario': 50.74, 'descuento': 0.0, 'subtotal': 43.0, 'porcentaje_de_igv': '18.00', 'igv': 7.74, 'total': 50.74, 'moneda': '1', 'tipo_de_cambio': 1.0, 'id_estado': 'paid', 'nombre_estado': 'Pagado', 'evento': {'id_evento': '3193', 'nom_evento': 'Tributo a The Beatles en Arequipa', 'fecha_hora_ini_event': '24-10-2025', 'fecha_hora_fin_event': '24-10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32"/>
    <x v="6"/>
    <x v="6"/>
    <x v="1"/>
    <n v="1"/>
    <n v="43"/>
    <n v="50.74"/>
    <n v="0"/>
    <n v="43"/>
    <n v="18"/>
    <n v="7.74"/>
    <n v="50.74"/>
    <n v="1"/>
    <n v="1"/>
    <x v="0"/>
    <x v="0"/>
    <x v="1"/>
    <s v="SAMUEL CHUQUISTA"/>
    <x v="3"/>
    <s v="7032100 Servicios-Local- VISA"/>
    <x v="1"/>
    <x v="12"/>
    <s v="Tributo a The Beatles en Arequipa"/>
    <d v="2025-10-24T00:00:00"/>
    <d v="2025-10-24T00:00:00"/>
    <x v="9"/>
    <s v="JEAN CARLOS HUARACA HUARANGA"/>
    <s v="Persona"/>
    <x v="32"/>
  </r>
  <r>
    <x v="1"/>
    <x v="33"/>
    <s v="COLABORATIVA S.A.C."/>
    <x v="2"/>
    <d v="2025-11-03T17:18:20"/>
    <x v="9"/>
    <m/>
    <n v="1"/>
    <n v="48505208"/>
    <s v="[{'id_producto': 33029, 'codigo_producto': 216, 'nom_producto': 'COMISION PAGOS DIGITALES SEGUN CONTRATO', 'categoria_producto': 'service', 'cantidad': '1.0', 'valor_unitario': 33.5, 'precio_unitario': 39.53, 'descuento': 0.0, 'subtotal': 33.5, 'porcentaje_de_igv': '18.00', 'igv': 6.03, 'total': 39.53, 'moneda': '1', 'tipo_de_cambio': 1.0, 'id_estado': 'paid', 'nombre_estado': 'Pagado', 'evento': {'id_evento': '3200', 'nom_evento': 'Tributo a The Beatles en Puno', 'fecha_hora_ini_event': '25-10-2025', 'fecha_hora_fin_event': '25-10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29"/>
    <x v="6"/>
    <x v="6"/>
    <x v="1"/>
    <n v="1"/>
    <n v="33.5"/>
    <n v="39.53"/>
    <n v="0"/>
    <n v="33.5"/>
    <n v="18"/>
    <n v="6.03"/>
    <n v="39.53"/>
    <n v="1"/>
    <n v="1"/>
    <x v="0"/>
    <x v="0"/>
    <x v="1"/>
    <s v="SAMUEL CHUQUISTA"/>
    <x v="3"/>
    <s v="7032100 Servicios-Local- VISA"/>
    <x v="1"/>
    <x v="13"/>
    <s v="Tributo a The Beatles en Puno"/>
    <d v="2025-10-25T00:00:00"/>
    <d v="2025-10-25T00:00:00"/>
    <x v="9"/>
    <s v="JEAN CARLOS HUARACA HUARANGA"/>
    <s v="Persona"/>
    <x v="33"/>
  </r>
  <r>
    <x v="1"/>
    <x v="34"/>
    <s v="COLABORATIVA S.A.C."/>
    <x v="2"/>
    <d v="2025-11-03T17:15:17"/>
    <x v="10"/>
    <m/>
    <n v="1"/>
    <n v="41503057"/>
    <s v="[{'id_producto': 33026, 'codigo_producto': 1786, 'nom_producto': 'COMISION VAOPE SEGUN CONTRATO', 'categoria_producto': 'service', 'cantidad': '1.0', 'valor_unitario': 5.25, 'precio_unitario': 6.2, 'descuento': 0.0, 'subtotal': 5.25, 'porcentaje_de_igv': '18.00', 'igv': 0.95, 'total': 6.2, 'moneda': '1', 'tipo_de_cambio': 1.0, 'id_estado': 'paid', 'nombre_estado': 'Pagado', 'evento': {'id_evento': '3252', 'nom_evento': 'TrilogÃ­a CosteÃ±a con Guinda, Los ecos y mÃ¡s en SMP', 'fecha_hora_ini_event': '18-10-2025', 'fecha_hora_fin_event': '18-10-2025', 'id_organizador': 5658, 'nom_organizador': 'JULIO CESAR CHINCHAY ME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3026"/>
    <x v="5"/>
    <x v="5"/>
    <x v="1"/>
    <n v="1"/>
    <n v="5.25"/>
    <n v="6.2"/>
    <n v="0"/>
    <n v="5.25"/>
    <n v="18"/>
    <n v="0.95"/>
    <n v="6.2"/>
    <n v="1"/>
    <n v="1"/>
    <x v="0"/>
    <x v="0"/>
    <x v="1"/>
    <s v="SAMUEL CHUQUISTA"/>
    <x v="1"/>
    <s v="7032101 VENTAS COMISION VAOPE"/>
    <x v="5"/>
    <x v="14"/>
    <s v="TrilogÃ­a CosteÃ±a con Guinda, Los ecos y mÃ¡s en SMP"/>
    <d v="2025-10-18T00:00:00"/>
    <d v="2025-10-18T00:00:00"/>
    <x v="10"/>
    <s v="JULIO CESAR CHINCHAY MENA"/>
    <s v="Persona"/>
    <x v="34"/>
  </r>
  <r>
    <x v="1"/>
    <x v="35"/>
    <s v="COLABORATIVA S.A.C."/>
    <x v="2"/>
    <d v="2025-11-03T17:14:56"/>
    <x v="10"/>
    <m/>
    <n v="1"/>
    <n v="41503057"/>
    <s v="[{'id_producto': 33023, 'codigo_producto': 216, 'nom_producto': 'COMISION PAGOS DIGITALES SEGUN CONTRATO', 'categoria_producto': 'service', 'cantidad': '1.0', 'valor_unitario': 5.08, 'precio_unitario': 5.99, 'descuento': 0.0, 'subtotal': 5.08, 'porcentaje_de_igv': '18.00', 'igv': 0.91, 'total': 5.99, 'moneda': '1', 'tipo_de_cambio': 1.0, 'id_estado': 'paid', 'nombre_estado': 'Pagado', 'evento': {'id_evento': '3252', 'nom_evento': 'TrilogÃ­a CosteÃ±a con Guinda, Los ecos y mÃ¡s en SMP', 'fecha_hora_ini_event': '18-10-2025', 'fecha_hora_fin_event': '18-10-2025', 'id_organizador': 5658, 'nom_organizador': 'JULIO CESAR CHINCHAY ME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23"/>
    <x v="6"/>
    <x v="6"/>
    <x v="1"/>
    <n v="1"/>
    <n v="5.08"/>
    <n v="5.99"/>
    <n v="0"/>
    <n v="5.08"/>
    <n v="18"/>
    <n v="0.91"/>
    <n v="5.99"/>
    <n v="1"/>
    <n v="1"/>
    <x v="0"/>
    <x v="0"/>
    <x v="1"/>
    <s v="SAMUEL CHUQUISTA"/>
    <x v="3"/>
    <s v="7032100 Servicios-Local- VISA"/>
    <x v="1"/>
    <x v="14"/>
    <s v="TrilogÃ­a CosteÃ±a con Guinda, Los ecos y mÃ¡s en SMP"/>
    <d v="2025-10-18T00:00:00"/>
    <d v="2025-10-18T00:00:00"/>
    <x v="10"/>
    <s v="JULIO CESAR CHINCHAY MENA"/>
    <s v="Persona"/>
    <x v="35"/>
  </r>
  <r>
    <x v="1"/>
    <x v="36"/>
    <s v="COLABORATIVA S.A.C."/>
    <x v="2"/>
    <d v="2025-11-03T17:12:21"/>
    <x v="11"/>
    <m/>
    <n v="1"/>
    <n v="74630652"/>
    <s v="[{'id_producto': 33020, 'codigo_producto': 2274, 'nom_producto': 'COMISION CORTESIA ', 'categoria_producto': 'consu', 'cantidad': '1.0', 'valor_unitario': 350.0, 'precio_unitario': 413.0, 'descuento': 0.0, 'subtotal': 350.0, 'porcentaje_de_igv': '18.00', 'igv': 63.0, 'total': 413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3020"/>
    <x v="2"/>
    <x v="2"/>
    <x v="0"/>
    <n v="1"/>
    <n v="350"/>
    <n v="413"/>
    <n v="0"/>
    <n v="350"/>
    <n v="18"/>
    <n v="63"/>
    <n v="413"/>
    <n v="1"/>
    <n v="1"/>
    <x v="0"/>
    <x v="0"/>
    <x v="1"/>
    <s v="SAMUEL CHUQUISTA"/>
    <x v="1"/>
    <s v="7032101 VENTAS COMISION VAOPE"/>
    <x v="1"/>
    <x v="15"/>
    <s v="La Ãšnica Tropical, Gisela Lavado y mÃ¡s en Huancayo"/>
    <d v="2025-10-18T00:00:00"/>
    <d v="2025-10-18T00:00:00"/>
    <x v="11"/>
    <s v="NAHOMY TRILCE CHAMORRO TORRES"/>
    <s v="Persona"/>
    <x v="36"/>
  </r>
  <r>
    <x v="1"/>
    <x v="37"/>
    <s v="COLABORATIVA S.A.C."/>
    <x v="2"/>
    <d v="2025-11-03T17:11:58"/>
    <x v="11"/>
    <m/>
    <n v="1"/>
    <n v="74630652"/>
    <s v="[{'id_producto': 33017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59, 'nom_cuenta_analitica': '7032102 VENTAS SERVICIOS VAOPE', 'distribucion_analitica': []}]"/>
    <d v="2025-10-29T00:00:00"/>
    <m/>
    <m/>
    <m/>
    <m/>
    <m/>
    <n v="33017"/>
    <x v="8"/>
    <x v="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6"/>
    <x v="15"/>
    <s v="La Ãšnica Tropical, Gisela Lavado y mÃ¡s en Huancayo"/>
    <d v="2025-10-18T00:00:00"/>
    <d v="2025-10-18T00:00:00"/>
    <x v="11"/>
    <s v="NAHOMY TRILCE CHAMORRO TORRES"/>
    <s v="Persona"/>
    <x v="37"/>
  </r>
  <r>
    <x v="1"/>
    <x v="38"/>
    <s v="COLABORATIVA S.A.C."/>
    <x v="2"/>
    <d v="2025-11-03T17:10:55"/>
    <x v="11"/>
    <m/>
    <n v="1"/>
    <n v="74630652"/>
    <s v="[{'id_producto': 33014, 'codigo_producto': 1786, 'nom_producto': 'COMISION VAOPE SEGUN CONTRATO', 'categoria_producto': 'service', 'cantidad': '1.0', 'valor_unitario': 727.91, 'precio_unitario': 858.93, 'descuento': 0.0, 'subtotal': 727.91, 'porcentaje_de_igv': '18.00', 'igv': 131.02, 'total': 858.93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3014"/>
    <x v="5"/>
    <x v="5"/>
    <x v="1"/>
    <n v="1"/>
    <n v="727.91"/>
    <n v="858.93"/>
    <n v="0"/>
    <n v="727.91"/>
    <n v="18"/>
    <n v="131.02000000000001"/>
    <n v="858.93"/>
    <n v="1"/>
    <n v="1"/>
    <x v="0"/>
    <x v="0"/>
    <x v="1"/>
    <s v="SAMUEL CHUQUISTA"/>
    <x v="1"/>
    <s v="7032101 VENTAS COMISION VAOPE"/>
    <x v="5"/>
    <x v="15"/>
    <s v="La Ãšnica Tropical, Gisela Lavado y mÃ¡s en Huancayo"/>
    <d v="2025-10-18T00:00:00"/>
    <d v="2025-10-18T00:00:00"/>
    <x v="11"/>
    <s v="NAHOMY TRILCE CHAMORRO TORRES"/>
    <s v="Persona"/>
    <x v="38"/>
  </r>
  <r>
    <x v="1"/>
    <x v="39"/>
    <s v="COLABORATIVA S.A.C."/>
    <x v="2"/>
    <d v="2025-11-03T17:10:37"/>
    <x v="11"/>
    <m/>
    <n v="1"/>
    <n v="74630652"/>
    <s v="[{'id_producto': 33011, 'codigo_producto': 216, 'nom_producto': 'COMISION PAGOS DIGITALES SEGUN CONTRATO', 'categoria_producto': 'service', 'cantidad': '1.0', 'valor_unitario': 501.7, 'precio_unitario': 592.01, 'descuento': 0.0, 'subtotal': 501.7, 'porcentaje_de_igv': '18.00', 'igv': 90.31, 'total': 592.01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11"/>
    <x v="6"/>
    <x v="6"/>
    <x v="1"/>
    <n v="1"/>
    <n v="501.7"/>
    <n v="592.01"/>
    <n v="0"/>
    <n v="501.7"/>
    <n v="18"/>
    <n v="90.31"/>
    <n v="592.01"/>
    <n v="1"/>
    <n v="1"/>
    <x v="0"/>
    <x v="0"/>
    <x v="1"/>
    <s v="SAMUEL CHUQUISTA"/>
    <x v="3"/>
    <s v="7032100 Servicios-Local- VISA"/>
    <x v="1"/>
    <x v="15"/>
    <s v="La Ãšnica Tropical, Gisela Lavado y mÃ¡s en Huancayo"/>
    <d v="2025-10-18T00:00:00"/>
    <d v="2025-10-18T00:00:00"/>
    <x v="11"/>
    <s v="NAHOMY TRILCE CHAMORRO TORRES"/>
    <s v="Persona"/>
    <x v="39"/>
  </r>
  <r>
    <x v="1"/>
    <x v="40"/>
    <s v="COLABORATIVA S.A.C."/>
    <x v="2"/>
    <d v="2025-11-03T17:07:56"/>
    <x v="12"/>
    <m/>
    <n v="1"/>
    <n v="73829192"/>
    <s v="[{'id_producto': 33008, 'codigo_producto': 2274, 'nom_producto': 'COMISION CORTESIA ', 'categoria_producto': 'consu', 'cantidad': '1.0', 'valor_unitario': 6.5, 'precio_unitario': 7.67, 'descuento': 0.0, 'subtotal': 6.5, 'porcentaje_de_igv': '18.00', 'igv': 1.17, 'total': 7.67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3008"/>
    <x v="2"/>
    <x v="2"/>
    <x v="0"/>
    <n v="1"/>
    <n v="6.5"/>
    <n v="7.67"/>
    <n v="0"/>
    <n v="6.5"/>
    <n v="18"/>
    <n v="1.17"/>
    <n v="7.67"/>
    <n v="1"/>
    <n v="1"/>
    <x v="0"/>
    <x v="0"/>
    <x v="1"/>
    <s v="SAMUEL CHUQUISTA"/>
    <x v="1"/>
    <s v="7032101 VENTAS COMISION VAOPE"/>
    <x v="1"/>
    <x v="16"/>
    <s v="La Ãšnica Tropical y ArmonÃ­a 10 en CaÃ±ete"/>
    <d v="2025-10-20T00:00:00"/>
    <d v="2025-10-20T00:00:00"/>
    <x v="12"/>
    <s v="RONALD LUIS MAYTA RAMOS"/>
    <s v="Persona"/>
    <x v="40"/>
  </r>
  <r>
    <x v="1"/>
    <x v="41"/>
    <s v="COLABORATIVA S.A.C."/>
    <x v="2"/>
    <d v="2025-11-03T17:07:28"/>
    <x v="12"/>
    <m/>
    <n v="1"/>
    <n v="73829192"/>
    <s v="[{'id_producto': 33005, 'codigo_producto': 1786, 'nom_producto': 'COMISION VAOPE SEGUN CONTRATO', 'categoria_producto': 'service', 'cantidad': '1.0', 'valor_unitario': 239.92, 'precio_unitario': 283.11, 'descuento': 0.0, 'subtotal': 239.92, 'porcentaje_de_igv': '18.00', 'igv': 43.19, 'total': 283.11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3005"/>
    <x v="5"/>
    <x v="5"/>
    <x v="1"/>
    <n v="1"/>
    <n v="239.92"/>
    <n v="283.11"/>
    <n v="0"/>
    <n v="239.92"/>
    <n v="18"/>
    <n v="43.19"/>
    <n v="283.11"/>
    <n v="1"/>
    <n v="1"/>
    <x v="0"/>
    <x v="0"/>
    <x v="1"/>
    <s v="SAMUEL CHUQUISTA"/>
    <x v="1"/>
    <s v="7032101 VENTAS COMISION VAOPE"/>
    <x v="5"/>
    <x v="16"/>
    <s v="La Ãšnica Tropical y ArmonÃ­a 10 en CaÃ±ete"/>
    <d v="2025-10-20T00:00:00"/>
    <d v="2025-10-20T00:00:00"/>
    <x v="12"/>
    <s v="RONALD LUIS MAYTA RAMOS"/>
    <s v="Persona"/>
    <x v="41"/>
  </r>
  <r>
    <x v="1"/>
    <x v="42"/>
    <s v="COLABORATIVA S.A.C."/>
    <x v="2"/>
    <d v="2025-11-03T17:07:07"/>
    <x v="12"/>
    <m/>
    <n v="1"/>
    <n v="73829192"/>
    <s v="[{'id_producto': 33002, 'codigo_producto': 216, 'nom_producto': 'COMISION PAGOS DIGITALES SEGUN CONTRATO', 'categoria_producto': 'service', 'cantidad': '1.0', 'valor_unitario': 170.76, 'precio_unitario': 201.5, 'descuento': 0.0, 'subtotal': 170.76, 'porcentaje_de_igv': '18.00', 'igv': 30.74, 'total': 201.5, 'moneda': '1', 'tipo_de_cambio': 1.0, 'id_estado': 'paid', 'nombre_estado': 'Pagado', 'evento': {'id_evento': '3215', 'nom_evento': 'La Ãšnica Tropical y ArmonÃ­a 10 en CaÃ±ete', 'fecha_hora_ini_event': '20-10-2025', 'fecha_hora_fin_event': '20-10-2025', 'id_organizador': 5553, 'nom_organizador': 'RONALD LUIS MAYTA RAMO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3002"/>
    <x v="6"/>
    <x v="6"/>
    <x v="1"/>
    <n v="1"/>
    <n v="170.76"/>
    <n v="201.5"/>
    <n v="0"/>
    <n v="170.76"/>
    <n v="18"/>
    <n v="30.74"/>
    <n v="201.5"/>
    <n v="1"/>
    <n v="1"/>
    <x v="0"/>
    <x v="0"/>
    <x v="1"/>
    <s v="SAMUEL CHUQUISTA"/>
    <x v="3"/>
    <s v="7032100 Servicios-Local- VISA"/>
    <x v="1"/>
    <x v="16"/>
    <s v="La Ãšnica Tropical y ArmonÃ­a 10 en CaÃ±ete"/>
    <d v="2025-10-20T00:00:00"/>
    <d v="2025-10-20T00:00:00"/>
    <x v="12"/>
    <s v="RONALD LUIS MAYTA RAMOS"/>
    <s v="Persona"/>
    <x v="42"/>
  </r>
  <r>
    <x v="1"/>
    <x v="43"/>
    <s v="COLABORATIVA S.A.C."/>
    <x v="2"/>
    <d v="2025-11-03T17:04:40"/>
    <x v="8"/>
    <s v="Cliente"/>
    <n v="1"/>
    <n v="72327214"/>
    <s v="[{'id_producto': 32999, 'codigo_producto': 2276, 'nom_producto': 'PUNTO DE VENTA', 'categoria_producto': 'service', 'cantidad': '1.0', 'valor_unitario': 93.5, 'precio_unitario': 110.33, 'descuento': 0.0, 'subtotal': 93.5, 'porcentaje_de_igv': '18.00', 'igv': 16.83, 'total': 110.33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"/>
    <d v="2025-10-29T00:00:00"/>
    <m/>
    <m/>
    <m/>
    <m/>
    <m/>
    <n v="32999"/>
    <x v="9"/>
    <x v="9"/>
    <x v="1"/>
    <n v="1"/>
    <n v="93.5"/>
    <n v="110.33"/>
    <n v="0"/>
    <n v="93.5"/>
    <n v="18"/>
    <n v="16.829999999999998"/>
    <n v="110.33"/>
    <n v="1"/>
    <n v="1"/>
    <x v="0"/>
    <x v="0"/>
    <x v="1"/>
    <s v="SAMUEL CHUQUISTA"/>
    <x v="2"/>
    <s v="7032102 VENTAS SERVICIOS VAOPE"/>
    <x v="6"/>
    <x v="17"/>
    <s v="We All Together en Miraflores"/>
    <d v="2025-10-24T00:00:00"/>
    <d v="2025-10-24T00:00:00"/>
    <x v="8"/>
    <s v="PETER OSMAR MENDOZA SANCHEZ"/>
    <s v="Persona"/>
    <x v="43"/>
  </r>
  <r>
    <x v="1"/>
    <x v="44"/>
    <s v="COLABORATIVA S.A.C."/>
    <x v="2"/>
    <d v="2025-11-03T17:04:07"/>
    <x v="8"/>
    <s v="Cliente"/>
    <n v="1"/>
    <n v="72327214"/>
    <s v="[{'id_producto': 32996, 'codigo_producto': 1786, 'nom_producto': 'COMISION VAOPE SEGUN CONTRATO', 'categoria_producto': 'service', 'cantidad': '1.0', 'valor_unitario': 72.46, 'precio_unitario': 85.5, 'descuento': 0.0, 'subtotal': 72.46, 'porcentaje_de_igv': '18.00', 'igv': 13.04, 'total': 85.5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96"/>
    <x v="5"/>
    <x v="5"/>
    <x v="1"/>
    <n v="1"/>
    <n v="72.459999999999994"/>
    <n v="85.5"/>
    <n v="0"/>
    <n v="72.459999999999994"/>
    <n v="18"/>
    <n v="13.04"/>
    <n v="85.5"/>
    <n v="1"/>
    <n v="1"/>
    <x v="0"/>
    <x v="0"/>
    <x v="1"/>
    <s v="SAMUEL CHUQUISTA"/>
    <x v="1"/>
    <s v="7032101 VENTAS COMISION VAOPE"/>
    <x v="5"/>
    <x v="17"/>
    <s v="We All Together en Miraflores"/>
    <d v="2025-10-24T00:00:00"/>
    <d v="2025-10-24T00:00:00"/>
    <x v="8"/>
    <s v="PETER OSMAR MENDOZA SANCHEZ"/>
    <s v="Persona"/>
    <x v="44"/>
  </r>
  <r>
    <x v="1"/>
    <x v="45"/>
    <s v="COLABORATIVA S.A.C."/>
    <x v="2"/>
    <d v="2025-11-03T17:03:38"/>
    <x v="8"/>
    <s v="Cliente"/>
    <n v="1"/>
    <n v="72327214"/>
    <s v="[{'id_producto': 32993, 'codigo_producto': 216, 'nom_producto': 'COMISION PAGOS DIGITALES SEGUN CONTRATO', 'categoria_producto': 'service', 'cantidad': '1.0', 'valor_unitario': 140.19, 'precio_unitario': 165.42, 'descuento': 0.0, 'subtotal': 140.19, 'porcentaje_de_igv': '18.00', 'igv': 25.23, 'total': 165.42, 'moneda': '1', 'tipo_de_cambio': 1.0, 'id_estado': 'paid', 'nombre_estado': 'Pagado', 'evento': {'id_evento': '3163', 'nom_evento': 'We All Together en Miraflores', 'fecha_hora_ini_event': '24-10-2025', 'fecha_hora_fin_event': '24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93"/>
    <x v="6"/>
    <x v="6"/>
    <x v="1"/>
    <n v="1"/>
    <n v="140.19"/>
    <n v="165.42"/>
    <n v="0"/>
    <n v="140.19"/>
    <n v="18"/>
    <n v="25.23"/>
    <n v="165.42"/>
    <n v="1"/>
    <n v="1"/>
    <x v="0"/>
    <x v="0"/>
    <x v="1"/>
    <s v="SAMUEL CHUQUISTA"/>
    <x v="3"/>
    <s v="7032100 Servicios-Local- VISA"/>
    <x v="1"/>
    <x v="17"/>
    <s v="We All Together en Miraflores"/>
    <d v="2025-10-24T00:00:00"/>
    <d v="2025-10-24T00:00:00"/>
    <x v="8"/>
    <s v="PETER OSMAR MENDOZA SANCHEZ"/>
    <s v="Persona"/>
    <x v="45"/>
  </r>
  <r>
    <x v="1"/>
    <x v="46"/>
    <s v="COLABORATIVA S.A.C."/>
    <x v="2"/>
    <d v="2025-11-03T17:00:40"/>
    <x v="4"/>
    <m/>
    <n v="1"/>
    <n v="70332314"/>
    <s v="[{'id_producto': 32988, 'codigo_producto': 1786, 'nom_producto': 'COMISION VAOPE SEGUN CONTRATO', 'categoria_producto': 'service', 'cantidad': '1.0', 'valor_unitario': 801.02, 'precio_unitario': 945.2, 'descuento': 0.0, 'subtotal': 801.02, 'porcentaje_de_igv': '18.00', 'igv': 144.18, 'total': 945.2, 'moneda': '1', 'tipo_de_cambio': 1.0, 'id_estado': 'paid', 'nombre_estado': 'Pagado', 'evento': {'id_evento': '3174', 'nom_evento': 'Las Divinas del Norte en Voley con Sorpresa en Chulucanas', 'fecha_hora_ini_event': '24-10-2025', 'fecha_hora_fin_event': '24-10-2025', 'id_organizador': 6074, 'nom_organizador': 'CRISTIE SOLEDAD WHITEHEAD MOR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88"/>
    <x v="5"/>
    <x v="5"/>
    <x v="1"/>
    <n v="1"/>
    <n v="801.02"/>
    <n v="945.2"/>
    <n v="0"/>
    <n v="801.02"/>
    <n v="18"/>
    <n v="144.18"/>
    <n v="945.2"/>
    <n v="1"/>
    <n v="1"/>
    <x v="0"/>
    <x v="0"/>
    <x v="1"/>
    <s v="SAMUEL CHUQUISTA"/>
    <x v="1"/>
    <s v="7032101 VENTAS COMISION VAOPE"/>
    <x v="5"/>
    <x v="18"/>
    <s v="Las Divinas del Norte en Voley con Sorpresa en Chulucanas"/>
    <d v="2025-10-24T00:00:00"/>
    <d v="2025-10-24T00:00:00"/>
    <x v="4"/>
    <s v="CRISTIE SOLEDAD WHITEHEAD MORI"/>
    <s v="Persona"/>
    <x v="46"/>
  </r>
  <r>
    <x v="1"/>
    <x v="47"/>
    <s v="COLABORATIVA S.A.C."/>
    <x v="2"/>
    <d v="2025-11-03T16:59:50"/>
    <x v="4"/>
    <m/>
    <n v="1"/>
    <n v="70332314"/>
    <s v="[{'id_producto': 32985, 'codigo_producto': 216, 'nom_producto': 'COMISION PAGOS DIGITALES SEGUN CONTRATO', 'categoria_producto': 'service', 'cantidad': '1.0', 'valor_unitario': 567.12, 'precio_unitario': 669.2, 'descuento': 0.0, 'subtotal': 567.12, 'porcentaje_de_igv': '18.00', 'igv': 102.08, 'total': 669.2, 'moneda': '1', 'tipo_de_cambio': 1.0, 'id_estado': 'paid', 'nombre_estado': 'Pagado', 'evento': {'id_evento': '3174', 'nom_evento': 'Las Divinas del Norte en Voley con Sorpresa en Chulucanas', 'fecha_hora_ini_event': '24-10-2025', 'fecha_hora_fin_event': '24-10-2025', 'id_organizador': 6074, 'nom_organizador': 'CRISTIE SOLEDAD WHITEHEAD MOR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85"/>
    <x v="6"/>
    <x v="6"/>
    <x v="1"/>
    <n v="1"/>
    <n v="567.12"/>
    <n v="669.2"/>
    <n v="0"/>
    <n v="567.12"/>
    <n v="18"/>
    <n v="102.08"/>
    <n v="669.2"/>
    <n v="1"/>
    <n v="1"/>
    <x v="0"/>
    <x v="0"/>
    <x v="1"/>
    <s v="SAMUEL CHUQUISTA"/>
    <x v="3"/>
    <s v="7032100 Servicios-Local- VISA"/>
    <x v="1"/>
    <x v="18"/>
    <s v="Las Divinas del Norte en Voley con Sorpresa en Chulucanas"/>
    <d v="2025-10-24T00:00:00"/>
    <d v="2025-10-24T00:00:00"/>
    <x v="4"/>
    <s v="CRISTIE SOLEDAD WHITEHEAD MORI"/>
    <s v="Persona"/>
    <x v="47"/>
  </r>
  <r>
    <x v="1"/>
    <x v="48"/>
    <s v="COLABORATIVA S.A.C."/>
    <x v="2"/>
    <d v="2025-11-03T16:57:35"/>
    <x v="13"/>
    <m/>
    <n v="1"/>
    <n v="72172923"/>
    <s v="[{'id_producto': 32980, 'codigo_producto': 2276, 'nom_producto': 'PUNTO DE VENTA', 'categoria_producto': 'service', 'cantidad': '1.0', 'valor_unitario': 20.5, 'precio_unitario': 24.19, 'descuento': 0.0, 'subtotal': 20.5, 'porcentaje_de_igv': '18.00', 'igv': 3.69, 'total': 24.19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59, 'nom_cuenta_analitica': '7032102 VENTAS SERVICIOS VAOPE', 'distribucion_analitica': []}]"/>
    <d v="2025-10-29T00:00:00"/>
    <m/>
    <m/>
    <m/>
    <m/>
    <m/>
    <n v="32980"/>
    <x v="9"/>
    <x v="9"/>
    <x v="1"/>
    <n v="1"/>
    <n v="20.5"/>
    <n v="24.19"/>
    <n v="0"/>
    <n v="20.5"/>
    <n v="18"/>
    <n v="3.69"/>
    <n v="24.19"/>
    <n v="1"/>
    <n v="1"/>
    <x v="0"/>
    <x v="0"/>
    <x v="1"/>
    <s v="SAMUEL CHUQUISTA"/>
    <x v="2"/>
    <s v="7032102 VENTAS SERVICIOS VAOPE"/>
    <x v="6"/>
    <x v="19"/>
    <s v="Tributo Oficial a Airbag en Huancayo"/>
    <d v="2025-10-24T00:00:00"/>
    <d v="2025-10-24T00:00:00"/>
    <x v="13"/>
    <s v="JOSE AUGUSTO HUAMAN SANCHEZ"/>
    <s v="Persona"/>
    <x v="48"/>
  </r>
  <r>
    <x v="1"/>
    <x v="49"/>
    <s v="COLABORATIVA S.A.C."/>
    <x v="2"/>
    <d v="2025-11-03T16:57:02"/>
    <x v="13"/>
    <m/>
    <n v="1"/>
    <n v="72172923"/>
    <s v="[{'id_producto': 32977, 'codigo_producto': 1786, 'nom_producto': 'COMISION VAOPE SEGUN CONTRATO', 'categoria_producto': 'service', 'cantidad': '1.0', 'valor_unitario': 6.19, 'precio_unitario': 7.3, 'descuento': 0.0, 'subtotal': 6.19, 'porcentaje_de_igv': '18.00', 'igv': 1.11, 'total': 7.3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77"/>
    <x v="5"/>
    <x v="5"/>
    <x v="1"/>
    <n v="1"/>
    <n v="6.19"/>
    <n v="7.3"/>
    <n v="0"/>
    <n v="6.19"/>
    <n v="18"/>
    <n v="1.1100000000000001"/>
    <n v="7.3"/>
    <n v="1"/>
    <n v="1"/>
    <x v="0"/>
    <x v="0"/>
    <x v="1"/>
    <s v="SAMUEL CHUQUISTA"/>
    <x v="1"/>
    <s v="7032101 VENTAS COMISION VAOPE"/>
    <x v="5"/>
    <x v="19"/>
    <s v="Tributo Oficial a Airbag en Huancayo"/>
    <d v="2025-10-24T00:00:00"/>
    <d v="2025-10-24T00:00:00"/>
    <x v="13"/>
    <s v="JOSE AUGUSTO HUAMAN SANCHEZ"/>
    <s v="Persona"/>
    <x v="49"/>
  </r>
  <r>
    <x v="1"/>
    <x v="50"/>
    <s v="COLABORATIVA S.A.C."/>
    <x v="2"/>
    <d v="2025-11-03T16:56:41"/>
    <x v="13"/>
    <m/>
    <n v="1"/>
    <n v="72172923"/>
    <s v="[{'id_producto': 32974, 'codigo_producto': 216, 'nom_producto': 'COMISION PAGOS DIGITALES SEGUN CONTRATO', 'categoria_producto': 'service', 'cantidad': '1.0', 'valor_unitario': 24.91, 'precio_unitario': 29.39, 'descuento': 0.0, 'subtotal': 24.91, 'porcentaje_de_igv': '18.00', 'igv': 4.48, 'total': 29.39, 'moneda': '1', 'tipo_de_cambio': 1.0, 'id_estado': 'paid', 'nombre_estado': 'Pagado', 'evento': {'id_evento': '3195', 'nom_evento': 'Tributo Oficial a Airbag en Huancayo', 'fecha_hora_ini_event': '24-10-2025', 'fecha_hora_fin_event': '24-10-2025', 'id_organizador': 5210, 'nom_organizador': 'JOSE AUGUSTO HUAMAN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74"/>
    <x v="6"/>
    <x v="6"/>
    <x v="1"/>
    <n v="1"/>
    <n v="24.91"/>
    <n v="29.39"/>
    <n v="0"/>
    <n v="24.91"/>
    <n v="18"/>
    <n v="4.4800000000000004"/>
    <n v="29.39"/>
    <n v="1"/>
    <n v="1"/>
    <x v="0"/>
    <x v="0"/>
    <x v="1"/>
    <s v="SAMUEL CHUQUISTA"/>
    <x v="3"/>
    <s v="7032100 Servicios-Local- VISA"/>
    <x v="1"/>
    <x v="19"/>
    <s v="Tributo Oficial a Airbag en Huancayo"/>
    <d v="2025-10-24T00:00:00"/>
    <d v="2025-10-24T00:00:00"/>
    <x v="13"/>
    <s v="JOSE AUGUSTO HUAMAN SANCHEZ"/>
    <s v="Persona"/>
    <x v="50"/>
  </r>
  <r>
    <x v="0"/>
    <x v="51"/>
    <s v="COLABORATIVA S.A.C."/>
    <x v="2"/>
    <d v="2025-11-03T15:41:17"/>
    <x v="14"/>
    <m/>
    <n v="6"/>
    <n v="20604257621"/>
    <s v="[{'id_producto': 32959, 'codigo_producto': 1786, 'nom_producto': 'COMISION VAOPE SEGUN CONTRATO', 'categoria_producto': 'service', 'cantidad': '1.0', 'valor_unitario': 26.69, 'precio_unitario': 31.49, 'descuento': 0.0, 'subtotal': 26.69, 'porcentaje_de_igv': '18.00', 'igv': 4.8, 'total': 31.49, 'moneda': '1', 'tipo_de_cambio': 1.0, 'id_estado': 'paid', 'nombre_estado': 'Pagado', 'evento': {'id_evento': '3275', 'nom_evento': 'Noche Estelar con Los CaribeÃ±os, Carlos Miguel y mÃ¡s en Blue Fiesta Total de Independencia', 'fecha_hora_ini_event': '24-10-2025', 'fecha_hora_fin_event': '24-10-2025', 'id_organizador': 5473, 'nom_organizador': 'PROMOTORA DE ESPECTACULOS A&amp;G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59"/>
    <x v="5"/>
    <x v="5"/>
    <x v="1"/>
    <n v="1"/>
    <n v="26.69"/>
    <n v="31.49"/>
    <n v="0"/>
    <n v="26.69"/>
    <n v="18"/>
    <n v="4.8"/>
    <n v="31.49"/>
    <n v="1"/>
    <n v="1"/>
    <x v="0"/>
    <x v="0"/>
    <x v="1"/>
    <s v="SAMUEL CHUQUISTA"/>
    <x v="1"/>
    <s v="7032101 VENTAS COMISION VAOPE"/>
    <x v="5"/>
    <x v="20"/>
    <s v="Noche Estelar con Los CaribeÃ±os, Carlos Miguel y mÃ¡s en Blue Fiesta Total de Independencia"/>
    <d v="2025-10-24T00:00:00"/>
    <d v="2025-10-24T00:00:00"/>
    <x v="14"/>
    <s v="PROMOTORA DE ESPECTACULOS A&amp;G S.A.C."/>
    <s v="Empresa"/>
    <x v="51"/>
  </r>
  <r>
    <x v="0"/>
    <x v="52"/>
    <s v="COLABORATIVA S.A.C."/>
    <x v="2"/>
    <d v="2025-11-03T15:40:44"/>
    <x v="14"/>
    <m/>
    <n v="6"/>
    <n v="20604257621"/>
    <s v="[{'id_producto': 32953, 'codigo_producto': 216, 'nom_producto': 'COMISION PAGOS DIGITALES SEGUN CONTRATO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75', 'nom_evento': 'Noche Estelar con Los CaribeÃ±os, Carlos Miguel y mÃ¡s en Blue Fiesta Total de Independencia', 'fecha_hora_ini_event': '24-10-2025', 'fecha_hora_fin_event': '24-10-2025', 'id_organizador': 5473, 'nom_organizador': 'PROMOTORA DE ESPECTACULOS A&amp;G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53"/>
    <x v="6"/>
    <x v="6"/>
    <x v="1"/>
    <n v="1"/>
    <n v="30"/>
    <n v="35.4"/>
    <n v="0"/>
    <n v="30"/>
    <n v="18"/>
    <n v="5.4"/>
    <n v="35.4"/>
    <n v="1"/>
    <n v="1"/>
    <x v="0"/>
    <x v="0"/>
    <x v="1"/>
    <s v="SAMUEL CHUQUISTA"/>
    <x v="3"/>
    <s v="7032100 Servicios-Local- VISA"/>
    <x v="1"/>
    <x v="20"/>
    <s v="Noche Estelar con Los CaribeÃ±os, Carlos Miguel y mÃ¡s en Blue Fiesta Total de Independencia"/>
    <d v="2025-10-24T00:00:00"/>
    <d v="2025-10-24T00:00:00"/>
    <x v="14"/>
    <s v="PROMOTORA DE ESPECTACULOS A&amp;G S.A.C."/>
    <s v="Empresa"/>
    <x v="52"/>
  </r>
  <r>
    <x v="1"/>
    <x v="53"/>
    <s v="COLABORATIVA S.A.C."/>
    <x v="2"/>
    <d v="2025-11-03T15:34:53"/>
    <x v="15"/>
    <m/>
    <n v="1"/>
    <n v="47248550"/>
    <s v="[{'id_producto': 32950, 'codigo_producto': 2274, 'nom_producto': 'COMISION CORTESIA ', 'categoria_producto': 'consu', 'cantidad': '1.0', 'valor_unitario': 33.5, 'precio_unitario': 39.53, 'descuento': 0.0, 'subtotal': 33.5, 'porcentaje_de_igv': '18.00', 'igv': 6.03, 'total': 39.53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2950"/>
    <x v="2"/>
    <x v="2"/>
    <x v="0"/>
    <n v="1"/>
    <n v="33.5"/>
    <n v="39.53"/>
    <n v="0"/>
    <n v="33.5"/>
    <n v="18"/>
    <n v="6.03"/>
    <n v="39.53"/>
    <n v="1"/>
    <n v="1"/>
    <x v="0"/>
    <x v="0"/>
    <x v="1"/>
    <s v="SAMUEL CHUQUISTA"/>
    <x v="1"/>
    <s v="7032101 VENTAS COMISION VAOPE"/>
    <x v="1"/>
    <x v="21"/>
    <s v="Anime SinfÃ³nico en Huancayo"/>
    <d v="2025-10-25T00:00:00"/>
    <d v="2025-10-25T00:00:00"/>
    <x v="15"/>
    <s v="RICHARD EDINSON DAVIRAN GUTIERREZ"/>
    <s v="Persona"/>
    <x v="53"/>
  </r>
  <r>
    <x v="1"/>
    <x v="54"/>
    <s v="COLABORATIVA S.A.C."/>
    <x v="2"/>
    <d v="2025-11-03T15:34:38"/>
    <x v="15"/>
    <m/>
    <n v="1"/>
    <n v="47248550"/>
    <s v="[{'id_producto': 32947, 'codigo_producto': 1786, 'nom_producto': 'COMISION VAOPE SEGUN CONTRATO', 'categoria_producto': 'service', 'cantidad': '1.0', 'valor_unitario': 287.83, 'precio_unitario': 339.64, 'descuento': 0.0, 'subtotal': 287.83, 'porcentaje_de_igv': '18.00', 'igv': 51.81, 'total': 339.64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47"/>
    <x v="5"/>
    <x v="5"/>
    <x v="1"/>
    <n v="1"/>
    <n v="287.83"/>
    <n v="339.64"/>
    <n v="0"/>
    <n v="287.83"/>
    <n v="18"/>
    <n v="51.81"/>
    <n v="339.64"/>
    <n v="1"/>
    <n v="1"/>
    <x v="0"/>
    <x v="0"/>
    <x v="1"/>
    <s v="SAMUEL CHUQUISTA"/>
    <x v="1"/>
    <s v="7032101 VENTAS COMISION VAOPE"/>
    <x v="5"/>
    <x v="21"/>
    <s v="Anime SinfÃ³nico en Huancayo"/>
    <d v="2025-10-25T00:00:00"/>
    <d v="2025-10-25T00:00:00"/>
    <x v="15"/>
    <s v="RICHARD EDINSON DAVIRAN GUTIERREZ"/>
    <s v="Persona"/>
    <x v="54"/>
  </r>
  <r>
    <x v="1"/>
    <x v="55"/>
    <s v="COLABORATIVA S.A.C."/>
    <x v="2"/>
    <d v="2025-11-03T15:33:54"/>
    <x v="15"/>
    <m/>
    <n v="1"/>
    <n v="47248550"/>
    <s v="[{'id_producto': 32944, 'codigo_producto': 216, 'nom_producto': 'COMISION PAGOS DIGITALES SEGUN CONTRATO', 'categoria_producto': 'service', 'cantidad': '1.0', 'valor_unitario': 290.48, 'precio_unitario': 342.77, 'descuento': 0.0, 'subtotal': 290.48, 'porcentaje_de_igv': '18.00', 'igv': 52.29, 'total': 342.77, 'moneda': '1', 'tipo_de_cambio': 1.0, 'id_estado': 'paid', 'nombre_estado': 'Pagado', 'evento': {'id_evento': '3025', 'nom_evento': 'Anime SinfÃ³nico en Huancayo', 'fecha_hora_ini_event': '25-10-2025', 'fecha_hora_fin_event': '25-10-2025', 'id_organizador': 5601, 'nom_organizador': 'RICHARD EDINSON DAVIRAN GUTIER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44"/>
    <x v="6"/>
    <x v="6"/>
    <x v="1"/>
    <n v="1"/>
    <n v="290.48"/>
    <n v="342.77"/>
    <n v="0"/>
    <n v="290.48"/>
    <n v="18"/>
    <n v="52.29"/>
    <n v="342.77"/>
    <n v="1"/>
    <n v="1"/>
    <x v="0"/>
    <x v="0"/>
    <x v="1"/>
    <s v="SAMUEL CHUQUISTA"/>
    <x v="3"/>
    <s v="7032100 Servicios-Local- VISA"/>
    <x v="1"/>
    <x v="21"/>
    <s v="Anime SinfÃ³nico en Huancayo"/>
    <d v="2025-10-25T00:00:00"/>
    <d v="2025-10-25T00:00:00"/>
    <x v="15"/>
    <s v="RICHARD EDINSON DAVIRAN GUTIERREZ"/>
    <s v="Persona"/>
    <x v="55"/>
  </r>
  <r>
    <x v="1"/>
    <x v="56"/>
    <s v="COLABORATIVA S.A.C."/>
    <x v="2"/>
    <d v="2025-11-03T15:31:02"/>
    <x v="16"/>
    <s v="Cliente"/>
    <n v="1"/>
    <n v="44413438"/>
    <s v="[{'id_producto': 32941, 'codigo_producto': 2274, 'nom_producto': 'COMISION CORTESIA ', 'categoria_producto': 'consu', 'cantidad': '1.0', 'valor_unitario': 50.0, 'precio_unitario': 59.0, 'descuento': 0.0, 'subtotal': 50.0, 'porcentaje_de_igv': '18.00', 'igv': 9.0, 'total': 59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2941"/>
    <x v="2"/>
    <x v="2"/>
    <x v="0"/>
    <n v="1"/>
    <n v="50"/>
    <n v="59"/>
    <n v="0"/>
    <n v="50"/>
    <n v="18"/>
    <n v="9"/>
    <n v="59"/>
    <n v="1"/>
    <n v="1"/>
    <x v="0"/>
    <x v="0"/>
    <x v="1"/>
    <s v="SAMUEL CHUQUISTA"/>
    <x v="1"/>
    <s v="7032101 VENTAS COMISION VAOPE"/>
    <x v="1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56"/>
  </r>
  <r>
    <x v="1"/>
    <x v="57"/>
    <s v="COLABORATIVA S.A.C."/>
    <x v="2"/>
    <d v="2025-11-03T15:30:42"/>
    <x v="16"/>
    <s v="Cliente"/>
    <n v="1"/>
    <n v="44413438"/>
    <s v="[{'id_producto': 32938, 'codigo_producto': 2314, 'nom_producto': 'SERV VALIDADORES', 'categoria_producto': 'service', 'cantidad': '1.0', 'valor_unitario': 600.0, 'precio_unitario': 708.0, 'descuento': 0.0, 'subtotal': 600.0, 'porcentaje_de_igv': '18.00', 'igv': 108.0, 'total': 708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29T00:00:00"/>
    <m/>
    <m/>
    <m/>
    <m/>
    <m/>
    <n v="32938"/>
    <x v="10"/>
    <x v="10"/>
    <x v="1"/>
    <n v="1"/>
    <n v="600"/>
    <n v="708"/>
    <n v="0"/>
    <n v="600"/>
    <n v="18"/>
    <n v="108"/>
    <n v="708"/>
    <n v="1"/>
    <n v="1"/>
    <x v="0"/>
    <x v="0"/>
    <x v="1"/>
    <s v="SAMUEL CHUQUISTA"/>
    <x v="2"/>
    <s v="7032102 VENTAS SERVICIOS VAOPE"/>
    <x v="5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57"/>
  </r>
  <r>
    <x v="1"/>
    <x v="58"/>
    <s v="COLABORATIVA S.A.C."/>
    <x v="2"/>
    <d v="2025-11-03T15:30:25"/>
    <x v="16"/>
    <s v="Cliente"/>
    <n v="1"/>
    <n v="44413438"/>
    <s v="[{'id_producto': 32935, 'codigo_producto': 2315, 'nom_producto': 'PAUTA PUBLICITARIA', 'categoria_producto': 'service', 'cantidad': '1.0', 'valor_unitario': 847.46, 'precio_unitario': 1000.0, 'descuento': 0.0, 'subtotal': 847.46, 'porcentaje_de_igv': '18.00', 'igv': 152.54, 'total': 1000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9T00:00:00"/>
    <m/>
    <m/>
    <m/>
    <m/>
    <m/>
    <n v="32935"/>
    <x v="3"/>
    <x v="3"/>
    <x v="1"/>
    <n v="1"/>
    <n v="847.46"/>
    <n v="1000"/>
    <n v="0"/>
    <n v="847.46"/>
    <n v="18"/>
    <n v="152.54"/>
    <n v="1000"/>
    <n v="1"/>
    <n v="1"/>
    <x v="0"/>
    <x v="0"/>
    <x v="1"/>
    <s v="SAMUEL CHUQUISTA"/>
    <x v="2"/>
    <s v="7032102 VENTAS SERVICIOS VAOPE"/>
    <x v="2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58"/>
  </r>
  <r>
    <x v="1"/>
    <x v="59"/>
    <s v="COLABORATIVA S.A.C."/>
    <x v="2"/>
    <d v="2025-11-03T15:30:01"/>
    <x v="16"/>
    <s v="Cliente"/>
    <n v="1"/>
    <n v="44413438"/>
    <s v="[{'id_producto': 32932, 'codigo_producto': 1895, 'nom_producto': 'BRAZALETE CON QR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29T00:00:00"/>
    <m/>
    <m/>
    <m/>
    <m/>
    <m/>
    <n v="32932"/>
    <x v="1"/>
    <x v="1"/>
    <x v="0"/>
    <n v="1"/>
    <n v="1500"/>
    <n v="1770"/>
    <n v="0"/>
    <n v="1500"/>
    <n v="18"/>
    <n v="270"/>
    <n v="1770"/>
    <n v="1"/>
    <n v="1"/>
    <x v="0"/>
    <x v="0"/>
    <x v="1"/>
    <s v="SAMUEL CHUQUISTA"/>
    <x v="0"/>
    <s v="7012100 MercaderÃ­as-Venta Local-Terceros"/>
    <x v="3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59"/>
  </r>
  <r>
    <x v="1"/>
    <x v="60"/>
    <s v="COLABORATIVA S.A.C."/>
    <x v="2"/>
    <d v="2025-11-03T15:29:42"/>
    <x v="16"/>
    <s v="Cliente"/>
    <n v="1"/>
    <n v="44413438"/>
    <s v="[{'id_producto': 32929, 'codigo_producto': 1924, 'nom_producto': 'BOLETO FULL COLOR CON QR', 'categoria_producto': 'consu', 'cantidad': '1.0', 'valor_unitario': 1140.0, 'precio_unitario': 1345.2, 'descuento': 0.0, 'subtotal': 1140.0, 'porcentaje_de_igv': '18.00', 'igv': 205.2, 'total': 1345.2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29T00:00:00"/>
    <m/>
    <m/>
    <m/>
    <m/>
    <m/>
    <n v="32929"/>
    <x v="0"/>
    <x v="0"/>
    <x v="0"/>
    <n v="1"/>
    <n v="1140"/>
    <n v="1345.2"/>
    <n v="0"/>
    <n v="1140"/>
    <n v="18"/>
    <n v="205.2"/>
    <n v="1345.2"/>
    <n v="1"/>
    <n v="1"/>
    <x v="0"/>
    <x v="0"/>
    <x v="1"/>
    <s v="SAMUEL CHUQUISTA"/>
    <x v="0"/>
    <s v="7012100 MercaderÃ­as-Venta Local-Terceros"/>
    <x v="3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60"/>
  </r>
  <r>
    <x v="1"/>
    <x v="61"/>
    <s v="COLABORATIVA S.A.C."/>
    <x v="2"/>
    <d v="2025-11-03T15:29:22"/>
    <x v="16"/>
    <s v="Cliente"/>
    <n v="1"/>
    <n v="44413438"/>
    <s v="[{'id_producto': 32926, 'codigo_producto': 1786, 'nom_producto': 'COMISION VAOPE SEGUN CONTRATO', 'categoria_producto': 'service', 'cantidad': '1.0', 'valor_unitario': 4465.08, 'precio_unitario': 5268.79, 'descuento': 0.0, 'subtotal': 4465.08, 'porcentaje_de_igv': '18.00', 'igv': 803.71, 'total': 5268.79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26"/>
    <x v="5"/>
    <x v="5"/>
    <x v="1"/>
    <n v="1"/>
    <n v="4465.08"/>
    <n v="5268.79"/>
    <n v="0"/>
    <n v="4465.08"/>
    <n v="18"/>
    <n v="803.71"/>
    <n v="5268.79"/>
    <n v="1"/>
    <n v="1"/>
    <x v="0"/>
    <x v="0"/>
    <x v="1"/>
    <s v="SAMUEL CHUQUISTA"/>
    <x v="1"/>
    <s v="7032101 VENTAS COMISION VAOPE"/>
    <x v="5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61"/>
  </r>
  <r>
    <x v="1"/>
    <x v="62"/>
    <s v="COLABORATIVA S.A.C."/>
    <x v="2"/>
    <d v="2025-11-03T15:29:05"/>
    <x v="16"/>
    <s v="Cliente"/>
    <n v="1"/>
    <n v="44413438"/>
    <s v="[{'id_producto': 32923, 'codigo_producto': 216, 'nom_producto': 'COMISION PAGOS DIGITALES SEGUN CONTRATO', 'categoria_producto': 'service', 'cantidad': '1.0', 'valor_unitario': 3632.8, 'precio_unitario': 4286.7, 'descuento': 0.0, 'subtotal': 3632.8, 'porcentaje_de_igv': '18.00', 'igv': 653.9, 'total': 4286.7, 'moneda': '1', 'tipo_de_cambio': 1.0, 'id_estado': 'paid', 'nombre_estado': 'Pagado', 'evento': {'id_evento': '3074', 'nom_evento': '29Â° Aniversario Rosita de Espinar con Dina Paucar, Cliver y su grupo Corali y mÃ¡s en el Complejo Santa Rosa', 'fecha_hora_ini_event': '25-10-2025', 'fecha_hora_fin_event': '25-10-2025', 'id_organizador': 405, 'nom_organizador': 'HERMOGENES HUAMAN ESPINO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23"/>
    <x v="6"/>
    <x v="6"/>
    <x v="1"/>
    <n v="1"/>
    <n v="3632.8"/>
    <n v="4286.7"/>
    <n v="0"/>
    <n v="3632.8"/>
    <n v="18"/>
    <n v="653.9"/>
    <n v="4286.7"/>
    <n v="1"/>
    <n v="1"/>
    <x v="0"/>
    <x v="0"/>
    <x v="1"/>
    <s v="SAMUEL CHUQUISTA"/>
    <x v="3"/>
    <s v="7032100 Servicios-Local- VISA"/>
    <x v="1"/>
    <x v="22"/>
    <s v="29Â° Aniversario Rosita de Espinar con Dina Paucar, Cliver y su grupo Corali y mÃ¡s en el Complejo Santa Rosa"/>
    <d v="2025-10-25T00:00:00"/>
    <d v="2025-10-25T00:00:00"/>
    <x v="16"/>
    <s v="HERMOGENES HUAMAN ESPINOZA"/>
    <s v="Persona"/>
    <x v="62"/>
  </r>
  <r>
    <x v="0"/>
    <x v="63"/>
    <s v="COLABORATIVA S.A.C."/>
    <x v="2"/>
    <d v="2025-11-03T15:27:24"/>
    <x v="17"/>
    <m/>
    <n v="6"/>
    <n v="20608747843"/>
    <s v="[{'id_producto': 32920, 'codigo_producto': 1786, 'nom_producto': 'COMISION VAOPE SEGUN CONTRATO', 'categoria_producto': 'service', 'cantidad': '1.0', 'valor_unitario': 18.39, 'precio_unitario': 21.7, 'descuento': 0.0, 'subtotal': 18.39, 'porcentaje_de_igv': '18.00', 'igv': 3.31, 'total': 21.7, 'moneda': '1', 'tipo_de_cambio': 1.0, 'id_estado': 'paid', 'nombre_estado': 'Pagado', 'evento': {'id_evento': '3135', 'nom_evento': '25Â° Aniversario de Manolito Simonet y su Trabuco y mÃ¡s en 11:11 Club de Independencia', 'fecha_hora_ini_event': '25-10-2025', 'fecha_hora_fin_event': '25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20"/>
    <x v="5"/>
    <x v="5"/>
    <x v="1"/>
    <n v="1"/>
    <n v="18.39"/>
    <n v="21.7"/>
    <n v="0"/>
    <n v="18.39"/>
    <n v="18"/>
    <n v="3.31"/>
    <n v="21.7"/>
    <n v="1"/>
    <n v="1"/>
    <x v="0"/>
    <x v="0"/>
    <x v="1"/>
    <s v="SAMUEL CHUQUISTA"/>
    <x v="1"/>
    <s v="7032101 VENTAS COMISION VAOPE"/>
    <x v="5"/>
    <x v="23"/>
    <s v="25Â° Aniversario de Manolito Simonet y su Trabuco y mÃ¡s en 11:11 Club de Independencia"/>
    <d v="2025-10-25T00:00:00"/>
    <d v="2025-10-25T00:00:00"/>
    <x v="17"/>
    <s v="CASTILLO PRODUCTIONS SOCIEDAD ANONIMA CERRADA"/>
    <s v="Empresa"/>
    <x v="63"/>
  </r>
  <r>
    <x v="0"/>
    <x v="64"/>
    <s v="COLABORATIVA S.A.C."/>
    <x v="2"/>
    <d v="2025-11-03T15:27:05"/>
    <x v="17"/>
    <m/>
    <n v="6"/>
    <n v="20608747843"/>
    <s v="[{'id_producto': 32917, 'codigo_producto': 216, 'nom_producto': 'COMISION PAGOS DIGITALES SEGUN CONTRATO', 'categoria_producto': 'service', 'cantidad': '1.0', 'valor_unitario': 10.68, 'precio_unitario': 12.6, 'descuento': 0.0, 'subtotal': 10.68, 'porcentaje_de_igv': '18.00', 'igv': 1.92, 'total': 12.6, 'moneda': '1', 'tipo_de_cambio': 1.0, 'id_estado': 'paid', 'nombre_estado': 'Pagado', 'evento': {'id_evento': '3135', 'nom_evento': '25Â° Aniversario de Manolito Simonet y su Trabuco y mÃ¡s en 11:11 Club de Independencia', 'fecha_hora_ini_event': '25-10-2025', 'fecha_hora_fin_event': '25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17"/>
    <x v="6"/>
    <x v="6"/>
    <x v="1"/>
    <n v="1"/>
    <n v="10.68"/>
    <n v="12.6"/>
    <n v="0"/>
    <n v="10.68"/>
    <n v="18"/>
    <n v="1.92"/>
    <n v="12.6"/>
    <n v="1"/>
    <n v="1"/>
    <x v="0"/>
    <x v="0"/>
    <x v="1"/>
    <s v="SAMUEL CHUQUISTA"/>
    <x v="3"/>
    <s v="7032100 Servicios-Local- VISA"/>
    <x v="1"/>
    <x v="23"/>
    <s v="25Â° Aniversario de Manolito Simonet y su Trabuco y mÃ¡s en 11:11 Club de Independencia"/>
    <d v="2025-10-25T00:00:00"/>
    <d v="2025-10-25T00:00:00"/>
    <x v="17"/>
    <s v="CASTILLO PRODUCTIONS SOCIEDAD ANONIMA CERRADA"/>
    <s v="Empresa"/>
    <x v="64"/>
  </r>
  <r>
    <x v="1"/>
    <x v="65"/>
    <s v="COLABORATIVA S.A.C."/>
    <x v="2"/>
    <d v="2025-11-03T15:23:50"/>
    <x v="18"/>
    <m/>
    <n v="1"/>
    <n v="75329338"/>
    <s v="[{'id_producto': 32914, 'codigo_producto': 2276, 'nom_producto': 'PUNTO DE VENTA', 'categoria_producto': 'service', 'cantidad': '1.0', 'valor_unitario': 21.6, 'precio_unitario': 25.49, 'descuento': 0.0, 'subtotal': 21.6, 'porcentaje_de_igv': '18.00', 'igv': 3.89, 'total': 25.49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59, 'nom_cuenta_analitica': '7032102 VENTAS SERVICIOS VAOPE', 'distribucion_analitica': []}]"/>
    <d v="2025-10-29T00:00:00"/>
    <m/>
    <m/>
    <m/>
    <m/>
    <m/>
    <n v="32914"/>
    <x v="9"/>
    <x v="9"/>
    <x v="1"/>
    <n v="1"/>
    <n v="21.6"/>
    <n v="25.49"/>
    <n v="0"/>
    <n v="21.6"/>
    <n v="18"/>
    <n v="3.89"/>
    <n v="25.49"/>
    <n v="1"/>
    <n v="1"/>
    <x v="0"/>
    <x v="0"/>
    <x v="1"/>
    <s v="SAMUEL CHUQUISTA"/>
    <x v="2"/>
    <s v="7032102 VENTAS SERVICIOS VAOPE"/>
    <x v="6"/>
    <x v="24"/>
    <s v="Tributo Oficial a Airbag en Ayacucho"/>
    <d v="2025-10-25T00:00:00"/>
    <d v="2025-10-25T00:00:00"/>
    <x v="18"/>
    <s v=" ALEJANDRA FLORES TICONA"/>
    <s v="Persona"/>
    <x v="65"/>
  </r>
  <r>
    <x v="1"/>
    <x v="66"/>
    <s v="COLABORATIVA S.A.C."/>
    <x v="2"/>
    <d v="2025-11-03T15:23:31"/>
    <x v="18"/>
    <m/>
    <n v="1"/>
    <n v="75329338"/>
    <s v="[{'id_producto': 32911, 'codigo_producto': 1786, 'nom_producto': 'COMISION VAOPE SEGUN CONTRATO', 'categoria_producto': 'service', 'cantidad': '1.0', 'valor_unitario': 5.59, 'precio_unitario': 6.6, 'descuento': 0.0, 'subtotal': 5.59, 'porcentaje_de_igv': '18.00', 'igv': 1.01, 'total': 6.6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11"/>
    <x v="5"/>
    <x v="5"/>
    <x v="1"/>
    <n v="1"/>
    <n v="5.59"/>
    <n v="6.6"/>
    <n v="0"/>
    <n v="5.59"/>
    <n v="18"/>
    <n v="1.01"/>
    <n v="6.6"/>
    <n v="1"/>
    <n v="1"/>
    <x v="0"/>
    <x v="0"/>
    <x v="1"/>
    <s v="SAMUEL CHUQUISTA"/>
    <x v="1"/>
    <s v="7032101 VENTAS COMISION VAOPE"/>
    <x v="5"/>
    <x v="24"/>
    <s v="Tributo Oficial a Airbag en Ayacucho"/>
    <d v="2025-10-25T00:00:00"/>
    <d v="2025-10-25T00:00:00"/>
    <x v="18"/>
    <s v=" ALEJANDRA FLORES TICONA"/>
    <s v="Persona"/>
    <x v="66"/>
  </r>
  <r>
    <x v="1"/>
    <x v="67"/>
    <s v="COLABORATIVA S.A.C."/>
    <x v="2"/>
    <d v="2025-11-03T15:23:07"/>
    <x v="18"/>
    <m/>
    <n v="1"/>
    <n v="75329338"/>
    <s v="[{'id_producto': 32908, 'codigo_producto': 216, 'nom_producto': 'COMISION PAGOS DIGITALES SEGUN CONTRATO', 'categoria_producto': 'service', 'cantidad': '1.0', 'valor_unitario': 24.66, 'precio_unitario': 29.1, 'descuento': 0.0, 'subtotal': 24.66, 'porcentaje_de_igv': '18.00', 'igv': 4.44, 'total': 29.1, 'moneda': '1', 'tipo_de_cambio': 1.0, 'id_estado': 'paid', 'nombre_estado': 'Pagado', 'evento': {'id_evento': '3196', 'nom_evento': 'Tributo Oficial a Airbag en Ayacucho', 'fecha_hora_ini_event': '25-10-2025', 'fecha_hora_fin_event': '25-10-2025', 'id_organizador': 1173, 'nom_organizador': ' ALEJANDRA FLORES TICON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908"/>
    <x v="6"/>
    <x v="6"/>
    <x v="1"/>
    <n v="1"/>
    <n v="24.66"/>
    <n v="29.1"/>
    <n v="0"/>
    <n v="24.66"/>
    <n v="18"/>
    <n v="4.4400000000000004"/>
    <n v="29.1"/>
    <n v="1"/>
    <n v="1"/>
    <x v="0"/>
    <x v="0"/>
    <x v="1"/>
    <s v="SAMUEL CHUQUISTA"/>
    <x v="3"/>
    <s v="7032100 Servicios-Local- VISA"/>
    <x v="1"/>
    <x v="24"/>
    <s v="Tributo Oficial a Airbag en Ayacucho"/>
    <d v="2025-10-25T00:00:00"/>
    <d v="2025-10-25T00:00:00"/>
    <x v="18"/>
    <s v=" ALEJANDRA FLORES TICONA"/>
    <s v="Persona"/>
    <x v="67"/>
  </r>
  <r>
    <x v="1"/>
    <x v="68"/>
    <s v="COLABORATIVA S.A.C."/>
    <x v="2"/>
    <d v="2025-11-03T15:21:01"/>
    <x v="19"/>
    <m/>
    <n v="1"/>
    <n v="72204247"/>
    <s v="[{'id_producto': 32903, 'codigo_producto': 2276, 'nom_producto': 'PUNTO DE VENTA', 'categoria_producto': 'service', 'cantidad': '1.0', 'valor_unitario': 9.5, 'precio_unitario': 11.21, 'descuento': 0.0, 'subtotal': 9.5, 'porcentaje_de_igv': '18.00', 'igv': 1.71, 'total': 11.21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59, 'nom_cuenta_analitica': '7032102 VENTAS SERVICIOS VAOPE', 'distribucion_analitica': []}]"/>
    <d v="2025-10-29T00:00:00"/>
    <m/>
    <m/>
    <m/>
    <m/>
    <m/>
    <n v="32903"/>
    <x v="9"/>
    <x v="9"/>
    <x v="1"/>
    <n v="1"/>
    <n v="9.5"/>
    <n v="11.21"/>
    <n v="0"/>
    <n v="9.5"/>
    <n v="18"/>
    <n v="1.71"/>
    <n v="11.21"/>
    <n v="1"/>
    <n v="1"/>
    <x v="0"/>
    <x v="0"/>
    <x v="1"/>
    <s v="SAMUEL CHUQUISTA"/>
    <x v="2"/>
    <s v="7032102 VENTAS SERVICIOS VAOPE"/>
    <x v="6"/>
    <x v="25"/>
    <s v="Festival New Wave en Cajamarca"/>
    <d v="2025-10-25T00:00:00"/>
    <d v="2025-10-25T00:00:00"/>
    <x v="19"/>
    <s v="ALVARO FRANCO VEGA AMARO"/>
    <s v="Persona"/>
    <x v="68"/>
  </r>
  <r>
    <x v="1"/>
    <x v="69"/>
    <s v="COLABORATIVA S.A.C."/>
    <x v="2"/>
    <d v="2025-11-03T15:20:39"/>
    <x v="19"/>
    <m/>
    <n v="1"/>
    <n v="72204247"/>
    <s v="[{'id_producto': 32900, 'codigo_producto': 1786, 'nom_producto': 'COMISION VAOPE SEGUN CONTRATO', 'categoria_producto': 'service', 'cantidad': '1.0', 'valor_unitario': 9.83, 'precio_unitario': 11.6, 'descuento': 0.0, 'subtotal': 9.83, 'porcentaje_de_igv': '18.00', 'igv': 1.77, 'total': 11.6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900"/>
    <x v="5"/>
    <x v="5"/>
    <x v="1"/>
    <n v="1"/>
    <n v="9.83"/>
    <n v="11.6"/>
    <n v="0"/>
    <n v="9.83"/>
    <n v="18"/>
    <n v="1.77"/>
    <n v="11.6"/>
    <n v="1"/>
    <n v="1"/>
    <x v="0"/>
    <x v="0"/>
    <x v="1"/>
    <s v="SAMUEL CHUQUISTA"/>
    <x v="1"/>
    <s v="7032101 VENTAS COMISION VAOPE"/>
    <x v="5"/>
    <x v="25"/>
    <s v="Festival New Wave en Cajamarca"/>
    <d v="2025-10-25T00:00:00"/>
    <d v="2025-10-25T00:00:00"/>
    <x v="19"/>
    <s v="ALVARO FRANCO VEGA AMARO"/>
    <s v="Persona"/>
    <x v="69"/>
  </r>
  <r>
    <x v="1"/>
    <x v="70"/>
    <s v="COLABORATIVA S.A.C."/>
    <x v="2"/>
    <d v="2025-11-03T15:20:21"/>
    <x v="19"/>
    <m/>
    <n v="1"/>
    <n v="72204247"/>
    <s v="[{'id_producto': 32897, 'codigo_producto': 216, 'nom_producto': 'COMISION PAGOS DIGITALES SEGUN CONTRATO', 'categoria_producto': 'service', 'cantidad': '1.0', 'valor_unitario': 16.96, 'precio_unitario': 20.01, 'descuento': 0.0, 'subtotal': 16.96, 'porcentaje_de_igv': '18.00', 'igv': 3.05, 'total': 20.01, 'moneda': '1', 'tipo_de_cambio': 1.0, 'id_estado': 'paid', 'nombre_estado': 'Pagado', 'evento': {'id_evento': '3211', 'nom_evento': 'Festival New Wave en Cajamarca', 'fecha_hora_ini_event': '25-10-2025', 'fecha_hora_fin_event': '25-10-2025', 'id_organizador': 5490, 'nom_organizador': 'ALVARO FRANCO VEGA AMA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97"/>
    <x v="6"/>
    <x v="6"/>
    <x v="1"/>
    <n v="1"/>
    <n v="16.96"/>
    <n v="20.010000000000002"/>
    <n v="0"/>
    <n v="16.96"/>
    <n v="18"/>
    <n v="3.05"/>
    <n v="20.010000000000002"/>
    <n v="1"/>
    <n v="1"/>
    <x v="0"/>
    <x v="0"/>
    <x v="1"/>
    <s v="SAMUEL CHUQUISTA"/>
    <x v="3"/>
    <s v="7032100 Servicios-Local- VISA"/>
    <x v="1"/>
    <x v="25"/>
    <s v="Festival New Wave en Cajamarca"/>
    <d v="2025-10-25T00:00:00"/>
    <d v="2025-10-25T00:00:00"/>
    <x v="19"/>
    <s v="ALVARO FRANCO VEGA AMARO"/>
    <s v="Persona"/>
    <x v="70"/>
  </r>
  <r>
    <x v="0"/>
    <x v="71"/>
    <s v="COLABORATIVA S.A.C."/>
    <x v="2"/>
    <d v="2025-11-03T15:13:55"/>
    <x v="20"/>
    <m/>
    <n v="6"/>
    <n v="10749956238"/>
    <s v="[{'id_producto': 32891, 'codigo_producto': 2274, 'nom_producto': 'COMISION CORTESIA ', 'categoria_producto': 'consu', 'cantidad': '1.0', 'valor_unitario': 5.0, 'precio_unitario': 5.9, 'descuento': 0.0, 'subtotal': 5.0, 'porcentaje_de_igv': '18.00', 'igv': 0.9, 'total': 5.9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2891"/>
    <x v="2"/>
    <x v="2"/>
    <x v="0"/>
    <n v="1"/>
    <n v="5"/>
    <n v="5.9"/>
    <n v="0"/>
    <n v="5"/>
    <n v="18"/>
    <n v="0.9"/>
    <n v="5.9"/>
    <n v="1"/>
    <n v="1"/>
    <x v="0"/>
    <x v="0"/>
    <x v="1"/>
    <s v="SAMUEL CHUQUISTA"/>
    <x v="1"/>
    <s v="7032101 VENTAS COMISION VAOPE"/>
    <x v="1"/>
    <x v="26"/>
    <s v="Festi Salsa &amp; Cumbia con Yahaira Plasencia y Los Claveles de la Cumbia en Tacna"/>
    <d v="2025-10-25T00:00:00"/>
    <d v="2025-10-25T00:00:00"/>
    <x v="20"/>
    <s v="QUISPE AGUILAR GROBER GLENN"/>
    <s v="Empresa"/>
    <x v="71"/>
  </r>
  <r>
    <x v="0"/>
    <x v="72"/>
    <s v="COLABORATIVA S.A.C."/>
    <x v="2"/>
    <d v="2025-11-03T15:13:36"/>
    <x v="20"/>
    <m/>
    <n v="6"/>
    <n v="10749956238"/>
    <s v="[{'id_producto': 32888, 'codigo_producto': 1786, 'nom_producto': 'COMISION VAOPE SEGUN CONTRATO', 'categoria_producto': 'service', 'cantidad': '1.0', 'valor_unitario': 106.95, 'precio_unitario': 126.2, 'descuento': 0.0, 'subtotal': 106.95, 'porcentaje_de_igv': '18.00', 'igv': 19.25, 'total': 126.2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888"/>
    <x v="5"/>
    <x v="5"/>
    <x v="1"/>
    <n v="1"/>
    <n v="106.95"/>
    <n v="126.2"/>
    <n v="0"/>
    <n v="106.95"/>
    <n v="18"/>
    <n v="19.25"/>
    <n v="126.2"/>
    <n v="1"/>
    <n v="1"/>
    <x v="0"/>
    <x v="0"/>
    <x v="1"/>
    <s v="SAMUEL CHUQUISTA"/>
    <x v="1"/>
    <s v="7032101 VENTAS COMISION VAOPE"/>
    <x v="5"/>
    <x v="26"/>
    <s v="Festi Salsa &amp; Cumbia con Yahaira Plasencia y Los Claveles de la Cumbia en Tacna"/>
    <d v="2025-10-25T00:00:00"/>
    <d v="2025-10-25T00:00:00"/>
    <x v="20"/>
    <s v="QUISPE AGUILAR GROBER GLENN"/>
    <s v="Empresa"/>
    <x v="72"/>
  </r>
  <r>
    <x v="0"/>
    <x v="73"/>
    <s v="COLABORATIVA S.A.C."/>
    <x v="2"/>
    <d v="2025-11-03T15:13:13"/>
    <x v="20"/>
    <m/>
    <n v="6"/>
    <n v="10749956238"/>
    <s v="[{'id_producto': 32885, 'codigo_producto': 216, 'nom_producto': 'COMISION PAGOS DIGITALES SEGUN CONTRATO', 'categoria_producto': 'service', 'cantidad': '1.0', 'valor_unitario': 87.97, 'precio_unitario': 103.8, 'descuento': 0.0, 'subtotal': 87.97, 'porcentaje_de_igv': '18.00', 'igv': 15.83, 'total': 103.8, 'moneda': '1', 'tipo_de_cambio': 1.0, 'id_estado': 'paid', 'nombre_estado': 'Pagado', 'evento': {'id_evento': '3280', 'nom_evento': 'Festi Salsa &amp; Cumbia con Yahaira Plasencia y Los Claveles de la Cumbia en Tacna', 'fecha_hora_ini_event': '25-10-2025', 'fecha_hora_fin_event': '25-10-2025', 'id_organizador': 6601, 'nom_organizador': 'QUISPE AGUILAR GROBER GLENN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85"/>
    <x v="6"/>
    <x v="6"/>
    <x v="1"/>
    <n v="1"/>
    <n v="87.97"/>
    <n v="103.8"/>
    <n v="0"/>
    <n v="87.97"/>
    <n v="18"/>
    <n v="15.83"/>
    <n v="103.8"/>
    <n v="1"/>
    <n v="1"/>
    <x v="0"/>
    <x v="0"/>
    <x v="1"/>
    <s v="SAMUEL CHUQUISTA"/>
    <x v="3"/>
    <s v="7032100 Servicios-Local- VISA"/>
    <x v="1"/>
    <x v="26"/>
    <s v="Festi Salsa &amp; Cumbia con Yahaira Plasencia y Los Claveles de la Cumbia en Tacna"/>
    <d v="2025-10-25T00:00:00"/>
    <d v="2025-10-25T00:00:00"/>
    <x v="20"/>
    <s v="QUISPE AGUILAR GROBER GLENN"/>
    <s v="Empresa"/>
    <x v="73"/>
  </r>
  <r>
    <x v="0"/>
    <x v="74"/>
    <s v="COLABORATIVA S.A.C."/>
    <x v="2"/>
    <d v="2025-11-03T15:10:03"/>
    <x v="14"/>
    <m/>
    <n v="6"/>
    <n v="20604257621"/>
    <s v="[{'id_producto': 32882, 'codigo_producto': 1786, 'nom_producto': 'COMISION VAOPE SEGUN CONTRATO', 'categoria_producto': 'service', 'cantidad': '1.0', 'valor_unitario': 2.69, 'precio_unitario': 3.17, 'descuento': 0.0, 'subtotal': 2.69, 'porcentaje_de_igv': '18.00', 'igv': 0.48, 'total': 3.17, 'moneda': '1', 'tipo_de_cambio': 1.0, 'id_estado': 'paid', 'nombre_estado': 'Pagado', 'evento': {'id_evento': '3302', 'nom_evento': 'Rumba Nigth con Azucena Calvay, La primerisima y mÃ¡s en Blue Fiesta Total de Independencia', 'fecha_hora_ini_event': '25-10-2025', 'fecha_hora_fin_event': '25-10-2025', 'id_organizador': 5473, 'nom_organizador': 'PROMOTORA DE ESPECTACULOS A&amp;G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882"/>
    <x v="5"/>
    <x v="5"/>
    <x v="1"/>
    <n v="1"/>
    <n v="2.69"/>
    <n v="3.17"/>
    <n v="0"/>
    <n v="2.69"/>
    <n v="18"/>
    <n v="0.48"/>
    <n v="3.17"/>
    <n v="1"/>
    <n v="1"/>
    <x v="0"/>
    <x v="0"/>
    <x v="1"/>
    <s v="SAMUEL CHUQUISTA"/>
    <x v="1"/>
    <s v="7032101 VENTAS COMISION VAOPE"/>
    <x v="5"/>
    <x v="27"/>
    <s v="Rumba Nigth con Azucena Calvay, La primerisima y mÃ¡s en Blue Fiesta Total de Independencia"/>
    <d v="2025-10-25T00:00:00"/>
    <d v="2025-10-25T00:00:00"/>
    <x v="14"/>
    <s v="PROMOTORA DE ESPECTACULOS A&amp;G S.A.C."/>
    <s v="Empresa"/>
    <x v="74"/>
  </r>
  <r>
    <x v="0"/>
    <x v="75"/>
    <s v="COLABORATIVA S.A.C."/>
    <x v="2"/>
    <d v="2025-11-03T15:09:42"/>
    <x v="14"/>
    <m/>
    <n v="6"/>
    <n v="20604257621"/>
    <s v="[{'id_producto': 32879, 'codigo_producto': 216, 'nom_producto': 'COMISION PAGOS DIGITALES SEGUN CONTRATO', 'categoria_producto': 'service', 'cantidad': '1.0', 'valor_unitario': 2.0, 'precio_unitario': 2.36, 'descuento': 0.0, 'subtotal': 2.0, 'porcentaje_de_igv': '18.00', 'igv': 0.36, 'total': 2.36, 'moneda': '1', 'tipo_de_cambio': 1.0, 'id_estado': 'paid', 'nombre_estado': 'Pagado', 'evento': {'id_evento': '3302', 'nom_evento': 'Rumba Nigth con Azucena Calvay, La primerisima y mÃ¡s en Blue Fiesta Total de Independencia', 'fecha_hora_ini_event': '25-10-2025', 'fecha_hora_fin_event': '25-10-2025', 'id_organizador': 5473, 'nom_organizador': 'PROMOTORA DE ESPECTACULOS A&amp;G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79"/>
    <x v="6"/>
    <x v="6"/>
    <x v="1"/>
    <n v="1"/>
    <n v="2"/>
    <n v="2.36"/>
    <n v="0"/>
    <n v="2"/>
    <n v="18"/>
    <n v="0.36"/>
    <n v="2.36"/>
    <n v="1"/>
    <n v="1"/>
    <x v="0"/>
    <x v="0"/>
    <x v="1"/>
    <s v="SAMUEL CHUQUISTA"/>
    <x v="3"/>
    <s v="7032100 Servicios-Local- VISA"/>
    <x v="1"/>
    <x v="27"/>
    <s v="Rumba Nigth con Azucena Calvay, La primerisima y mÃ¡s en Blue Fiesta Total de Independencia"/>
    <d v="2025-10-25T00:00:00"/>
    <d v="2025-10-25T00:00:00"/>
    <x v="14"/>
    <s v="PROMOTORA DE ESPECTACULOS A&amp;G S.A.C."/>
    <s v="Empresa"/>
    <x v="75"/>
  </r>
  <r>
    <x v="0"/>
    <x v="76"/>
    <s v="COLABORATIVA S.A.C."/>
    <x v="2"/>
    <d v="2025-11-03T15:07:37"/>
    <x v="21"/>
    <s v="Cliente"/>
    <n v="6"/>
    <n v="20296011356"/>
    <s v="[{'id_producto': 32876, 'codigo_producto': 2274, 'nom_producto': 'COMISION CORTESIA ', 'categoria_producto': 'consu', 'cantidad': '1.0', 'valor_unitario': 10.0, 'precio_unitario': 11.8, 'descuento': 0.0, 'subtotal': 10.0, 'porcentaje_de_igv': '18.00', 'igv': 1.8, 'total': 11.8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2876"/>
    <x v="2"/>
    <x v="2"/>
    <x v="0"/>
    <n v="1"/>
    <n v="10"/>
    <n v="11.8"/>
    <n v="0"/>
    <n v="10"/>
    <n v="18"/>
    <n v="1.8"/>
    <n v="11.8"/>
    <n v="1"/>
    <n v="1"/>
    <x v="0"/>
    <x v="0"/>
    <x v="1"/>
    <s v="SAMUEL CHUQUISTA"/>
    <x v="1"/>
    <s v="7032101 VENTAS COMISION VAOPE"/>
    <x v="1"/>
    <x v="28"/>
    <s v="Reapertura Temporada 2025-2026 con La PrimerÃ­sima, Deyvis Orosco y Brunella Torpoco en El Remanso de Comas"/>
    <d v="2025-10-26T00:00:00"/>
    <d v="2025-10-26T00:00:00"/>
    <x v="21"/>
    <s v="COMPLEJO TURÃSTICO EL REMANSO SAC"/>
    <s v="Empresa"/>
    <x v="76"/>
  </r>
  <r>
    <x v="0"/>
    <x v="77"/>
    <s v="COLABORATIVA S.A.C."/>
    <x v="2"/>
    <d v="2025-11-03T15:07:12"/>
    <x v="21"/>
    <s v="Cliente"/>
    <n v="6"/>
    <n v="20296011356"/>
    <s v="[{'id_producto': 32873, 'codigo_producto': 2314, 'nom_producto': 'SERV VALIDADORES', 'categoria_producto': 'service', 'cantidad': '1.0', 'valor_unitario': 450.0, 'precio_unitario': 531.0, 'descuento': 0.0, 'subtotal': 450.0, 'porcentaje_de_igv': '18.00', 'igv': 81.0, 'total': 531.0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29T00:00:00"/>
    <m/>
    <m/>
    <m/>
    <m/>
    <m/>
    <n v="32873"/>
    <x v="10"/>
    <x v="10"/>
    <x v="1"/>
    <n v="1"/>
    <n v="450"/>
    <n v="531"/>
    <n v="0"/>
    <n v="450"/>
    <n v="18"/>
    <n v="81"/>
    <n v="531"/>
    <n v="1"/>
    <n v="1"/>
    <x v="0"/>
    <x v="0"/>
    <x v="1"/>
    <s v="SAMUEL CHUQUISTA"/>
    <x v="2"/>
    <s v="7032102 VENTAS SERVICIOS VAOPE"/>
    <x v="5"/>
    <x v="28"/>
    <s v="Reapertura Temporada 2025-2026 con La PrimerÃ­sima, Deyvis Orosco y Brunella Torpoco en El Remanso de Comas"/>
    <d v="2025-10-26T00:00:00"/>
    <d v="2025-10-26T00:00:00"/>
    <x v="21"/>
    <s v="COMPLEJO TURÃSTICO EL REMANSO SAC"/>
    <s v="Empresa"/>
    <x v="77"/>
  </r>
  <r>
    <x v="0"/>
    <x v="78"/>
    <s v="COLABORATIVA S.A.C."/>
    <x v="2"/>
    <d v="2025-11-03T15:06:49"/>
    <x v="21"/>
    <s v="Cliente"/>
    <n v="6"/>
    <n v="20296011356"/>
    <s v="[{'id_producto': 32870, 'codigo_producto': 1786, 'nom_producto': 'COMISION VAOPE SEGUN CONTRATO', 'categoria_producto': 'service', 'cantidad': '1.0', 'valor_unitario': 761.36, 'precio_unitario': 898.4, 'descuento': 0.0, 'subtotal': 761.36, 'porcentaje_de_igv': '18.00', 'igv': 137.04, 'total': 898.4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870"/>
    <x v="5"/>
    <x v="5"/>
    <x v="1"/>
    <n v="1"/>
    <n v="761.36"/>
    <n v="898.4"/>
    <n v="0"/>
    <n v="761.36"/>
    <n v="18"/>
    <n v="137.04"/>
    <n v="898.4"/>
    <n v="1"/>
    <n v="1"/>
    <x v="0"/>
    <x v="0"/>
    <x v="1"/>
    <s v="SAMUEL CHUQUISTA"/>
    <x v="1"/>
    <s v="7032101 VENTAS COMISION VAOPE"/>
    <x v="5"/>
    <x v="28"/>
    <s v="Reapertura Temporada 2025-2026 con La PrimerÃ­sima, Deyvis Orosco y Brunella Torpoco en El Remanso de Comas"/>
    <d v="2025-10-26T00:00:00"/>
    <d v="2025-10-26T00:00:00"/>
    <x v="21"/>
    <s v="COMPLEJO TURÃSTICO EL REMANSO SAC"/>
    <s v="Empresa"/>
    <x v="78"/>
  </r>
  <r>
    <x v="0"/>
    <x v="79"/>
    <s v="COLABORATIVA S.A.C."/>
    <x v="2"/>
    <d v="2025-11-03T15:06:30"/>
    <x v="21"/>
    <s v="Cliente"/>
    <n v="6"/>
    <n v="20296011356"/>
    <s v="[{'id_producto': 32867, 'codigo_producto': 216, 'nom_producto': 'COMISION PAGOS DIGITALES SEGUN CONTRATO', 'categoria_producto': 'service', 'cantidad': '1.0', 'valor_unitario': 368.81, 'precio_unitario': 435.2, 'descuento': 0.0, 'subtotal': 368.81, 'porcentaje_de_igv': '18.00', 'igv': 66.39, 'total': 435.2, 'moneda': '1', 'tipo_de_cambio': 1.0, 'id_estado': 'paid', 'nombre_estado': 'Pagado', 'evento': {'id_evento': '3277', 'nom_evento': 'Reapertura Temporada 2025-2026 con La PrimerÃ­sima, Deyvis Orosco y Brunella Torpoco en El Remanso de Comas', 'fecha_hora_ini_event': '26-10-2025', 'fecha_hora_fin_event': '26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67"/>
    <x v="6"/>
    <x v="6"/>
    <x v="1"/>
    <n v="1"/>
    <n v="368.81"/>
    <n v="435.2"/>
    <n v="0"/>
    <n v="368.81"/>
    <n v="18"/>
    <n v="66.39"/>
    <n v="435.2"/>
    <n v="1"/>
    <n v="1"/>
    <x v="0"/>
    <x v="0"/>
    <x v="1"/>
    <s v="SAMUEL CHUQUISTA"/>
    <x v="3"/>
    <s v="7032100 Servicios-Local- VISA"/>
    <x v="1"/>
    <x v="28"/>
    <s v="Reapertura Temporada 2025-2026 con La PrimerÃ­sima, Deyvis Orosco y Brunella Torpoco en El Remanso de Comas"/>
    <d v="2025-10-26T00:00:00"/>
    <d v="2025-10-26T00:00:00"/>
    <x v="21"/>
    <s v="COMPLEJO TURÃSTICO EL REMANSO SAC"/>
    <s v="Empresa"/>
    <x v="79"/>
  </r>
  <r>
    <x v="0"/>
    <x v="80"/>
    <s v="COLABORATIVA S.A.C."/>
    <x v="2"/>
    <d v="2025-11-03T15:04:21"/>
    <x v="0"/>
    <m/>
    <n v="6"/>
    <n v="20611018925"/>
    <s v="[{'id_producto': 32864, 'codigo_producto': 2276, 'nom_producto': 'PUNTO DE VENTA', 'categoria_producto': 'service', 'cantidad': '1.0', 'valor_unitario': 80.0, 'precio_unitario': 94.4, 'descuento': 0.0, 'subtotal': 80.0, 'porcentaje_de_igv': '18.00', 'igv': 14.4, 'total': 94.4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"/>
    <d v="2025-10-29T00:00:00"/>
    <m/>
    <m/>
    <m/>
    <m/>
    <m/>
    <n v="32864"/>
    <x v="9"/>
    <x v="9"/>
    <x v="1"/>
    <n v="1"/>
    <n v="80"/>
    <n v="94.4"/>
    <n v="0"/>
    <n v="80"/>
    <n v="18"/>
    <n v="14.4"/>
    <n v="94.4"/>
    <n v="1"/>
    <n v="1"/>
    <x v="0"/>
    <x v="0"/>
    <x v="1"/>
    <s v="SAMUEL CHUQUISTA"/>
    <x v="2"/>
    <s v="7032102 VENTAS SERVICIOS VAOPE"/>
    <x v="6"/>
    <x v="29"/>
    <s v="CorazÃ³n Serrano en Casablanqueada Tumbes"/>
    <d v="2025-10-26T00:00:00"/>
    <d v="2025-10-26T00:00:00"/>
    <x v="0"/>
    <s v="G &amp; N MUSIC S.A.C."/>
    <s v="Empresa"/>
    <x v="80"/>
  </r>
  <r>
    <x v="0"/>
    <x v="81"/>
    <s v="COLABORATIVA S.A.C."/>
    <x v="2"/>
    <d v="2025-11-03T15:04:02"/>
    <x v="0"/>
    <m/>
    <n v="6"/>
    <n v="20611018925"/>
    <s v="[{'id_producto': 32861, 'codigo_producto': 1786, 'nom_producto': 'COMISION VAOPE SEGUN CONTRATO', 'categoria_producto': 'service', 'cantidad': '1.0', 'valor_unitario': 543.86, 'precio_unitario': 641.75, 'descuento': 0.0, 'subtotal': 543.86, 'porcentaje_de_igv': '18.00', 'igv': 97.89, 'total': 641.75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861"/>
    <x v="5"/>
    <x v="5"/>
    <x v="1"/>
    <n v="1"/>
    <n v="543.86"/>
    <n v="641.75"/>
    <n v="0"/>
    <n v="543.86"/>
    <n v="18"/>
    <n v="97.89"/>
    <n v="641.75"/>
    <n v="1"/>
    <n v="1"/>
    <x v="0"/>
    <x v="0"/>
    <x v="1"/>
    <s v="SAMUEL CHUQUISTA"/>
    <x v="1"/>
    <s v="7032101 VENTAS COMISION VAOPE"/>
    <x v="5"/>
    <x v="29"/>
    <s v="CorazÃ³n Serrano en Casablanqueada Tumbes"/>
    <d v="2025-10-26T00:00:00"/>
    <d v="2025-10-26T00:00:00"/>
    <x v="0"/>
    <s v="G &amp; N MUSIC S.A.C."/>
    <s v="Empresa"/>
    <x v="81"/>
  </r>
  <r>
    <x v="0"/>
    <x v="82"/>
    <s v="COLABORATIVA S.A.C."/>
    <x v="2"/>
    <d v="2025-11-03T15:03:45"/>
    <x v="0"/>
    <m/>
    <n v="6"/>
    <n v="20611018925"/>
    <s v="[{'id_producto': 32858, 'codigo_producto': 216, 'nom_producto': 'COMISION PAGOS DIGITALES SEGUN CONTRATO', 'categoria_producto': 'service', 'cantidad': '1.0', 'valor_unitario': 408.15, 'precio_unitario': 481.62, 'descuento': 0.0, 'subtotal': 408.15, 'porcentaje_de_igv': '18.00', 'igv': 73.47, 'total': 481.62, 'moneda': '1', 'tipo_de_cambio': 1.0, 'id_estado': 'paid', 'nombre_estado': 'Pagado', 'evento': {'id_evento': '3278', 'nom_evento': 'CorazÃ³n Serrano en Casablanqueada Tumbes', 'fecha_hora_ini_event': '26-10-2025', 'fecha_hora_fin_event': '26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58"/>
    <x v="6"/>
    <x v="6"/>
    <x v="1"/>
    <n v="1"/>
    <n v="408.15"/>
    <n v="481.62"/>
    <n v="0"/>
    <n v="408.15"/>
    <n v="18"/>
    <n v="73.47"/>
    <n v="481.62"/>
    <n v="1"/>
    <n v="1"/>
    <x v="0"/>
    <x v="0"/>
    <x v="1"/>
    <s v="SAMUEL CHUQUISTA"/>
    <x v="3"/>
    <s v="7032100 Servicios-Local- VISA"/>
    <x v="1"/>
    <x v="29"/>
    <s v="CorazÃ³n Serrano en Casablanqueada Tumbes"/>
    <d v="2025-10-26T00:00:00"/>
    <d v="2025-10-26T00:00:00"/>
    <x v="0"/>
    <s v="G &amp; N MUSIC S.A.C."/>
    <s v="Empresa"/>
    <x v="82"/>
  </r>
  <r>
    <x v="0"/>
    <x v="83"/>
    <s v="COLABORATIVA S.A.C."/>
    <x v="2"/>
    <d v="2025-11-03T15:00:29"/>
    <x v="22"/>
    <s v="Cliente"/>
    <n v="6"/>
    <n v="20168142375"/>
    <s v="[{'id_producto': 32855, 'codigo_producto': 2274, 'nom_producto': 'COMISION CORTESIA ', 'categoria_producto': 'consu', 'cantidad': '1.0', 'valor_unitario': 105.0, 'precio_unitario': 123.9, 'descuento': 0.0, 'subtotal': 105.0, 'porcentaje_de_igv': '18.00', 'igv': 18.9, 'total': 123.9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9T00:00:00"/>
    <m/>
    <m/>
    <m/>
    <m/>
    <m/>
    <n v="32855"/>
    <x v="2"/>
    <x v="2"/>
    <x v="0"/>
    <n v="1"/>
    <n v="105"/>
    <n v="123.9"/>
    <n v="0"/>
    <n v="105"/>
    <n v="18"/>
    <n v="18.899999999999999"/>
    <n v="123.9"/>
    <n v="1"/>
    <n v="1"/>
    <x v="0"/>
    <x v="0"/>
    <x v="1"/>
    <s v="SAMUEL CHUQUISTA"/>
    <x v="1"/>
    <s v="7032101 VENTAS COMISION VAOPE"/>
    <x v="1"/>
    <x v="30"/>
    <s v="AtlÃ©tico Grau vs UTC Cajamarca"/>
    <d v="2025-10-19T00:00:00"/>
    <d v="2025-10-19T00:00:00"/>
    <x v="22"/>
    <s v="Club AtlÃ©tico Grau"/>
    <s v="Empresa"/>
    <x v="83"/>
  </r>
  <r>
    <x v="0"/>
    <x v="84"/>
    <s v="COLABORATIVA S.A.C."/>
    <x v="2"/>
    <d v="2025-11-03T15:00:04"/>
    <x v="22"/>
    <s v="Cliente"/>
    <n v="6"/>
    <n v="20168142375"/>
    <s v="[{'id_producto': 32852, 'codigo_producto': 2261, 'nom_producto': 'VOUCHER DIGITAL CON QR', 'categoria_producto': 'consu', 'cantidad': '1.0', 'valor_unitario': 20.0, 'precio_unitario': 23.6, 'descuento': 0.0, 'subtotal': 20.0, 'porcentaje_de_igv': '18.00', 'igv': 3.6, 'total': 23.6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29T00:00:00"/>
    <m/>
    <m/>
    <m/>
    <m/>
    <m/>
    <n v="32852"/>
    <x v="11"/>
    <x v="11"/>
    <x v="0"/>
    <n v="1"/>
    <n v="20"/>
    <n v="23.6"/>
    <n v="0"/>
    <n v="20"/>
    <n v="18"/>
    <n v="3.6"/>
    <n v="23.6"/>
    <n v="1"/>
    <n v="1"/>
    <x v="0"/>
    <x v="0"/>
    <x v="1"/>
    <s v="SAMUEL CHUQUISTA"/>
    <x v="0"/>
    <s v="7012100 MercaderÃ­as-Venta Local-Terceros"/>
    <x v="3"/>
    <x v="30"/>
    <s v="AtlÃ©tico Grau vs UTC Cajamarca"/>
    <d v="2025-10-19T00:00:00"/>
    <d v="2025-10-19T00:00:00"/>
    <x v="22"/>
    <s v="Club AtlÃ©tico Grau"/>
    <s v="Empresa"/>
    <x v="84"/>
  </r>
  <r>
    <x v="0"/>
    <x v="85"/>
    <s v="COLABORATIVA S.A.C."/>
    <x v="2"/>
    <d v="2025-11-03T14:59:36"/>
    <x v="22"/>
    <s v="Cliente"/>
    <n v="6"/>
    <n v="20168142375"/>
    <s v="[{'id_producto': 32849, 'codigo_producto': 1786, 'nom_producto': 'COMISION VAOPE SEGUN CONTRATO', 'categoria_producto': 'service', 'cantidad': '1.0', 'valor_unitario': 56.59, 'precio_unitario': 66.78, 'descuento': 0.0, 'subtotal': 56.59, 'porcentaje_de_igv': '18.00', 'igv': 10.19, 'total': 66.78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9T00:00:00"/>
    <m/>
    <m/>
    <m/>
    <m/>
    <m/>
    <n v="32849"/>
    <x v="5"/>
    <x v="5"/>
    <x v="1"/>
    <n v="1"/>
    <n v="56.59"/>
    <n v="66.78"/>
    <n v="0"/>
    <n v="56.59"/>
    <n v="18"/>
    <n v="10.19"/>
    <n v="66.78"/>
    <n v="1"/>
    <n v="1"/>
    <x v="0"/>
    <x v="0"/>
    <x v="1"/>
    <s v="SAMUEL CHUQUISTA"/>
    <x v="1"/>
    <s v="7032101 VENTAS COMISION VAOPE"/>
    <x v="5"/>
    <x v="30"/>
    <s v="AtlÃ©tico Grau vs UTC Cajamarca"/>
    <d v="2025-10-19T00:00:00"/>
    <d v="2025-10-19T00:00:00"/>
    <x v="22"/>
    <s v="Club AtlÃ©tico Grau"/>
    <s v="Empresa"/>
    <x v="85"/>
  </r>
  <r>
    <x v="0"/>
    <x v="86"/>
    <s v="COLABORATIVA S.A.C."/>
    <x v="2"/>
    <d v="2025-11-03T14:59:15"/>
    <x v="22"/>
    <s v="Cliente"/>
    <n v="6"/>
    <n v="20168142375"/>
    <s v="[{'id_producto': 32846, 'codigo_producto': 216, 'nom_producto': 'COMISION PAGOS DIGITALES SEGUN CONTRATO', 'categoria_producto': 'service', 'cantidad': '1.0', 'valor_unitario': 42.0, 'precio_unitario': 49.56, 'descuento': 0.0, 'subtotal': 42.0, 'porcentaje_de_igv': '18.00', 'igv': 7.56, 'total': 49.56, 'moneda': '1', 'tipo_de_cambio': 1.0, 'id_estado': 'paid', 'nombre_estado': 'Pagado', 'evento': {'id_evento': '3264', 'nom_evento': 'AtlÃ©tico Grau vs UTC Cajamarca', 'fecha_hora_ini_event': '19-10-2025', 'fecha_hora_fin_event': '19-10-2025', 'id_organizador': 388, 'nom_organizador': 'Club AtlÃ©tico Grau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9T00:00:00"/>
    <m/>
    <m/>
    <m/>
    <m/>
    <m/>
    <n v="32846"/>
    <x v="6"/>
    <x v="6"/>
    <x v="1"/>
    <n v="1"/>
    <n v="42"/>
    <n v="49.56"/>
    <n v="0"/>
    <n v="42"/>
    <n v="18"/>
    <n v="7.56"/>
    <n v="49.56"/>
    <n v="1"/>
    <n v="1"/>
    <x v="0"/>
    <x v="0"/>
    <x v="1"/>
    <s v="SAMUEL CHUQUISTA"/>
    <x v="3"/>
    <s v="7032100 Servicios-Local- VISA"/>
    <x v="1"/>
    <x v="30"/>
    <s v="AtlÃ©tico Grau vs UTC Cajamarca"/>
    <d v="2025-10-19T00:00:00"/>
    <d v="2025-10-19T00:00:00"/>
    <x v="22"/>
    <s v="Club AtlÃ©tico Grau"/>
    <s v="Empresa"/>
    <x v="86"/>
  </r>
  <r>
    <x v="0"/>
    <x v="87"/>
    <s v="COLABORATIVA S.A.C."/>
    <x v="3"/>
    <d v="2025-11-03T17:00:00"/>
    <x v="23"/>
    <m/>
    <n v="6"/>
    <n v="20604570451"/>
    <s v="[{'id_producto': 32826, 'codigo_producto': 2342, 'nom_producto': 'SERVICIO DE DISENO 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, {'id_producto': 3282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]"/>
    <d v="2025-10-28T00:00:00"/>
    <m/>
    <m/>
    <m/>
    <m/>
    <m/>
    <n v="32826"/>
    <x v="12"/>
    <x v="12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7"/>
    <x v="31"/>
    <s v="114Â° Aniversario de Sullana con Son del Duke en Flamingoh Club"/>
    <d v="2025-11-04T00:00:00"/>
    <d v="2025-11-04T00:00:00"/>
    <x v="23"/>
    <s v="PROMOTORA Y SONIDO MUSICAL WC E.I.R.L."/>
    <s v="Empresa"/>
    <x v="87"/>
  </r>
  <r>
    <x v="0"/>
    <x v="87"/>
    <s v="COLABORATIVA S.A.C."/>
    <x v="3"/>
    <d v="2025-11-03T17:00:00"/>
    <x v="23"/>
    <m/>
    <n v="6"/>
    <n v="20604570451"/>
    <s v="[{'id_producto': 32826, 'codigo_producto': 2342, 'nom_producto': 'SERVICIO DE DISENO 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, {'id_producto': 3282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]"/>
    <d v="2025-10-28T00:00:00"/>
    <m/>
    <m/>
    <m/>
    <m/>
    <m/>
    <n v="32827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7"/>
    <x v="31"/>
    <s v="114Â° Aniversario de Sullana con Son del Duke en Flamingoh Club"/>
    <d v="2025-11-04T00:00:00"/>
    <d v="2025-11-04T00:00:00"/>
    <x v="23"/>
    <s v="PROMOTORA Y SONIDO MUSICAL WC E.I.R.L."/>
    <s v="Empresa"/>
    <x v="87"/>
  </r>
  <r>
    <x v="0"/>
    <x v="88"/>
    <s v="COLABORATIVA S.A.C."/>
    <x v="3"/>
    <d v="2025-11-03T17:00:00"/>
    <x v="23"/>
    <m/>
    <n v="6"/>
    <n v="20604570451"/>
    <s v="[{'id_producto': 32822, 'codigo_producto': 1924, 'nom_producto': 'BOLETO FULL COLOR CON QR', 'categoria_producto': 'consu', 'cantidad': '2000.0', 'valor_unitario': 0.4, 'precio_unitario': 0.47, 'descuento': 0.0, 'subtotal': 800.0, 'porcentaje_de_igv': '18.00', 'igv': 144.0, 'total': 94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823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8T00:00:00"/>
    <m/>
    <m/>
    <m/>
    <m/>
    <m/>
    <n v="32822"/>
    <x v="0"/>
    <x v="0"/>
    <x v="0"/>
    <n v="2000"/>
    <n v="0.4"/>
    <n v="0.47"/>
    <n v="0"/>
    <n v="800"/>
    <n v="18"/>
    <n v="144"/>
    <n v="944"/>
    <n v="1"/>
    <n v="1"/>
    <x v="0"/>
    <x v="0"/>
    <x v="0"/>
    <s v="JENNY MANCO"/>
    <x v="0"/>
    <s v="7012100 MercaderÃ­as-Venta Local-Terceros"/>
    <x v="0"/>
    <x v="31"/>
    <s v="114Â° Aniversario de Sullana con Son del Duke en Flamingoh Club"/>
    <d v="2025-11-04T00:00:00"/>
    <d v="2025-11-04T00:00:00"/>
    <x v="23"/>
    <s v="PROMOTORA Y SONIDO MUSICAL WC E.I.R.L."/>
    <s v="Empresa"/>
    <x v="88"/>
  </r>
  <r>
    <x v="0"/>
    <x v="88"/>
    <s v="COLABORATIVA S.A.C."/>
    <x v="3"/>
    <d v="2025-11-03T17:00:00"/>
    <x v="23"/>
    <m/>
    <n v="6"/>
    <n v="20604570451"/>
    <s v="[{'id_producto': 32822, 'codigo_producto': 1924, 'nom_producto': 'BOLETO FULL COLOR CON QR', 'categoria_producto': 'consu', 'cantidad': '2000.0', 'valor_unitario': 0.4, 'precio_unitario': 0.47, 'descuento': 0.0, 'subtotal': 800.0, 'porcentaje_de_igv': '18.00', 'igv': 144.0, 'total': 94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823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306', 'nom_evento': '114Â° Aniversario de Sullana con Son del Duke en Flamingoh Club', 'fecha_hora_ini_event': '04-11-2025', 'fecha_hora_fin_event': '04-11-2025', 'id_organizador': 1127, 'nom_organizador': 'PROMOTORA Y SONIDO MUSICAL WC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8T00:00:00"/>
    <m/>
    <m/>
    <m/>
    <m/>
    <m/>
    <n v="32823"/>
    <x v="1"/>
    <x v="1"/>
    <x v="0"/>
    <n v="500"/>
    <n v="0.6"/>
    <n v="0.71"/>
    <n v="0"/>
    <n v="300"/>
    <n v="18"/>
    <n v="54"/>
    <n v="354"/>
    <n v="1"/>
    <n v="1"/>
    <x v="0"/>
    <x v="0"/>
    <x v="0"/>
    <s v="JENNY MANCO"/>
    <x v="0"/>
    <s v="7012100 MercaderÃ­as-Venta Local-Terceros"/>
    <x v="0"/>
    <x v="31"/>
    <s v="114Â° Aniversario de Sullana con Son del Duke en Flamingoh Club"/>
    <d v="2025-11-04T00:00:00"/>
    <d v="2025-11-04T00:00:00"/>
    <x v="23"/>
    <s v="PROMOTORA Y SONIDO MUSICAL WC E.I.R.L."/>
    <s v="Empresa"/>
    <x v="88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2"/>
    <x v="14"/>
    <x v="14"/>
    <x v="0"/>
    <n v="4500"/>
    <n v="0.9"/>
    <n v="1.06"/>
    <n v="0"/>
    <n v="4050"/>
    <n v="18"/>
    <n v="729"/>
    <n v="4779"/>
    <n v="1"/>
    <n v="1"/>
    <x v="0"/>
    <x v="0"/>
    <x v="1"/>
    <s v="SAMUEL CHUQUISTA"/>
    <x v="0"/>
    <s v="7012100 MercaderÃ­as-Venta Local-Terceros"/>
    <x v="0"/>
    <x v="32"/>
    <m/>
    <m/>
    <m/>
    <x v="24"/>
    <s v="LA ESPERANZA CASA DE PRESTAMOS Y EMPEÃ‘OS E.I.R.L."/>
    <s v="Empresa"/>
    <x v="89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3"/>
    <x v="14"/>
    <x v="14"/>
    <x v="0"/>
    <n v="500"/>
    <n v="0.9"/>
    <n v="1.06"/>
    <n v="0"/>
    <n v="450"/>
    <n v="18"/>
    <n v="81"/>
    <n v="531"/>
    <n v="1"/>
    <n v="1"/>
    <x v="0"/>
    <x v="0"/>
    <x v="1"/>
    <s v="SAMUEL CHUQUISTA"/>
    <x v="0"/>
    <s v="7012100 MercaderÃ­as-Venta Local-Terceros"/>
    <x v="0"/>
    <x v="32"/>
    <m/>
    <m/>
    <m/>
    <x v="24"/>
    <s v="LA ESPERANZA CASA DE PRESTAMOS Y EMPEÃ‘OS E.I.R.L."/>
    <s v="Empresa"/>
    <x v="89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4"/>
    <x v="14"/>
    <x v="14"/>
    <x v="0"/>
    <n v="4500"/>
    <n v="0.9"/>
    <n v="1.06"/>
    <n v="0"/>
    <n v="4050"/>
    <n v="18"/>
    <n v="729"/>
    <n v="4779"/>
    <n v="1"/>
    <n v="1"/>
    <x v="0"/>
    <x v="0"/>
    <x v="1"/>
    <s v="SAMUEL CHUQUISTA"/>
    <x v="0"/>
    <s v="7012100 MercaderÃ­as-Venta Local-Terceros"/>
    <x v="0"/>
    <x v="32"/>
    <m/>
    <m/>
    <m/>
    <x v="24"/>
    <s v="LA ESPERANZA CASA DE PRESTAMOS Y EMPEÃ‘OS E.I.R.L."/>
    <s v="Empresa"/>
    <x v="89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5"/>
    <x v="14"/>
    <x v="14"/>
    <x v="0"/>
    <n v="500"/>
    <n v="0.9"/>
    <n v="1.06"/>
    <n v="0"/>
    <n v="450"/>
    <n v="18"/>
    <n v="81"/>
    <n v="531"/>
    <n v="1"/>
    <n v="1"/>
    <x v="0"/>
    <x v="0"/>
    <x v="1"/>
    <s v="SAMUEL CHUQUISTA"/>
    <x v="0"/>
    <s v="7012100 MercaderÃ­as-Venta Local-Terceros"/>
    <x v="0"/>
    <x v="32"/>
    <m/>
    <m/>
    <m/>
    <x v="24"/>
    <s v="LA ESPERANZA CASA DE PRESTAMOS Y EMPEÃ‘OS E.I.R.L."/>
    <s v="Empresa"/>
    <x v="89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8"/>
    <x v="12"/>
    <x v="12"/>
    <x v="1"/>
    <n v="2"/>
    <n v="30"/>
    <n v="35.4"/>
    <n v="0"/>
    <n v="60"/>
    <n v="18"/>
    <n v="10.8"/>
    <n v="70.8"/>
    <n v="1"/>
    <n v="1"/>
    <x v="0"/>
    <x v="0"/>
    <x v="1"/>
    <s v="SAMUEL CHUQUISTA"/>
    <x v="2"/>
    <s v="7032102 VENTAS SERVICIOS VAOPE"/>
    <x v="6"/>
    <x v="32"/>
    <m/>
    <m/>
    <m/>
    <x v="24"/>
    <s v="LA ESPERANZA CASA DE PRESTAMOS Y EMPEÃ‘OS E.I.R.L."/>
    <s v="Empresa"/>
    <x v="89"/>
  </r>
  <r>
    <x v="0"/>
    <x v="89"/>
    <s v="COLABORATIVA S.A.C."/>
    <x v="4"/>
    <d v="2025-11-03T18:23:06"/>
    <x v="24"/>
    <m/>
    <n v="6"/>
    <n v="20604680795"/>
    <s v="[{'id_producto': 32792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3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4, 'codigo_producto': 223, 'nom_producto': 'BOLETO PREMIUN CON QR', 'categoria_producto': 'consu', 'cantidad': '4500.0', 'valor_unitario': 0.9, 'precio_unitario': 1.06, 'descuento': 0.0, 'subtotal': 4050.0, 'porcentaje_de_igv': '18.00', 'igv': 729.0, 'total': 4779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5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798, 'codigo_producto': 2342, 'nom_producto': 'SERVICIO DE DISENO ', 'categoria_producto': 'service', 'cantidad': '2.0', 'valor_unitario': 30.0, 'precio_unitario': 35.4, 'descuento': 0.0, 'subtotal': 60.0, 'porcentaje_de_igv': '18.00', 'igv': 10.8, 'total': 70.8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6959, 'nom_cuenta_analitica': '7032102 VENTAS SERVICIOS VAOPE', 'distribucion_analitica': []}, {'id_producto': 32799, 'codigo_producto': 2344, 'nom_producto': 'Descuento', 'categoria_producto': 'service', 'cantidad': '1.0', 'valor_unitario': -634.2, 'precio_unitario': -748.36, 'descuento': 0.0, 'subtotal': -634.2, 'porcentaje_de_igv': '18.00', 'igv': -114.16, 'total': -748.36, 'moneda': '1', 'tipo_de_cambio': 1.0, 'id_estado': 'paid', 'nombre_estado': 'Pagado', 'evento': {'id_evento': '', 'nom_evento': '', 'fecha_hora_ini_event': '', 'fecha_hora_fin_event': '', 'id_organizador': 5214, 'nom_organizador': 'LA ESPERANZA CASA DE PRESTAMOS Y EMPEÃ‘OS E.I.R.L.', 'tipo_organizador': 'Empresa'}, 'id_vendedor': 2, 'nom_vendedor': 'SAMUEL CHUQUISTA', 'id_cuenta_analitica': 1106, 'nom_cuenta_analitica': '7012100 MercaderÃ­as-Venta Local-Terceros', 'distribucion_analitica': []}]"/>
    <d v="2025-10-27T00:00:00"/>
    <m/>
    <m/>
    <m/>
    <m/>
    <m/>
    <n v="32799"/>
    <x v="15"/>
    <x v="15"/>
    <x v="1"/>
    <n v="1"/>
    <n v="-634.20000000000005"/>
    <n v="-748.36"/>
    <n v="0"/>
    <n v="-634.20000000000005"/>
    <n v="18"/>
    <n v="-114.16"/>
    <n v="-748.36"/>
    <n v="1"/>
    <n v="1"/>
    <x v="0"/>
    <x v="0"/>
    <x v="1"/>
    <s v="SAMUEL CHUQUISTA"/>
    <x v="0"/>
    <s v="7012100 MercaderÃ­as-Venta Local-Terceros"/>
    <x v="6"/>
    <x v="32"/>
    <m/>
    <m/>
    <m/>
    <x v="24"/>
    <s v="LA ESPERANZA CASA DE PRESTAMOS Y EMPEÃ‘OS E.I.R.L."/>
    <s v="Empresa"/>
    <x v="89"/>
  </r>
  <r>
    <x v="0"/>
    <x v="90"/>
    <s v="COLABORATIVA S.A.C."/>
    <x v="4"/>
    <d v="2025-11-03T15:00:00"/>
    <x v="25"/>
    <m/>
    <n v="6"/>
    <n v="20611890746"/>
    <s v="[{'id_producto': 32789, 'codigo_producto': 2274, 'nom_producto': 'COMISION CORTESIA ', 'categoria_producto': 'consu', 'cantidad': '1.0', 'valor_unitario': 18.0, 'precio_unitario': 21.24, 'descuento': 0.0, 'subtotal': 18.0, 'porcentaje_de_igv': '18.00', 'igv': 3.24, 'total': 21.24, 'moneda': '1', 'tipo_de_cambio': 1.0, 'id_estado': 'paid', 'nombre_estado': 'Pagado', 'evento': {'id_evento': '', 'nom_evento': '', 'fecha_hora_ini_event': '', 'fecha_hora_fin_event': '', 'id_organizador': 1136, 'nom_organizador': 'CONSORCIO CHUNGA &amp; ASOCIADOS S.A.C.', 'tipo_organizador': 'Empresa'}, 'id_vendedor': 16, 'nom_vendedor': 'JENNY MANCO', 'id_cuenta_analitica': 6937, 'nom_cuenta_analitica': '7032101 VENTAS COMISION VAOPE', 'distribucion_analitica': []}]"/>
    <d v="2025-10-27T00:00:00"/>
    <m/>
    <m/>
    <m/>
    <m/>
    <m/>
    <n v="32789"/>
    <x v="2"/>
    <x v="2"/>
    <x v="0"/>
    <n v="1"/>
    <n v="18"/>
    <n v="21.24"/>
    <n v="0"/>
    <n v="18"/>
    <n v="18"/>
    <n v="3.24"/>
    <n v="21.24"/>
    <n v="1"/>
    <n v="1"/>
    <x v="0"/>
    <x v="0"/>
    <x v="0"/>
    <s v="JENNY MANCO"/>
    <x v="1"/>
    <s v="7032101 VENTAS COMISION VAOPE"/>
    <x v="6"/>
    <x v="32"/>
    <m/>
    <m/>
    <m/>
    <x v="25"/>
    <s v="CONSORCIO CHUNGA &amp; ASOCIADOS S.A.C."/>
    <s v="Empresa"/>
    <x v="90"/>
  </r>
  <r>
    <x v="0"/>
    <x v="91"/>
    <s v="COLABORATIVA S.A.C."/>
    <x v="4"/>
    <d v="2025-11-03T15:00:00"/>
    <x v="26"/>
    <m/>
    <n v="6"/>
    <n v="20609995433"/>
    <s v="[{'id_producto': 32786, 'codigo_producto': 1916, 'nom_producto': 'DELIVERY', 'categoria_producto': 'service', 'cantidad': '1.0', 'valor_unitario': 29.66, 'precio_unitario': 35.0, 'descuento': 0.0, 'subtotal': 29.66, 'porcentaje_de_igv': '18.00', 'igv': 5.34, 'total': 35.0, 'moneda': '1', 'tipo_de_cambio': 1.0, 'id_estado': 'paid', 'nombre_estado': 'Pagado', 'evento': {'id_evento': '', 'nom_evento': '', 'fecha_hora_ini_event': '', 'fecha_hora_fin_event': '', 'id_organizador': 6833, 'nom_organizador': 'JOSEFINA CASA CLUB S.R.L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7T00:00:00"/>
    <m/>
    <m/>
    <m/>
    <m/>
    <m/>
    <n v="32786"/>
    <x v="13"/>
    <x v="13"/>
    <x v="1"/>
    <n v="1"/>
    <n v="29.66"/>
    <n v="35"/>
    <n v="0"/>
    <n v="29.66"/>
    <n v="18"/>
    <n v="5.34"/>
    <n v="35"/>
    <n v="1"/>
    <n v="1"/>
    <x v="0"/>
    <x v="0"/>
    <x v="0"/>
    <s v="JENNY MANCO"/>
    <x v="2"/>
    <s v="7032102 VENTAS SERVICIOS VAOPE"/>
    <x v="8"/>
    <x v="32"/>
    <m/>
    <m/>
    <m/>
    <x v="26"/>
    <s v="JOSEFINA CASA CLUB S.R.L."/>
    <s v="Empresa"/>
    <x v="91"/>
  </r>
  <r>
    <x v="0"/>
    <x v="92"/>
    <s v="COLABORATIVA S.A.C."/>
    <x v="4"/>
    <d v="2025-11-03T15:00:00"/>
    <x v="26"/>
    <m/>
    <n v="6"/>
    <n v="20609995433"/>
    <s v="[{'id_producto': 3278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324', 'nom_evento': 'CLUB DE HALLOWEEN EDICIÃ“N 4.0 - 31/10 - I - P', 'fecha_hora_ini_event': '31-10-2025', 'fecha_hora_fin_event': '31-10-2025', 'id_organizador': 5354, 'nom_organizador': 'EDGAR MECHATO ANCAJIM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7T00:00:00"/>
    <m/>
    <m/>
    <m/>
    <m/>
    <m/>
    <n v="32783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3"/>
    <s v="CLUB DE HALLOWEEN EDICIÃ“N 4.0 - 31/10 - I - P"/>
    <d v="2025-10-31T00:00:00"/>
    <d v="2025-10-31T00:00:00"/>
    <x v="27"/>
    <s v="EDGAR MECHATO ANCAJIMA"/>
    <s v="Persona"/>
    <x v="92"/>
  </r>
  <r>
    <x v="0"/>
    <x v="93"/>
    <s v="COLABORATIVA S.A.C."/>
    <x v="5"/>
    <d v="2025-11-03T17:00:00"/>
    <x v="25"/>
    <m/>
    <n v="6"/>
    <n v="20611890746"/>
    <s v="[{'id_producto': 32771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317', 'nom_evento': 'LA UNICA TROPICAL - LA OBRILLA - 25/10 - I - P', 'fecha_hora_ini_event': '25-10-2025', 'fecha_hora_fin_event': '25-10-2025', 'id_organizador': 1136, 'nom_organizador': 'CONSORCIO CHUNGA &amp; ASOCIADOS S.A.C.', 'tipo_organizador': 'Empresa'}, 'id_vendedor': 16, 'nom_vendedor': 'JENNY MANCO', 'id_cuenta_analitica': 6959, 'nom_cuenta_analitica': '7032102 VENTAS SERVICIOS VAOPE', 'distribucion_analitica': []}]"/>
    <d v="2025-10-24T00:00:00"/>
    <m/>
    <m/>
    <m/>
    <m/>
    <m/>
    <n v="32771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34"/>
    <s v="LA UNICA TROPICAL - LA OBRILLA - 25/10 - I - P"/>
    <d v="2025-10-25T00:00:00"/>
    <d v="2025-10-25T00:00:00"/>
    <x v="25"/>
    <s v="CONSORCIO CHUNGA &amp; ASOCIADOS S.A.C."/>
    <s v="Empresa"/>
    <x v="93"/>
  </r>
  <r>
    <x v="1"/>
    <x v="94"/>
    <s v="COLABORATIVA S.A.C."/>
    <x v="5"/>
    <d v="2025-11-03T17:00:00"/>
    <x v="27"/>
    <m/>
    <n v="1"/>
    <n v="46651175"/>
    <s v="[{'id_producto': 3276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9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7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4T00:00:00"/>
    <m/>
    <m/>
    <m/>
    <m/>
    <m/>
    <n v="32766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5"/>
    <s v="Los Mendez en Saposoa"/>
    <d v="2025-11-24T00:00:00"/>
    <d v="2025-11-24T00:00:00"/>
    <x v="28"/>
    <s v="MARVIN FRANKLIN SERRATO CARDENAS"/>
    <s v="Persona"/>
    <x v="94"/>
  </r>
  <r>
    <x v="1"/>
    <x v="94"/>
    <s v="COLABORATIVA S.A.C."/>
    <x v="5"/>
    <d v="2025-11-03T17:00:00"/>
    <x v="27"/>
    <m/>
    <n v="1"/>
    <n v="46651175"/>
    <s v="[{'id_producto': 3276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9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7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4T00:00:00"/>
    <m/>
    <m/>
    <m/>
    <m/>
    <m/>
    <n v="32769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5"/>
    <s v="Los Mendez en Saposoa"/>
    <d v="2025-11-24T00:00:00"/>
    <d v="2025-11-24T00:00:00"/>
    <x v="28"/>
    <s v="MARVIN FRANKLIN SERRATO CARDENAS"/>
    <s v="Persona"/>
    <x v="94"/>
  </r>
  <r>
    <x v="1"/>
    <x v="94"/>
    <s v="COLABORATIVA S.A.C."/>
    <x v="5"/>
    <d v="2025-11-03T17:00:00"/>
    <x v="27"/>
    <m/>
    <n v="1"/>
    <n v="46651175"/>
    <s v="[{'id_producto': 3276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9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7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8', 'nom_evento': 'Los Mendez en Saposoa', 'fecha_hora_ini_event': '24-11-2025', 'fecha_hora_fin_event': '24-11-2025', 'id_organizador': 6660, 'nom_organizador': 'MARVIN FRANKLIN SERRATO CARDENAS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4T00:00:00"/>
    <m/>
    <m/>
    <m/>
    <m/>
    <m/>
    <n v="32770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8"/>
    <x v="35"/>
    <s v="Los Mendez en Saposoa"/>
    <d v="2025-11-24T00:00:00"/>
    <d v="2025-11-24T00:00:00"/>
    <x v="28"/>
    <s v="MARVIN FRANKLIN SERRATO CARDENAS"/>
    <s v="Persona"/>
    <x v="94"/>
  </r>
  <r>
    <x v="0"/>
    <x v="95"/>
    <s v="COLABORATIVA S.A.C."/>
    <x v="5"/>
    <d v="2025-11-03T17:00:00"/>
    <x v="25"/>
    <m/>
    <n v="6"/>
    <n v="20611890746"/>
    <s v="[{'id_producto': 32763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317', 'nom_evento': 'LA UNICA TROPICAL - LA OBRILLA - 25/10 - I - P', 'fecha_hora_ini_event': '25-10-2025', 'fecha_hora_fin_event': '25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4T00:00:00"/>
    <m/>
    <m/>
    <m/>
    <m/>
    <m/>
    <n v="32763"/>
    <x v="0"/>
    <x v="0"/>
    <x v="0"/>
    <n v="1000"/>
    <n v="0.4"/>
    <n v="0.47"/>
    <n v="0"/>
    <n v="400"/>
    <n v="18"/>
    <n v="72"/>
    <n v="472"/>
    <n v="1"/>
    <n v="1"/>
    <x v="0"/>
    <x v="0"/>
    <x v="0"/>
    <s v="JENNY MANCO"/>
    <x v="0"/>
    <s v="7012100 MercaderÃ­as-Venta Local-Terceros"/>
    <x v="0"/>
    <x v="34"/>
    <s v="LA UNICA TROPICAL - LA OBRILLA - 25/10 - I - P"/>
    <d v="2025-10-25T00:00:00"/>
    <d v="2025-10-25T00:00:00"/>
    <x v="25"/>
    <s v="CONSORCIO CHUNGA &amp; ASOCIADOS S.A.C."/>
    <s v="Empresa"/>
    <x v="95"/>
  </r>
  <r>
    <x v="0"/>
    <x v="96"/>
    <s v="COLABORATIVA S.A.C."/>
    <x v="5"/>
    <d v="2025-11-03T17:00:00"/>
    <x v="25"/>
    <m/>
    <n v="6"/>
    <n v="20611890746"/>
    <s v="[{'id_producto': 32759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4T00:00:00"/>
    <m/>
    <m/>
    <m/>
    <m/>
    <m/>
    <n v="32759"/>
    <x v="14"/>
    <x v="14"/>
    <x v="0"/>
    <n v="500"/>
    <n v="0.9"/>
    <n v="1.06"/>
    <n v="0"/>
    <n v="450"/>
    <n v="18"/>
    <n v="81"/>
    <n v="531"/>
    <n v="1"/>
    <n v="1"/>
    <x v="0"/>
    <x v="0"/>
    <x v="0"/>
    <s v="JENNY MANCO"/>
    <x v="0"/>
    <s v="7012100 MercaderÃ­as-Venta Local-Terceros"/>
    <x v="0"/>
    <x v="36"/>
    <s v="FELIZ 6TO ANIVERSARIO - LOS ROSALES SECHURA - 08/11 - I - P"/>
    <d v="2025-11-08T00:00:00"/>
    <d v="2025-11-08T00:00:00"/>
    <x v="25"/>
    <s v="CONSORCIO CHUNGA &amp; ASOCIADOS S.A.C."/>
    <s v="Empresa"/>
    <x v="96"/>
  </r>
  <r>
    <x v="0"/>
    <x v="96"/>
    <s v="COLABORATIVA S.A.C."/>
    <x v="5"/>
    <d v="2025-11-03T17:00:00"/>
    <x v="25"/>
    <m/>
    <n v="6"/>
    <n v="20611890746"/>
    <s v="[{'id_producto': 32759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76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318', 'nom_evento': 'FELIZ 6TO ANIVERSARIO - LOS ROSALES SECHURA - 08/11 - I - P', 'fecha_hora_ini_event': '08-11-2025', 'fecha_hora_fin_event': '08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4T00:00:00"/>
    <m/>
    <m/>
    <m/>
    <m/>
    <m/>
    <n v="32760"/>
    <x v="14"/>
    <x v="14"/>
    <x v="0"/>
    <n v="500"/>
    <n v="0.9"/>
    <n v="1.06"/>
    <n v="0"/>
    <n v="450"/>
    <n v="18"/>
    <n v="81"/>
    <n v="531"/>
    <n v="1"/>
    <n v="1"/>
    <x v="0"/>
    <x v="0"/>
    <x v="0"/>
    <s v="JENNY MANCO"/>
    <x v="0"/>
    <s v="7012100 MercaderÃ­as-Venta Local-Terceros"/>
    <x v="0"/>
    <x v="36"/>
    <s v="FELIZ 6TO ANIVERSARIO - LOS ROSALES SECHURA - 08/11 - I - P"/>
    <d v="2025-11-08T00:00:00"/>
    <d v="2025-11-08T00:00:00"/>
    <x v="25"/>
    <s v="CONSORCIO CHUNGA &amp; ASOCIADOS S.A.C."/>
    <s v="Empresa"/>
    <x v="96"/>
  </r>
  <r>
    <x v="0"/>
    <x v="97"/>
    <s v="COLABORATIVA S.A.C."/>
    <x v="5"/>
    <d v="2025-11-03T17:00:00"/>
    <x v="25"/>
    <m/>
    <n v="6"/>
    <n v="20611890746"/>
    <s v="[{'id_producto': 32756, 'codigo_producto': 1924, 'nom_producto': 'BOLETO FULL COLOR CON QR', 'categoria_producto': 'consu', 'cantidad': '1500.0', 'valor_unitario': 0.4, 'precio_unitario': 0.47, 'descuento': 0.0, 'subtotal': 600.0, 'porcentaje_de_igv': '18.00', 'igv': 108.0, 'total': 708.0, 'moneda': '1', 'tipo_de_cambio': 1.0, 'id_estado': 'paid', 'nombre_estado': 'Pagado', 'evento': {'id_evento': '3316', 'nom_evento': 'LA UNICA TROPICAL - MORROPE - 01/11 - I - P', 'fecha_hora_ini_event': '01-11-2025', 'fecha_hora_fin_event': '01-11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4T00:00:00"/>
    <m/>
    <m/>
    <m/>
    <m/>
    <m/>
    <n v="32756"/>
    <x v="0"/>
    <x v="0"/>
    <x v="0"/>
    <n v="1500"/>
    <n v="0.4"/>
    <n v="0.47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7"/>
    <s v="LA UNICA TROPICAL - MORROPE - 01/11 - I - P"/>
    <d v="2025-11-01T00:00:00"/>
    <d v="2025-11-01T00:00:00"/>
    <x v="25"/>
    <s v="CONSORCIO CHUNGA &amp; ASOCIADOS S.A.C."/>
    <s v="Empresa"/>
    <x v="97"/>
  </r>
  <r>
    <x v="1"/>
    <x v="98"/>
    <s v="COLABORATIVA S.A.C."/>
    <x v="5"/>
    <d v="2025-11-03T14:57:00"/>
    <x v="28"/>
    <m/>
    <n v="1"/>
    <n v="19889371"/>
    <s v="[{'id_producto': 32617, 'codigo_producto': 2274, 'nom_producto': 'COMISION CORTESIA ', 'categoria_producto': 'consu', 'cantidad': '1.0', 'valor_unitario': 12.0, 'precio_unitario': 14.16, 'descuento': 0.0, 'subtotal': 12.0, 'porcentaje_de_igv': '18.00', 'igv': 2.16, 'total': 14.1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4T00:00:00"/>
    <m/>
    <m/>
    <m/>
    <m/>
    <m/>
    <n v="32617"/>
    <x v="2"/>
    <x v="2"/>
    <x v="0"/>
    <n v="1"/>
    <n v="12"/>
    <n v="14.16"/>
    <n v="0"/>
    <n v="12"/>
    <n v="18"/>
    <n v="2.16"/>
    <n v="14.16"/>
    <n v="1"/>
    <n v="1"/>
    <x v="0"/>
    <x v="0"/>
    <x v="1"/>
    <s v="SAMUEL CHUQUISTA"/>
    <x v="1"/>
    <s v="7032101 VENTAS COMISION VAOPE"/>
    <x v="1"/>
    <x v="38"/>
    <s v="Duelo de Titanes con Max Castro, Pelo DÂ´ Ambrosio y mÃ¡s en el Complejo Santa Rosa"/>
    <d v="2025-10-11T00:00:00"/>
    <d v="2025-10-11T00:00:00"/>
    <x v="29"/>
    <s v="Piero Macha PÃ©rez"/>
    <s v="Persona"/>
    <x v="98"/>
  </r>
  <r>
    <x v="1"/>
    <x v="99"/>
    <s v="COLABORATIVA S.A.C."/>
    <x v="5"/>
    <d v="2025-11-03T14:56:29"/>
    <x v="28"/>
    <m/>
    <n v="1"/>
    <n v="19889371"/>
    <s v="[{'id_producto': 32614, 'codigo_producto': 216, 'nom_producto': 'COMISION PAGOS DIGITALES SEGUN CONTRATO', 'categoria_producto': 'service', 'cantidad': '1.0', 'valor_unitario': 873.19, 'precio_unitario': 1030.36, 'descuento': 0.0, 'subtotal': 873.19, 'porcentaje_de_igv': '18.00', 'igv': 157.17, 'total': 1030.3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614"/>
    <x v="6"/>
    <x v="6"/>
    <x v="1"/>
    <n v="1"/>
    <n v="873.19"/>
    <n v="1030.3599999999999"/>
    <n v="0"/>
    <n v="873.19"/>
    <n v="18"/>
    <n v="157.16999999999999"/>
    <n v="1030.3599999999999"/>
    <n v="1"/>
    <n v="1"/>
    <x v="0"/>
    <x v="0"/>
    <x v="1"/>
    <s v="SAMUEL CHUQUISTA"/>
    <x v="3"/>
    <s v="7032100 Servicios-Local- VISA"/>
    <x v="1"/>
    <x v="38"/>
    <s v="Duelo de Titanes con Max Castro, Pelo DÂ´ Ambrosio y mÃ¡s en el Complejo Santa Rosa"/>
    <d v="2025-10-11T00:00:00"/>
    <d v="2025-10-11T00:00:00"/>
    <x v="29"/>
    <s v="Piero Macha PÃ©rez"/>
    <s v="Persona"/>
    <x v="99"/>
  </r>
  <r>
    <x v="1"/>
    <x v="100"/>
    <s v="COLABORATIVA S.A.C."/>
    <x v="5"/>
    <d v="2025-11-03T14:55:57"/>
    <x v="28"/>
    <m/>
    <n v="1"/>
    <n v="19889371"/>
    <s v="[{'id_producto': 32611, 'codigo_producto': 1786, 'nom_producto': 'COMISION VAOPE SEGUN CONTRATO', 'categoria_producto': 'service', 'cantidad': '1.0', 'valor_unitario': 739.86, 'precio_unitario': 873.03, 'descuento': 0.0, 'subtotal': 739.86, 'porcentaje_de_igv': '18.00', 'igv': 133.17, 'total': 873.03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611"/>
    <x v="5"/>
    <x v="5"/>
    <x v="1"/>
    <n v="1"/>
    <n v="739.86"/>
    <n v="873.03"/>
    <n v="0"/>
    <n v="739.86"/>
    <n v="18"/>
    <n v="133.16999999999999"/>
    <n v="873.03"/>
    <n v="1"/>
    <n v="1"/>
    <x v="0"/>
    <x v="0"/>
    <x v="1"/>
    <s v="SAMUEL CHUQUISTA"/>
    <x v="1"/>
    <s v="7032101 VENTAS COMISION VAOPE"/>
    <x v="5"/>
    <x v="38"/>
    <s v="Duelo de Titanes con Max Castro, Pelo DÂ´ Ambrosio y mÃ¡s en el Complejo Santa Rosa"/>
    <d v="2025-10-11T00:00:00"/>
    <d v="2025-10-11T00:00:00"/>
    <x v="29"/>
    <s v="Piero Macha PÃ©rez"/>
    <s v="Persona"/>
    <x v="100"/>
  </r>
  <r>
    <x v="1"/>
    <x v="101"/>
    <s v="COLABORATIVA S.A.C."/>
    <x v="5"/>
    <d v="2025-11-03T14:55:25"/>
    <x v="28"/>
    <m/>
    <n v="1"/>
    <n v="19889371"/>
    <s v="[{'id_producto': 32608, 'codigo_producto': 2315, 'nom_producto': 'PAUTA PUBLICITARIA', 'categoria_producto': 'service', 'cantidad': '1.0', 'valor_unitario': 207.63, 'precio_unitario': 245.0, 'descuento': 0.0, 'subtotal': 207.63, 'porcentaje_de_igv': '18.00', 'igv': 37.37, 'total': 245.0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4T00:00:00"/>
    <m/>
    <m/>
    <m/>
    <m/>
    <m/>
    <n v="32608"/>
    <x v="3"/>
    <x v="3"/>
    <x v="1"/>
    <n v="1"/>
    <n v="207.63"/>
    <n v="245"/>
    <n v="0"/>
    <n v="207.63"/>
    <n v="18"/>
    <n v="37.369999999999997"/>
    <n v="245"/>
    <n v="1"/>
    <n v="1"/>
    <x v="0"/>
    <x v="0"/>
    <x v="1"/>
    <s v="SAMUEL CHUQUISTA"/>
    <x v="2"/>
    <s v="7032102 VENTAS SERVICIOS VAOPE"/>
    <x v="2"/>
    <x v="38"/>
    <s v="Duelo de Titanes con Max Castro, Pelo DÂ´ Ambrosio y mÃ¡s en el Complejo Santa Rosa"/>
    <d v="2025-10-11T00:00:00"/>
    <d v="2025-10-11T00:00:00"/>
    <x v="29"/>
    <s v="Piero Macha PÃ©rez"/>
    <s v="Persona"/>
    <x v="101"/>
  </r>
  <r>
    <x v="1"/>
    <x v="102"/>
    <s v="COLABORATIVA S.A.C."/>
    <x v="5"/>
    <d v="2025-11-03T14:54:54"/>
    <x v="29"/>
    <m/>
    <n v="1"/>
    <n v="19941551"/>
    <s v="[{'id_producto': 32605, 'codigo_producto': 2274, 'nom_producto': 'COMISION CORTESIA ', 'categoria_producto': 'consu', 'cantidad': '1.0', 'valor_unitario': 12.0, 'precio_unitario': 14.16, 'descuento': 0.0, 'subtotal': 12.0, 'porcentaje_de_igv': '18.00', 'igv': 2.16, 'total': 14.1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4T00:00:00"/>
    <m/>
    <m/>
    <m/>
    <m/>
    <m/>
    <n v="32605"/>
    <x v="2"/>
    <x v="2"/>
    <x v="0"/>
    <n v="1"/>
    <n v="12"/>
    <n v="14.16"/>
    <n v="0"/>
    <n v="12"/>
    <n v="18"/>
    <n v="2.16"/>
    <n v="14.16"/>
    <n v="1"/>
    <n v="1"/>
    <x v="0"/>
    <x v="0"/>
    <x v="1"/>
    <s v="SAMUEL CHUQUISTA"/>
    <x v="1"/>
    <s v="7032101 VENTAS COMISION VAOPE"/>
    <x v="1"/>
    <x v="38"/>
    <s v="Duelo de Titanes con Max Castro, Pelo DÂ´ Ambrosio y mÃ¡s en el Complejo Santa Rosa"/>
    <d v="2025-10-11T00:00:00"/>
    <d v="2025-10-11T00:00:00"/>
    <x v="29"/>
    <s v="Piero Macha PÃ©rez"/>
    <s v="Persona"/>
    <x v="102"/>
  </r>
  <r>
    <x v="1"/>
    <x v="103"/>
    <s v="COLABORATIVA S.A.C."/>
    <x v="5"/>
    <d v="2025-11-03T14:54:25"/>
    <x v="29"/>
    <m/>
    <n v="1"/>
    <n v="19941551"/>
    <s v="[{'id_producto': 32602, 'codigo_producto': 216, 'nom_producto': 'COMISION PAGOS DIGITALES SEGUN CONTRATO', 'categoria_producto': 'service', 'cantidad': '1.0', 'valor_unitario': 873.19, 'precio_unitario': 1030.36, 'descuento': 0.0, 'subtotal': 873.19, 'porcentaje_de_igv': '18.00', 'igv': 157.17, 'total': 1030.3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602"/>
    <x v="6"/>
    <x v="6"/>
    <x v="1"/>
    <n v="1"/>
    <n v="873.19"/>
    <n v="1030.3599999999999"/>
    <n v="0"/>
    <n v="873.19"/>
    <n v="18"/>
    <n v="157.16999999999999"/>
    <n v="1030.3599999999999"/>
    <n v="1"/>
    <n v="1"/>
    <x v="0"/>
    <x v="0"/>
    <x v="1"/>
    <s v="SAMUEL CHUQUISTA"/>
    <x v="3"/>
    <s v="7032100 Servicios-Local- VISA"/>
    <x v="1"/>
    <x v="38"/>
    <s v="Duelo de Titanes con Max Castro, Pelo DÂ´ Ambrosio y mÃ¡s en el Complejo Santa Rosa"/>
    <d v="2025-10-11T00:00:00"/>
    <d v="2025-10-11T00:00:00"/>
    <x v="29"/>
    <s v="Piero Macha PÃ©rez"/>
    <s v="Persona"/>
    <x v="103"/>
  </r>
  <r>
    <x v="1"/>
    <x v="104"/>
    <s v="COLABORATIVA S.A.C."/>
    <x v="5"/>
    <d v="2025-11-03T14:53:55"/>
    <x v="29"/>
    <m/>
    <n v="1"/>
    <n v="19941551"/>
    <s v="[{'id_producto': 32599, 'codigo_producto': 1786, 'nom_producto': 'COMISION VAOPE SEGUN CONTRATO', 'categoria_producto': 'service', 'cantidad': '1.0', 'valor_unitario': 739.86, 'precio_unitario': 873.03, 'descuento': 0.0, 'subtotal': 739.86, 'porcentaje_de_igv': '18.00', 'igv': 133.17, 'total': 873.03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99"/>
    <x v="5"/>
    <x v="5"/>
    <x v="1"/>
    <n v="1"/>
    <n v="739.86"/>
    <n v="873.03"/>
    <n v="0"/>
    <n v="739.86"/>
    <n v="18"/>
    <n v="133.16999999999999"/>
    <n v="873.03"/>
    <n v="1"/>
    <n v="1"/>
    <x v="0"/>
    <x v="0"/>
    <x v="1"/>
    <s v="SAMUEL CHUQUISTA"/>
    <x v="1"/>
    <s v="7032101 VENTAS COMISION VAOPE"/>
    <x v="5"/>
    <x v="38"/>
    <s v="Duelo de Titanes con Max Castro, Pelo DÂ´ Ambrosio y mÃ¡s en el Complejo Santa Rosa"/>
    <d v="2025-10-11T00:00:00"/>
    <d v="2025-10-11T00:00:00"/>
    <x v="29"/>
    <s v="Piero Macha PÃ©rez"/>
    <s v="Persona"/>
    <x v="104"/>
  </r>
  <r>
    <x v="1"/>
    <x v="105"/>
    <s v="COLABORATIVA S.A.C."/>
    <x v="5"/>
    <d v="2025-11-03T14:53:24"/>
    <x v="29"/>
    <m/>
    <n v="1"/>
    <n v="19941551"/>
    <s v="[{'id_producto': 32596, 'codigo_producto': 2315, 'nom_producto': 'PAUTA PUBLICITARIA', 'categoria_producto': 'service', 'cantidad': '1.0', 'valor_unitario': 207.63, 'precio_unitario': 245.0, 'descuento': 0.0, 'subtotal': 207.63, 'porcentaje_de_igv': '18.00', 'igv': 37.37, 'total': 245.0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4T00:00:00"/>
    <m/>
    <m/>
    <m/>
    <m/>
    <m/>
    <n v="32596"/>
    <x v="3"/>
    <x v="3"/>
    <x v="1"/>
    <n v="1"/>
    <n v="207.63"/>
    <n v="245"/>
    <n v="0"/>
    <n v="207.63"/>
    <n v="18"/>
    <n v="37.369999999999997"/>
    <n v="245"/>
    <n v="1"/>
    <n v="1"/>
    <x v="0"/>
    <x v="0"/>
    <x v="1"/>
    <s v="SAMUEL CHUQUISTA"/>
    <x v="2"/>
    <s v="7032102 VENTAS SERVICIOS VAOPE"/>
    <x v="2"/>
    <x v="38"/>
    <s v="Duelo de Titanes con Max Castro, Pelo DÂ´ Ambrosio y mÃ¡s en el Complejo Santa Rosa"/>
    <d v="2025-10-11T00:00:00"/>
    <d v="2025-10-11T00:00:00"/>
    <x v="29"/>
    <s v="Piero Macha PÃ©rez"/>
    <s v="Persona"/>
    <x v="105"/>
  </r>
  <r>
    <x v="1"/>
    <x v="106"/>
    <s v="COLABORATIVA S.A.C."/>
    <x v="5"/>
    <d v="2025-11-03T14:52:57"/>
    <x v="30"/>
    <s v="Cliente"/>
    <n v="1"/>
    <n v="73241854"/>
    <s v="[{'id_producto': 32593, 'codigo_producto': 1786, 'nom_producto': 'COMISION VAOPE SEGUN CONTRATO', 'categoria_producto': 'service', 'cantidad': '1.0', 'valor_unitario': 30.19, 'precio_unitario': 35.62, 'descuento': 0.0, 'subtotal': 30.19, 'porcentaje_de_igv': '18.00', 'igv': 5.43, 'total': 35.62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93"/>
    <x v="5"/>
    <x v="5"/>
    <x v="1"/>
    <n v="1"/>
    <n v="30.19"/>
    <n v="35.619999999999997"/>
    <n v="0"/>
    <n v="30.19"/>
    <n v="18"/>
    <n v="5.43"/>
    <n v="35.619999999999997"/>
    <n v="1"/>
    <n v="1"/>
    <x v="0"/>
    <x v="0"/>
    <x v="1"/>
    <s v="SAMUEL CHUQUISTA"/>
    <x v="1"/>
    <s v="7032101 VENTAS COMISION VAOPE"/>
    <x v="5"/>
    <x v="38"/>
    <s v="Duelo de Titanes con Max Castro, Pelo DÂ´ Ambrosio y mÃ¡s en el Complejo Santa Rosa"/>
    <d v="2025-10-11T00:00:00"/>
    <d v="2025-10-11T00:00:00"/>
    <x v="29"/>
    <s v="Piero Macha PÃ©rez"/>
    <s v="Persona"/>
    <x v="106"/>
  </r>
  <r>
    <x v="1"/>
    <x v="107"/>
    <s v="COLABORATIVA S.A.C."/>
    <x v="5"/>
    <d v="2025-11-03T14:52:39"/>
    <x v="30"/>
    <s v="Cliente"/>
    <n v="1"/>
    <n v="73241854"/>
    <s v="[{'id_producto': 32590, 'codigo_producto': 216, 'nom_producto': 'COMISION PAGOS DIGITALES SEGUN CONTRATO', 'categoria_producto': 'service', 'cantidad': '1.0', 'valor_unitario': 35.64, 'precio_unitario': 42.06, 'descuento': 0.0, 'subtotal': 35.64, 'porcentaje_de_igv': '18.00', 'igv': 6.42, 'total': 42.06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90"/>
    <x v="6"/>
    <x v="6"/>
    <x v="1"/>
    <n v="1"/>
    <n v="35.64"/>
    <n v="42.06"/>
    <n v="0"/>
    <n v="35.64"/>
    <n v="18"/>
    <n v="6.42"/>
    <n v="42.06"/>
    <n v="1"/>
    <n v="1"/>
    <x v="0"/>
    <x v="0"/>
    <x v="1"/>
    <s v="SAMUEL CHUQUISTA"/>
    <x v="3"/>
    <s v="7032100 Servicios-Local- VISA"/>
    <x v="1"/>
    <x v="38"/>
    <s v="Duelo de Titanes con Max Castro, Pelo DÂ´ Ambrosio y mÃ¡s en el Complejo Santa Rosa"/>
    <d v="2025-10-11T00:00:00"/>
    <d v="2025-10-11T00:00:00"/>
    <x v="29"/>
    <s v="Piero Macha PÃ©rez"/>
    <s v="Persona"/>
    <x v="107"/>
  </r>
  <r>
    <x v="1"/>
    <x v="108"/>
    <s v="COLABORATIVA S.A.C."/>
    <x v="5"/>
    <d v="2025-11-03T14:52:17"/>
    <x v="30"/>
    <s v="Cliente"/>
    <n v="1"/>
    <n v="73241854"/>
    <s v="[{'id_producto': 32587, 'codigo_producto': 2315, 'nom_producto': 'PAUTA PUBLICITARIA', 'categoria_producto': 'service', 'cantidad': '1.0', 'valor_unitario': 8.47, 'precio_unitario': 9.99, 'descuento': 0.0, 'subtotal': 8.47, 'porcentaje_de_igv': '18.00', 'igv': 1.52, 'total': 9.99, 'moneda': '1', 'tipo_de_cambio': 1.0, 'id_estado': 'paid', 'nombre_estado': 'Pagado', 'evento': {'id_evento': '3023', 'nom_evento': 'Duelo de Titanes con Max Castro, Pelo DÂ´ Ambrosio y mÃ¡s en el Complejo Santa Rosa', 'fecha_hora_ini_event': '11-10-2025', 'fecha_hora_fin_event': '11-10-2025', 'id_organizador': 418, 'nom_organizador': 'Piero Macha PÃ©rez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4T00:00:00"/>
    <m/>
    <m/>
    <m/>
    <m/>
    <m/>
    <n v="32587"/>
    <x v="3"/>
    <x v="3"/>
    <x v="1"/>
    <n v="1"/>
    <n v="8.4700000000000006"/>
    <n v="9.99"/>
    <n v="0"/>
    <n v="8.4700000000000006"/>
    <n v="18"/>
    <n v="1.52"/>
    <n v="9.99"/>
    <n v="1"/>
    <n v="1"/>
    <x v="0"/>
    <x v="0"/>
    <x v="1"/>
    <s v="SAMUEL CHUQUISTA"/>
    <x v="2"/>
    <s v="7032102 VENTAS SERVICIOS VAOPE"/>
    <x v="2"/>
    <x v="38"/>
    <s v="Duelo de Titanes con Max Castro, Pelo DÂ´ Ambrosio y mÃ¡s en el Complejo Santa Rosa"/>
    <d v="2025-10-11T00:00:00"/>
    <d v="2025-10-11T00:00:00"/>
    <x v="29"/>
    <s v="Piero Macha PÃ©rez"/>
    <s v="Persona"/>
    <x v="108"/>
  </r>
  <r>
    <x v="0"/>
    <x v="109"/>
    <s v="COLABORATIVA S.A.C."/>
    <x v="5"/>
    <d v="2025-11-03T14:30:42"/>
    <x v="31"/>
    <m/>
    <n v="6"/>
    <n v="20608574663"/>
    <s v="[{'id_producto': 32584, 'codigo_producto': 216, 'nom_producto': 'COMISION PAGOS DIGITALES SEGUN CONTRATO', 'categoria_producto': 'service', 'cantidad': '1.0', 'valor_unitario': 563.73, 'precio_unitario': 665.2, 'descuento': 0.0, 'subtotal': 563.73, 'porcentaje_de_igv': '18.00', 'igv': 101.47, 'total': 665.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84"/>
    <x v="6"/>
    <x v="6"/>
    <x v="1"/>
    <n v="1"/>
    <n v="563.73"/>
    <n v="665.2"/>
    <n v="0"/>
    <n v="563.73"/>
    <n v="18"/>
    <n v="101.47"/>
    <n v="665.2"/>
    <n v="1"/>
    <n v="1"/>
    <x v="0"/>
    <x v="0"/>
    <x v="1"/>
    <s v="SAMUEL CHUQUISTA"/>
    <x v="3"/>
    <s v="7032100 Servicios-Local- VISA"/>
    <x v="1"/>
    <x v="39"/>
    <s v="Son del Duke, Tony Rosado y Walther Lozada &amp; Orquesta en Cusco"/>
    <d v="2025-09-21T00:00:00"/>
    <d v="2025-09-21T00:00:00"/>
    <x v="30"/>
    <s v="MENDOZA HUALLPA LOYDA REBECA"/>
    <s v="Empresa"/>
    <x v="109"/>
  </r>
  <r>
    <x v="0"/>
    <x v="110"/>
    <s v="COLABORATIVA S.A.C."/>
    <x v="5"/>
    <d v="2025-11-03T14:29:50"/>
    <x v="31"/>
    <m/>
    <n v="6"/>
    <n v="20608574663"/>
    <s v="[{'id_producto': 32581, 'codigo_producto': 1786, 'nom_producto': 'COMISION VAOPE SEGUN CONTRATO', 'categoria_producto': 'service', 'cantidad': '1.0', 'valor_unitario': 444.86, 'precio_unitario': 524.93, 'descuento': 0.0, 'subtotal': 444.86, 'porcentaje_de_igv': '18.00', 'igv': 80.07, 'total': 524.93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81"/>
    <x v="5"/>
    <x v="5"/>
    <x v="1"/>
    <n v="1"/>
    <n v="444.86"/>
    <n v="524.92999999999995"/>
    <n v="0"/>
    <n v="444.86"/>
    <n v="18"/>
    <n v="80.069999999999993"/>
    <n v="524.92999999999995"/>
    <n v="1"/>
    <n v="1"/>
    <x v="0"/>
    <x v="0"/>
    <x v="1"/>
    <s v="SAMUEL CHUQUISTA"/>
    <x v="1"/>
    <s v="7032101 VENTAS COMISION VAOPE"/>
    <x v="5"/>
    <x v="39"/>
    <s v="Son del Duke, Tony Rosado y Walther Lozada &amp; Orquesta en Cusco"/>
    <d v="2025-09-21T00:00:00"/>
    <d v="2025-09-21T00:00:00"/>
    <x v="30"/>
    <s v="MENDOZA HUALLPA LOYDA REBECA"/>
    <s v="Empresa"/>
    <x v="110"/>
  </r>
  <r>
    <x v="0"/>
    <x v="111"/>
    <s v="COLABORATIVA S.A.C."/>
    <x v="5"/>
    <d v="2025-11-03T14:29:17"/>
    <x v="31"/>
    <m/>
    <n v="6"/>
    <n v="20608574663"/>
    <s v="[{'id_producto': 32578, 'codigo_producto': 2274, 'nom_producto': 'COMISION CORTESIA ', 'categoria_producto': 'consu', 'cantidad': '1.0', 'valor_unitario': 4.75, 'precio_unitario': 5.61, 'descuento': 0.0, 'subtotal': 4.75, 'porcentaje_de_igv': '18.00', 'igv': 0.86, 'total': 5.61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4T00:00:00"/>
    <m/>
    <m/>
    <m/>
    <m/>
    <m/>
    <n v="32578"/>
    <x v="2"/>
    <x v="2"/>
    <x v="0"/>
    <n v="1"/>
    <n v="4.75"/>
    <n v="5.61"/>
    <n v="0"/>
    <n v="4.75"/>
    <n v="18"/>
    <n v="0.86"/>
    <n v="5.61"/>
    <n v="1"/>
    <n v="1"/>
    <x v="0"/>
    <x v="0"/>
    <x v="1"/>
    <s v="SAMUEL CHUQUISTA"/>
    <x v="1"/>
    <s v="7032101 VENTAS COMISION VAOPE"/>
    <x v="1"/>
    <x v="39"/>
    <s v="Son del Duke, Tony Rosado y Walther Lozada &amp; Orquesta en Cusco"/>
    <d v="2025-09-21T00:00:00"/>
    <d v="2025-09-21T00:00:00"/>
    <x v="30"/>
    <s v="MENDOZA HUALLPA LOYDA REBECA"/>
    <s v="Empresa"/>
    <x v="111"/>
  </r>
  <r>
    <x v="0"/>
    <x v="112"/>
    <s v="COLABORATIVA S.A.C."/>
    <x v="5"/>
    <d v="2025-11-03T14:28:50"/>
    <x v="31"/>
    <m/>
    <n v="6"/>
    <n v="20608574663"/>
    <s v="[{'id_producto': 32575, 'codigo_producto': 2315, 'nom_producto': 'PAUTA PUBLICITARIA', 'categoria_producto': 'service', 'cantidad': '1.0', 'valor_unitario': 211.86, 'precio_unitario': 249.99, 'descuento': 0.0, 'subtotal': 211.86, 'porcentaje_de_igv': '18.00', 'igv': 38.13, 'total': 249.99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4T00:00:00"/>
    <m/>
    <m/>
    <m/>
    <m/>
    <m/>
    <n v="32575"/>
    <x v="3"/>
    <x v="3"/>
    <x v="1"/>
    <n v="1"/>
    <n v="211.86"/>
    <n v="249.99"/>
    <n v="0"/>
    <n v="211.86"/>
    <n v="18"/>
    <n v="38.130000000000003"/>
    <n v="249.99"/>
    <n v="1"/>
    <n v="1"/>
    <x v="0"/>
    <x v="0"/>
    <x v="1"/>
    <s v="SAMUEL CHUQUISTA"/>
    <x v="2"/>
    <s v="7032102 VENTAS SERVICIOS VAOPE"/>
    <x v="2"/>
    <x v="39"/>
    <s v="Son del Duke, Tony Rosado y Walther Lozada &amp; Orquesta en Cusco"/>
    <d v="2025-09-21T00:00:00"/>
    <d v="2025-09-21T00:00:00"/>
    <x v="30"/>
    <s v="MENDOZA HUALLPA LOYDA REBECA"/>
    <s v="Empresa"/>
    <x v="112"/>
  </r>
  <r>
    <x v="0"/>
    <x v="113"/>
    <s v="COLABORATIVA S.A.C."/>
    <x v="5"/>
    <d v="2025-11-03T14:28:11"/>
    <x v="31"/>
    <m/>
    <n v="6"/>
    <n v="20608574663"/>
    <s v="[{'id_producto': 32572, 'codigo_producto': 224, 'nom_producto': 'FEE ADMINISTRATIVO', 'categoria_producto': 'service', 'cantidad': '1.0', 'valor_unitario': 25.0, 'precio_unitario': 29.5, 'descuento': 0.0, 'subtotal': 25.0, 'porcentaje_de_igv': '18.00', 'igv': 4.5, 'total': 29.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24T00:00:00"/>
    <m/>
    <m/>
    <m/>
    <m/>
    <m/>
    <n v="32572"/>
    <x v="4"/>
    <x v="4"/>
    <x v="1"/>
    <n v="1"/>
    <n v="25"/>
    <n v="29.5"/>
    <n v="0"/>
    <n v="25"/>
    <n v="18"/>
    <n v="4.5"/>
    <n v="29.5"/>
    <n v="1"/>
    <n v="1"/>
    <x v="0"/>
    <x v="0"/>
    <x v="1"/>
    <s v="SAMUEL CHUQUISTA"/>
    <x v="2"/>
    <s v="7032102 VENTAS SERVICIOS VAOPE"/>
    <x v="4"/>
    <x v="39"/>
    <s v="Son del Duke, Tony Rosado y Walther Lozada &amp; Orquesta en Cusco"/>
    <d v="2025-09-21T00:00:00"/>
    <d v="2025-09-21T00:00:00"/>
    <x v="30"/>
    <s v="MENDOZA HUALLPA LOYDA REBECA"/>
    <s v="Empresa"/>
    <x v="113"/>
  </r>
  <r>
    <x v="0"/>
    <x v="114"/>
    <s v="COLABORATIVA S.A.C."/>
    <x v="5"/>
    <d v="2025-11-03T14:27:38"/>
    <x v="31"/>
    <m/>
    <n v="6"/>
    <n v="20608574663"/>
    <s v="[{'id_producto': 32569, 'codigo_producto': 1916, 'nom_producto': 'DELIVERY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48, 'nom_distribucion': 'Impresos', 'sub_categoria': 'Suministros Venta', 'porcentaje': '100.00'}]]}]"/>
    <d v="2025-10-24T00:00:00"/>
    <m/>
    <m/>
    <m/>
    <m/>
    <m/>
    <n v="32569"/>
    <x v="13"/>
    <x v="13"/>
    <x v="1"/>
    <n v="1"/>
    <n v="7.5"/>
    <n v="8.85"/>
    <n v="0"/>
    <n v="7.5"/>
    <n v="18"/>
    <n v="1.35"/>
    <n v="8.85"/>
    <n v="1"/>
    <n v="1"/>
    <x v="0"/>
    <x v="0"/>
    <x v="1"/>
    <s v="SAMUEL CHUQUISTA"/>
    <x v="2"/>
    <s v="7032102 VENTAS SERVICIOS VAOPE"/>
    <x v="3"/>
    <x v="39"/>
    <s v="Son del Duke, Tony Rosado y Walther Lozada &amp; Orquesta en Cusco"/>
    <d v="2025-09-21T00:00:00"/>
    <d v="2025-09-21T00:00:00"/>
    <x v="30"/>
    <s v="MENDOZA HUALLPA LOYDA REBECA"/>
    <s v="Empresa"/>
    <x v="114"/>
  </r>
  <r>
    <x v="0"/>
    <x v="115"/>
    <s v="COLABORATIVA S.A.C."/>
    <x v="5"/>
    <d v="2025-11-03T14:27:12"/>
    <x v="31"/>
    <m/>
    <n v="6"/>
    <n v="20608574663"/>
    <s v="[{'id_producto': 32566, 'codigo_producto': 2342, 'nom_producto': 'SERVICIO DE DISENO 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]}]"/>
    <d v="2025-10-24T00:00:00"/>
    <m/>
    <m/>
    <m/>
    <m/>
    <m/>
    <n v="32566"/>
    <x v="12"/>
    <x v="12"/>
    <x v="1"/>
    <n v="1"/>
    <n v="7.5"/>
    <n v="8.85"/>
    <n v="0"/>
    <n v="7.5"/>
    <n v="18"/>
    <n v="1.35"/>
    <n v="8.85"/>
    <n v="1"/>
    <n v="1"/>
    <x v="0"/>
    <x v="0"/>
    <x v="1"/>
    <s v="SAMUEL CHUQUISTA"/>
    <x v="2"/>
    <s v="7032102 VENTAS SERVICIOS VAOPE"/>
    <x v="6"/>
    <x v="39"/>
    <s v="Son del Duke, Tony Rosado y Walther Lozada &amp; Orquesta en Cusco"/>
    <d v="2025-09-21T00:00:00"/>
    <d v="2025-09-21T00:00:00"/>
    <x v="30"/>
    <s v="MENDOZA HUALLPA LOYDA REBECA"/>
    <s v="Empresa"/>
    <x v="115"/>
  </r>
  <r>
    <x v="0"/>
    <x v="116"/>
    <s v="COLABORATIVA S.A.C."/>
    <x v="5"/>
    <d v="2025-11-03T14:24:27"/>
    <x v="31"/>
    <m/>
    <n v="6"/>
    <n v="20608574663"/>
    <s v="[{'id_producto': 32563, 'codigo_producto': 1924, 'nom_producto': 'BOLETO FULL COLOR CON QR', 'categoria_producto': 'consu', 'cantidad': '1.0', 'valor_unitario': 740.0, 'precio_unitario': 873.2, 'descuento': 0.0, 'subtotal': 740.0, 'porcentaje_de_igv': '18.00', 'igv': 133.2, 'total': 873.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24T00:00:00"/>
    <m/>
    <m/>
    <m/>
    <m/>
    <m/>
    <n v="32563"/>
    <x v="0"/>
    <x v="0"/>
    <x v="0"/>
    <n v="1"/>
    <n v="740"/>
    <n v="873.2"/>
    <n v="0"/>
    <n v="740"/>
    <n v="18"/>
    <n v="133.19999999999999"/>
    <n v="873.2"/>
    <n v="1"/>
    <n v="1"/>
    <x v="0"/>
    <x v="0"/>
    <x v="1"/>
    <s v="SAMUEL CHUQUISTA"/>
    <x v="0"/>
    <s v="7012100 MercaderÃ­as-Venta Local-Terceros"/>
    <x v="3"/>
    <x v="39"/>
    <s v="Son del Duke, Tony Rosado y Walther Lozada &amp; Orquesta en Cusco"/>
    <d v="2025-09-21T00:00:00"/>
    <d v="2025-09-21T00:00:00"/>
    <x v="30"/>
    <s v="MENDOZA HUALLPA LOYDA REBECA"/>
    <s v="Empresa"/>
    <x v="116"/>
  </r>
  <r>
    <x v="0"/>
    <x v="117"/>
    <s v="COLABORATIVA S.A.C."/>
    <x v="5"/>
    <d v="2025-11-03T14:23:06"/>
    <x v="32"/>
    <m/>
    <n v="6"/>
    <n v="10737909609"/>
    <s v="[{'id_producto': 32560, 'codigo_producto': 216, 'nom_producto': 'COMISION PAGOS DIGITALES SEGUN CONTRATO', 'categoria_producto': 'service', 'cantidad': '1.0', 'valor_unitario': 1691.19, 'precio_unitario': 1995.6, 'descuento': 0.0, 'subtotal': 1691.19, 'porcentaje_de_igv': '18.00', 'igv': 304.41, 'total': 1995.6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60"/>
    <x v="6"/>
    <x v="6"/>
    <x v="1"/>
    <n v="1"/>
    <n v="1691.19"/>
    <n v="1995.6"/>
    <n v="0"/>
    <n v="1691.19"/>
    <n v="18"/>
    <n v="304.41000000000003"/>
    <n v="1995.6"/>
    <n v="1"/>
    <n v="1"/>
    <x v="0"/>
    <x v="0"/>
    <x v="1"/>
    <s v="SAMUEL CHUQUISTA"/>
    <x v="3"/>
    <s v="7032100 Servicios-Local- VISA"/>
    <x v="1"/>
    <x v="39"/>
    <s v="Son del Duke, Tony Rosado y Walther Lozada &amp; Orquesta en Cusco"/>
    <d v="2025-09-21T00:00:00"/>
    <d v="2025-09-21T00:00:00"/>
    <x v="30"/>
    <s v="MENDOZA HUALLPA LOYDA REBECA"/>
    <s v="Empresa"/>
    <x v="117"/>
  </r>
  <r>
    <x v="0"/>
    <x v="118"/>
    <s v="COLABORATIVA S.A.C."/>
    <x v="5"/>
    <d v="2025-11-03T14:21:59"/>
    <x v="32"/>
    <m/>
    <n v="6"/>
    <n v="10737909609"/>
    <s v="[{'id_producto': 32557, 'codigo_producto': 1786, 'nom_producto': 'COMISION VAOPE SEGUN CONTRATO', 'categoria_producto': 'service', 'cantidad': '1.0', 'valor_unitario': 1334.56, 'precio_unitario': 1574.78, 'descuento': 0.0, 'subtotal': 1334.56, 'porcentaje_de_igv': '18.00', 'igv': 240.22, 'total': 1574.78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57"/>
    <x v="5"/>
    <x v="5"/>
    <x v="1"/>
    <n v="1"/>
    <n v="1334.56"/>
    <n v="1574.78"/>
    <n v="0"/>
    <n v="1334.56"/>
    <n v="18"/>
    <n v="240.22"/>
    <n v="1574.78"/>
    <n v="1"/>
    <n v="1"/>
    <x v="0"/>
    <x v="0"/>
    <x v="1"/>
    <s v="SAMUEL CHUQUISTA"/>
    <x v="1"/>
    <s v="7032101 VENTAS COMISION VAOPE"/>
    <x v="5"/>
    <x v="39"/>
    <s v="Son del Duke, Tony Rosado y Walther Lozada &amp; Orquesta en Cusco"/>
    <d v="2025-09-21T00:00:00"/>
    <d v="2025-09-21T00:00:00"/>
    <x v="30"/>
    <s v="MENDOZA HUALLPA LOYDA REBECA"/>
    <s v="Empresa"/>
    <x v="118"/>
  </r>
  <r>
    <x v="0"/>
    <x v="119"/>
    <s v="COLABORATIVA S.A.C."/>
    <x v="5"/>
    <d v="2025-11-03T14:21:34"/>
    <x v="32"/>
    <m/>
    <n v="6"/>
    <n v="10737909609"/>
    <s v="[{'id_producto': 32554, 'codigo_producto': 2274, 'nom_producto': 'COMISION CORTESIA ', 'categoria_producto': 'consu', 'cantidad': '1.0', 'valor_unitario': 14.25, 'precio_unitario': 16.82, 'descuento': 0.0, 'subtotal': 14.25, 'porcentaje_de_igv': '18.00', 'igv': 2.57, 'total': 16.82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4T00:00:00"/>
    <m/>
    <m/>
    <m/>
    <m/>
    <m/>
    <n v="32554"/>
    <x v="2"/>
    <x v="2"/>
    <x v="0"/>
    <n v="1"/>
    <n v="14.25"/>
    <n v="16.82"/>
    <n v="0"/>
    <n v="14.25"/>
    <n v="18"/>
    <n v="2.57"/>
    <n v="16.82"/>
    <n v="1"/>
    <n v="1"/>
    <x v="0"/>
    <x v="0"/>
    <x v="1"/>
    <s v="SAMUEL CHUQUISTA"/>
    <x v="1"/>
    <s v="7032101 VENTAS COMISION VAOPE"/>
    <x v="1"/>
    <x v="39"/>
    <s v="Son del Duke, Tony Rosado y Walther Lozada &amp; Orquesta en Cusco"/>
    <d v="2025-09-21T00:00:00"/>
    <d v="2025-09-21T00:00:00"/>
    <x v="30"/>
    <s v="MENDOZA HUALLPA LOYDA REBECA"/>
    <s v="Empresa"/>
    <x v="119"/>
  </r>
  <r>
    <x v="0"/>
    <x v="120"/>
    <s v="COLABORATIVA S.A.C."/>
    <x v="5"/>
    <d v="2025-11-03T14:20:33"/>
    <x v="32"/>
    <m/>
    <n v="6"/>
    <n v="10737909609"/>
    <s v="[{'id_producto': 32551, 'codigo_producto': 2315, 'nom_producto': 'PAUTA PUBLICITARIA', 'categoria_producto': 'service', 'cantidad': '1.0', 'valor_unitario': 635.59, 'precio_unitario': 750.0, 'descuento': 0.0, 'subtotal': 635.59, 'porcentaje_de_igv': '18.00', 'igv': 114.41, 'total': 750.0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24T00:00:00"/>
    <m/>
    <m/>
    <m/>
    <m/>
    <m/>
    <n v="32551"/>
    <x v="3"/>
    <x v="3"/>
    <x v="1"/>
    <n v="1"/>
    <n v="635.59"/>
    <n v="750"/>
    <n v="0"/>
    <n v="635.59"/>
    <n v="18"/>
    <n v="114.41"/>
    <n v="750"/>
    <n v="1"/>
    <n v="1"/>
    <x v="0"/>
    <x v="0"/>
    <x v="1"/>
    <s v="SAMUEL CHUQUISTA"/>
    <x v="2"/>
    <s v="7032102 VENTAS SERVICIOS VAOPE"/>
    <x v="2"/>
    <x v="39"/>
    <s v="Son del Duke, Tony Rosado y Walther Lozada &amp; Orquesta en Cusco"/>
    <d v="2025-09-21T00:00:00"/>
    <d v="2025-09-21T00:00:00"/>
    <x v="30"/>
    <s v="MENDOZA HUALLPA LOYDA REBECA"/>
    <s v="Empresa"/>
    <x v="120"/>
  </r>
  <r>
    <x v="0"/>
    <x v="121"/>
    <s v="COLABORATIVA S.A.C."/>
    <x v="5"/>
    <d v="2025-11-03T14:20:04"/>
    <x v="32"/>
    <m/>
    <n v="6"/>
    <n v="10737909609"/>
    <s v="[{'id_producto': 32548, 'codigo_producto': 224, 'nom_producto': 'FEE ADMINISTRATIVO', 'categoria_producto': 'service', 'cantidad': '1.0', 'valor_unitario': 75.0, 'precio_unitario': 88.5, 'descuento': 0.0, 'subtotal': 75.0, 'porcentaje_de_igv': '18.00', 'igv': 13.5, 'total': 88.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24T00:00:00"/>
    <m/>
    <m/>
    <m/>
    <m/>
    <m/>
    <n v="32548"/>
    <x v="4"/>
    <x v="4"/>
    <x v="1"/>
    <n v="1"/>
    <n v="75"/>
    <n v="88.5"/>
    <n v="0"/>
    <n v="75"/>
    <n v="18"/>
    <n v="13.5"/>
    <n v="88.5"/>
    <n v="1"/>
    <n v="1"/>
    <x v="0"/>
    <x v="0"/>
    <x v="1"/>
    <s v="SAMUEL CHUQUISTA"/>
    <x v="2"/>
    <s v="7032102 VENTAS SERVICIOS VAOPE"/>
    <x v="4"/>
    <x v="39"/>
    <s v="Son del Duke, Tony Rosado y Walther Lozada &amp; Orquesta en Cusco"/>
    <d v="2025-09-21T00:00:00"/>
    <d v="2025-09-21T00:00:00"/>
    <x v="30"/>
    <s v="MENDOZA HUALLPA LOYDA REBECA"/>
    <s v="Empresa"/>
    <x v="121"/>
  </r>
  <r>
    <x v="0"/>
    <x v="122"/>
    <s v="COLABORATIVA S.A.C."/>
    <x v="5"/>
    <d v="2025-11-03T14:19:43"/>
    <x v="32"/>
    <m/>
    <n v="6"/>
    <n v="10737909609"/>
    <s v="[{'id_producto': 32545, 'codigo_producto': 1916, 'nom_producto': 'DELIVERY', 'categoria_producto': 'service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48, 'nom_distribucion': 'Impresos', 'sub_categoria': 'Suministros Venta', 'porcentaje': '100.00'}]]}]"/>
    <d v="2025-10-24T00:00:00"/>
    <m/>
    <m/>
    <m/>
    <m/>
    <m/>
    <n v="32545"/>
    <x v="13"/>
    <x v="13"/>
    <x v="1"/>
    <n v="1"/>
    <n v="22.5"/>
    <n v="26.55"/>
    <n v="0"/>
    <n v="22.5"/>
    <n v="18"/>
    <n v="4.05"/>
    <n v="26.55"/>
    <n v="1"/>
    <n v="1"/>
    <x v="0"/>
    <x v="0"/>
    <x v="1"/>
    <s v="SAMUEL CHUQUISTA"/>
    <x v="2"/>
    <s v="7032102 VENTAS SERVICIOS VAOPE"/>
    <x v="3"/>
    <x v="39"/>
    <s v="Son del Duke, Tony Rosado y Walther Lozada &amp; Orquesta en Cusco"/>
    <d v="2025-09-21T00:00:00"/>
    <d v="2025-09-21T00:00:00"/>
    <x v="30"/>
    <s v="MENDOZA HUALLPA LOYDA REBECA"/>
    <s v="Empresa"/>
    <x v="122"/>
  </r>
  <r>
    <x v="0"/>
    <x v="123"/>
    <s v="COLABORATIVA S.A.C."/>
    <x v="5"/>
    <d v="2025-11-03T14:19:03"/>
    <x v="32"/>
    <m/>
    <n v="6"/>
    <n v="10737909609"/>
    <s v="[{'id_producto': 32542, 'codigo_producto': 2342, 'nom_producto': 'SERVICIO DE DISENO ', 'categoria_producto': 'service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]}]"/>
    <d v="2025-10-24T00:00:00"/>
    <m/>
    <m/>
    <m/>
    <m/>
    <m/>
    <n v="32542"/>
    <x v="12"/>
    <x v="12"/>
    <x v="1"/>
    <n v="1"/>
    <n v="22.5"/>
    <n v="26.55"/>
    <n v="0"/>
    <n v="22.5"/>
    <n v="18"/>
    <n v="4.05"/>
    <n v="26.55"/>
    <n v="1"/>
    <n v="1"/>
    <x v="0"/>
    <x v="0"/>
    <x v="1"/>
    <s v="SAMUEL CHUQUISTA"/>
    <x v="2"/>
    <s v="7032102 VENTAS SERVICIOS VAOPE"/>
    <x v="6"/>
    <x v="39"/>
    <s v="Son del Duke, Tony Rosado y Walther Lozada &amp; Orquesta en Cusco"/>
    <d v="2025-09-21T00:00:00"/>
    <d v="2025-09-21T00:00:00"/>
    <x v="30"/>
    <s v="MENDOZA HUALLPA LOYDA REBECA"/>
    <s v="Empresa"/>
    <x v="123"/>
  </r>
  <r>
    <x v="0"/>
    <x v="124"/>
    <s v="COLABORATIVA S.A.C."/>
    <x v="5"/>
    <d v="2025-11-03T14:15:57"/>
    <x v="32"/>
    <m/>
    <n v="6"/>
    <n v="10737909609"/>
    <s v="[{'id_producto': 32539, 'codigo_producto': 2324, 'nom_producto': 'ENTRADAS IMPRESAS', 'categoria_producto': 'consu', 'cantidad': '1.0', 'valor_unitario': 2220.0, 'precio_unitario': 2619.6, 'descuento': 0.0, 'subtotal': 2220.0, 'porcentaje_de_igv': '18.00', 'igv': 399.6, 'total': 2619.6, 'moneda': '1', 'tipo_de_cambio': 1.0, 'id_estado': 'paid', 'nombre_estado': 'Paga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24T00:00:00"/>
    <m/>
    <m/>
    <m/>
    <m/>
    <m/>
    <n v="32539"/>
    <x v="16"/>
    <x v="16"/>
    <x v="0"/>
    <n v="1"/>
    <n v="2220"/>
    <n v="2619.6"/>
    <n v="0"/>
    <n v="2220"/>
    <n v="18"/>
    <n v="399.6"/>
    <n v="2619.6"/>
    <n v="1"/>
    <n v="1"/>
    <x v="0"/>
    <x v="0"/>
    <x v="1"/>
    <s v="SAMUEL CHUQUISTA"/>
    <x v="0"/>
    <s v="7012100 MercaderÃ­as-Venta Local-Terceros"/>
    <x v="3"/>
    <x v="39"/>
    <s v="Son del Duke, Tony Rosado y Walther Lozada &amp; Orquesta en Cusco"/>
    <d v="2025-09-21T00:00:00"/>
    <d v="2025-09-21T00:00:00"/>
    <x v="30"/>
    <s v="MENDOZA HUALLPA LOYDA REBECA"/>
    <s v="Empresa"/>
    <x v="124"/>
  </r>
  <r>
    <x v="1"/>
    <x v="125"/>
    <s v="COLABORATIVA S.A.C."/>
    <x v="5"/>
    <d v="2025-11-03T13:56:15"/>
    <x v="33"/>
    <m/>
    <n v="1"/>
    <n v="76629449"/>
    <s v="[{'id_producto': 32533, 'codigo_producto': 216, 'nom_producto': 'COMISION PAGOS DIGITALES SEGUN CONTRATO', 'categoria_producto': 'service', 'cantidad': '1.0', 'valor_unitario': 289.11, 'precio_unitario': 341.15, 'descuento': 0.0, 'subtotal': 289.11, 'porcentaje_de_igv': '18.00', 'igv': 52.04, 'total': 341.1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33"/>
    <x v="6"/>
    <x v="6"/>
    <x v="1"/>
    <n v="1"/>
    <n v="289.11"/>
    <n v="341.15"/>
    <n v="0"/>
    <n v="289.11"/>
    <n v="18"/>
    <n v="52.04"/>
    <n v="341.15"/>
    <n v="1"/>
    <n v="1"/>
    <x v="0"/>
    <x v="0"/>
    <x v="1"/>
    <s v="SAMUEL CHUQUISTA"/>
    <x v="3"/>
    <s v="7032100 Servicios-Local- VISA"/>
    <x v="1"/>
    <x v="40"/>
    <s v="2do Festival Cajacho en el Huaralino"/>
    <d v="2025-10-04T00:00:00"/>
    <d v="2025-10-04T00:00:00"/>
    <x v="31"/>
    <s v="JHON EDWIN FERNANDEZ GALARZA"/>
    <s v="Persona"/>
    <x v="125"/>
  </r>
  <r>
    <x v="1"/>
    <x v="126"/>
    <s v="COLABORATIVA S.A.C."/>
    <x v="5"/>
    <d v="2025-11-03T13:55:45"/>
    <x v="33"/>
    <m/>
    <n v="1"/>
    <n v="76629449"/>
    <s v="[{'id_producto': 32530, 'codigo_producto': 1786, 'nom_producto': 'COMISION VAOPE SEGUN CONTRATO', 'categoria_producto': 'service', 'cantidad': '1.0', 'valor_unitario': 203.35, 'precio_unitario': 239.95, 'descuento': 0.0, 'subtotal': 203.35, 'porcentaje_de_igv': '18.00', 'igv': 36.6, 'total': 239.9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30"/>
    <x v="5"/>
    <x v="5"/>
    <x v="1"/>
    <n v="1"/>
    <n v="203.35"/>
    <n v="239.95"/>
    <n v="0"/>
    <n v="203.35"/>
    <n v="18"/>
    <n v="36.6"/>
    <n v="239.95"/>
    <n v="1"/>
    <n v="1"/>
    <x v="0"/>
    <x v="0"/>
    <x v="1"/>
    <s v="SAMUEL CHUQUISTA"/>
    <x v="1"/>
    <s v="7032101 VENTAS COMISION VAOPE"/>
    <x v="5"/>
    <x v="40"/>
    <s v="2do Festival Cajacho en el Huaralino"/>
    <d v="2025-10-04T00:00:00"/>
    <d v="2025-10-04T00:00:00"/>
    <x v="31"/>
    <s v="JHON EDWIN FERNANDEZ GALARZA"/>
    <s v="Persona"/>
    <x v="126"/>
  </r>
  <r>
    <x v="1"/>
    <x v="127"/>
    <s v="COLABORATIVA S.A.C."/>
    <x v="5"/>
    <d v="2025-11-03T13:50:59"/>
    <x v="34"/>
    <m/>
    <n v="1"/>
    <n v="46029487"/>
    <s v="[{'id_producto': 32527, 'codigo_producto': 1786, 'nom_producto': 'COMISION VAOPE SEGUN CONTRATO', 'categoria_producto': 'service', 'cantidad': '1.0', 'valor_unitario': 836.27, 'precio_unitario': 986.8, 'descuento': 0.0, 'subtotal': 836.27, 'porcentaje_de_igv': '18.00', 'igv': 150.53, 'total': 986.8, 'moneda': '1', 'tipo_de_cambio': 1.0, 'id_estado': 'paid', 'nombre_estado': 'Pagado', 'evento': {'id_evento': '2912', 'nom_evento': 'Noche de Salsa con Jeinson Manuel y Zaperoko en Cusco', 'fecha_hora_ini_event': '17-10-2025', 'fecha_hora_fin_event': '17-10-2025', 'id_organizador': 5088, 'nom_organizador': 'IBRAHIM AMATHORE MEDINA MAMANI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27"/>
    <x v="5"/>
    <x v="5"/>
    <x v="1"/>
    <n v="1"/>
    <n v="836.27"/>
    <n v="986.8"/>
    <n v="0"/>
    <n v="836.27"/>
    <n v="18"/>
    <n v="150.53"/>
    <n v="986.8"/>
    <n v="1"/>
    <n v="1"/>
    <x v="0"/>
    <x v="0"/>
    <x v="1"/>
    <s v="SAMUEL CHUQUISTA"/>
    <x v="1"/>
    <s v="7032101 VENTAS COMISION VAOPE"/>
    <x v="5"/>
    <x v="41"/>
    <s v="Noche de Salsa con Jeinson Manuel y Zaperoko en Cusco"/>
    <d v="2025-10-17T00:00:00"/>
    <d v="2025-10-17T00:00:00"/>
    <x v="32"/>
    <s v="IBRAHIM AMATHORE MEDINA MAMANI"/>
    <s v="Persona"/>
    <x v="127"/>
  </r>
  <r>
    <x v="1"/>
    <x v="128"/>
    <s v="COLABORATIVA S.A.C."/>
    <x v="5"/>
    <d v="2025-11-03T13:50:41"/>
    <x v="34"/>
    <m/>
    <n v="1"/>
    <n v="46029487"/>
    <s v="[{'id_producto': 32524, 'codigo_producto': 216, 'nom_producto': 'COMISION PAGOS DIGITALES SEGUN CONTRATO', 'categoria_producto': 'service', 'cantidad': '1.0', 'valor_unitario': 881.36, 'precio_unitario': 1040.0, 'descuento': 0.0, 'subtotal': 881.36, 'porcentaje_de_igv': '18.00', 'igv': 158.64, 'total': 1040.0, 'moneda': '1', 'tipo_de_cambio': 1.0, 'id_estado': 'paid', 'nombre_estado': 'Pagado', 'evento': {'id_evento': '2912', 'nom_evento': 'Noche de Salsa con Jeinson Manuel y Zaperoko en Cusco', 'fecha_hora_ini_event': '17-10-2025', 'fecha_hora_fin_event': '17-10-2025', 'id_organizador': 5088, 'nom_organizador': 'IBRAHIM AMATHORE MEDINA MAMANI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24"/>
    <x v="6"/>
    <x v="6"/>
    <x v="1"/>
    <n v="1"/>
    <n v="881.36"/>
    <n v="1040"/>
    <n v="0"/>
    <n v="881.36"/>
    <n v="18"/>
    <n v="158.63999999999999"/>
    <n v="1040"/>
    <n v="1"/>
    <n v="1"/>
    <x v="0"/>
    <x v="0"/>
    <x v="1"/>
    <s v="SAMUEL CHUQUISTA"/>
    <x v="3"/>
    <s v="7032100 Servicios-Local- VISA"/>
    <x v="1"/>
    <x v="41"/>
    <s v="Noche de Salsa con Jeinson Manuel y Zaperoko en Cusco"/>
    <d v="2025-10-17T00:00:00"/>
    <d v="2025-10-17T00:00:00"/>
    <x v="32"/>
    <s v="IBRAHIM AMATHORE MEDINA MAMANI"/>
    <s v="Persona"/>
    <x v="128"/>
  </r>
  <r>
    <x v="1"/>
    <x v="129"/>
    <s v="COLABORATIVA S.A.C."/>
    <x v="5"/>
    <d v="2025-11-03T13:48:56"/>
    <x v="35"/>
    <m/>
    <n v="1"/>
    <n v="71809280"/>
    <s v="[{'id_producto': 32521, 'codigo_producto': 2276, 'nom_producto': 'PUNTO DE VENTA', 'categoria_producto': 'service', 'cantidad': '1.0', 'valor_unitario': 1.5, 'precio_unitario': 1.77, 'descuento': 0.0, 'subtotal': 1.5, 'porcentaje_de_igv': '18.00', 'igv': 0.27, 'total': 1.77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59, 'nom_cuenta_analitica': '7032102 VENTAS SERVICIOS VAOPE', 'distribucion_analitica': []}]"/>
    <d v="2025-10-24T00:00:00"/>
    <m/>
    <m/>
    <m/>
    <m/>
    <m/>
    <n v="32521"/>
    <x v="9"/>
    <x v="9"/>
    <x v="1"/>
    <n v="1"/>
    <n v="1.5"/>
    <n v="1.77"/>
    <n v="0"/>
    <n v="1.5"/>
    <n v="18"/>
    <n v="0.27"/>
    <n v="1.77"/>
    <n v="1"/>
    <n v="1"/>
    <x v="0"/>
    <x v="0"/>
    <x v="1"/>
    <s v="SAMUEL CHUQUISTA"/>
    <x v="2"/>
    <s v="7032102 VENTAS SERVICIOS VAOPE"/>
    <x v="6"/>
    <x v="42"/>
    <s v="Tributo Las Guerreras K-pop en Cusco"/>
    <d v="2025-10-19T00:00:00"/>
    <d v="2025-10-19T00:00:00"/>
    <x v="33"/>
    <s v="CRISTELL ROCIO LOZANO GARCIA"/>
    <s v="Persona"/>
    <x v="129"/>
  </r>
  <r>
    <x v="1"/>
    <x v="130"/>
    <s v="COLABORATIVA S.A.C."/>
    <x v="5"/>
    <d v="2025-11-03T13:48:37"/>
    <x v="35"/>
    <m/>
    <n v="1"/>
    <n v="71809280"/>
    <s v="[{'id_producto': 32518, 'codigo_producto': 1786, 'nom_producto': 'COMISION VAOPE SEGUN CONTRATO', 'categoria_producto': 'service', 'cantidad': '1.0', 'valor_unitario': 2630.88, 'precio_unitario': 3104.44, 'descuento': 0.0, 'subtotal': 2630.88, 'porcentaje_de_igv': '18.00', 'igv': 473.56, 'total': 3104.44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18"/>
    <x v="5"/>
    <x v="5"/>
    <x v="1"/>
    <n v="1"/>
    <n v="2630.88"/>
    <n v="3104.44"/>
    <n v="0"/>
    <n v="2630.88"/>
    <n v="18"/>
    <n v="473.56"/>
    <n v="3104.44"/>
    <n v="1"/>
    <n v="1"/>
    <x v="0"/>
    <x v="0"/>
    <x v="1"/>
    <s v="SAMUEL CHUQUISTA"/>
    <x v="1"/>
    <s v="7032101 VENTAS COMISION VAOPE"/>
    <x v="5"/>
    <x v="42"/>
    <s v="Tributo Las Guerreras K-pop en Cusco"/>
    <d v="2025-10-19T00:00:00"/>
    <d v="2025-10-19T00:00:00"/>
    <x v="33"/>
    <s v="CRISTELL ROCIO LOZANO GARCIA"/>
    <s v="Persona"/>
    <x v="130"/>
  </r>
  <r>
    <x v="1"/>
    <x v="131"/>
    <s v="COLABORATIVA S.A.C."/>
    <x v="5"/>
    <d v="2025-11-03T13:48:20"/>
    <x v="35"/>
    <m/>
    <n v="1"/>
    <n v="71809280"/>
    <s v="[{'id_producto': 32515, 'codigo_producto': 216, 'nom_producto': 'COMISION PAGOS DIGITALES SEGUN CONTRATO', 'categoria_producto': 'service', 'cantidad': '1.0', 'valor_unitario': 1608.36, 'precio_unitario': 1897.86, 'descuento': 0.0, 'subtotal': 1608.36, 'porcentaje_de_igv': '18.00', 'igv': 289.5, 'total': 1897.86, 'moneda': '1', 'tipo_de_cambio': 1.0, 'id_estado': 'paid', 'nombre_estado': 'Pagado', 'evento': {'id_evento': '3171', 'nom_evento': 'Tributo Las Guerreras K-pop en Cusco', 'fecha_hora_ini_event': '19-10-2025', 'fecha_hora_fin_event': '19-10-2025', 'id_organizador': 6056, 'nom_organizador': 'CRISTELL ROCIO LOZANO GARCI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15"/>
    <x v="6"/>
    <x v="6"/>
    <x v="1"/>
    <n v="1"/>
    <n v="1608.36"/>
    <n v="1897.86"/>
    <n v="0"/>
    <n v="1608.36"/>
    <n v="18"/>
    <n v="289.5"/>
    <n v="1897.86"/>
    <n v="1"/>
    <n v="1"/>
    <x v="0"/>
    <x v="0"/>
    <x v="1"/>
    <s v="SAMUEL CHUQUISTA"/>
    <x v="3"/>
    <s v="7032100 Servicios-Local- VISA"/>
    <x v="1"/>
    <x v="42"/>
    <s v="Tributo Las Guerreras K-pop en Cusco"/>
    <d v="2025-10-19T00:00:00"/>
    <d v="2025-10-19T00:00:00"/>
    <x v="33"/>
    <s v="CRISTELL ROCIO LOZANO GARCIA"/>
    <s v="Persona"/>
    <x v="131"/>
  </r>
  <r>
    <x v="1"/>
    <x v="132"/>
    <s v="COLABORATIVA S.A.C."/>
    <x v="5"/>
    <d v="2025-11-03T13:46:19"/>
    <x v="36"/>
    <m/>
    <n v="1"/>
    <n v="47037708"/>
    <s v="[{'id_producto': 32512, 'codigo_producto': 1786, 'nom_producto': 'COMISION VAOPE SEGUN CONTRATO', 'categoria_producto': 'service', 'cantidad': '1.0', 'valor_unitario': 367.8, 'precio_unitario': 434.0, 'descuento': 0.0, 'subtotal': 367.8, 'porcentaje_de_igv': '18.00', 'igv': 66.2, 'total': 434.0, 'moneda': '1', 'tipo_de_cambio': 1.0, 'id_estado': 'paid', 'nombre_estado': 'Pagado', 'evento': {'id_evento': '3104', 'nom_evento': &quot;RaÃ­ces D' Jauja 24 Aniversario en Carapongo&quot;, 'fecha_hora_ini_event': '19-10-2025', 'fecha_hora_fin_event': '19-10-2025', 'id_organizador': 5822, 'nom_organizador': 'OSCAR ALEXIS ARZAPALO POMASUNC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12"/>
    <x v="5"/>
    <x v="5"/>
    <x v="1"/>
    <n v="1"/>
    <n v="367.8"/>
    <n v="434"/>
    <n v="0"/>
    <n v="367.8"/>
    <n v="18"/>
    <n v="66.2"/>
    <n v="434"/>
    <n v="1"/>
    <n v="1"/>
    <x v="0"/>
    <x v="0"/>
    <x v="1"/>
    <s v="SAMUEL CHUQUISTA"/>
    <x v="1"/>
    <s v="7032101 VENTAS COMISION VAOPE"/>
    <x v="5"/>
    <x v="43"/>
    <s v="RaÃ­ces D' Jauja 24 Aniversario en Carapongo"/>
    <d v="2025-10-19T00:00:00"/>
    <d v="2025-10-19T00:00:00"/>
    <x v="34"/>
    <s v="OSCAR ALEXIS ARZAPALO POMASUNCO"/>
    <s v="Persona"/>
    <x v="132"/>
  </r>
  <r>
    <x v="1"/>
    <x v="133"/>
    <s v="COLABORATIVA S.A.C."/>
    <x v="5"/>
    <d v="2025-11-03T13:45:58"/>
    <x v="36"/>
    <m/>
    <n v="1"/>
    <n v="47037708"/>
    <s v="[{'id_producto': 32509, 'codigo_producto': 216, 'nom_producto': 'COMISION PAGOS DIGITALES SEGUN CONTRATO', 'categoria_producto': 'service', 'cantidad': '1.0', 'valor_unitario': 284.75, 'precio_unitario': 336.01, 'descuento': 0.0, 'subtotal': 284.75, 'porcentaje_de_igv': '18.00', 'igv': 51.26, 'total': 336.01, 'moneda': '1', 'tipo_de_cambio': 1.0, 'id_estado': 'paid', 'nombre_estado': 'Pagado', 'evento': {'id_evento': '3104', 'nom_evento': &quot;RaÃ­ces D' Jauja 24 Aniversario en Carapongo&quot;, 'fecha_hora_ini_event': '19-10-2025', 'fecha_hora_fin_event': '19-10-2025', 'id_organizador': 5822, 'nom_organizador': 'OSCAR ALEXIS ARZAPALO POMASUNC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09"/>
    <x v="6"/>
    <x v="6"/>
    <x v="1"/>
    <n v="1"/>
    <n v="284.75"/>
    <n v="336.01"/>
    <n v="0"/>
    <n v="284.75"/>
    <n v="18"/>
    <n v="51.26"/>
    <n v="336.01"/>
    <n v="1"/>
    <n v="1"/>
    <x v="0"/>
    <x v="0"/>
    <x v="1"/>
    <s v="SAMUEL CHUQUISTA"/>
    <x v="3"/>
    <s v="7032100 Servicios-Local- VISA"/>
    <x v="1"/>
    <x v="43"/>
    <s v="RaÃ­ces D' Jauja 24 Aniversario en Carapongo"/>
    <d v="2025-10-19T00:00:00"/>
    <d v="2025-10-19T00:00:00"/>
    <x v="34"/>
    <s v="OSCAR ALEXIS ARZAPALO POMASUNCO"/>
    <s v="Persona"/>
    <x v="133"/>
  </r>
  <r>
    <x v="1"/>
    <x v="134"/>
    <s v="COLABORATIVA S.A.C."/>
    <x v="5"/>
    <d v="2025-11-03T11:34:22"/>
    <x v="37"/>
    <m/>
    <n v="1"/>
    <n v="45978375"/>
    <s v="[{'id_producto': 32506, 'codigo_producto': 216, 'nom_producto': 'COMISION PAGOS DIGITALES SEGUN CONTRATO', 'categoria_producto': 'service', 'cantidad': '1.0', 'valor_unitario': 42.2, 'precio_unitario': 49.8, 'descuento': 0.0, 'subtotal': 42.2, 'porcentaje_de_igv': '18.00', 'igv': 7.6, 'total': 49.8, 'moneda': '1', 'tipo_de_cambio': 1.0, 'id_estado': 'paid', 'nombre_estado': 'Pagado', 'evento': {'id_evento': '3055', 'nom_evento': 'Feliz Aniversario Quimica San Carlos en el Campus Unicachi', 'fecha_hora_ini_event': '18-10-2025', 'fecha_hora_fin_event': '18-10-2025', 'id_organizador': 5611, 'nom_organizador': 'CARLOS HERNANDEZ HERNAND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4T00:00:00"/>
    <m/>
    <m/>
    <m/>
    <m/>
    <m/>
    <n v="32506"/>
    <x v="6"/>
    <x v="6"/>
    <x v="1"/>
    <n v="1"/>
    <n v="42.2"/>
    <n v="49.8"/>
    <n v="0"/>
    <n v="42.2"/>
    <n v="18"/>
    <n v="7.6"/>
    <n v="49.8"/>
    <n v="1"/>
    <n v="1"/>
    <x v="0"/>
    <x v="0"/>
    <x v="1"/>
    <s v="SAMUEL CHUQUISTA"/>
    <x v="3"/>
    <s v="7032100 Servicios-Local- VISA"/>
    <x v="1"/>
    <x v="44"/>
    <s v="Feliz Aniversario Quimica San Carlos en el Campus Unicachi"/>
    <d v="2025-10-18T00:00:00"/>
    <d v="2025-10-18T00:00:00"/>
    <x v="35"/>
    <s v="CARLOS HERNANDEZ HERNANDEZ"/>
    <s v="Persona"/>
    <x v="134"/>
  </r>
  <r>
    <x v="1"/>
    <x v="135"/>
    <s v="COLABORATIVA S.A.C."/>
    <x v="5"/>
    <d v="2025-11-03T11:33:56"/>
    <x v="37"/>
    <m/>
    <n v="1"/>
    <n v="45978375"/>
    <s v="[{'id_producto': 32503, 'codigo_producto': 1786, 'nom_producto': 'COMISION VAOPE SEGUN CONTRATO', 'categoria_producto': 'service', 'cantidad': '1.0', 'valor_unitario': 51.78, 'precio_unitario': 61.1, 'descuento': 0.0, 'subtotal': 51.78, 'porcentaje_de_igv': '18.00', 'igv': 9.32, 'total': 61.1, 'moneda': '1', 'tipo_de_cambio': 1.0, 'id_estado': 'paid', 'nombre_estado': 'Pagado', 'evento': {'id_evento': '3055', 'nom_evento': 'Feliz Aniversario Quimica San Carlos en el Campus Unicachi', 'fecha_hora_ini_event': '18-10-2025', 'fecha_hora_fin_event': '18-10-2025', 'id_organizador': 5611, 'nom_organizador': 'CARLOS HERNANDEZ HERNAND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4T00:00:00"/>
    <m/>
    <m/>
    <m/>
    <m/>
    <m/>
    <n v="32503"/>
    <x v="5"/>
    <x v="5"/>
    <x v="1"/>
    <n v="1"/>
    <n v="51.78"/>
    <n v="61.1"/>
    <n v="0"/>
    <n v="51.78"/>
    <n v="18"/>
    <n v="9.32"/>
    <n v="61.1"/>
    <n v="1"/>
    <n v="1"/>
    <x v="0"/>
    <x v="0"/>
    <x v="1"/>
    <s v="SAMUEL CHUQUISTA"/>
    <x v="1"/>
    <s v="7032101 VENTAS COMISION VAOPE"/>
    <x v="5"/>
    <x v="44"/>
    <s v="Feliz Aniversario Quimica San Carlos en el Campus Unicachi"/>
    <d v="2025-10-18T00:00:00"/>
    <d v="2025-10-18T00:00:00"/>
    <x v="35"/>
    <s v="CARLOS HERNANDEZ HERNANDEZ"/>
    <s v="Persona"/>
    <x v="135"/>
  </r>
  <r>
    <x v="0"/>
    <x v="136"/>
    <s v="COLABORATIVA S.A.C."/>
    <x v="5"/>
    <d v="2025-11-03T11:29:54"/>
    <x v="38"/>
    <m/>
    <n v="6"/>
    <n v="20611536705"/>
    <s v="[{'id_producto': 32498, 'codigo_producto': 1895, 'nom_producto': 'BRAZALETE CON QR', 'categoria_producto': 'consu', 'cantidad': '3000.0', 'valor_unitario': 0.6, 'precio_unitario': 0.71, 'descuento': 0.0, 'subtotal': 1800.0, 'porcentaje_de_igv': '18.00', 'igv': 324.0, 'total': 2124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499, 'codigo_producto': 1924, 'nom_producto': 'BOLETO FULL COLOR CON QR', 'categoria_producto': 'consu', 'cantidad': '5000.0', 'valor_unitario': 0.4, 'precio_unitario': 0.47, 'descuento': 0.0, 'subtotal': 2000.0, 'porcentaje_de_igv': '18.00', 'igv': 360.0, 'total': 2360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502, 'codigo_producto': 2344, 'nom_producto': 'Descuento', 'categoria_producto': 'service', 'cantidad': '1.0', 'valor_unitario': -190.0, 'precio_unitario': -224.2, 'descuento': 0.0, 'subtotal': -190.0, 'porcentaje_de_igv': '18.00', 'igv': -34.2, 'total': -224.2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]}]"/>
    <d v="2025-10-24T00:00:00"/>
    <m/>
    <m/>
    <m/>
    <m/>
    <m/>
    <n v="32498"/>
    <x v="1"/>
    <x v="1"/>
    <x v="0"/>
    <n v="3000"/>
    <n v="0.6"/>
    <n v="0.71"/>
    <n v="0"/>
    <n v="1800"/>
    <n v="18"/>
    <n v="324"/>
    <n v="2124"/>
    <n v="1"/>
    <n v="1"/>
    <x v="0"/>
    <x v="0"/>
    <x v="1"/>
    <s v="SAMUEL CHUQUISTA"/>
    <x v="0"/>
    <s v="7012100 MercaderÃ­as-Venta Local-Terceros"/>
    <x v="0"/>
    <x v="32"/>
    <m/>
    <m/>
    <m/>
    <x v="36"/>
    <s v="A10 COMPANI S.A.C."/>
    <s v="Empresa"/>
    <x v="136"/>
  </r>
  <r>
    <x v="0"/>
    <x v="136"/>
    <s v="COLABORATIVA S.A.C."/>
    <x v="5"/>
    <d v="2025-11-03T11:29:54"/>
    <x v="38"/>
    <m/>
    <n v="6"/>
    <n v="20611536705"/>
    <s v="[{'id_producto': 32498, 'codigo_producto': 1895, 'nom_producto': 'BRAZALETE CON QR', 'categoria_producto': 'consu', 'cantidad': '3000.0', 'valor_unitario': 0.6, 'precio_unitario': 0.71, 'descuento': 0.0, 'subtotal': 1800.0, 'porcentaje_de_igv': '18.00', 'igv': 324.0, 'total': 2124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499, 'codigo_producto': 1924, 'nom_producto': 'BOLETO FULL COLOR CON QR', 'categoria_producto': 'consu', 'cantidad': '5000.0', 'valor_unitario': 0.4, 'precio_unitario': 0.47, 'descuento': 0.0, 'subtotal': 2000.0, 'porcentaje_de_igv': '18.00', 'igv': 360.0, 'total': 2360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502, 'codigo_producto': 2344, 'nom_producto': 'Descuento', 'categoria_producto': 'service', 'cantidad': '1.0', 'valor_unitario': -190.0, 'precio_unitario': -224.2, 'descuento': 0.0, 'subtotal': -190.0, 'porcentaje_de_igv': '18.00', 'igv': -34.2, 'total': -224.2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]}]"/>
    <d v="2025-10-24T00:00:00"/>
    <m/>
    <m/>
    <m/>
    <m/>
    <m/>
    <n v="32499"/>
    <x v="0"/>
    <x v="0"/>
    <x v="0"/>
    <n v="5000"/>
    <n v="0.4"/>
    <n v="0.47"/>
    <n v="0"/>
    <n v="2000"/>
    <n v="18"/>
    <n v="360"/>
    <n v="2360"/>
    <n v="1"/>
    <n v="1"/>
    <x v="0"/>
    <x v="0"/>
    <x v="1"/>
    <s v="SAMUEL CHUQUISTA"/>
    <x v="0"/>
    <s v="7012100 MercaderÃ­as-Venta Local-Terceros"/>
    <x v="0"/>
    <x v="32"/>
    <m/>
    <m/>
    <m/>
    <x v="36"/>
    <s v="A10 COMPANI S.A.C."/>
    <s v="Empresa"/>
    <x v="136"/>
  </r>
  <r>
    <x v="0"/>
    <x v="136"/>
    <s v="COLABORATIVA S.A.C."/>
    <x v="5"/>
    <d v="2025-11-03T11:29:54"/>
    <x v="38"/>
    <m/>
    <n v="6"/>
    <n v="20611536705"/>
    <s v="[{'id_producto': 32498, 'codigo_producto': 1895, 'nom_producto': 'BRAZALETE CON QR', 'categoria_producto': 'consu', 'cantidad': '3000.0', 'valor_unitario': 0.6, 'precio_unitario': 0.71, 'descuento': 0.0, 'subtotal': 1800.0, 'porcentaje_de_igv': '18.00', 'igv': 324.0, 'total': 2124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499, 'codigo_producto': 1924, 'nom_producto': 'BOLETO FULL COLOR CON QR', 'categoria_producto': 'consu', 'cantidad': '5000.0', 'valor_unitario': 0.4, 'precio_unitario': 0.47, 'descuento': 0.0, 'subtotal': 2000.0, 'porcentaje_de_igv': '18.00', 'igv': 360.0, 'total': 2360.0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[{'codigo': 82, 'nom_distribucion': 'Impresos', 'sub_categoria': 'Ime', 'porcentaje': '100.00'}]]}, {'id_producto': 32502, 'codigo_producto': 2344, 'nom_producto': 'Descuento', 'categoria_producto': 'service', 'cantidad': '1.0', 'valor_unitario': -190.0, 'precio_unitario': -224.2, 'descuento': 0.0, 'subtotal': -190.0, 'porcentaje_de_igv': '18.00', 'igv': -34.2, 'total': -224.2, 'moneda': '1', 'tipo_de_cambio': 1.0, 'id_estado': 'paid', 'nombre_estado': 'Pagado', 'evento': {'id_evento': '', 'nom_evento': '', 'fecha_hora_ini_event': '', 'fecha_hora_fin_event': '', 'id_organizador': 6085, 'nom_organizador': 'A10 COMPANI S.A.C.', 'tipo_organizador': 'Empresa'}, 'id_vendedor': 2, 'nom_vendedor': 'SAMUEL CHUQUISTA', 'id_cuenta_analitica': 1106, 'nom_cuenta_analitica': '7012100 MercaderÃ­as-Venta Local-Terceros', 'distribucion_analitica': []}]"/>
    <d v="2025-10-24T00:00:00"/>
    <m/>
    <m/>
    <m/>
    <m/>
    <m/>
    <n v="32502"/>
    <x v="15"/>
    <x v="15"/>
    <x v="1"/>
    <n v="1"/>
    <n v="-190"/>
    <n v="-224.2"/>
    <n v="0"/>
    <n v="-190"/>
    <n v="18"/>
    <n v="-34.200000000000003"/>
    <n v="-224.2"/>
    <n v="1"/>
    <n v="1"/>
    <x v="0"/>
    <x v="0"/>
    <x v="1"/>
    <s v="SAMUEL CHUQUISTA"/>
    <x v="0"/>
    <s v="7012100 MercaderÃ­as-Venta Local-Terceros"/>
    <x v="6"/>
    <x v="32"/>
    <m/>
    <m/>
    <m/>
    <x v="36"/>
    <s v="A10 COMPANI S.A.C."/>
    <s v="Empresa"/>
    <x v="136"/>
  </r>
  <r>
    <x v="0"/>
    <x v="137"/>
    <s v="COLABORATIVA S.A.C."/>
    <x v="6"/>
    <d v="2025-11-03T14:00:00"/>
    <x v="39"/>
    <m/>
    <n v="6"/>
    <n v="20480416555"/>
    <s v="[{'id_producto': 32420, 'codigo_producto': 2264, 'nom_producto': 'VOUCHER IMPRESO CON QR', 'categoria_producto': 'consu', 'cantidad': '3000.0', 'valor_unitario': 0.3, 'precio_unitario': 0.35, 'descuento': 0.0, 'subtotal': 900.0, 'porcentaje_de_igv': '18.00', 'igv': 162.0, 'total': 1062.0, 'moneda': '1', 'tipo_de_cambio': 1.0, 'id_estado': 'paid', 'nombre_estado': 'Pagado', 'evento': {'id_evento': '3297', 'nom_evento': 'Deportivo Cachorro vs Amigos Siempre Amigos FC - Copa PerÃº 2025', 'fecha_hora_ini_event': '26-10-2025', 'fecha_hora_fin_event': '26-10-2025', 'id_organizador': 6695, 'nom_organizador': 'ROBERTO RAMOS RUIZ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3T00:00:00"/>
    <m/>
    <m/>
    <m/>
    <m/>
    <m/>
    <n v="32420"/>
    <x v="7"/>
    <x v="7"/>
    <x v="0"/>
    <n v="3000"/>
    <n v="0.3"/>
    <n v="0.35"/>
    <n v="0"/>
    <n v="900"/>
    <n v="18"/>
    <n v="162"/>
    <n v="1062"/>
    <n v="1"/>
    <n v="1"/>
    <x v="0"/>
    <x v="0"/>
    <x v="0"/>
    <s v="JENNY MANCO"/>
    <x v="0"/>
    <s v="7012100 MercaderÃ­as-Venta Local-Terceros"/>
    <x v="0"/>
    <x v="45"/>
    <s v="Deportivo Cachorro vs Amigos Siempre Amigos FC - Copa PerÃº 2025"/>
    <d v="2025-10-26T00:00:00"/>
    <d v="2025-10-26T00:00:00"/>
    <x v="2"/>
    <s v="ROBERTO RAMOS RUIZ"/>
    <s v="Persona"/>
    <x v="137"/>
  </r>
  <r>
    <x v="0"/>
    <x v="138"/>
    <s v="COLABORATIVA S.A.C."/>
    <x v="6"/>
    <d v="2025-11-03T11:40:04"/>
    <x v="40"/>
    <m/>
    <n v="6"/>
    <n v="10463513568"/>
    <s v="[{'id_producto': 32403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6959, 'nom_cuenta_analitica': '7032102 VENTAS SERVICIOS VAOPE', 'distribucion_analitica': [[{'codigo': 93, 'nom_distribucion': 'Operaciones', 'sub_categoria': 'Ime', 'porcentaje': '100.00'}]]}]"/>
    <d v="2025-10-23T00:00:00"/>
    <m/>
    <m/>
    <m/>
    <m/>
    <m/>
    <n v="32403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7"/>
    <x v="32"/>
    <m/>
    <m/>
    <m/>
    <x v="37"/>
    <s v="CALERO APONTE GIULLIANA LIZZETT"/>
    <s v="Empresa"/>
    <x v="138"/>
  </r>
  <r>
    <x v="0"/>
    <x v="139"/>
    <s v="COLABORATIVA S.A.C."/>
    <x v="6"/>
    <d v="2025-11-03T11:00:00"/>
    <x v="40"/>
    <m/>
    <n v="6"/>
    <n v="10463513568"/>
    <s v="[{'id_producto': 32399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400, 'codigo_producto': 2264, 'nom_producto': 'VOUCHER IMPRESO CON QR', 'categoria_producto': 'consu', 'cantidad': '50.0', 'valor_unitario': 0.3, 'precio_unitario': 0.35, 'descuento': 0.0, 'subtotal': 15.0, 'porcentaje_de_igv': '18.00', 'igv': 2.7, 'total': 17.7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3T00:00:00"/>
    <m/>
    <m/>
    <m/>
    <m/>
    <m/>
    <n v="32399"/>
    <x v="7"/>
    <x v="7"/>
    <x v="0"/>
    <n v="2000"/>
    <n v="0.3"/>
    <n v="0.35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2"/>
    <m/>
    <m/>
    <m/>
    <x v="37"/>
    <s v="CALERO APONTE GIULLIANA LIZZETT"/>
    <s v="Empresa"/>
    <x v="139"/>
  </r>
  <r>
    <x v="0"/>
    <x v="139"/>
    <s v="COLABORATIVA S.A.C."/>
    <x v="6"/>
    <d v="2025-11-03T11:00:00"/>
    <x v="40"/>
    <m/>
    <n v="6"/>
    <n v="10463513568"/>
    <s v="[{'id_producto': 32399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400, 'codigo_producto': 2264, 'nom_producto': 'VOUCHER IMPRESO CON QR', 'categoria_producto': 'consu', 'cantidad': '50.0', 'valor_unitario': 0.3, 'precio_unitario': 0.35, 'descuento': 0.0, 'subtotal': 15.0, 'porcentaje_de_igv': '18.00', 'igv': 2.7, 'total': 17.7, 'moneda': '1', 'tipo_de_cambio': 1.0, 'id_estado': 'paid', 'nombre_estado': 'Pagado', 'evento': {'id_evento': '', 'nom_evento': '', 'fecha_hora_ini_event': '', 'fecha_hora_fin_event': '', 'id_organizador': 6723, 'nom_organizador': 'CALERO APONTE GIULLIANA LIZZETT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3T00:00:00"/>
    <m/>
    <m/>
    <m/>
    <m/>
    <m/>
    <n v="32400"/>
    <x v="7"/>
    <x v="7"/>
    <x v="0"/>
    <n v="50"/>
    <n v="0.3"/>
    <n v="0.35"/>
    <n v="0"/>
    <n v="15"/>
    <n v="18"/>
    <n v="2.7"/>
    <n v="17.7"/>
    <n v="1"/>
    <n v="1"/>
    <x v="0"/>
    <x v="0"/>
    <x v="0"/>
    <s v="JENNY MANCO"/>
    <x v="0"/>
    <s v="7012100 MercaderÃ­as-Venta Local-Terceros"/>
    <x v="0"/>
    <x v="32"/>
    <m/>
    <m/>
    <m/>
    <x v="37"/>
    <s v="CALERO APONTE GIULLIANA LIZZETT"/>
    <s v="Empresa"/>
    <x v="139"/>
  </r>
  <r>
    <x v="0"/>
    <x v="140"/>
    <s v="COLABORATIVA S.A.C."/>
    <x v="7"/>
    <d v="2025-11-03T19:41:42"/>
    <x v="0"/>
    <m/>
    <n v="6"/>
    <n v="20611018925"/>
    <s v="[{'id_producto': 32391, 'codigo_producto': 2274, 'nom_producto': 'COMISION CORTESIA ', 'categoria_producto': 'consu', 'cantidad': '1.0', 'valor_unitario': 19.0, 'precio_unitario': 22.42, 'descuento': 0.0, 'subtotal': 19.0, 'porcentaje_de_igv': '18.00', 'igv': 3.42, 'total': 22.42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22T00:00:00"/>
    <m/>
    <m/>
    <m/>
    <m/>
    <m/>
    <n v="32391"/>
    <x v="2"/>
    <x v="2"/>
    <x v="0"/>
    <n v="1"/>
    <n v="19"/>
    <n v="22.42"/>
    <n v="0"/>
    <n v="19"/>
    <n v="18"/>
    <n v="3.42"/>
    <n v="22.42"/>
    <n v="1"/>
    <n v="1"/>
    <x v="0"/>
    <x v="0"/>
    <x v="1"/>
    <s v="SAMUEL CHUQUISTA"/>
    <x v="1"/>
    <s v="7032101 VENTAS COMISION VAOPE"/>
    <x v="1"/>
    <x v="46"/>
    <s v="CorazÃ³n Serrano en Olmos"/>
    <d v="2025-10-19T00:00:00"/>
    <d v="2025-10-19T00:00:00"/>
    <x v="0"/>
    <s v="G &amp; N MUSIC S.A.C."/>
    <s v="Empresa"/>
    <x v="140"/>
  </r>
  <r>
    <x v="0"/>
    <x v="141"/>
    <s v="COLABORATIVA S.A.C."/>
    <x v="7"/>
    <d v="2025-11-03T19:41:08"/>
    <x v="0"/>
    <m/>
    <n v="6"/>
    <n v="20611018925"/>
    <s v="[{'id_producto': 32388, 'codigo_producto': 2276, 'nom_producto': 'PUNTO DE VENTA', 'categoria_producto': 'service', 'cantidad': '1.0', 'valor_unitario': 115.0, 'precio_unitario': 135.7, 'descuento': 0.0, 'subtotal': 115.0, 'porcentaje_de_igv': '18.00', 'igv': 20.7, 'total': 135.7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"/>
    <d v="2025-10-22T00:00:00"/>
    <m/>
    <m/>
    <m/>
    <m/>
    <m/>
    <n v="32388"/>
    <x v="9"/>
    <x v="9"/>
    <x v="1"/>
    <n v="1"/>
    <n v="115"/>
    <n v="135.69999999999999"/>
    <n v="0"/>
    <n v="115"/>
    <n v="18"/>
    <n v="20.7"/>
    <n v="135.69999999999999"/>
    <n v="1"/>
    <n v="1"/>
    <x v="0"/>
    <x v="0"/>
    <x v="1"/>
    <s v="SAMUEL CHUQUISTA"/>
    <x v="2"/>
    <s v="7032102 VENTAS SERVICIOS VAOPE"/>
    <x v="6"/>
    <x v="46"/>
    <s v="CorazÃ³n Serrano en Olmos"/>
    <d v="2025-10-19T00:00:00"/>
    <d v="2025-10-19T00:00:00"/>
    <x v="0"/>
    <s v="G &amp; N MUSIC S.A.C."/>
    <s v="Empresa"/>
    <x v="141"/>
  </r>
  <r>
    <x v="0"/>
    <x v="142"/>
    <s v="COLABORATIVA S.A.C."/>
    <x v="7"/>
    <d v="2025-11-03T19:40:43"/>
    <x v="0"/>
    <m/>
    <n v="6"/>
    <n v="20611018925"/>
    <s v="[{'id_producto': 32385, 'codigo_producto': 1786, 'nom_producto': 'COMISION VAOPE SEGUN CONTRATO', 'categoria_producto': 'service', 'cantidad': '1.0', 'valor_unitario': 888.09, 'precio_unitario': 1047.95, 'descuento': 0.0, 'subtotal': 888.09, 'porcentaje_de_igv': '18.00', 'igv': 159.86, 'total': 1047.95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85"/>
    <x v="5"/>
    <x v="5"/>
    <x v="1"/>
    <n v="1"/>
    <n v="888.09"/>
    <n v="1047.95"/>
    <n v="0"/>
    <n v="888.09"/>
    <n v="18"/>
    <n v="159.86000000000001"/>
    <n v="1047.95"/>
    <n v="1"/>
    <n v="1"/>
    <x v="0"/>
    <x v="0"/>
    <x v="1"/>
    <s v="SAMUEL CHUQUISTA"/>
    <x v="1"/>
    <s v="7032101 VENTAS COMISION VAOPE"/>
    <x v="5"/>
    <x v="46"/>
    <s v="CorazÃ³n Serrano en Olmos"/>
    <d v="2025-10-19T00:00:00"/>
    <d v="2025-10-19T00:00:00"/>
    <x v="0"/>
    <s v="G &amp; N MUSIC S.A.C."/>
    <s v="Empresa"/>
    <x v="142"/>
  </r>
  <r>
    <x v="0"/>
    <x v="143"/>
    <s v="COLABORATIVA S.A.C."/>
    <x v="7"/>
    <d v="2025-11-03T19:40:11"/>
    <x v="0"/>
    <m/>
    <n v="6"/>
    <n v="20611018925"/>
    <s v="[{'id_producto': 32382, 'codigo_producto': 216, 'nom_producto': 'COMISION PAGOS DIGITALES SEGUN CONTRATO', 'categoria_producto': 'service', 'cantidad': '1.0', 'valor_unitario': 667.44, 'precio_unitario': 787.58, 'descuento': 0.0, 'subtotal': 667.44, 'porcentaje_de_igv': '18.00', 'igv': 120.14, 'total': 787.58, 'moneda': '1', 'tipo_de_cambio': 1.0, 'id_estado': 'paid', 'nombre_estado': 'Pagado', 'evento': {'id_evento': '3206', 'nom_evento': 'CorazÃ³n Serrano en Olmos', 'fecha_hora_ini_event': '19-10-2025', 'fecha_hora_fin_event': '19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82"/>
    <x v="6"/>
    <x v="6"/>
    <x v="1"/>
    <n v="1"/>
    <n v="667.44"/>
    <n v="787.58"/>
    <n v="0"/>
    <n v="667.44"/>
    <n v="18"/>
    <n v="120.14"/>
    <n v="787.58"/>
    <n v="1"/>
    <n v="1"/>
    <x v="0"/>
    <x v="0"/>
    <x v="1"/>
    <s v="SAMUEL CHUQUISTA"/>
    <x v="3"/>
    <s v="7032100 Servicios-Local- VISA"/>
    <x v="1"/>
    <x v="46"/>
    <s v="CorazÃ³n Serrano en Olmos"/>
    <d v="2025-10-19T00:00:00"/>
    <d v="2025-10-19T00:00:00"/>
    <x v="0"/>
    <s v="G &amp; N MUSIC S.A.C."/>
    <s v="Empresa"/>
    <x v="143"/>
  </r>
  <r>
    <x v="0"/>
    <x v="1"/>
    <s v="COLABORATIVA S.A.C."/>
    <x v="7"/>
    <d v="2025-11-03T19:38:10"/>
    <x v="41"/>
    <m/>
    <n v="6"/>
    <n v="20609225107"/>
    <s v="[{'id_producto': 32379, 'codigo_producto': 1786, 'nom_producto': 'COMISION VAOPE SEGUN CONTRATO', 'categoria_producto': 'service', 'cantidad': '1.0', 'valor_unitario': 164.24, 'precio_unitario': 193.8, 'descuento': 0.0, 'subtotal': 164.24, 'porcentaje_de_igv': '18.00', 'igv': 29.56, 'total': 193.8, 'moneda': '1', 'tipo_de_cambio': 1.0, 'id_estado': 'paid', 'nombre_estado': 'Pagado', 'evento': {'id_evento': '3154', 'nom_evento': '51Â° Aniversario de Pascualillo Coronado con Amaranta, Flor PileÃ±a y mÃ¡s en Ate', 'fecha_hora_ini_event': '19-10-2025', 'fecha_hora_fin_event': '19-10-2025', 'id_organizador': 1118, 'nom_organizador': 'PROMOTORA SR. DE MURUHUAY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79"/>
    <x v="5"/>
    <x v="5"/>
    <x v="1"/>
    <n v="1"/>
    <n v="164.24"/>
    <n v="193.8"/>
    <n v="0"/>
    <n v="164.24"/>
    <n v="18"/>
    <n v="29.56"/>
    <n v="193.8"/>
    <n v="1"/>
    <n v="1"/>
    <x v="0"/>
    <x v="0"/>
    <x v="1"/>
    <s v="SAMUEL CHUQUISTA"/>
    <x v="1"/>
    <s v="7032101 VENTAS COMISION VAOPE"/>
    <x v="5"/>
    <x v="47"/>
    <s v="51Â° Aniversario de Pascualillo Coronado con Amaranta, Flor PileÃ±a y mÃ¡s en Ate"/>
    <d v="2025-10-19T00:00:00"/>
    <d v="2025-10-19T00:00:00"/>
    <x v="38"/>
    <s v="PROMOTORA SR. DE MURUHUAY E.I.R.L."/>
    <s v="Empresa"/>
    <x v="144"/>
  </r>
  <r>
    <x v="0"/>
    <x v="2"/>
    <s v="COLABORATIVA S.A.C."/>
    <x v="7"/>
    <d v="2025-11-03T19:37:44"/>
    <x v="41"/>
    <m/>
    <n v="6"/>
    <n v="20609225107"/>
    <s v="[{'id_producto': 32376, 'codigo_producto': 216, 'nom_producto': 'COMISION PAGOS DIGITALES SEGUN CONTRATO', 'categoria_producto': 'service', 'cantidad': '1.0', 'valor_unitario': 125.08, 'precio_unitario': 147.59, 'descuento': 0.0, 'subtotal': 125.08, 'porcentaje_de_igv': '18.00', 'igv': 22.51, 'total': 147.59, 'moneda': '1', 'tipo_de_cambio': 1.0, 'id_estado': 'paid', 'nombre_estado': 'Pagado', 'evento': {'id_evento': '3154', 'nom_evento': '51Â° Aniversario de Pascualillo Coronado con Amaranta, Flor PileÃ±a y mÃ¡s en Ate', 'fecha_hora_ini_event': '19-10-2025', 'fecha_hora_fin_event': '19-10-2025', 'id_organizador': 1118, 'nom_organizador': 'PROMOTORA SR. DE MURUHUAY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76"/>
    <x v="6"/>
    <x v="6"/>
    <x v="1"/>
    <n v="1"/>
    <n v="125.08"/>
    <n v="147.59"/>
    <n v="0"/>
    <n v="125.08"/>
    <n v="18"/>
    <n v="22.51"/>
    <n v="147.59"/>
    <n v="1"/>
    <n v="1"/>
    <x v="0"/>
    <x v="0"/>
    <x v="1"/>
    <s v="SAMUEL CHUQUISTA"/>
    <x v="3"/>
    <s v="7032100 Servicios-Local- VISA"/>
    <x v="1"/>
    <x v="47"/>
    <s v="51Â° Aniversario de Pascualillo Coronado con Amaranta, Flor PileÃ±a y mÃ¡s en Ate"/>
    <d v="2025-10-19T00:00:00"/>
    <d v="2025-10-19T00:00:00"/>
    <x v="38"/>
    <s v="PROMOTORA SR. DE MURUHUAY E.I.R.L."/>
    <s v="Empresa"/>
    <x v="145"/>
  </r>
  <r>
    <x v="0"/>
    <x v="3"/>
    <s v="COLABORATIVA S.A.C."/>
    <x v="7"/>
    <d v="2025-11-03T19:35:40"/>
    <x v="7"/>
    <m/>
    <n v="6"/>
    <n v="20509594903"/>
    <s v="[{'id_producto': 32373, 'codigo_producto': 1786, 'nom_producto': 'COMISION VAOPE SEGUN CONTRATO', 'categoria_producto': 'service', 'cantidad': '1.0', 'valor_unitario': 136.19, 'precio_unitario': 160.7, 'descuento': 0.0, 'subtotal': 136.19, 'porcentaje_de_igv': '18.00', 'igv': 24.51, 'total': 160.7, 'moneda': '1', 'tipo_de_cambio': 1.0, 'id_estado': 'paid', 'nombre_estado': 'Pagado', 'evento': {'id_evento': '3269', 'nom_evento': 'La Bella Luz en Palpa', 'fecha_hora_ini_event': '18-10-2025', 'fecha_hora_fin_event': '18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73"/>
    <x v="5"/>
    <x v="5"/>
    <x v="1"/>
    <n v="1"/>
    <n v="136.19"/>
    <n v="160.69999999999999"/>
    <n v="0"/>
    <n v="136.19"/>
    <n v="18"/>
    <n v="24.51"/>
    <n v="160.69999999999999"/>
    <n v="1"/>
    <n v="1"/>
    <x v="0"/>
    <x v="0"/>
    <x v="1"/>
    <s v="SAMUEL CHUQUISTA"/>
    <x v="1"/>
    <s v="7032101 VENTAS COMISION VAOPE"/>
    <x v="5"/>
    <x v="48"/>
    <s v="La Bella Luz en Palpa"/>
    <d v="2025-10-18T00:00:00"/>
    <d v="2025-10-18T00:00:00"/>
    <x v="7"/>
    <s v="EMPRESA MUSICAL INTERNACIONAL LA BELLA LUZ E.I.R.L."/>
    <s v="Empresa"/>
    <x v="146"/>
  </r>
  <r>
    <x v="0"/>
    <x v="4"/>
    <s v="COLABORATIVA S.A.C."/>
    <x v="7"/>
    <d v="2025-11-03T19:34:02"/>
    <x v="7"/>
    <m/>
    <n v="6"/>
    <n v="20509594903"/>
    <s v="[{'id_producto': 32370, 'codigo_producto': 216, 'nom_producto': 'COMISION PAGOS DIGITALES SEGUN CONTRATO', 'categoria_producto': 'service', 'cantidad': '1.0', 'valor_unitario': 95.25, 'precio_unitario': 112.4, 'descuento': 0.0, 'subtotal': 95.25, 'porcentaje_de_igv': '18.00', 'igv': 17.15, 'total': 112.4, 'moneda': '1', 'tipo_de_cambio': 1.0, 'id_estado': 'paid', 'nombre_estado': 'Pagado', 'evento': {'id_evento': '3269', 'nom_evento': 'La Bella Luz en Palpa', 'fecha_hora_ini_event': '18-10-2025', 'fecha_hora_fin_event': '18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70"/>
    <x v="6"/>
    <x v="6"/>
    <x v="1"/>
    <n v="1"/>
    <n v="95.25"/>
    <n v="112.4"/>
    <n v="0"/>
    <n v="95.25"/>
    <n v="18"/>
    <n v="17.149999999999999"/>
    <n v="112.4"/>
    <n v="1"/>
    <n v="1"/>
    <x v="0"/>
    <x v="0"/>
    <x v="1"/>
    <s v="SAMUEL CHUQUISTA"/>
    <x v="3"/>
    <s v="7032100 Servicios-Local- VISA"/>
    <x v="1"/>
    <x v="48"/>
    <s v="La Bella Luz en Palpa"/>
    <d v="2025-10-18T00:00:00"/>
    <d v="2025-10-18T00:00:00"/>
    <x v="7"/>
    <s v="EMPRESA MUSICAL INTERNACIONAL LA BELLA LUZ E.I.R.L."/>
    <s v="Empresa"/>
    <x v="147"/>
  </r>
  <r>
    <x v="0"/>
    <x v="5"/>
    <s v="COLABORATIVA S.A.C."/>
    <x v="7"/>
    <d v="2025-11-03T19:32:51"/>
    <x v="17"/>
    <m/>
    <n v="6"/>
    <n v="20608747843"/>
    <s v="[{'id_producto': 32367, 'codigo_producto': 1786, 'nom_producto': 'COMISION VAOPE SEGUN CONTRATO', 'categoria_producto': 'service', 'cantidad': '1.0', 'valor_unitario': 34.15, 'precio_unitario': 40.3, 'descuento': 0.0, 'subtotal': 34.15, 'porcentaje_de_igv': '18.00', 'igv': 6.15, 'total': 40.3, 'moneda': '1', 'tipo_de_cambio': 1.0, 'id_estado': 'paid', 'nombre_estado': 'Pagado', 'evento': {'id_evento': '3249', 'nom_evento': 'FestiSalsa Vol 01 con Brunella Torpoco, Cesar Vega, Masiel Malaga y mÃ¡s en 11:11 Club de Independencia', 'fecha_hora_ini_event': '18-10-2025', 'fecha_hora_fin_event': '18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67"/>
    <x v="5"/>
    <x v="5"/>
    <x v="1"/>
    <n v="1"/>
    <n v="34.15"/>
    <n v="40.299999999999997"/>
    <n v="0"/>
    <n v="34.15"/>
    <n v="18"/>
    <n v="6.15"/>
    <n v="40.299999999999997"/>
    <n v="1"/>
    <n v="1"/>
    <x v="0"/>
    <x v="0"/>
    <x v="1"/>
    <s v="SAMUEL CHUQUISTA"/>
    <x v="1"/>
    <s v="7032101 VENTAS COMISION VAOPE"/>
    <x v="5"/>
    <x v="49"/>
    <s v="FestiSalsa Vol 01 con Brunella Torpoco, Cesar Vega, Masiel Malaga y mÃ¡s en 11:11 Club de Independencia"/>
    <d v="2025-10-18T00:00:00"/>
    <d v="2025-10-18T00:00:00"/>
    <x v="17"/>
    <s v="CASTILLO PRODUCTIONS SOCIEDAD ANONIMA CERRADA"/>
    <s v="Empresa"/>
    <x v="148"/>
  </r>
  <r>
    <x v="0"/>
    <x v="6"/>
    <s v="COLABORATIVA S.A.C."/>
    <x v="7"/>
    <d v="2025-11-03T19:32:14"/>
    <x v="17"/>
    <m/>
    <n v="6"/>
    <n v="20608747843"/>
    <s v="[{'id_producto': 32364, 'codigo_producto': 216, 'nom_producto': 'COMISION PAGOS DIGITALES SEGUN CONTRATO', 'categoria_producto': 'service', 'cantidad': '1.0', 'valor_unitario': 19.83, 'precio_unitario': 23.4, 'descuento': 0.0, 'subtotal': 19.83, 'porcentaje_de_igv': '18.00', 'igv': 3.57, 'total': 23.4, 'moneda': '1', 'tipo_de_cambio': 1.0, 'id_estado': 'paid', 'nombre_estado': 'Pagado', 'evento': {'id_evento': '3249', 'nom_evento': 'FestiSalsa Vol 01 con Brunella Torpoco, Cesar Vega, Masiel Malaga y mÃ¡s en 11:11 Club de Independencia', 'fecha_hora_ini_event': '18-10-2025', 'fecha_hora_fin_event': '18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64"/>
    <x v="6"/>
    <x v="6"/>
    <x v="1"/>
    <n v="1"/>
    <n v="19.829999999999998"/>
    <n v="23.4"/>
    <n v="0"/>
    <n v="19.829999999999998"/>
    <n v="18"/>
    <n v="3.57"/>
    <n v="23.4"/>
    <n v="1"/>
    <n v="1"/>
    <x v="0"/>
    <x v="0"/>
    <x v="1"/>
    <s v="SAMUEL CHUQUISTA"/>
    <x v="3"/>
    <s v="7032100 Servicios-Local- VISA"/>
    <x v="1"/>
    <x v="49"/>
    <s v="FestiSalsa Vol 01 con Brunella Torpoco, Cesar Vega, Masiel Malaga y mÃ¡s en 11:11 Club de Independencia"/>
    <d v="2025-10-18T00:00:00"/>
    <d v="2025-10-18T00:00:00"/>
    <x v="17"/>
    <s v="CASTILLO PRODUCTIONS SOCIEDAD ANONIMA CERRADA"/>
    <s v="Empresa"/>
    <x v="149"/>
  </r>
  <r>
    <x v="0"/>
    <x v="7"/>
    <s v="COLABORATIVA S.A.C."/>
    <x v="7"/>
    <d v="2025-11-03T19:29:30"/>
    <x v="0"/>
    <m/>
    <n v="6"/>
    <n v="20611018925"/>
    <s v="[{'id_producto': 32361, 'codigo_producto': 2276, 'nom_producto': 'PUNTO DE VENTA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"/>
    <d v="2025-10-22T00:00:00"/>
    <m/>
    <m/>
    <m/>
    <m/>
    <m/>
    <n v="32361"/>
    <x v="9"/>
    <x v="9"/>
    <x v="1"/>
    <n v="1"/>
    <n v="100"/>
    <n v="118"/>
    <n v="0"/>
    <n v="100"/>
    <n v="18"/>
    <n v="18"/>
    <n v="118"/>
    <n v="1"/>
    <n v="1"/>
    <x v="0"/>
    <x v="0"/>
    <x v="1"/>
    <s v="SAMUEL CHUQUISTA"/>
    <x v="2"/>
    <s v="7032102 VENTAS SERVICIOS VAOPE"/>
    <x v="6"/>
    <x v="50"/>
    <s v="CorazÃ³n Serrano en Bagua Capital"/>
    <d v="2025-10-17T00:00:00"/>
    <d v="2025-10-17T00:00:00"/>
    <x v="0"/>
    <s v="G &amp; N MUSIC S.A.C."/>
    <s v="Empresa"/>
    <x v="150"/>
  </r>
  <r>
    <x v="0"/>
    <x v="8"/>
    <s v="COLABORATIVA S.A.C."/>
    <x v="7"/>
    <d v="2025-11-03T19:29:08"/>
    <x v="0"/>
    <m/>
    <n v="6"/>
    <n v="20611018925"/>
    <s v="[{'id_producto': 32358, 'codigo_producto': 1786, 'nom_producto': 'COMISION VAOPE SEGUN CONTRATO', 'categoria_producto': 'service', 'cantidad': '1.0', 'valor_unitario': 193.03, 'precio_unitario': 227.78, 'descuento': 0.0, 'subtotal': 193.03, 'porcentaje_de_igv': '18.00', 'igv': 34.75, 'total': 227.78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58"/>
    <x v="5"/>
    <x v="5"/>
    <x v="1"/>
    <n v="1"/>
    <n v="193.03"/>
    <n v="227.78"/>
    <n v="0"/>
    <n v="193.03"/>
    <n v="18"/>
    <n v="34.75"/>
    <n v="227.78"/>
    <n v="1"/>
    <n v="1"/>
    <x v="0"/>
    <x v="0"/>
    <x v="1"/>
    <s v="SAMUEL CHUQUISTA"/>
    <x v="1"/>
    <s v="7032101 VENTAS COMISION VAOPE"/>
    <x v="5"/>
    <x v="50"/>
    <s v="CorazÃ³n Serrano en Bagua Capital"/>
    <d v="2025-10-17T00:00:00"/>
    <d v="2025-10-17T00:00:00"/>
    <x v="0"/>
    <s v="G &amp; N MUSIC S.A.C."/>
    <s v="Empresa"/>
    <x v="151"/>
  </r>
  <r>
    <x v="0"/>
    <x v="9"/>
    <s v="COLABORATIVA S.A.C."/>
    <x v="7"/>
    <d v="2025-11-03T19:28:50"/>
    <x v="0"/>
    <m/>
    <n v="6"/>
    <n v="20611018925"/>
    <s v="[{'id_producto': 32355, 'codigo_producto': 216, 'nom_producto': 'COMISION PAGOS DIGITALES SEGUN CONTRATO', 'categoria_producto': 'service', 'cantidad': '1.0', 'valor_unitario': 219.88, 'precio_unitario': 259.46, 'descuento': 0.0, 'subtotal': 219.88, 'porcentaje_de_igv': '18.00', 'igv': 39.58, 'total': 259.46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55"/>
    <x v="6"/>
    <x v="6"/>
    <x v="1"/>
    <n v="1"/>
    <n v="219.88"/>
    <n v="259.45999999999998"/>
    <n v="0"/>
    <n v="219.88"/>
    <n v="18"/>
    <n v="39.58"/>
    <n v="259.45999999999998"/>
    <n v="1"/>
    <n v="1"/>
    <x v="0"/>
    <x v="0"/>
    <x v="1"/>
    <s v="SAMUEL CHUQUISTA"/>
    <x v="3"/>
    <s v="7032100 Servicios-Local- VISA"/>
    <x v="1"/>
    <x v="50"/>
    <s v="CorazÃ³n Serrano en Bagua Capital"/>
    <d v="2025-10-17T00:00:00"/>
    <d v="2025-10-17T00:00:00"/>
    <x v="0"/>
    <s v="G &amp; N MUSIC S.A.C."/>
    <s v="Empresa"/>
    <x v="152"/>
  </r>
  <r>
    <x v="1"/>
    <x v="144"/>
    <s v="COLABORATIVA S.A.C."/>
    <x v="7"/>
    <d v="2025-11-03T19:20:39"/>
    <x v="42"/>
    <m/>
    <n v="1"/>
    <n v="46840541"/>
    <s v="[{'id_producto': 32352, 'codigo_producto': 216, 'nom_producto': 'COMISION PAGOS DIGITALES SEGUN CONTRATO', 'categoria_producto': 'service', 'cantidad': '1.0', 'valor_unitario': 289.11, 'precio_unitario': 341.15, 'descuento': 0.0, 'subtotal': 289.11, 'porcentaje_de_igv': '18.00', 'igv': 52.04, 'total': 341.1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52"/>
    <x v="6"/>
    <x v="6"/>
    <x v="1"/>
    <n v="1"/>
    <n v="289.11"/>
    <n v="341.15"/>
    <n v="0"/>
    <n v="289.11"/>
    <n v="18"/>
    <n v="52.04"/>
    <n v="341.15"/>
    <n v="1"/>
    <n v="1"/>
    <x v="0"/>
    <x v="0"/>
    <x v="1"/>
    <s v="SAMUEL CHUQUISTA"/>
    <x v="3"/>
    <s v="7032100 Servicios-Local- VISA"/>
    <x v="1"/>
    <x v="40"/>
    <s v="2do Festival Cajacho en el Huaralino"/>
    <d v="2025-10-04T00:00:00"/>
    <d v="2025-10-04T00:00:00"/>
    <x v="31"/>
    <s v="JHON EDWIN FERNANDEZ GALARZA"/>
    <s v="Persona"/>
    <x v="153"/>
  </r>
  <r>
    <x v="1"/>
    <x v="145"/>
    <s v="COLABORATIVA S.A.C."/>
    <x v="7"/>
    <d v="2025-11-03T19:18:02"/>
    <x v="42"/>
    <m/>
    <n v="1"/>
    <n v="46840541"/>
    <s v="[{'id_producto': 32349, 'codigo_producto': 1786, 'nom_producto': 'COMISION VAOPE SEGUN CONTRATO', 'categoria_producto': 'service', 'cantidad': '1.0', 'valor_unitario': 203.35, 'precio_unitario': 239.95, 'descuento': 0.0, 'subtotal': 203.35, 'porcentaje_de_igv': '18.00', 'igv': 36.6, 'total': 239.95, 'moneda': '1', 'tipo_de_cambio': 1.0, 'id_estado': 'paid', 'nombre_estado': 'Pagado', 'evento': {'id_evento': '2952', 'nom_evento': '2do Festival Cajacho en el Huaralino', 'fecha_hora_ini_event': '04-10-2025', 'fecha_hora_fin_event': '04-10-2025', 'id_organizador': 6580, 'nom_organizador': 'JHON EDWIN FERNANDEZ GALARZ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49"/>
    <x v="5"/>
    <x v="5"/>
    <x v="1"/>
    <n v="1"/>
    <n v="203.35"/>
    <n v="239.95"/>
    <n v="0"/>
    <n v="203.35"/>
    <n v="18"/>
    <n v="36.6"/>
    <n v="239.95"/>
    <n v="1"/>
    <n v="1"/>
    <x v="0"/>
    <x v="0"/>
    <x v="1"/>
    <s v="SAMUEL CHUQUISTA"/>
    <x v="1"/>
    <s v="7032101 VENTAS COMISION VAOPE"/>
    <x v="5"/>
    <x v="40"/>
    <s v="2do Festival Cajacho en el Huaralino"/>
    <d v="2025-10-04T00:00:00"/>
    <d v="2025-10-04T00:00:00"/>
    <x v="31"/>
    <s v="JHON EDWIN FERNANDEZ GALARZA"/>
    <s v="Persona"/>
    <x v="154"/>
  </r>
  <r>
    <x v="0"/>
    <x v="10"/>
    <s v="COLABORATIVA S.A.C."/>
    <x v="7"/>
    <d v="2025-11-03T19:12:37"/>
    <x v="43"/>
    <m/>
    <n v="6"/>
    <n v="20603011601"/>
    <s v="[{'id_producto': 32346, 'codigo_producto': 2318, 'nom_producto': 'SERV DEVOLUCIONES', 'categoria_producto': 'service', 'cantidad': '1.0', 'valor_unitario': 135.86, 'precio_unitario': 160.31, 'descuento': 0.0, 'subtotal': 135.86, 'porcentaje_de_igv': '18.00', 'igv': 24.45, 'total': 160.31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59, 'nom_cuenta_analitica': '7032102 VENTAS SERVICIOS VAOPE', 'distribucion_analitica': []}]"/>
    <d v="2025-10-22T00:00:00"/>
    <m/>
    <m/>
    <m/>
    <m/>
    <m/>
    <n v="32346"/>
    <x v="8"/>
    <x v="8"/>
    <x v="1"/>
    <n v="1"/>
    <n v="135.86000000000001"/>
    <n v="160.31"/>
    <n v="0"/>
    <n v="135.86000000000001"/>
    <n v="18"/>
    <n v="24.45"/>
    <n v="160.31"/>
    <n v="1"/>
    <n v="1"/>
    <x v="0"/>
    <x v="0"/>
    <x v="1"/>
    <s v="SAMUEL CHUQUISTA"/>
    <x v="2"/>
    <s v="7032102 VENTAS SERVICIOS VAOPE"/>
    <x v="6"/>
    <x v="51"/>
    <s v="Son del Duke en Huancayo"/>
    <d v="2025-10-10T00:00:00"/>
    <d v="2025-10-10T00:00:00"/>
    <x v="39"/>
    <s v="EMOZIONA PRODUCCIONES E.I.R.L."/>
    <s v="Empresa"/>
    <x v="155"/>
  </r>
  <r>
    <x v="0"/>
    <x v="11"/>
    <s v="COLABORATIVA S.A.C."/>
    <x v="7"/>
    <d v="2025-11-03T19:12:06"/>
    <x v="43"/>
    <m/>
    <n v="6"/>
    <n v="20603011601"/>
    <s v="[{'id_producto': 32343, 'codigo_producto': 1786, 'nom_producto': 'COMISION VAOPE SEGUN CONTRATO', 'categoria_producto': 'service', 'cantidad': '1.0', 'valor_unitario': 2016.86, 'precio_unitario': 2379.89, 'descuento': 0.0, 'subtotal': 2016.86, 'porcentaje_de_igv': '18.00', 'igv': 363.03, 'total': 2379.89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22T00:00:00"/>
    <m/>
    <m/>
    <m/>
    <m/>
    <m/>
    <n v="32343"/>
    <x v="5"/>
    <x v="5"/>
    <x v="1"/>
    <n v="1"/>
    <n v="2016.86"/>
    <n v="2379.89"/>
    <n v="0"/>
    <n v="2016.86"/>
    <n v="18"/>
    <n v="363.03"/>
    <n v="2379.89"/>
    <n v="1"/>
    <n v="1"/>
    <x v="0"/>
    <x v="0"/>
    <x v="1"/>
    <s v="SAMUEL CHUQUISTA"/>
    <x v="1"/>
    <s v="7032101 VENTAS COMISION VAOPE"/>
    <x v="5"/>
    <x v="51"/>
    <s v="Son del Duke en Huancayo"/>
    <d v="2025-10-10T00:00:00"/>
    <d v="2025-10-10T00:00:00"/>
    <x v="39"/>
    <s v="EMOZIONA PRODUCCIONES E.I.R.L."/>
    <s v="Empresa"/>
    <x v="156"/>
  </r>
  <r>
    <x v="0"/>
    <x v="12"/>
    <s v="COLABORATIVA S.A.C."/>
    <x v="7"/>
    <d v="2025-11-03T19:11:39"/>
    <x v="43"/>
    <m/>
    <n v="6"/>
    <n v="20603011601"/>
    <s v="[{'id_producto': 32340, 'codigo_producto': 216, 'nom_producto': 'COMISION PAGOS DIGITALES SEGUN CONTRATO', 'categoria_producto': 'service', 'cantidad': '1.0', 'valor_unitario': 2240.51, 'precio_unitario': 2643.8, 'descuento': 0.0, 'subtotal': 2240.51, 'porcentaje_de_igv': '18.00', 'igv': 403.29, 'total': 2643.8, 'moneda': '1', 'tipo_de_cambio': 1.0, 'id_estado': 'paid', 'nombre_estado': 'Pagado', 'evento': {'id_evento': '3063', 'nom_evento': 'Son del Duke en Huancayo', 'fecha_hora_ini_event': '10-10-2025', 'fecha_hora_fin_event': '10-10-2025', 'id_organizador': 5613, 'nom_organizador': 'EMOZIONA PRODUCCIONES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22T00:00:00"/>
    <m/>
    <m/>
    <m/>
    <m/>
    <m/>
    <n v="32340"/>
    <x v="6"/>
    <x v="6"/>
    <x v="1"/>
    <n v="1"/>
    <n v="2240.5100000000002"/>
    <n v="2643.8"/>
    <n v="0"/>
    <n v="2240.5100000000002"/>
    <n v="18"/>
    <n v="403.29"/>
    <n v="2643.8"/>
    <n v="1"/>
    <n v="1"/>
    <x v="0"/>
    <x v="0"/>
    <x v="1"/>
    <s v="SAMUEL CHUQUISTA"/>
    <x v="3"/>
    <s v="7032100 Servicios-Local- VISA"/>
    <x v="1"/>
    <x v="51"/>
    <s v="Son del Duke en Huancayo"/>
    <d v="2025-10-10T00:00:00"/>
    <d v="2025-10-10T00:00:00"/>
    <x v="39"/>
    <s v="EMOZIONA PRODUCCIONES E.I.R.L."/>
    <s v="Empresa"/>
    <x v="157"/>
  </r>
  <r>
    <x v="1"/>
    <x v="146"/>
    <s v="COLABORATIVA S.A.C."/>
    <x v="7"/>
    <d v="2025-11-03T18:00:00"/>
    <x v="44"/>
    <m/>
    <n v="1"/>
    <n v="41057476"/>
    <s v="[{'id_producto': 3233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2T00:00:00"/>
    <m/>
    <m/>
    <m/>
    <m/>
    <m/>
    <n v="32332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2"/>
    <m/>
    <m/>
    <m/>
    <x v="40"/>
    <s v="LISSETH MARITZA AMPUERO GUILLEN"/>
    <s v="Persona"/>
    <x v="158"/>
  </r>
  <r>
    <x v="1"/>
    <x v="146"/>
    <s v="COLABORATIVA S.A.C."/>
    <x v="7"/>
    <d v="2025-11-03T18:00:00"/>
    <x v="44"/>
    <m/>
    <n v="1"/>
    <n v="41057476"/>
    <s v="[{'id_producto': 3233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2T00:00:00"/>
    <m/>
    <m/>
    <m/>
    <m/>
    <m/>
    <n v="32333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32"/>
    <m/>
    <m/>
    <m/>
    <x v="40"/>
    <s v="LISSETH MARITZA AMPUERO GUILLEN"/>
    <s v="Persona"/>
    <x v="158"/>
  </r>
  <r>
    <x v="1"/>
    <x v="146"/>
    <s v="COLABORATIVA S.A.C."/>
    <x v="7"/>
    <d v="2025-11-03T18:00:00"/>
    <x v="44"/>
    <m/>
    <n v="1"/>
    <n v="41057476"/>
    <s v="[{'id_producto': 3233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3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5284, 'nom_organizador': 'LISSETH MARITZA AMPUERO GUILLEN', 'tipo_organizador': 'Person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22T00:00:00"/>
    <m/>
    <m/>
    <m/>
    <m/>
    <m/>
    <n v="32334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8"/>
    <x v="32"/>
    <m/>
    <m/>
    <m/>
    <x v="40"/>
    <s v="LISSETH MARITZA AMPUERO GUILLEN"/>
    <s v="Persona"/>
    <x v="158"/>
  </r>
  <r>
    <x v="0"/>
    <x v="14"/>
    <s v="COLABORATIVA S.A.C."/>
    <x v="7"/>
    <d v="2025-11-03T18:47:24"/>
    <x v="43"/>
    <m/>
    <n v="6"/>
    <n v="20603011601"/>
    <s v="[{'id_producto': 32328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, {'id_producto': 32329, 'codigo_producto': 2342, 'nom_producto': 'SERVICIO DE DISENO ', 'categoria_producto': 'service', 'cantidad': '1.0', 'valor_unitario': 120.0, 'precio_unitario': 141.6, 'descuento': 0.0, 'subtotal': 120.0, 'porcentaje_de_igv': '18.00', 'igv': 21.6, 'total': 141.6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77, 'nom_distribucion': 'DiseÃ±o', 'sub_categoria': 'Ime', 'porcentaje': '100.00'}]]}]"/>
    <d v="2025-10-22T00:00:00"/>
    <m/>
    <m/>
    <m/>
    <m/>
    <m/>
    <n v="32328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8"/>
    <x v="52"/>
    <s v="CorazÃ³n Serrano y Dilbert Aguilar en Huancayo"/>
    <d v="2025-11-07T00:00:00"/>
    <d v="2025-11-07T00:00:00"/>
    <x v="39"/>
    <s v="EMOZIONA PRODUCCIONES E.I.R.L."/>
    <s v="Empresa"/>
    <x v="159"/>
  </r>
  <r>
    <x v="0"/>
    <x v="14"/>
    <s v="COLABORATIVA S.A.C."/>
    <x v="7"/>
    <d v="2025-11-03T18:47:24"/>
    <x v="43"/>
    <m/>
    <n v="6"/>
    <n v="20603011601"/>
    <s v="[{'id_producto': 32328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, {'id_producto': 32329, 'codigo_producto': 2342, 'nom_producto': 'SERVICIO DE DISENO ', 'categoria_producto': 'service', 'cantidad': '1.0', 'valor_unitario': 120.0, 'precio_unitario': 141.6, 'descuento': 0.0, 'subtotal': 120.0, 'porcentaje_de_igv': '18.00', 'igv': 21.6, 'total': 141.6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6959, 'nom_cuenta_analitica': '7032102 VENTAS SERVICIOS VAOPE', 'distribucion_analitica': [[{'codigo': 77, 'nom_distribucion': 'DiseÃ±o', 'sub_categoria': 'Ime', 'porcentaje': '100.00'}]]}]"/>
    <d v="2025-10-22T00:00:00"/>
    <m/>
    <m/>
    <m/>
    <m/>
    <m/>
    <n v="32329"/>
    <x v="12"/>
    <x v="12"/>
    <x v="1"/>
    <n v="1"/>
    <n v="120"/>
    <n v="141.6"/>
    <n v="0"/>
    <n v="120"/>
    <n v="18"/>
    <n v="21.6"/>
    <n v="141.6"/>
    <n v="1"/>
    <n v="1"/>
    <x v="0"/>
    <x v="0"/>
    <x v="0"/>
    <s v="JENNY MANCO"/>
    <x v="2"/>
    <s v="7032102 VENTAS SERVICIOS VAOPE"/>
    <x v="9"/>
    <x v="52"/>
    <s v="CorazÃ³n Serrano y Dilbert Aguilar en Huancayo"/>
    <d v="2025-11-07T00:00:00"/>
    <d v="2025-11-07T00:00:00"/>
    <x v="39"/>
    <s v="EMOZIONA PRODUCCIONES E.I.R.L."/>
    <s v="Empresa"/>
    <x v="159"/>
  </r>
  <r>
    <x v="0"/>
    <x v="17"/>
    <s v="COLABORATIVA S.A.C."/>
    <x v="7"/>
    <d v="2025-11-03T18:43:59"/>
    <x v="43"/>
    <m/>
    <n v="6"/>
    <n v="20603011601"/>
    <s v="[{'id_producto': 3232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1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2, 'codigo_producto': 1895, 'nom_producto': 'BRAZALETE CON QR', 'categoria_producto': 'consu', 'cantidad': '356.0', 'valor_unitario': 0.6, 'precio_unitario': 0.71, 'descuento': 0.0, 'subtotal': 213.6, 'porcentaje_de_igv': '18.00', 'igv': 38.45, 'total': 252.0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3, 'codigo_producto': 1895, 'nom_producto': 'BRAZALETE CON QR', 'categoria_producto': 'consu', 'cantidad': '144.0', 'valor_unitario': 0.6, 'precio_unitario': 0.71, 'descuento': 0.0, 'subtotal': 86.4, 'porcentaje_de_igv': '18.00', 'igv': 15.55, 'total': 101.9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2T00:00:00"/>
    <m/>
    <m/>
    <m/>
    <m/>
    <m/>
    <n v="32320"/>
    <x v="14"/>
    <x v="14"/>
    <x v="0"/>
    <n v="500"/>
    <n v="0.9"/>
    <n v="1.06"/>
    <n v="0"/>
    <n v="450"/>
    <n v="18"/>
    <n v="81"/>
    <n v="531"/>
    <n v="1"/>
    <n v="1"/>
    <x v="0"/>
    <x v="0"/>
    <x v="0"/>
    <s v="JENNY MANCO"/>
    <x v="0"/>
    <s v="7012100 MercaderÃ­as-Venta Local-Terceros"/>
    <x v="0"/>
    <x v="52"/>
    <s v="CorazÃ³n Serrano y Dilbert Aguilar en Huancayo"/>
    <d v="2025-11-07T00:00:00"/>
    <d v="2025-11-07T00:00:00"/>
    <x v="39"/>
    <s v="EMOZIONA PRODUCCIONES E.I.R.L."/>
    <s v="Empresa"/>
    <x v="160"/>
  </r>
  <r>
    <x v="0"/>
    <x v="17"/>
    <s v="COLABORATIVA S.A.C."/>
    <x v="7"/>
    <d v="2025-11-03T18:43:59"/>
    <x v="43"/>
    <m/>
    <n v="6"/>
    <n v="20603011601"/>
    <s v="[{'id_producto': 3232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1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2, 'codigo_producto': 1895, 'nom_producto': 'BRAZALETE CON QR', 'categoria_producto': 'consu', 'cantidad': '356.0', 'valor_unitario': 0.6, 'precio_unitario': 0.71, 'descuento': 0.0, 'subtotal': 213.6, 'porcentaje_de_igv': '18.00', 'igv': 38.45, 'total': 252.0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3, 'codigo_producto': 1895, 'nom_producto': 'BRAZALETE CON QR', 'categoria_producto': 'consu', 'cantidad': '144.0', 'valor_unitario': 0.6, 'precio_unitario': 0.71, 'descuento': 0.0, 'subtotal': 86.4, 'porcentaje_de_igv': '18.00', 'igv': 15.55, 'total': 101.9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2T00:00:00"/>
    <m/>
    <m/>
    <m/>
    <m/>
    <m/>
    <n v="32321"/>
    <x v="14"/>
    <x v="14"/>
    <x v="0"/>
    <n v="500"/>
    <n v="0.9"/>
    <n v="1.06"/>
    <n v="0"/>
    <n v="450"/>
    <n v="18"/>
    <n v="81"/>
    <n v="531"/>
    <n v="1"/>
    <n v="1"/>
    <x v="0"/>
    <x v="0"/>
    <x v="0"/>
    <s v="JENNY MANCO"/>
    <x v="0"/>
    <s v="7012100 MercaderÃ­as-Venta Local-Terceros"/>
    <x v="0"/>
    <x v="52"/>
    <s v="CorazÃ³n Serrano y Dilbert Aguilar en Huancayo"/>
    <d v="2025-11-07T00:00:00"/>
    <d v="2025-11-07T00:00:00"/>
    <x v="39"/>
    <s v="EMOZIONA PRODUCCIONES E.I.R.L."/>
    <s v="Empresa"/>
    <x v="160"/>
  </r>
  <r>
    <x v="0"/>
    <x v="17"/>
    <s v="COLABORATIVA S.A.C."/>
    <x v="7"/>
    <d v="2025-11-03T18:43:59"/>
    <x v="43"/>
    <m/>
    <n v="6"/>
    <n v="20603011601"/>
    <s v="[{'id_producto': 3232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1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2, 'codigo_producto': 1895, 'nom_producto': 'BRAZALETE CON QR', 'categoria_producto': 'consu', 'cantidad': '356.0', 'valor_unitario': 0.6, 'precio_unitario': 0.71, 'descuento': 0.0, 'subtotal': 213.6, 'porcentaje_de_igv': '18.00', 'igv': 38.45, 'total': 252.0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3, 'codigo_producto': 1895, 'nom_producto': 'BRAZALETE CON QR', 'categoria_producto': 'consu', 'cantidad': '144.0', 'valor_unitario': 0.6, 'precio_unitario': 0.71, 'descuento': 0.0, 'subtotal': 86.4, 'porcentaje_de_igv': '18.00', 'igv': 15.55, 'total': 101.9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2T00:00:00"/>
    <m/>
    <m/>
    <m/>
    <m/>
    <m/>
    <n v="32322"/>
    <x v="1"/>
    <x v="1"/>
    <x v="0"/>
    <n v="356"/>
    <n v="0.6"/>
    <n v="0.71"/>
    <n v="0"/>
    <n v="213.6"/>
    <n v="18"/>
    <n v="38.450000000000003"/>
    <n v="252.05"/>
    <n v="1"/>
    <n v="1"/>
    <x v="0"/>
    <x v="0"/>
    <x v="0"/>
    <s v="JENNY MANCO"/>
    <x v="0"/>
    <s v="7012100 MercaderÃ­as-Venta Local-Terceros"/>
    <x v="0"/>
    <x v="52"/>
    <s v="CorazÃ³n Serrano y Dilbert Aguilar en Huancayo"/>
    <d v="2025-11-07T00:00:00"/>
    <d v="2025-11-07T00:00:00"/>
    <x v="39"/>
    <s v="EMOZIONA PRODUCCIONES E.I.R.L."/>
    <s v="Empresa"/>
    <x v="160"/>
  </r>
  <r>
    <x v="0"/>
    <x v="17"/>
    <s v="COLABORATIVA S.A.C."/>
    <x v="7"/>
    <d v="2025-11-03T18:43:59"/>
    <x v="43"/>
    <m/>
    <n v="6"/>
    <n v="20603011601"/>
    <s v="[{'id_producto': 32320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1, 'codigo_producto': 223, 'nom_producto': 'BOLETO PREMIUN CON QR', 'categoria_producto': 'consu', 'cantidad': '500.0', 'valor_unitario': 0.9, 'precio_unitario': 1.06, 'descuento': 0.0, 'subtotal': 450.0, 'porcentaje_de_igv': '18.00', 'igv': 81.0, 'total': 531.0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2, 'codigo_producto': 1895, 'nom_producto': 'BRAZALETE CON QR', 'categoria_producto': 'consu', 'cantidad': '356.0', 'valor_unitario': 0.6, 'precio_unitario': 0.71, 'descuento': 0.0, 'subtotal': 213.6, 'porcentaje_de_igv': '18.00', 'igv': 38.45, 'total': 252.0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23, 'codigo_producto': 1895, 'nom_producto': 'BRAZALETE CON QR', 'categoria_producto': 'consu', 'cantidad': '144.0', 'valor_unitario': 0.6, 'precio_unitario': 0.71, 'descuento': 0.0, 'subtotal': 86.4, 'porcentaje_de_igv': '18.00', 'igv': 15.55, 'total': 101.95, 'moneda': '1', 'tipo_de_cambio': 1.0, 'id_estado': 'paid', 'nombre_estado': 'Pagado', 'evento': {'id_evento': '3271', 'nom_evento': 'CorazÃ³n Serrano y Dilbert Aguilar en Huancayo', 'fecha_hora_ini_event': '07-11-2025', 'fecha_hora_fin_event': '07-11-2025', 'id_organizador': 5613, 'nom_organizador': 'EMOZIONA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22T00:00:00"/>
    <m/>
    <m/>
    <m/>
    <m/>
    <m/>
    <n v="32323"/>
    <x v="1"/>
    <x v="1"/>
    <x v="0"/>
    <n v="144"/>
    <n v="0.6"/>
    <n v="0.71"/>
    <n v="0"/>
    <n v="86.4"/>
    <n v="18"/>
    <n v="15.55"/>
    <n v="101.95"/>
    <n v="1"/>
    <n v="1"/>
    <x v="0"/>
    <x v="0"/>
    <x v="0"/>
    <s v="JENNY MANCO"/>
    <x v="0"/>
    <s v="7012100 MercaderÃ­as-Venta Local-Terceros"/>
    <x v="0"/>
    <x v="52"/>
    <s v="CorazÃ³n Serrano y Dilbert Aguilar en Huancayo"/>
    <d v="2025-11-07T00:00:00"/>
    <d v="2025-11-07T00:00:00"/>
    <x v="39"/>
    <s v="EMOZIONA PRODUCCIONES E.I.R.L."/>
    <s v="Empresa"/>
    <x v="160"/>
  </r>
  <r>
    <x v="0"/>
    <x v="18"/>
    <s v="COLABORATIVA S.A.C."/>
    <x v="7"/>
    <d v="2025-11-03T18:35:55"/>
    <x v="45"/>
    <m/>
    <n v="6"/>
    <n v="20613741799"/>
    <s v="[{'id_producto': 32315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6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6959, 'nom_cuenta_analitica': '7032102 VENTAS SERVICIOS VAOPE', 'distribucion_analitica': []}]"/>
    <d v="2025-10-22T00:00:00"/>
    <m/>
    <m/>
    <m/>
    <m/>
    <m/>
    <n v="32315"/>
    <x v="17"/>
    <x v="17"/>
    <x v="0"/>
    <n v="1000"/>
    <n v="0.27"/>
    <n v="0.32"/>
    <n v="0"/>
    <n v="270"/>
    <n v="18"/>
    <n v="48.6"/>
    <n v="318.60000000000002"/>
    <n v="1"/>
    <n v="1"/>
    <x v="0"/>
    <x v="0"/>
    <x v="0"/>
    <s v="JENNY MANCO"/>
    <x v="0"/>
    <s v="7012100 MercaderÃ­as-Venta Local-Terceros"/>
    <x v="0"/>
    <x v="53"/>
    <s v="LA TRILOGIA TRIJILLANA 1ERA EDICION - 01/11 - I -P"/>
    <d v="2025-11-01T00:00:00"/>
    <d v="2025-11-01T00:00:00"/>
    <x v="41"/>
    <s v="MANUEL ULISES CASTILLO VALENCIA"/>
    <s v="Persona"/>
    <x v="161"/>
  </r>
  <r>
    <x v="0"/>
    <x v="18"/>
    <s v="COLABORATIVA S.A.C."/>
    <x v="7"/>
    <d v="2025-11-03T18:35:55"/>
    <x v="45"/>
    <m/>
    <n v="6"/>
    <n v="20613741799"/>
    <s v="[{'id_producto': 32315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6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6959, 'nom_cuenta_analitica': '7032102 VENTAS SERVICIOS VAOPE', 'distribucion_analitica': []}]"/>
    <d v="2025-10-22T00:00:00"/>
    <m/>
    <m/>
    <m/>
    <m/>
    <m/>
    <n v="32316"/>
    <x v="17"/>
    <x v="17"/>
    <x v="0"/>
    <n v="1000"/>
    <n v="0.27"/>
    <n v="0.32"/>
    <n v="0"/>
    <n v="270"/>
    <n v="18"/>
    <n v="48.6"/>
    <n v="318.60000000000002"/>
    <n v="1"/>
    <n v="1"/>
    <x v="0"/>
    <x v="0"/>
    <x v="0"/>
    <s v="JENNY MANCO"/>
    <x v="0"/>
    <s v="7012100 MercaderÃ­as-Venta Local-Terceros"/>
    <x v="0"/>
    <x v="53"/>
    <s v="LA TRILOGIA TRIJILLANA 1ERA EDICION - 01/11 - I -P"/>
    <d v="2025-11-01T00:00:00"/>
    <d v="2025-11-01T00:00:00"/>
    <x v="41"/>
    <s v="MANUEL ULISES CASTILLO VALENCIA"/>
    <s v="Persona"/>
    <x v="161"/>
  </r>
  <r>
    <x v="0"/>
    <x v="18"/>
    <s v="COLABORATIVA S.A.C."/>
    <x v="7"/>
    <d v="2025-11-03T18:35:55"/>
    <x v="45"/>
    <m/>
    <n v="6"/>
    <n v="20613741799"/>
    <s v="[{'id_producto': 32315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6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23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81', 'nom_evento': 'LA TRILOGIA TRIJILLANA 1ERA EDICION - 01/11 - I -P', 'fecha_hora_ini_event': '01-11-2025', 'fecha_hora_fin_event': '01-11-2025', 'id_organizador': 5305, 'nom_organizador': 'MANUEL ULISES CASTILLO VALENCIA', 'tipo_organizador': 'Persona'}, 'id_vendedor': 16, 'nom_vendedor': 'JENNY MANCO', 'id_cuenta_analitica': 6959, 'nom_cuenta_analitica': '7032102 VENTAS SERVICIOS VAOPE', 'distribucion_analitica': []}]"/>
    <d v="2025-10-22T00:00:00"/>
    <m/>
    <m/>
    <m/>
    <m/>
    <m/>
    <n v="32317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53"/>
    <s v="LA TRILOGIA TRIJILLANA 1ERA EDICION - 01/11 - I -P"/>
    <d v="2025-11-01T00:00:00"/>
    <d v="2025-11-01T00:00:00"/>
    <x v="41"/>
    <s v="MANUEL ULISES CASTILLO VALENCIA"/>
    <s v="Persona"/>
    <x v="161"/>
  </r>
  <r>
    <x v="0"/>
    <x v="19"/>
    <s v="COLABORATIVA S.A.C."/>
    <x v="7"/>
    <d v="2025-11-03T16:23:31"/>
    <x v="32"/>
    <m/>
    <n v="6"/>
    <n v="10737909609"/>
    <s v="[{'id_producto': 32304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reversed', 'nombre_estado': 'Revertido', 'evento': {'id_evento': '3079', 'nom_evento': 'Son del Duke, Tony Rosado y Walther Lozada &amp; Orquesta en Cusco', 'fecha_hora_ini_event': '21-09-2025', 'fecha_hora_fin_event': '21-09-2025', 'id_organizador': 5597, 'nom_organizador': 'MENDOZA HUALLPA LOYDA REBECA', 'tipo_organizador': 'Empres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22T00:00:00"/>
    <m/>
    <m/>
    <m/>
    <m/>
    <m/>
    <n v="32304"/>
    <x v="4"/>
    <x v="4"/>
    <x v="1"/>
    <n v="1"/>
    <n v="100"/>
    <n v="118"/>
    <n v="0"/>
    <n v="100"/>
    <n v="18"/>
    <n v="18"/>
    <n v="118"/>
    <n v="1"/>
    <n v="1"/>
    <x v="1"/>
    <x v="1"/>
    <x v="1"/>
    <s v="SAMUEL CHUQUISTA"/>
    <x v="2"/>
    <s v="7032102 VENTAS SERVICIOS VAOPE"/>
    <x v="4"/>
    <x v="39"/>
    <s v="Son del Duke, Tony Rosado y Walther Lozada &amp; Orquesta en Cusco"/>
    <d v="2025-09-21T00:00:00"/>
    <d v="2025-09-21T00:00:00"/>
    <x v="30"/>
    <s v="MENDOZA HUALLPA LOYDA REBECA"/>
    <s v="Empresa"/>
    <x v="162"/>
  </r>
  <r>
    <x v="1"/>
    <x v="147"/>
    <s v="COLABORATIVA S.A.C."/>
    <x v="8"/>
    <d v="2025-11-03T11:00:00"/>
    <x v="11"/>
    <m/>
    <n v="1"/>
    <n v="74630652"/>
    <s v="[{'id_producto': 31763, 'codigo_producto': 2324, 'nom_producto': 'ENTRADAS IMPRESAS', 'categoria_producto': 'consu', 'cantidad': '600.0', 'valor_unitario': 0.5, 'precio_unitario': 0.59, 'descuento': 0.0, 'subtotal': 300.0, 'porcentaje_de_igv': '18.00', 'igv': 54.0, 'total': 354.0, 'moneda': '1', 'tipo_de_cambio': 1.0, 'id_estado': 'paid', 'nombre_estado': 'Pagado', 'evento': {'id_evento': '2856', 'nom_evento': 'La Ãšnica Tropical, Gisela Lavado y mÃ¡s en Huancayo', 'fecha_hora_ini_event': '18-10-2025', 'fecha_hora_fin_event': '18-10-2025', 'id_organizador': 1168, 'nom_organizador': 'NAHOMY TRILCE CHAMORRO TORRES', 'tipo_organizador': 'Person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63"/>
    <x v="16"/>
    <x v="16"/>
    <x v="0"/>
    <n v="600"/>
    <n v="0.5"/>
    <n v="0.59"/>
    <n v="0"/>
    <n v="300"/>
    <n v="18"/>
    <n v="54"/>
    <n v="354"/>
    <n v="1"/>
    <n v="1"/>
    <x v="0"/>
    <x v="0"/>
    <x v="0"/>
    <s v="JENNY MANCO"/>
    <x v="0"/>
    <s v="7012100 MercaderÃ­as-Venta Local-Terceros"/>
    <x v="0"/>
    <x v="15"/>
    <s v="La Ãšnica Tropical, Gisela Lavado y mÃ¡s en Huancayo"/>
    <d v="2025-10-18T00:00:00"/>
    <d v="2025-10-18T00:00:00"/>
    <x v="11"/>
    <s v="NAHOMY TRILCE CHAMORRO TORRES"/>
    <s v="Persona"/>
    <x v="163"/>
  </r>
  <r>
    <x v="0"/>
    <x v="30"/>
    <s v="COLABORATIVA S.A.C."/>
    <x v="8"/>
    <d v="2025-11-03T10:00:00"/>
    <x v="46"/>
    <m/>
    <n v="6"/>
    <n v="20613375571"/>
    <s v="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42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54"/>
    <s v="Bryndis X Siempre en Puerto Maldonado"/>
    <d v="2025-11-07T00:00:00"/>
    <d v="2025-11-07T00:00:00"/>
    <x v="42"/>
    <s v="MAURO PRODUCCIONES E.I.R.L."/>
    <s v="Empresa"/>
    <x v="164"/>
  </r>
  <r>
    <x v="0"/>
    <x v="30"/>
    <s v="COLABORATIVA S.A.C."/>
    <x v="8"/>
    <d v="2025-11-03T10:00:00"/>
    <x v="46"/>
    <m/>
    <n v="6"/>
    <n v="20613375571"/>
    <s v="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43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54"/>
    <s v="Bryndis X Siempre en Puerto Maldonado"/>
    <d v="2025-11-07T00:00:00"/>
    <d v="2025-11-07T00:00:00"/>
    <x v="42"/>
    <s v="MAURO PRODUCCIONES E.I.R.L."/>
    <s v="Empresa"/>
    <x v="164"/>
  </r>
  <r>
    <x v="0"/>
    <x v="30"/>
    <s v="COLABORATIVA S.A.C."/>
    <x v="8"/>
    <d v="2025-11-03T10:00:00"/>
    <x v="46"/>
    <m/>
    <n v="6"/>
    <n v="20613375571"/>
    <s v="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44"/>
    <x v="0"/>
    <x v="0"/>
    <x v="0"/>
    <n v="1000"/>
    <n v="0.4"/>
    <n v="0.47"/>
    <n v="0"/>
    <n v="400"/>
    <n v="18"/>
    <n v="72"/>
    <n v="472"/>
    <n v="1"/>
    <n v="1"/>
    <x v="0"/>
    <x v="0"/>
    <x v="0"/>
    <s v="JENNY MANCO"/>
    <x v="0"/>
    <s v="7012100 MercaderÃ­as-Venta Local-Terceros"/>
    <x v="0"/>
    <x v="54"/>
    <s v="Bryndis X Siempre en Puerto Maldonado"/>
    <d v="2025-11-07T00:00:00"/>
    <d v="2025-11-07T00:00:00"/>
    <x v="42"/>
    <s v="MAURO PRODUCCIONES E.I.R.L."/>
    <s v="Empresa"/>
    <x v="164"/>
  </r>
  <r>
    <x v="0"/>
    <x v="30"/>
    <s v="COLABORATIVA S.A.C."/>
    <x v="8"/>
    <d v="2025-11-03T10:00:00"/>
    <x v="46"/>
    <m/>
    <n v="6"/>
    <n v="20613375571"/>
    <s v="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45"/>
    <x v="1"/>
    <x v="1"/>
    <x v="0"/>
    <n v="400"/>
    <n v="0.6"/>
    <n v="0.71"/>
    <n v="0"/>
    <n v="240"/>
    <n v="18"/>
    <n v="43.2"/>
    <n v="283.2"/>
    <n v="1"/>
    <n v="1"/>
    <x v="0"/>
    <x v="0"/>
    <x v="0"/>
    <s v="JENNY MANCO"/>
    <x v="0"/>
    <s v="7012100 MercaderÃ­as-Venta Local-Terceros"/>
    <x v="0"/>
    <x v="54"/>
    <s v="Bryndis X Siempre en Puerto Maldonado"/>
    <d v="2025-11-07T00:00:00"/>
    <d v="2025-11-07T00:00:00"/>
    <x v="42"/>
    <s v="MAURO PRODUCCIONES E.I.R.L."/>
    <s v="Empresa"/>
    <x v="164"/>
  </r>
  <r>
    <x v="0"/>
    <x v="30"/>
    <s v="COLABORATIVA S.A.C."/>
    <x v="8"/>
    <d v="2025-11-03T10:00:00"/>
    <x v="46"/>
    <m/>
    <n v="6"/>
    <n v="20613375571"/>
    <s v="[{'id_producto': 31742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3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4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5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46, 'codigo_producto': 1895, 'nom_producto': 'BRAZALETE CON QR', 'categoria_producto': 'consu', 'cantidad': '200.0', 'valor_unitario': 0.6, 'precio_unitario': 0.71, 'descuento': 0.0, 'subtotal': 120.0, 'porcentaje_de_igv': '18.00', 'igv': 21.6, 'total': 141.6, 'moneda': '1', 'tipo_de_cambio': 1.0, 'id_estado': 'paid', 'nombre_estado': 'Pagado', 'evento': {'id_evento': '3014', 'nom_evento': 'Bryndis X Siempre en Puerto Maldonado', 'fecha_hora_ini_event': '07-11-2025', 'fecha_hora_fin_event': '07-11-2025', 'id_organizador': 5425, 'nom_organizador': 'MAUR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46"/>
    <x v="1"/>
    <x v="1"/>
    <x v="0"/>
    <n v="200"/>
    <n v="0.6"/>
    <n v="0.71"/>
    <n v="0"/>
    <n v="120"/>
    <n v="18"/>
    <n v="21.6"/>
    <n v="141.6"/>
    <n v="1"/>
    <n v="1"/>
    <x v="0"/>
    <x v="0"/>
    <x v="0"/>
    <s v="JENNY MANCO"/>
    <x v="0"/>
    <s v="7012100 MercaderÃ­as-Venta Local-Terceros"/>
    <x v="0"/>
    <x v="54"/>
    <s v="Bryndis X Siempre en Puerto Maldonado"/>
    <d v="2025-11-07T00:00:00"/>
    <d v="2025-11-07T00:00:00"/>
    <x v="42"/>
    <s v="MAURO PRODUCCIONES E.I.R.L."/>
    <s v="Empresa"/>
    <x v="164"/>
  </r>
  <r>
    <x v="0"/>
    <x v="31"/>
    <s v="COLABORATIVA S.A.C."/>
    <x v="8"/>
    <d v="2025-11-03T10:00:00"/>
    <x v="45"/>
    <m/>
    <n v="6"/>
    <n v="20613741799"/>
    <s v="[{'id_producto': 31738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9, 'codigo_producto': 1916, 'nom_producto': 'DELIVERY', 'categoria_producto': 'service', 'cantidad': '30.0', 'valor_unitario': 1.0, 'precio_unitario': 1.18, 'descuento': 0.0, 'subtotal': 30.0, 'porcentaje_de_igv': '18.00', 'igv': 5.4, 'total': 35.4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6959, 'nom_cuenta_analitica': '7032102 VENTAS SERVICIOS VAOPE', 'distribucion_analitica': []}]"/>
    <d v="2025-10-18T00:00:00"/>
    <m/>
    <m/>
    <m/>
    <m/>
    <m/>
    <n v="31738"/>
    <x v="17"/>
    <x v="17"/>
    <x v="0"/>
    <n v="1000"/>
    <n v="0.27"/>
    <n v="0.32"/>
    <n v="0"/>
    <n v="270"/>
    <n v="18"/>
    <n v="48.6"/>
    <n v="318.60000000000002"/>
    <n v="1"/>
    <n v="1"/>
    <x v="0"/>
    <x v="0"/>
    <x v="0"/>
    <s v="JENNY MANCO"/>
    <x v="0"/>
    <s v="7012100 MercaderÃ­as-Venta Local-Terceros"/>
    <x v="0"/>
    <x v="55"/>
    <s v="2DO FESTIVAL ROCK PILSEN MUSIC - 11/10 - TRUJILLO I - P"/>
    <d v="2025-10-11T00:00:00"/>
    <d v="2025-10-11T00:00:00"/>
    <x v="43"/>
    <s v="MERO LOCO PRODUCCIONES E.I.R.L."/>
    <s v="Empresa"/>
    <x v="165"/>
  </r>
  <r>
    <x v="0"/>
    <x v="31"/>
    <s v="COLABORATIVA S.A.C."/>
    <x v="8"/>
    <d v="2025-11-03T10:00:00"/>
    <x v="45"/>
    <m/>
    <n v="6"/>
    <n v="20613741799"/>
    <s v="[{'id_producto': 31738, 'codigo_producto': 1788, 'nom_producto': 'STICKER CON QR', 'categoria_producto': 'consu', 'cantidad': '1000.0', 'valor_unitario': 0.27, 'precio_unitario': 0.32, 'descuento': 0.0, 'subtotal': 270.0, 'porcentaje_de_igv': '18.00', 'igv': 48.6, 'total': 318.6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9, 'codigo_producto': 1916, 'nom_producto': 'DELIVERY', 'categoria_producto': 'service', 'cantidad': '30.0', 'valor_unitario': 1.0, 'precio_unitario': 1.18, 'descuento': 0.0, 'subtotal': 30.0, 'porcentaje_de_igv': '18.00', 'igv': 5.4, 'total': 35.4, 'moneda': '1', 'tipo_de_cambio': 1.0, 'id_estado': 'paid', 'nombre_estado': 'Pagado', 'evento': {'id_evento': '3225', 'nom_evento': '2DO FESTIVAL ROCK PILSEN MUSIC - 11/10 - TRUJILLO I - P', 'fecha_hora_ini_event': '11-10-2025', 'fecha_hora_fin_event': '11-10-2025', 'id_organizador': 5521, 'nom_organizador': 'MERO LOCO PRODUCCIONES E.I.R.L.', 'tipo_organizador': 'Empresa'}, 'id_vendedor': 16, 'nom_vendedor': 'JENNY MANCO', 'id_cuenta_analitica': 6959, 'nom_cuenta_analitica': '7032102 VENTAS SERVICIOS VAOPE', 'distribucion_analitica': []}]"/>
    <d v="2025-10-18T00:00:00"/>
    <m/>
    <m/>
    <m/>
    <m/>
    <m/>
    <n v="31739"/>
    <x v="13"/>
    <x v="13"/>
    <x v="1"/>
    <n v="30"/>
    <n v="1"/>
    <n v="1.18"/>
    <n v="0"/>
    <n v="30"/>
    <n v="18"/>
    <n v="5.4"/>
    <n v="35.4"/>
    <n v="1"/>
    <n v="1"/>
    <x v="0"/>
    <x v="0"/>
    <x v="0"/>
    <s v="JENNY MANCO"/>
    <x v="2"/>
    <s v="7032102 VENTAS SERVICIOS VAOPE"/>
    <x v="6"/>
    <x v="55"/>
    <s v="2DO FESTIVAL ROCK PILSEN MUSIC - 11/10 - TRUJILLO I - P"/>
    <d v="2025-10-11T00:00:00"/>
    <d v="2025-10-11T00:00:00"/>
    <x v="43"/>
    <s v="MERO LOCO PRODUCCIONES E.I.R.L."/>
    <s v="Empresa"/>
    <x v="165"/>
  </r>
  <r>
    <x v="0"/>
    <x v="32"/>
    <s v="COLABORATIVA S.A.C."/>
    <x v="8"/>
    <d v="2025-11-03T10:00:00"/>
    <x v="25"/>
    <m/>
    <n v="6"/>
    <n v="20611890746"/>
    <s v="[{'id_producto': 31735, 'codigo_producto': 1916, 'nom_producto': 'DELIVERY', 'categoria_producto': 'service', 'cantidad': '1.0', 'valor_unitario': 40.0, 'precio_unitario': 47.2, 'descuento': 0.0, 'subtotal': 40.0, 'porcentaje_de_igv': '18.00', 'igv': 7.2, 'total': 47.2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18T00:00:00"/>
    <m/>
    <m/>
    <m/>
    <m/>
    <m/>
    <n v="31735"/>
    <x v="13"/>
    <x v="13"/>
    <x v="1"/>
    <n v="1"/>
    <n v="40"/>
    <n v="47.2"/>
    <n v="0"/>
    <n v="40"/>
    <n v="18"/>
    <n v="7.2"/>
    <n v="47.2"/>
    <n v="1"/>
    <n v="1"/>
    <x v="0"/>
    <x v="0"/>
    <x v="0"/>
    <s v="JENNY MANCO"/>
    <x v="2"/>
    <s v="7032102 VENTAS SERVICIOS VAOPE"/>
    <x v="8"/>
    <x v="56"/>
    <s v="Feliz Aniversario Barranca con ArmonÃ­a 10 y El Gran Chorrillano"/>
    <d v="2025-10-10T00:00:00"/>
    <d v="2025-10-10T00:00:00"/>
    <x v="44"/>
    <s v="CUSQUI LUIS MIGUEL ALFREDO"/>
    <s v="Empresa"/>
    <x v="166"/>
  </r>
  <r>
    <x v="0"/>
    <x v="33"/>
    <s v="COLABORATIVA S.A.C."/>
    <x v="8"/>
    <d v="2025-11-03T10:00:00"/>
    <x v="25"/>
    <m/>
    <n v="6"/>
    <n v="20611890746"/>
    <s v="[{'id_producto': 31731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4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31"/>
    <x v="0"/>
    <x v="0"/>
    <x v="0"/>
    <n v="1000"/>
    <n v="0.4"/>
    <n v="0.47"/>
    <n v="0"/>
    <n v="400"/>
    <n v="18"/>
    <n v="72"/>
    <n v="472"/>
    <n v="1"/>
    <n v="1"/>
    <x v="0"/>
    <x v="0"/>
    <x v="0"/>
    <s v="JENNY MANCO"/>
    <x v="0"/>
    <s v="7012100 MercaderÃ­as-Venta Local-Terceros"/>
    <x v="0"/>
    <x v="56"/>
    <s v="Feliz Aniversario Barranca con ArmonÃ­a 10 y El Gran Chorrillano"/>
    <d v="2025-10-10T00:00:00"/>
    <d v="2025-10-10T00:00:00"/>
    <x v="44"/>
    <s v="CUSQUI LUIS MIGUEL ALFREDO"/>
    <s v="Empresa"/>
    <x v="167"/>
  </r>
  <r>
    <x v="0"/>
    <x v="33"/>
    <s v="COLABORATIVA S.A.C."/>
    <x v="8"/>
    <d v="2025-11-03T10:00:00"/>
    <x v="25"/>
    <m/>
    <n v="6"/>
    <n v="20611890746"/>
    <s v="[{'id_producto': 31731, 'codigo_producto': 1924, 'nom_producto': 'BOLETO FULL COLOR CON QR', 'categoria_producto': 'consu', 'cantidad': '1000.0', 'valor_unitario': 0.4, 'precio_unitario': 0.47, 'descuento': 0.0, 'subtotal': 400.0, 'porcentaje_de_igv': '18.00', 'igv': 72.0, 'total': 472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34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34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0"/>
    <x v="56"/>
    <s v="Feliz Aniversario Barranca con ArmonÃ­a 10 y El Gran Chorrillano"/>
    <d v="2025-10-10T00:00:00"/>
    <d v="2025-10-10T00:00:00"/>
    <x v="44"/>
    <s v="CUSQUI LUIS MIGUEL ALFREDO"/>
    <s v="Empresa"/>
    <x v="167"/>
  </r>
  <r>
    <x v="0"/>
    <x v="34"/>
    <s v="COLABORATIVA S.A.C."/>
    <x v="8"/>
    <d v="2025-11-03T09:00:00"/>
    <x v="25"/>
    <m/>
    <n v="6"/>
    <n v="20611890746"/>
    <s v="[{'id_producto': 31727, 'codigo_producto': 1924, 'nom_producto': 'BOLETO FULL COLOR CON QR', 'categoria_producto': 'consu', 'cantidad': '500.0', 'valor_unitario': 0.4, 'precio_unitario': 0.47, 'descuento': 0.0, 'subtotal': 200.0, 'porcentaje_de_igv': '18.00', 'igv': 36.0, 'total': 236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8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27"/>
    <x v="0"/>
    <x v="0"/>
    <x v="0"/>
    <n v="500"/>
    <n v="0.4"/>
    <n v="0.47"/>
    <n v="0"/>
    <n v="200"/>
    <n v="18"/>
    <n v="36"/>
    <n v="236"/>
    <n v="1"/>
    <n v="1"/>
    <x v="0"/>
    <x v="0"/>
    <x v="0"/>
    <s v="JENNY MANCO"/>
    <x v="0"/>
    <s v="7012100 MercaderÃ­as-Venta Local-Terceros"/>
    <x v="0"/>
    <x v="57"/>
    <s v="LA UNICA TROPICAL - 10/10 - HUACHO - I - P"/>
    <d v="2025-10-10T00:00:00"/>
    <d v="2025-10-10T00:00:00"/>
    <x v="25"/>
    <s v="CONSORCIO CHUNGA &amp; ASOCIADOS S.A.C."/>
    <s v="Empresa"/>
    <x v="168"/>
  </r>
  <r>
    <x v="0"/>
    <x v="34"/>
    <s v="COLABORATIVA S.A.C."/>
    <x v="8"/>
    <d v="2025-11-03T09:00:00"/>
    <x v="25"/>
    <m/>
    <n v="6"/>
    <n v="20611890746"/>
    <s v="[{'id_producto': 31727, 'codigo_producto': 1924, 'nom_producto': 'BOLETO FULL COLOR CON QR', 'categoria_producto': 'consu', 'cantidad': '500.0', 'valor_unitario': 0.4, 'precio_unitario': 0.47, 'descuento': 0.0, 'subtotal': 200.0, 'porcentaje_de_igv': '18.00', 'igv': 36.0, 'total': 236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8, 'codigo_producto': 1895, 'nom_producto': 'BRAZALETE CON QR', 'categoria_producto': 'consu', 'cantidad': '500.0', 'valor_unitario': 0.6, 'precio_unitario': 0.71, 'descuento': 0.0, 'subtotal': 300.0, 'porcentaje_de_igv': '18.00', 'igv': 54.0, 'total': 354.0, 'moneda': '1', 'tipo_de_cambio': 1.0, 'id_estado': 'paid', 'nombre_estado': 'Pagado', 'evento': {'id_evento': '3250', 'nom_evento': 'LA UNICA TROPICAL - 10/10 - HUACHO - I - P', 'fecha_hora_ini_event': '10-10-2025', 'fecha_hora_fin_event': '10-10-2025', 'id_organizador': 1136, 'nom_organizador': 'CONSORCIO CHUNGA &amp; ASOCIADOS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28"/>
    <x v="1"/>
    <x v="1"/>
    <x v="0"/>
    <n v="500"/>
    <n v="0.6"/>
    <n v="0.71"/>
    <n v="0"/>
    <n v="300"/>
    <n v="18"/>
    <n v="54"/>
    <n v="354"/>
    <n v="1"/>
    <n v="1"/>
    <x v="0"/>
    <x v="0"/>
    <x v="0"/>
    <s v="JENNY MANCO"/>
    <x v="0"/>
    <s v="7012100 MercaderÃ­as-Venta Local-Terceros"/>
    <x v="0"/>
    <x v="57"/>
    <s v="LA UNICA TROPICAL - 10/10 - HUACHO - I - P"/>
    <d v="2025-10-10T00:00:00"/>
    <d v="2025-10-10T00:00:00"/>
    <x v="25"/>
    <s v="CONSORCIO CHUNGA &amp; ASOCIADOS S.A.C."/>
    <s v="Empresa"/>
    <x v="168"/>
  </r>
  <r>
    <x v="0"/>
    <x v="35"/>
    <s v="COLABORATIVA S.A.C."/>
    <x v="8"/>
    <d v="2025-11-03T09:00:00"/>
    <x v="0"/>
    <m/>
    <n v="6"/>
    <n v="20611018925"/>
    <s v="[{'id_producto': 31724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6959, 'nom_cuenta_analitica': '7032102 VENTAS SERVICIOS VAOPE', 'distribucion_analitica': [[{'codigo': 144, 'nom_distribucion': 'Operaciones', 'sub_categoria': 'Otros', 'porcentaje': '100.00'}]]}]"/>
    <d v="2025-10-18T00:00:00"/>
    <m/>
    <m/>
    <m/>
    <m/>
    <m/>
    <n v="31724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8"/>
    <x v="50"/>
    <s v="CorazÃ³n Serrano en Bagua Capital"/>
    <d v="2025-10-17T00:00:00"/>
    <d v="2025-10-17T00:00:00"/>
    <x v="0"/>
    <s v="G &amp; N MUSIC S.A.C."/>
    <s v="Empresa"/>
    <x v="169"/>
  </r>
  <r>
    <x v="0"/>
    <x v="36"/>
    <s v="COLABORATIVA S.A.C."/>
    <x v="8"/>
    <d v="2025-11-03T09:00:00"/>
    <x v="0"/>
    <m/>
    <n v="6"/>
    <n v="20611018925"/>
    <s v="[{'id_producto': 31720, 'codigo_producto': 1924, 'nom_producto': 'BOLETO FULL COLOR CON QR', 'categoria_producto': 'consu', 'cantidad': '1000.0', 'valor_unitario': 0.36, 'precio_unitario': 0.42, 'descuento': 0.0, 'subtotal': 360.0, 'porcentaje_de_igv': '18.00', 'igv': 64.8, 'total': 424.8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1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20"/>
    <x v="0"/>
    <x v="0"/>
    <x v="0"/>
    <n v="1000"/>
    <n v="0.36"/>
    <n v="0.42"/>
    <n v="0"/>
    <n v="360"/>
    <n v="18"/>
    <n v="64.8"/>
    <n v="424.8"/>
    <n v="1"/>
    <n v="1"/>
    <x v="0"/>
    <x v="0"/>
    <x v="0"/>
    <s v="JENNY MANCO"/>
    <x v="0"/>
    <s v="7012100 MercaderÃ­as-Venta Local-Terceros"/>
    <x v="0"/>
    <x v="50"/>
    <s v="CorazÃ³n Serrano en Bagua Capital"/>
    <d v="2025-10-17T00:00:00"/>
    <d v="2025-10-17T00:00:00"/>
    <x v="0"/>
    <s v="G &amp; N MUSIC S.A.C."/>
    <s v="Empresa"/>
    <x v="170"/>
  </r>
  <r>
    <x v="0"/>
    <x v="36"/>
    <s v="COLABORATIVA S.A.C."/>
    <x v="8"/>
    <d v="2025-11-03T09:00:00"/>
    <x v="0"/>
    <m/>
    <n v="6"/>
    <n v="20611018925"/>
    <s v="[{'id_producto': 31720, 'codigo_producto': 1924, 'nom_producto': 'BOLETO FULL COLOR CON QR', 'categoria_producto': 'consu', 'cantidad': '1000.0', 'valor_unitario': 0.36, 'precio_unitario': 0.42, 'descuento': 0.0, 'subtotal': 360.0, 'porcentaje_de_igv': '18.00', 'igv': 64.8, 'total': 424.8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, {'id_producto': 31721, 'codigo_producto': 1895, 'nom_producto': 'BRAZALETE CON QR', 'categoria_producto': 'consu', 'cantidad': '500.0', 'valor_unitario': 0.5, 'precio_unitario': 0.59, 'descuento': 0.0, 'subtotal': 250.0, 'porcentaje_de_igv': '18.00', 'igv': 45.0, 'total': 295.0, 'moneda': '1', 'tipo_de_cambio': 1.0, 'id_estado': 'paid', 'nombre_estado': 'Pagado', 'evento': {'id_evento': '3205', 'nom_evento': 'CorazÃ³n Serrano en Bagua Capital', 'fecha_hora_ini_event': '17-10-2025', 'fecha_hora_fin_event': '17-10-2025', 'id_organizador': 1128, 'nom_organizador': 'G &amp; N MUSIC S.A.C.', 'tipo_organizador': 'Empresa'}, 'id_vendedor': 16, 'nom_vendedor': 'JENNY MANCO', 'id_cuenta_analitica': 1106, 'nom_cuenta_analitica': '7012100 MercaderÃ­as-Venta Local-Terceros', 'distribucion_analitica': [[{'codigo': 82, 'nom_distribucion': 'Impresos', 'sub_categoria': 'Ime', 'porcentaje': '100.00'}]]}]"/>
    <d v="2025-10-18T00:00:00"/>
    <m/>
    <m/>
    <m/>
    <m/>
    <m/>
    <n v="31721"/>
    <x v="1"/>
    <x v="1"/>
    <x v="0"/>
    <n v="500"/>
    <n v="0.5"/>
    <n v="0.59"/>
    <n v="0"/>
    <n v="250"/>
    <n v="18"/>
    <n v="45"/>
    <n v="295"/>
    <n v="1"/>
    <n v="1"/>
    <x v="0"/>
    <x v="0"/>
    <x v="0"/>
    <s v="JENNY MANCO"/>
    <x v="0"/>
    <s v="7012100 MercaderÃ­as-Venta Local-Terceros"/>
    <x v="0"/>
    <x v="50"/>
    <s v="CorazÃ³n Serrano en Bagua Capital"/>
    <d v="2025-10-17T00:00:00"/>
    <d v="2025-10-17T00:00:00"/>
    <x v="0"/>
    <s v="G &amp; N MUSIC S.A.C."/>
    <s v="Empresa"/>
    <x v="170"/>
  </r>
  <r>
    <x v="1"/>
    <x v="148"/>
    <s v="COLABORATIVA S.A.C."/>
    <x v="8"/>
    <d v="2025-11-03T09:00:00"/>
    <x v="47"/>
    <m/>
    <n v="1"/>
    <n v="32856162"/>
    <s v="[{'id_producto': 31716, 'codigo_producto': 1924, 'nom_producto': 'BOLETO FULL COLOR CON QR', 'categoria_producto': 'consu', 'cantidad': '6000.0', 'valor_unitario': 0.4, 'precio_unitario': 0.47, 'descuento': 0.0, 'subtotal': 2400.0, 'porcentaje_de_igv': '18.00', 'igv': 432.0, 'total': 2832.0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1106, 'nom_cuenta_analitica': '7012100 MercaderÃ­as-Venta Local-Terceros', 'distribucion_analitica': []}, {'id_producto': 317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6959, 'nom_cuenta_analitica': '7032102 VENTAS SERVICIOS VAOPE', 'distribucion_analitica': []}]"/>
    <d v="2025-10-18T00:00:00"/>
    <m/>
    <m/>
    <m/>
    <m/>
    <m/>
    <n v="31716"/>
    <x v="0"/>
    <x v="0"/>
    <x v="0"/>
    <n v="6000"/>
    <n v="0.4"/>
    <n v="0.47"/>
    <n v="0"/>
    <n v="2400"/>
    <n v="18"/>
    <n v="432"/>
    <n v="2832"/>
    <n v="1"/>
    <n v="1"/>
    <x v="0"/>
    <x v="0"/>
    <x v="0"/>
    <s v="JENNY MANCO"/>
    <x v="0"/>
    <s v="7012100 MercaderÃ­as-Venta Local-Terceros"/>
    <x v="6"/>
    <x v="58"/>
    <s v="Festival GastronÃ³mico con sabor a Norte con Agua Marina, CaribeÃ±os y mÃ¡s en Chimbote"/>
    <d v="2025-10-12T00:00:00"/>
    <d v="2025-10-12T00:00:00"/>
    <x v="45"/>
    <s v="DIEGO RODERYCK ROJAS COELLO"/>
    <s v="Persona"/>
    <x v="171"/>
  </r>
  <r>
    <x v="1"/>
    <x v="148"/>
    <s v="COLABORATIVA S.A.C."/>
    <x v="8"/>
    <d v="2025-11-03T09:00:00"/>
    <x v="47"/>
    <m/>
    <n v="1"/>
    <n v="32856162"/>
    <s v="[{'id_producto': 31716, 'codigo_producto': 1924, 'nom_producto': 'BOLETO FULL COLOR CON QR', 'categoria_producto': 'consu', 'cantidad': '6000.0', 'valor_unitario': 0.4, 'precio_unitario': 0.47, 'descuento': 0.0, 'subtotal': 2400.0, 'porcentaje_de_igv': '18.00', 'igv': 432.0, 'total': 2832.0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1106, 'nom_cuenta_analitica': '7012100 MercaderÃ­as-Venta Local-Terceros', 'distribucion_analitica': []}, {'id_producto': 31717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098', 'nom_evento': 'Festival GastronÃ³mico con sabor a Norte con Agua Marina, CaribeÃ±os y mÃ¡s en Chimbote', 'fecha_hora_ini_event': '12-10-2025', 'fecha_hora_fin_event': '12-10-2025', 'id_organizador': 5546, 'nom_organizador': 'DIEGO RODERYCK ROJAS COELLO', 'tipo_organizador': 'Persona'}, 'id_vendedor': 16, 'nom_vendedor': 'JENNY MANCO', 'id_cuenta_analitica': 6959, 'nom_cuenta_analitica': '7032102 VENTAS SERVICIOS VAOPE', 'distribucion_analitica': []}]"/>
    <d v="2025-10-18T00:00:00"/>
    <m/>
    <m/>
    <m/>
    <m/>
    <m/>
    <n v="31717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58"/>
    <s v="Festival GastronÃ³mico con sabor a Norte con Agua Marina, CaribeÃ±os y mÃ¡s en Chimbote"/>
    <d v="2025-10-12T00:00:00"/>
    <d v="2025-10-12T00:00:00"/>
    <x v="45"/>
    <s v="DIEGO RODERYCK ROJAS COELLO"/>
    <s v="Persona"/>
    <x v="171"/>
  </r>
  <r>
    <x v="0"/>
    <x v="37"/>
    <s v="COLABORATIVA S.A.C."/>
    <x v="8"/>
    <d v="2025-11-03T09:00:00"/>
    <x v="48"/>
    <m/>
    <n v="6"/>
    <n v="20480014678"/>
    <s v="[{'id_producto': 31713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', 'nom_evento': '', 'fecha_hora_ini_event': '', 'fecha_hora_fin_event': '', 'id_organizador': 6616, 'nom_organizador': '', 'tipo_organizador': 'Persona'}, 'id_vendedor': 16, 'nom_vendedor': 'JENNY MANCO', 'id_cuenta_analitica': 6959, 'nom_cuenta_analitica': '7032102 VENTAS SERVICIOS VAOPE', 'distribucion_analitica': []}]"/>
    <d v="2025-10-18T00:00:00"/>
    <m/>
    <m/>
    <m/>
    <m/>
    <m/>
    <n v="31713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32"/>
    <m/>
    <m/>
    <m/>
    <x v="46"/>
    <m/>
    <s v="Persona"/>
    <x v="172"/>
  </r>
  <r>
    <x v="0"/>
    <x v="38"/>
    <s v="COLABORATIVA S.A.C."/>
    <x v="8"/>
    <d v="2025-11-03T09:00:00"/>
    <x v="49"/>
    <m/>
    <n v="6"/>
    <n v="20480014678"/>
    <s v="[{'id_producto': 31710, 'codigo_producto': 1895, 'nom_producto': 'BRAZALETE CON QR', 'categoria_producto': 'consu', 'cantidad': '5000.0', 'valor_unitario': 0.7, 'precio_unitario': 0.83, 'descuento': 0.0, 'subtotal': 3500.0, 'porcentaje_de_igv': '18.00', 'igv': 630.0, 'total': 4130.0, 'moneda': '1', 'tipo_de_cambio': 1.0, 'id_estado': 'paid', 'nombre_estado': 'Pagado', 'evento': {'id_evento': '3222', 'nom_evento': '20 AÃ‘OS NORANDINO - 25/10 - I - P', 'fecha_hora_ini_event': '25-10-2025', 'fecha_hora_fin_event': '25-10-2025', 'id_organizador': 6240, 'nom_organizador': 'GREGORY GUADALUPE EVENT PLANNER E.I.R.L.', 'tipo_organizador': 'Empresa'}, 'id_vendedor': 16, 'nom_vendedor': 'JENNY MANCO', 'id_cuenta_analitica': 1106, 'nom_cuenta_analitica': '7012100 MercaderÃ­as-Venta Local-Terceros', 'distribucion_analitica': []}]"/>
    <d v="2025-10-18T00:00:00"/>
    <m/>
    <m/>
    <m/>
    <m/>
    <m/>
    <n v="31710"/>
    <x v="1"/>
    <x v="1"/>
    <x v="0"/>
    <n v="5000"/>
    <n v="0.7"/>
    <n v="0.83"/>
    <n v="0"/>
    <n v="3500"/>
    <n v="18"/>
    <n v="630"/>
    <n v="4130"/>
    <n v="1"/>
    <n v="1"/>
    <x v="0"/>
    <x v="0"/>
    <x v="0"/>
    <s v="JENNY MANCO"/>
    <x v="0"/>
    <s v="7012100 MercaderÃ­as-Venta Local-Terceros"/>
    <x v="6"/>
    <x v="59"/>
    <s v="20 AÃ‘OS NORANDINO - 25/10 - I - P"/>
    <d v="2025-10-25T00:00:00"/>
    <d v="2025-10-25T00:00:00"/>
    <x v="47"/>
    <s v="GREGORY GUADALUPE EVENT PLANNER E.I.R.L."/>
    <s v="Empresa"/>
    <x v="173"/>
  </r>
  <r>
    <x v="0"/>
    <x v="39"/>
    <s v="COLABORATIVA S.A.C."/>
    <x v="9"/>
    <d v="2025-11-03T18:00:00"/>
    <x v="50"/>
    <m/>
    <n v="6"/>
    <n v="20606672323"/>
    <s v="[{'id_producto': 31705, 'codigo_producto': 2342, 'nom_producto': 'SERVICIO DE DISENO 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6959, 'nom_cuenta_analitica': '7032102 VENTAS SERVICIOS VAOPE', 'distribucion_analitica': []}]"/>
    <d v="2025-10-17T00:00:00"/>
    <m/>
    <m/>
    <m/>
    <m/>
    <m/>
    <n v="31705"/>
    <x v="12"/>
    <x v="12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60"/>
    <s v="Feliz 43.er Aniversario Colegio HipÃ³lito Unanue en Villa el Salvador"/>
    <d v="2025-10-04T00:00:00"/>
    <d v="2025-10-04T00:00:00"/>
    <x v="48"/>
    <s v="EDUCATENEA S.A.C."/>
    <s v="Empresa"/>
    <x v="174"/>
  </r>
  <r>
    <x v="0"/>
    <x v="40"/>
    <s v="COLABORATIVA S.A.C."/>
    <x v="9"/>
    <d v="2025-11-03T18:00:00"/>
    <x v="50"/>
    <m/>
    <n v="6"/>
    <n v="20606672323"/>
    <s v="[{'id_producto': 31699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, {'id_producto': 31700, 'codigo_producto': 1895, 'nom_producto': 'BRAZALETE CON QR', 'categoria_producto': 'consu', 'cantidad': '4000.0', 'valor_unitario': 0.6, 'precio_unitario': 0.71, 'descuento': 0.0, 'subtotal': 2400.0, 'porcentaje_de_igv': '18.00', 'igv': 432.0, 'total': 2832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]"/>
    <d v="2025-10-17T00:00:00"/>
    <m/>
    <m/>
    <m/>
    <m/>
    <m/>
    <n v="31699"/>
    <x v="1"/>
    <x v="1"/>
    <x v="0"/>
    <n v="400"/>
    <n v="0.6"/>
    <n v="0.71"/>
    <n v="0"/>
    <n v="240"/>
    <n v="18"/>
    <n v="43.2"/>
    <n v="283.2"/>
    <n v="1"/>
    <n v="1"/>
    <x v="0"/>
    <x v="0"/>
    <x v="0"/>
    <s v="JENNY MANCO"/>
    <x v="0"/>
    <s v="7012100 MercaderÃ­as-Venta Local-Terceros"/>
    <x v="6"/>
    <x v="60"/>
    <s v="Feliz 43.er Aniversario Colegio HipÃ³lito Unanue en Villa el Salvador"/>
    <d v="2025-10-04T00:00:00"/>
    <d v="2025-10-04T00:00:00"/>
    <x v="48"/>
    <s v="EDUCATENEA S.A.C."/>
    <s v="Empresa"/>
    <x v="175"/>
  </r>
  <r>
    <x v="0"/>
    <x v="40"/>
    <s v="COLABORATIVA S.A.C."/>
    <x v="9"/>
    <d v="2025-11-03T18:00:00"/>
    <x v="50"/>
    <m/>
    <n v="6"/>
    <n v="20606672323"/>
    <s v="[{'id_producto': 31699, 'codigo_producto': 1895, 'nom_producto': 'BRAZALETE CON QR', 'categoria_producto': 'consu', 'cantidad': '400.0', 'valor_unitario': 0.6, 'precio_unitario': 0.71, 'descuento': 0.0, 'subtotal': 240.0, 'porcentaje_de_igv': '18.00', 'igv': 43.2, 'total': 283.2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, {'id_producto': 31700, 'codigo_producto': 1895, 'nom_producto': 'BRAZALETE CON QR', 'categoria_producto': 'consu', 'cantidad': '4000.0', 'valor_unitario': 0.6, 'precio_unitario': 0.71, 'descuento': 0.0, 'subtotal': 2400.0, 'porcentaje_de_igv': '18.00', 'igv': 432.0, 'total': 2832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16, 'nom_vendedor': 'JENNY MANCO', 'id_cuenta_analitica': 1106, 'nom_cuenta_analitica': '7012100 MercaderÃ­as-Venta Local-Terceros', 'distribucion_analitica': []}]"/>
    <d v="2025-10-17T00:00:00"/>
    <m/>
    <m/>
    <m/>
    <m/>
    <m/>
    <n v="31700"/>
    <x v="1"/>
    <x v="1"/>
    <x v="0"/>
    <n v="4000"/>
    <n v="0.6"/>
    <n v="0.71"/>
    <n v="0"/>
    <n v="2400"/>
    <n v="18"/>
    <n v="432"/>
    <n v="2832"/>
    <n v="1"/>
    <n v="1"/>
    <x v="0"/>
    <x v="0"/>
    <x v="0"/>
    <s v="JENNY MANCO"/>
    <x v="0"/>
    <s v="7012100 MercaderÃ­as-Venta Local-Terceros"/>
    <x v="6"/>
    <x v="60"/>
    <s v="Feliz 43.er Aniversario Colegio HipÃ³lito Unanue en Villa el Salvador"/>
    <d v="2025-10-04T00:00:00"/>
    <d v="2025-10-04T00:00:00"/>
    <x v="48"/>
    <s v="EDUCATENEA S.A.C."/>
    <s v="Empresa"/>
    <x v="175"/>
  </r>
  <r>
    <x v="1"/>
    <x v="149"/>
    <s v="COLABORATIVA S.A.C."/>
    <x v="9"/>
    <d v="2025-11-03T10:31:53"/>
    <x v="9"/>
    <m/>
    <n v="1"/>
    <n v="48505208"/>
    <s v="[{'id_producto': 31660, 'codigo_producto': 216, 'nom_producto': 'COMISION PAGOS DIGITALES SEGUN CONTRATO', 'categoria_producto': 'service', 'cantidad': '1.0', 'valor_unitario': 41.0, 'precio_unitario': 48.38, 'descuento': 0.0, 'subtotal': 41.0, 'porcentaje_de_igv': '18.00', 'igv': 7.38, 'total': 48.38, 'moneda': '1', 'tipo_de_cambio': 1.0, 'id_estado': 'paid', 'nombre_estado': 'Pagado', 'evento': {'id_evento': '3071', 'nom_evento': 'Tributo Oficial a Pxndx en Puno', 'fecha_hora_ini_event': '27-09-2025', 'fecha_hora_fin_event': '27-09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7T00:00:00"/>
    <m/>
    <m/>
    <m/>
    <m/>
    <m/>
    <n v="31660"/>
    <x v="6"/>
    <x v="6"/>
    <x v="1"/>
    <n v="1"/>
    <n v="41"/>
    <n v="48.38"/>
    <n v="0"/>
    <n v="41"/>
    <n v="18"/>
    <n v="7.38"/>
    <n v="48.38"/>
    <n v="1"/>
    <n v="1"/>
    <x v="0"/>
    <x v="0"/>
    <x v="1"/>
    <s v="SAMUEL CHUQUISTA"/>
    <x v="3"/>
    <s v="7032100 Servicios-Local- VISA"/>
    <x v="1"/>
    <x v="61"/>
    <s v="Tributo Oficial a Pxndx en Puno"/>
    <d v="2025-09-27T00:00:00"/>
    <d v="2025-09-27T00:00:00"/>
    <x v="9"/>
    <s v="JEAN CARLOS HUARACA HUARANGA"/>
    <s v="Persona"/>
    <x v="176"/>
  </r>
  <r>
    <x v="1"/>
    <x v="150"/>
    <s v="COLABORATIVA S.A.C."/>
    <x v="9"/>
    <d v="2025-11-03T10:29:35"/>
    <x v="8"/>
    <s v="Cliente"/>
    <n v="1"/>
    <n v="72327214"/>
    <s v="[{'id_producto': 31657, 'codigo_producto': 2274, 'nom_producto': 'COMISION CORTESIA ', 'categoria_producto': 'consu', 'cantidad': '1.0', 'valor_unitario': 9.0, 'precio_unitario': 10.62, 'descuento': 0.0, 'subtotal': 9.0, 'porcentaje_de_igv': '18.00', 'igv': 1.62, 'total': 10.62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7T00:00:00"/>
    <m/>
    <m/>
    <m/>
    <m/>
    <m/>
    <n v="31657"/>
    <x v="2"/>
    <x v="2"/>
    <x v="0"/>
    <n v="1"/>
    <n v="9"/>
    <n v="10.62"/>
    <n v="0"/>
    <n v="9"/>
    <n v="18"/>
    <n v="1.62"/>
    <n v="10.62"/>
    <n v="1"/>
    <n v="1"/>
    <x v="0"/>
    <x v="0"/>
    <x v="1"/>
    <s v="SAMUEL CHUQUISTA"/>
    <x v="1"/>
    <s v="7032101 VENTAS COMISION VAOPE"/>
    <x v="1"/>
    <x v="62"/>
    <s v="Tributo a Pxndn SinfÃ³nico en Barranco"/>
    <d v="2025-10-11T00:00:00"/>
    <d v="2025-10-11T00:00:00"/>
    <x v="8"/>
    <s v="PETER OSMAR MENDOZA SANCHEZ"/>
    <s v="Persona"/>
    <x v="177"/>
  </r>
  <r>
    <x v="1"/>
    <x v="151"/>
    <s v="COLABORATIVA S.A.C."/>
    <x v="9"/>
    <d v="2025-11-03T10:29:17"/>
    <x v="8"/>
    <s v="Cliente"/>
    <n v="1"/>
    <n v="72327214"/>
    <s v="[{'id_producto': 31654, 'codigo_producto': 2276, 'nom_producto': 'PUNTO DE VENTA', 'categoria_producto': 'service', 'cantidad': '1.0', 'valor_unitario': 107.5, 'precio_unitario': 126.85, 'descuento': 0.0, 'subtotal': 107.5, 'porcentaje_de_igv': '18.00', 'igv': 19.35, 'total': 126.85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"/>
    <d v="2025-10-17T00:00:00"/>
    <m/>
    <m/>
    <m/>
    <m/>
    <m/>
    <n v="31654"/>
    <x v="9"/>
    <x v="9"/>
    <x v="1"/>
    <n v="1"/>
    <n v="107.5"/>
    <n v="126.85"/>
    <n v="0"/>
    <n v="107.5"/>
    <n v="18"/>
    <n v="19.350000000000001"/>
    <n v="126.85"/>
    <n v="1"/>
    <n v="1"/>
    <x v="0"/>
    <x v="0"/>
    <x v="1"/>
    <s v="SAMUEL CHUQUISTA"/>
    <x v="2"/>
    <s v="7032102 VENTAS SERVICIOS VAOPE"/>
    <x v="6"/>
    <x v="62"/>
    <s v="Tributo a Pxndn SinfÃ³nico en Barranco"/>
    <d v="2025-10-11T00:00:00"/>
    <d v="2025-10-11T00:00:00"/>
    <x v="8"/>
    <s v="PETER OSMAR MENDOZA SANCHEZ"/>
    <s v="Persona"/>
    <x v="178"/>
  </r>
  <r>
    <x v="1"/>
    <x v="152"/>
    <s v="COLABORATIVA S.A.C."/>
    <x v="9"/>
    <d v="2025-11-03T10:28:56"/>
    <x v="8"/>
    <s v="Cliente"/>
    <n v="1"/>
    <n v="72327214"/>
    <s v="[{'id_producto': 31651, 'codigo_producto': 1786, 'nom_producto': 'COMISION VAOPE SEGUN CONTRATO', 'categoria_producto': 'service', 'cantidad': '1.0', 'valor_unitario': 231.61, 'precio_unitario': 273.3, 'descuento': 0.0, 'subtotal': 231.61, 'porcentaje_de_igv': '18.00', 'igv': 41.69, 'total': 273.3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7T00:00:00"/>
    <m/>
    <m/>
    <m/>
    <m/>
    <m/>
    <n v="31651"/>
    <x v="5"/>
    <x v="5"/>
    <x v="1"/>
    <n v="1"/>
    <n v="231.61"/>
    <n v="273.3"/>
    <n v="0"/>
    <n v="231.61"/>
    <n v="18"/>
    <n v="41.69"/>
    <n v="273.3"/>
    <n v="1"/>
    <n v="1"/>
    <x v="0"/>
    <x v="0"/>
    <x v="1"/>
    <s v="SAMUEL CHUQUISTA"/>
    <x v="1"/>
    <s v="7032101 VENTAS COMISION VAOPE"/>
    <x v="5"/>
    <x v="62"/>
    <s v="Tributo a Pxndn SinfÃ³nico en Barranco"/>
    <d v="2025-10-11T00:00:00"/>
    <d v="2025-10-11T00:00:00"/>
    <x v="8"/>
    <s v="PETER OSMAR MENDOZA SANCHEZ"/>
    <s v="Persona"/>
    <x v="179"/>
  </r>
  <r>
    <x v="1"/>
    <x v="153"/>
    <s v="COLABORATIVA S.A.C."/>
    <x v="9"/>
    <d v="2025-11-03T10:28:36"/>
    <x v="8"/>
    <s v="Cliente"/>
    <n v="1"/>
    <n v="72327214"/>
    <s v="[{'id_producto': 31648, 'codigo_producto': 216, 'nom_producto': 'COMISION PAGOS DIGITALES SEGUN CONTRATO', 'categoria_producto': 'service', 'cantidad': '1.0', 'valor_unitario': 254.11, 'precio_unitario': 299.85, 'descuento': 0.0, 'subtotal': 254.11, 'porcentaje_de_igv': '18.00', 'igv': 45.74, 'total': 299.85, 'moneda': '1', 'tipo_de_cambio': 1.0, 'id_estado': 'paid', 'nombre_estado': 'Pagado', 'evento': {'id_evento': '2929', 'nom_evento': 'Tributo a Pxndn SinfÃ³nico en Barranco', 'fecha_hora_ini_event': '11-10-2025', 'fecha_hora_fin_event': '11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7T00:00:00"/>
    <m/>
    <m/>
    <m/>
    <m/>
    <m/>
    <n v="31648"/>
    <x v="6"/>
    <x v="6"/>
    <x v="1"/>
    <n v="1"/>
    <n v="254.11"/>
    <n v="299.85000000000002"/>
    <n v="0"/>
    <n v="254.11"/>
    <n v="18"/>
    <n v="45.74"/>
    <n v="299.85000000000002"/>
    <n v="1"/>
    <n v="1"/>
    <x v="0"/>
    <x v="0"/>
    <x v="1"/>
    <s v="SAMUEL CHUQUISTA"/>
    <x v="3"/>
    <s v="7032100 Servicios-Local- VISA"/>
    <x v="1"/>
    <x v="62"/>
    <s v="Tributo a Pxndn SinfÃ³nico en Barranco"/>
    <d v="2025-10-11T00:00:00"/>
    <d v="2025-10-11T00:00:00"/>
    <x v="8"/>
    <s v="PETER OSMAR MENDOZA SANCHEZ"/>
    <s v="Persona"/>
    <x v="180"/>
  </r>
  <r>
    <x v="1"/>
    <x v="154"/>
    <s v="COLABORATIVA S.A.C."/>
    <x v="9"/>
    <d v="2025-11-03T10:26:29"/>
    <x v="8"/>
    <s v="Cliente"/>
    <n v="1"/>
    <n v="72327214"/>
    <s v="[{'id_producto': 31645, 'codigo_producto': 2274, 'nom_producto': 'COMISION CORTESIA ', 'categoria_producto': 'consu', 'cantidad': '1.0', 'valor_unitario': 2.0, 'precio_unitario': 2.36, 'descuento': 0.0, 'subtotal': 2.0, 'porcentaje_de_igv': '18.00', 'igv': 0.36, 'total': 2.36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7T00:00:00"/>
    <m/>
    <m/>
    <m/>
    <m/>
    <m/>
    <n v="31645"/>
    <x v="2"/>
    <x v="2"/>
    <x v="0"/>
    <n v="1"/>
    <n v="2"/>
    <n v="2.36"/>
    <n v="0"/>
    <n v="2"/>
    <n v="18"/>
    <n v="0.36"/>
    <n v="2.36"/>
    <n v="1"/>
    <n v="1"/>
    <x v="0"/>
    <x v="0"/>
    <x v="1"/>
    <s v="SAMUEL CHUQUISTA"/>
    <x v="1"/>
    <s v="7032101 VENTAS COMISION VAOPE"/>
    <x v="1"/>
    <x v="63"/>
    <s v="Festival New Wave de Regreso a Miraflores"/>
    <d v="2025-10-10T00:00:00"/>
    <d v="2025-10-10T00:00:00"/>
    <x v="8"/>
    <s v="PETER OSMAR MENDOZA SANCHEZ"/>
    <s v="Persona"/>
    <x v="181"/>
  </r>
  <r>
    <x v="1"/>
    <x v="155"/>
    <s v="COLABORATIVA S.A.C."/>
    <x v="9"/>
    <d v="2025-11-03T10:26:10"/>
    <x v="8"/>
    <s v="Cliente"/>
    <n v="1"/>
    <n v="72327214"/>
    <s v="[{'id_producto': 31642, 'codigo_producto': 2276, 'nom_producto': 'PUNTO DE VENTA', 'categoria_producto': 'service', 'cantidad': '1.0', 'valor_unitario': 51.0, 'precio_unitario': 60.18, 'descuento': 0.0, 'subtotal': 51.0, 'porcentaje_de_igv': '18.00', 'igv': 9.18, 'total': 60.18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59, 'nom_cuenta_analitica': '7032102 VENTAS SERVICIOS VAOPE', 'distribucion_analitica': []}]"/>
    <d v="2025-10-17T00:00:00"/>
    <m/>
    <m/>
    <m/>
    <m/>
    <m/>
    <n v="31642"/>
    <x v="9"/>
    <x v="9"/>
    <x v="1"/>
    <n v="1"/>
    <n v="51"/>
    <n v="60.18"/>
    <n v="0"/>
    <n v="51"/>
    <n v="18"/>
    <n v="9.18"/>
    <n v="60.18"/>
    <n v="1"/>
    <n v="1"/>
    <x v="0"/>
    <x v="0"/>
    <x v="1"/>
    <s v="SAMUEL CHUQUISTA"/>
    <x v="2"/>
    <s v="7032102 VENTAS SERVICIOS VAOPE"/>
    <x v="6"/>
    <x v="63"/>
    <s v="Festival New Wave de Regreso a Miraflores"/>
    <d v="2025-10-10T00:00:00"/>
    <d v="2025-10-10T00:00:00"/>
    <x v="8"/>
    <s v="PETER OSMAR MENDOZA SANCHEZ"/>
    <s v="Persona"/>
    <x v="182"/>
  </r>
  <r>
    <x v="1"/>
    <x v="156"/>
    <s v="COLABORATIVA S.A.C."/>
    <x v="9"/>
    <d v="2025-11-03T10:25:26"/>
    <x v="8"/>
    <s v="Cliente"/>
    <n v="1"/>
    <n v="72327214"/>
    <s v="[{'id_producto': 31639, 'codigo_producto': 1786, 'nom_producto': 'COMISION VAOPE SEGUN CONTRATO', 'categoria_producto': 'service', 'cantidad': '1.0', 'valor_unitario': 10.51, 'precio_unitario': 12.4, 'descuento': 0.0, 'subtotal': 10.51, 'porcentaje_de_igv': '18.00', 'igv': 1.89, 'total': 12.4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7T00:00:00"/>
    <m/>
    <m/>
    <m/>
    <m/>
    <m/>
    <n v="31639"/>
    <x v="5"/>
    <x v="5"/>
    <x v="1"/>
    <n v="1"/>
    <n v="10.51"/>
    <n v="12.4"/>
    <n v="0"/>
    <n v="10.51"/>
    <n v="18"/>
    <n v="1.89"/>
    <n v="12.4"/>
    <n v="1"/>
    <n v="1"/>
    <x v="0"/>
    <x v="0"/>
    <x v="1"/>
    <s v="SAMUEL CHUQUISTA"/>
    <x v="1"/>
    <s v="7032101 VENTAS COMISION VAOPE"/>
    <x v="5"/>
    <x v="63"/>
    <s v="Festival New Wave de Regreso a Miraflores"/>
    <d v="2025-10-10T00:00:00"/>
    <d v="2025-10-10T00:00:00"/>
    <x v="8"/>
    <s v="PETER OSMAR MENDOZA SANCHEZ"/>
    <s v="Persona"/>
    <x v="183"/>
  </r>
  <r>
    <x v="1"/>
    <x v="157"/>
    <s v="COLABORATIVA S.A.C."/>
    <x v="9"/>
    <d v="2025-11-03T10:24:46"/>
    <x v="8"/>
    <s v="Cliente"/>
    <n v="1"/>
    <n v="72327214"/>
    <s v="[{'id_producto': 31636, 'codigo_producto': 216, 'nom_producto': 'COMISION PAGOS DIGITALES SEGUN CONTRATO', 'categoria_producto': 'service', 'cantidad': '1.0', 'valor_unitario': 57.1, 'precio_unitario': 67.38, 'descuento': 0.0, 'subtotal': 57.1, 'porcentaje_de_igv': '18.00', 'igv': 10.28, 'total': 67.38, 'moneda': '1', 'tipo_de_cambio': 1.0, 'id_estado': 'paid', 'nombre_estado': 'Pagado', 'evento': {'id_evento': '3124', 'nom_evento': 'Festival New Wave de Regreso a Miraflores', 'fecha_hora_ini_event': '10-10-2025', 'fecha_hora_fin_event': '10-10-2025', 'id_organizador': 416, 'nom_organizador': 'PETER OSMAR MENDOZA SANCH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7T00:00:00"/>
    <m/>
    <m/>
    <m/>
    <m/>
    <m/>
    <n v="31636"/>
    <x v="6"/>
    <x v="6"/>
    <x v="1"/>
    <n v="1"/>
    <n v="57.1"/>
    <n v="67.38"/>
    <n v="0"/>
    <n v="57.1"/>
    <n v="18"/>
    <n v="10.28"/>
    <n v="67.38"/>
    <n v="1"/>
    <n v="1"/>
    <x v="0"/>
    <x v="0"/>
    <x v="1"/>
    <s v="SAMUEL CHUQUISTA"/>
    <x v="3"/>
    <s v="7032100 Servicios-Local- VISA"/>
    <x v="1"/>
    <x v="63"/>
    <s v="Festival New Wave de Regreso a Miraflores"/>
    <d v="2025-10-10T00:00:00"/>
    <d v="2025-10-10T00:00:00"/>
    <x v="8"/>
    <s v="PETER OSMAR MENDOZA SANCHEZ"/>
    <s v="Persona"/>
    <x v="184"/>
  </r>
  <r>
    <x v="1"/>
    <x v="158"/>
    <s v="COLABORATIVA S.A.C."/>
    <x v="9"/>
    <d v="2025-11-03T10:14:20"/>
    <x v="9"/>
    <m/>
    <n v="1"/>
    <n v="48505208"/>
    <s v="[{'id_producto': 31633, 'codigo_producto': 2276, 'nom_producto': 'PUNTO DE VENTA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59, 'nom_cuenta_analitica': '7032102 VENTAS SERVICIOS VAOPE', 'distribucion_analitica': []}]"/>
    <d v="2025-10-17T00:00:00"/>
    <m/>
    <m/>
    <m/>
    <m/>
    <m/>
    <n v="31633"/>
    <x v="9"/>
    <x v="9"/>
    <x v="1"/>
    <n v="1"/>
    <n v="50"/>
    <n v="59"/>
    <n v="0"/>
    <n v="50"/>
    <n v="18"/>
    <n v="9"/>
    <n v="59"/>
    <n v="1"/>
    <n v="1"/>
    <x v="0"/>
    <x v="0"/>
    <x v="1"/>
    <s v="SAMUEL CHUQUISTA"/>
    <x v="2"/>
    <s v="7032102 VENTAS SERVICIOS VAOPE"/>
    <x v="6"/>
    <x v="64"/>
    <s v="Tributo Oficial a Pxndx en Arequipa"/>
    <d v="2025-09-26T00:00:00"/>
    <d v="2025-09-26T00:00:00"/>
    <x v="9"/>
    <s v="JEAN CARLOS HUARACA HUARANGA"/>
    <s v="Persona"/>
    <x v="185"/>
  </r>
  <r>
    <x v="0"/>
    <x v="41"/>
    <s v="COLABORATIVA S.A.C."/>
    <x v="9"/>
    <d v="2025-11-03T09:40:14"/>
    <x v="6"/>
    <m/>
    <n v="6"/>
    <n v="20609000415"/>
    <s v="[{'id_producto': 31627, 'codigo_producto': 2264, 'nom_producto': 'VOUCHER IMPRESO CON QR', 'categoria_producto': 'consu', 'cantidad': '100.0', 'valor_unitario': 0.3, 'precio_unitario': 0.35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8, 'codigo_producto': 2264, 'nom_producto': 'VOUCHER IMPRESO CON QR', 'categoria_producto': 'consu', 'cantidad': '200.0', 'valor_unitario': 0.3, 'precio_unitario': 0.35, 'descuento': 0.0, 'subtotal': 60.0, 'porcentaje_de_igv': '18.00', 'igv': 10.8, 'total': 70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9, 'codigo_producto': 2264, 'nom_producto': 'VOUCHER IMPRESO CON QR', 'categoria_producto': 'consu', 'cantidad': '700.0', 'valor_unitario': 0.3, 'precio_unitario': 0.35, 'descuento': 0.0, 'subtotal': 210.0, 'porcentaje_de_igv': '18.00', 'igv': 37.8, 'total': 247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3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6959, 'nom_cuenta_analitica': '7032102 VENTAS SERVICIOS VAOPE', 'distribucion_analitica': []}]"/>
    <d v="2025-10-17T00:00:00"/>
    <m/>
    <m/>
    <m/>
    <m/>
    <m/>
    <n v="31627"/>
    <x v="7"/>
    <x v="7"/>
    <x v="0"/>
    <n v="100"/>
    <n v="0.3"/>
    <n v="0.35"/>
    <n v="0"/>
    <n v="30"/>
    <n v="18"/>
    <n v="5.4"/>
    <n v="35.4"/>
    <n v="1"/>
    <n v="1"/>
    <x v="0"/>
    <x v="0"/>
    <x v="0"/>
    <s v="JENNY MANCO"/>
    <x v="0"/>
    <s v="7012100 MercaderÃ­as-Venta Local-Terceros"/>
    <x v="6"/>
    <x v="8"/>
    <s v="DÃ¡lmata en Tarapoto"/>
    <d v="2025-10-04T00:00:00"/>
    <d v="2025-10-04T00:00:00"/>
    <x v="6"/>
    <s v="RM MUSIC BUSINESS E.I.R.L."/>
    <s v="Empresa"/>
    <x v="186"/>
  </r>
  <r>
    <x v="0"/>
    <x v="41"/>
    <s v="COLABORATIVA S.A.C."/>
    <x v="9"/>
    <d v="2025-11-03T09:40:14"/>
    <x v="6"/>
    <m/>
    <n v="6"/>
    <n v="20609000415"/>
    <s v="[{'id_producto': 31627, 'codigo_producto': 2264, 'nom_producto': 'VOUCHER IMPRESO CON QR', 'categoria_producto': 'consu', 'cantidad': '100.0', 'valor_unitario': 0.3, 'precio_unitario': 0.35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8, 'codigo_producto': 2264, 'nom_producto': 'VOUCHER IMPRESO CON QR', 'categoria_producto': 'consu', 'cantidad': '200.0', 'valor_unitario': 0.3, 'precio_unitario': 0.35, 'descuento': 0.0, 'subtotal': 60.0, 'porcentaje_de_igv': '18.00', 'igv': 10.8, 'total': 70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9, 'codigo_producto': 2264, 'nom_producto': 'VOUCHER IMPRESO CON QR', 'categoria_producto': 'consu', 'cantidad': '700.0', 'valor_unitario': 0.3, 'precio_unitario': 0.35, 'descuento': 0.0, 'subtotal': 210.0, 'porcentaje_de_igv': '18.00', 'igv': 37.8, 'total': 247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3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6959, 'nom_cuenta_analitica': '7032102 VENTAS SERVICIOS VAOPE', 'distribucion_analitica': []}]"/>
    <d v="2025-10-17T00:00:00"/>
    <m/>
    <m/>
    <m/>
    <m/>
    <m/>
    <n v="31628"/>
    <x v="7"/>
    <x v="7"/>
    <x v="0"/>
    <n v="200"/>
    <n v="0.3"/>
    <n v="0.35"/>
    <n v="0"/>
    <n v="60"/>
    <n v="18"/>
    <n v="10.8"/>
    <n v="70.8"/>
    <n v="1"/>
    <n v="1"/>
    <x v="0"/>
    <x v="0"/>
    <x v="0"/>
    <s v="JENNY MANCO"/>
    <x v="0"/>
    <s v="7012100 MercaderÃ­as-Venta Local-Terceros"/>
    <x v="6"/>
    <x v="8"/>
    <s v="DÃ¡lmata en Tarapoto"/>
    <d v="2025-10-04T00:00:00"/>
    <d v="2025-10-04T00:00:00"/>
    <x v="6"/>
    <s v="RM MUSIC BUSINESS E.I.R.L."/>
    <s v="Empresa"/>
    <x v="186"/>
  </r>
  <r>
    <x v="0"/>
    <x v="41"/>
    <s v="COLABORATIVA S.A.C."/>
    <x v="9"/>
    <d v="2025-11-03T09:40:14"/>
    <x v="6"/>
    <m/>
    <n v="6"/>
    <n v="20609000415"/>
    <s v="[{'id_producto': 31627, 'codigo_producto': 2264, 'nom_producto': 'VOUCHER IMPRESO CON QR', 'categoria_producto': 'consu', 'cantidad': '100.0', 'valor_unitario': 0.3, 'precio_unitario': 0.35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8, 'codigo_producto': 2264, 'nom_producto': 'VOUCHER IMPRESO CON QR', 'categoria_producto': 'consu', 'cantidad': '200.0', 'valor_unitario': 0.3, 'precio_unitario': 0.35, 'descuento': 0.0, 'subtotal': 60.0, 'porcentaje_de_igv': '18.00', 'igv': 10.8, 'total': 70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9, 'codigo_producto': 2264, 'nom_producto': 'VOUCHER IMPRESO CON QR', 'categoria_producto': 'consu', 'cantidad': '700.0', 'valor_unitario': 0.3, 'precio_unitario': 0.35, 'descuento': 0.0, 'subtotal': 210.0, 'porcentaje_de_igv': '18.00', 'igv': 37.8, 'total': 247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3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6959, 'nom_cuenta_analitica': '7032102 VENTAS SERVICIOS VAOPE', 'distribucion_analitica': []}]"/>
    <d v="2025-10-17T00:00:00"/>
    <m/>
    <m/>
    <m/>
    <m/>
    <m/>
    <n v="31629"/>
    <x v="7"/>
    <x v="7"/>
    <x v="0"/>
    <n v="700"/>
    <n v="0.3"/>
    <n v="0.35"/>
    <n v="0"/>
    <n v="210"/>
    <n v="18"/>
    <n v="37.799999999999997"/>
    <n v="247.8"/>
    <n v="1"/>
    <n v="1"/>
    <x v="0"/>
    <x v="0"/>
    <x v="0"/>
    <s v="JENNY MANCO"/>
    <x v="0"/>
    <s v="7012100 MercaderÃ­as-Venta Local-Terceros"/>
    <x v="6"/>
    <x v="8"/>
    <s v="DÃ¡lmata en Tarapoto"/>
    <d v="2025-10-04T00:00:00"/>
    <d v="2025-10-04T00:00:00"/>
    <x v="6"/>
    <s v="RM MUSIC BUSINESS E.I.R.L."/>
    <s v="Empresa"/>
    <x v="186"/>
  </r>
  <r>
    <x v="0"/>
    <x v="41"/>
    <s v="COLABORATIVA S.A.C."/>
    <x v="9"/>
    <d v="2025-11-03T09:40:14"/>
    <x v="6"/>
    <m/>
    <n v="6"/>
    <n v="20609000415"/>
    <s v="[{'id_producto': 31627, 'codigo_producto': 2264, 'nom_producto': 'VOUCHER IMPRESO CON QR', 'categoria_producto': 'consu', 'cantidad': '100.0', 'valor_unitario': 0.3, 'precio_unitario': 0.35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8, 'codigo_producto': 2264, 'nom_producto': 'VOUCHER IMPRESO CON QR', 'categoria_producto': 'consu', 'cantidad': '200.0', 'valor_unitario': 0.3, 'precio_unitario': 0.35, 'descuento': 0.0, 'subtotal': 60.0, 'porcentaje_de_igv': '18.00', 'igv': 10.8, 'total': 70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29, 'codigo_producto': 2264, 'nom_producto': 'VOUCHER IMPRESO CON QR', 'categoria_producto': 'consu', 'cantidad': '700.0', 'valor_unitario': 0.3, 'precio_unitario': 0.35, 'descuento': 0.0, 'subtotal': 210.0, 'porcentaje_de_igv': '18.00', 'igv': 37.8, 'total': 247.8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1106, 'nom_cuenta_analitica': '7012100 MercaderÃ­as-Venta Local-Terceros', 'distribucion_analitica': []}, {'id_producto': 31630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77', 'nom_evento': 'DÃ¡lmata en Tarapoto', 'fecha_hora_ini_event': '04-10-2025', 'fecha_hora_fin_event': '04-10-2025', 'id_organizador': 6104, 'nom_organizador': 'RM MUSIC BUSINESS E.I.R.L.', 'tipo_organizador': 'Empresa'}, 'id_vendedor': 16, 'nom_vendedor': 'JENNY MANCO', 'id_cuenta_analitica': 6959, 'nom_cuenta_analitica': '7032102 VENTAS SERVICIOS VAOPE', 'distribucion_analitica': []}]"/>
    <d v="2025-10-17T00:00:00"/>
    <m/>
    <m/>
    <m/>
    <m/>
    <m/>
    <n v="31630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8"/>
    <s v="DÃ¡lmata en Tarapoto"/>
    <d v="2025-10-04T00:00:00"/>
    <d v="2025-10-04T00:00:00"/>
    <x v="6"/>
    <s v="RM MUSIC BUSINESS E.I.R.L."/>
    <s v="Empresa"/>
    <x v="186"/>
  </r>
  <r>
    <x v="0"/>
    <x v="42"/>
    <s v="COLABORATIVA S.A.C."/>
    <x v="10"/>
    <d v="2025-11-03T21:08:28"/>
    <x v="51"/>
    <m/>
    <n v="6"/>
    <n v="20606812290"/>
    <s v="[{'id_producto': 31620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1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2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6959, 'nom_cuenta_analitica': '7032102 VENTAS SERVICIOS VAOPE', 'distribucion_analitica': []}, {'id_producto': 3162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]"/>
    <d v="2025-10-16T00:00:00"/>
    <m/>
    <m/>
    <m/>
    <m/>
    <m/>
    <n v="31620"/>
    <x v="7"/>
    <x v="7"/>
    <x v="0"/>
    <n v="2000"/>
    <n v="0.3"/>
    <n v="0.35"/>
    <n v="0"/>
    <n v="600"/>
    <n v="18"/>
    <n v="108"/>
    <n v="708"/>
    <n v="1"/>
    <n v="1"/>
    <x v="0"/>
    <x v="0"/>
    <x v="0"/>
    <s v="JENNY MANCO"/>
    <x v="0"/>
    <s v="7012100 MercaderÃ­as-Venta Local-Terceros"/>
    <x v="6"/>
    <x v="65"/>
    <s v="Feliz Aniversario Barranca con Yarita Lizeth, Noemi Huaman, Miguel Salas y mÃ¡s"/>
    <d v="2025-10-05T00:00:00"/>
    <d v="2025-10-05T00:00:00"/>
    <x v="49"/>
    <s v="DOROTEO VELASQUEZ JAHN PAVEL FERNANDO"/>
    <s v="Empresa"/>
    <x v="187"/>
  </r>
  <r>
    <x v="0"/>
    <x v="42"/>
    <s v="COLABORATIVA S.A.C."/>
    <x v="10"/>
    <d v="2025-11-03T21:08:28"/>
    <x v="51"/>
    <m/>
    <n v="6"/>
    <n v="20606812290"/>
    <s v="[{'id_producto': 31620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1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2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6959, 'nom_cuenta_analitica': '7032102 VENTAS SERVICIOS VAOPE', 'distribucion_analitica': []}, {'id_producto': 3162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]"/>
    <d v="2025-10-16T00:00:00"/>
    <m/>
    <m/>
    <m/>
    <m/>
    <m/>
    <n v="31621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6"/>
    <x v="65"/>
    <s v="Feliz Aniversario Barranca con Yarita Lizeth, Noemi Huaman, Miguel Salas y mÃ¡s"/>
    <d v="2025-10-05T00:00:00"/>
    <d v="2025-10-05T00:00:00"/>
    <x v="49"/>
    <s v="DOROTEO VELASQUEZ JAHN PAVEL FERNANDO"/>
    <s v="Empresa"/>
    <x v="187"/>
  </r>
  <r>
    <x v="0"/>
    <x v="42"/>
    <s v="COLABORATIVA S.A.C."/>
    <x v="10"/>
    <d v="2025-11-03T21:08:28"/>
    <x v="51"/>
    <m/>
    <n v="6"/>
    <n v="20606812290"/>
    <s v="[{'id_producto': 31620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1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2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6959, 'nom_cuenta_analitica': '7032102 VENTAS SERVICIOS VAOPE', 'distribucion_analitica': []}, {'id_producto': 3162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]"/>
    <d v="2025-10-16T00:00:00"/>
    <m/>
    <m/>
    <m/>
    <m/>
    <m/>
    <n v="31622"/>
    <x v="13"/>
    <x v="13"/>
    <x v="1"/>
    <n v="1"/>
    <n v="30"/>
    <n v="35.4"/>
    <n v="0"/>
    <n v="30"/>
    <n v="18"/>
    <n v="5.4"/>
    <n v="35.4"/>
    <n v="1"/>
    <n v="1"/>
    <x v="0"/>
    <x v="0"/>
    <x v="0"/>
    <s v="JENNY MANCO"/>
    <x v="2"/>
    <s v="7032102 VENTAS SERVICIOS VAOPE"/>
    <x v="6"/>
    <x v="65"/>
    <s v="Feliz Aniversario Barranca con Yarita Lizeth, Noemi Huaman, Miguel Salas y mÃ¡s"/>
    <d v="2025-10-05T00:00:00"/>
    <d v="2025-10-05T00:00:00"/>
    <x v="49"/>
    <s v="DOROTEO VELASQUEZ JAHN PAVEL FERNANDO"/>
    <s v="Empresa"/>
    <x v="187"/>
  </r>
  <r>
    <x v="0"/>
    <x v="42"/>
    <s v="COLABORATIVA S.A.C."/>
    <x v="10"/>
    <d v="2025-11-03T21:08:28"/>
    <x v="51"/>
    <m/>
    <n v="6"/>
    <n v="20606812290"/>
    <s v="[{'id_producto': 31620, 'codigo_producto': 2264, 'nom_producto': 'VOUCHER IMPRESO CON QR', 'categoria_producto': 'consu', 'cantidad': '2000.0', 'valor_unitario': 0.3, 'precio_unitario': 0.35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1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, {'id_producto': 31622, 'codigo_producto': 19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6959, 'nom_cuenta_analitica': '7032102 VENTAS SERVICIOS VAOPE', 'distribucion_analitica': []}, {'id_producto': 31626, 'codigo_producto': 1895, 'nom_producto': 'BRAZALETE CON QR', 'categoria_producto': 'consu', 'cantidad': '1000.0', 'valor_unitario': 0.6, 'precio_unitario': 0.71, 'descuento': 0.0, 'subtotal': 600.0, 'porcentaje_de_igv': '18.00', 'igv': 108.0, 'total': 708.0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16, 'nom_vendedor': 'JENNY MANCO', 'id_cuenta_analitica': 1106, 'nom_cuenta_analitica': '7012100 MercaderÃ­as-Venta Local-Terceros', 'distribucion_analitica': []}]"/>
    <d v="2025-10-16T00:00:00"/>
    <m/>
    <m/>
    <m/>
    <m/>
    <m/>
    <n v="31626"/>
    <x v="1"/>
    <x v="1"/>
    <x v="0"/>
    <n v="1000"/>
    <n v="0.6"/>
    <n v="0.71"/>
    <n v="0"/>
    <n v="600"/>
    <n v="18"/>
    <n v="108"/>
    <n v="708"/>
    <n v="1"/>
    <n v="1"/>
    <x v="0"/>
    <x v="0"/>
    <x v="0"/>
    <s v="JENNY MANCO"/>
    <x v="0"/>
    <s v="7012100 MercaderÃ­as-Venta Local-Terceros"/>
    <x v="6"/>
    <x v="65"/>
    <s v="Feliz Aniversario Barranca con Yarita Lizeth, Noemi Huaman, Miguel Salas y mÃ¡s"/>
    <d v="2025-10-05T00:00:00"/>
    <d v="2025-10-05T00:00:00"/>
    <x v="49"/>
    <s v="DOROTEO VELASQUEZ JAHN PAVEL FERNANDO"/>
    <s v="Empresa"/>
    <x v="187"/>
  </r>
  <r>
    <x v="0"/>
    <x v="43"/>
    <s v="COLABORATIVA S.A.C."/>
    <x v="10"/>
    <d v="2025-11-03T20:46:00"/>
    <x v="52"/>
    <m/>
    <n v="6"/>
    <n v="20542731347"/>
    <s v="[{'id_producto': 31614, 'codigo_producto': 1786, 'nom_producto': 'COMISION VAOPE SEGUN CONTRATO', 'categoria_producto': 'service', 'cantidad': '1.0', 'valor_unitario': 2447.71, 'precio_unitario': 2888.3, 'descuento': 0.0, 'subtotal': 2447.71, 'porcentaje_de_igv': '18.00', 'igv': 440.59, 'total': 2888.3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614"/>
    <x v="5"/>
    <x v="5"/>
    <x v="1"/>
    <n v="1"/>
    <n v="2447.71"/>
    <n v="2888.3"/>
    <n v="0"/>
    <n v="2447.71"/>
    <n v="18"/>
    <n v="440.59"/>
    <n v="2888.3"/>
    <n v="1"/>
    <n v="1"/>
    <x v="0"/>
    <x v="0"/>
    <x v="1"/>
    <s v="SAMUEL CHUQUISTA"/>
    <x v="1"/>
    <s v="7032101 VENTAS COMISION VAOPE"/>
    <x v="5"/>
    <x v="66"/>
    <s v="Feliz 15 Aniversario El Aguaje con Yarita Lizeth, Tony Rosado y mÃ¡s en Puente Piedra"/>
    <d v="2025-09-28T00:00:00"/>
    <d v="2025-09-28T00:00:00"/>
    <x v="50"/>
    <s v="Juan Elera Guerrero"/>
    <s v="Persona"/>
    <x v="188"/>
  </r>
  <r>
    <x v="0"/>
    <x v="44"/>
    <s v="COLABORATIVA S.A.C."/>
    <x v="10"/>
    <d v="2025-11-03T20:45:25"/>
    <x v="52"/>
    <m/>
    <n v="6"/>
    <n v="20542731347"/>
    <s v="[{'id_producto': 31611, 'codigo_producto': 216, 'nom_producto': 'COMISION PAGOS DIGITALES SEGUN CONTRATO', 'categoria_producto': 'service', 'cantidad': '1.0', 'valor_unitario': 3083.1, 'precio_unitario': 3638.06, 'descuento': 0.0, 'subtotal': 3083.1, 'porcentaje_de_igv': '18.00', 'igv': 554.96, 'total': 3638.06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611"/>
    <x v="6"/>
    <x v="6"/>
    <x v="1"/>
    <n v="1"/>
    <n v="3083.1"/>
    <n v="3638.06"/>
    <n v="0"/>
    <n v="3083.1"/>
    <n v="18"/>
    <n v="554.96"/>
    <n v="3638.06"/>
    <n v="1"/>
    <n v="1"/>
    <x v="0"/>
    <x v="0"/>
    <x v="1"/>
    <s v="SAMUEL CHUQUISTA"/>
    <x v="3"/>
    <s v="7032100 Servicios-Local- VISA"/>
    <x v="1"/>
    <x v="66"/>
    <s v="Feliz 15 Aniversario El Aguaje con Yarita Lizeth, Tony Rosado y mÃ¡s en Puente Piedra"/>
    <d v="2025-09-28T00:00:00"/>
    <d v="2025-09-28T00:00:00"/>
    <x v="50"/>
    <s v="Juan Elera Guerrero"/>
    <s v="Persona"/>
    <x v="189"/>
  </r>
  <r>
    <x v="0"/>
    <x v="45"/>
    <s v="COLABORATIVA S.A.C."/>
    <x v="10"/>
    <d v="2025-11-03T20:44:40"/>
    <x v="52"/>
    <m/>
    <n v="6"/>
    <n v="20542731347"/>
    <s v="[{'id_producto': 31608, 'codigo_producto': 2274, 'nom_producto': 'COMISION CORTESIA ', 'categoria_producto': 'consu', 'cantidad': '1.0', 'valor_unitario': 80.51, 'precio_unitario': 95.0, 'descuento': 0.0, 'subtotal': 80.51, 'porcentaje_de_igv': '18.00', 'igv': 14.49, 'total': 9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608"/>
    <x v="2"/>
    <x v="2"/>
    <x v="0"/>
    <n v="1"/>
    <n v="80.510000000000005"/>
    <n v="95"/>
    <n v="0"/>
    <n v="80.510000000000005"/>
    <n v="18"/>
    <n v="14.49"/>
    <n v="95"/>
    <n v="1"/>
    <n v="1"/>
    <x v="0"/>
    <x v="0"/>
    <x v="1"/>
    <s v="SAMUEL CHUQUISTA"/>
    <x v="1"/>
    <s v="7032101 VENTAS COMISION VAOPE"/>
    <x v="1"/>
    <x v="66"/>
    <s v="Feliz 15 Aniversario El Aguaje con Yarita Lizeth, Tony Rosado y mÃ¡s en Puente Piedra"/>
    <d v="2025-09-28T00:00:00"/>
    <d v="2025-09-28T00:00:00"/>
    <x v="50"/>
    <s v="Juan Elera Guerrero"/>
    <s v="Persona"/>
    <x v="190"/>
  </r>
  <r>
    <x v="0"/>
    <x v="46"/>
    <s v="COLABORATIVA S.A.C."/>
    <x v="10"/>
    <d v="2025-11-03T20:44:00"/>
    <x v="52"/>
    <m/>
    <n v="6"/>
    <n v="20542731347"/>
    <s v="[{'id_producto': 31605, 'codigo_producto': 2276, 'nom_producto': 'PUNTO DE VENTA', 'categoria_producto': 'service', 'cantidad': '1.0', 'valor_unitario': 52.75, 'precio_unitario': 62.25, 'descuento': 0.0, 'subtotal': 52.75, 'porcentaje_de_igv': '18.00', 'igv': 9.5, 'total': 62.2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]}]"/>
    <d v="2025-10-16T00:00:00"/>
    <m/>
    <m/>
    <m/>
    <m/>
    <m/>
    <n v="31605"/>
    <x v="9"/>
    <x v="9"/>
    <x v="1"/>
    <n v="1"/>
    <n v="52.75"/>
    <n v="62.25"/>
    <n v="0"/>
    <n v="52.75"/>
    <n v="18"/>
    <n v="9.5"/>
    <n v="62.25"/>
    <n v="1"/>
    <n v="1"/>
    <x v="0"/>
    <x v="0"/>
    <x v="1"/>
    <s v="SAMUEL CHUQUISTA"/>
    <x v="2"/>
    <s v="7032102 VENTAS SERVICIOS VAOPE"/>
    <x v="6"/>
    <x v="66"/>
    <s v="Feliz 15 Aniversario El Aguaje con Yarita Lizeth, Tony Rosado y mÃ¡s en Puente Piedra"/>
    <d v="2025-09-28T00:00:00"/>
    <d v="2025-09-28T00:00:00"/>
    <x v="50"/>
    <s v="Juan Elera Guerrero"/>
    <s v="Persona"/>
    <x v="191"/>
  </r>
  <r>
    <x v="0"/>
    <x v="47"/>
    <s v="COLABORATIVA S.A.C."/>
    <x v="10"/>
    <d v="2025-11-03T20:43:29"/>
    <x v="52"/>
    <m/>
    <n v="6"/>
    <n v="20542731347"/>
    <s v="[{'id_producto': 31602, 'codigo_producto': 2315, 'nom_producto': 'PAUTA PUBLICITARIA', 'categoria_producto': 'service', 'cantidad': '1.0', 'valor_unitario': 2750.0, 'precio_unitario': 3245.0, 'descuento': 0.0, 'subtotal': 2750.0, 'porcentaje_de_igv': '18.00', 'igv': 495.0, 'total': 324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16T00:00:00"/>
    <m/>
    <m/>
    <m/>
    <m/>
    <m/>
    <n v="31602"/>
    <x v="3"/>
    <x v="3"/>
    <x v="1"/>
    <n v="1"/>
    <n v="2750"/>
    <n v="3245"/>
    <n v="0"/>
    <n v="2750"/>
    <n v="18"/>
    <n v="495"/>
    <n v="3245"/>
    <n v="1"/>
    <n v="1"/>
    <x v="0"/>
    <x v="0"/>
    <x v="1"/>
    <s v="SAMUEL CHUQUISTA"/>
    <x v="2"/>
    <s v="7032102 VENTAS SERVICIOS VAOPE"/>
    <x v="2"/>
    <x v="66"/>
    <s v="Feliz 15 Aniversario El Aguaje con Yarita Lizeth, Tony Rosado y mÃ¡s en Puente Piedra"/>
    <d v="2025-09-28T00:00:00"/>
    <d v="2025-09-28T00:00:00"/>
    <x v="50"/>
    <s v="Juan Elera Guerrero"/>
    <s v="Persona"/>
    <x v="192"/>
  </r>
  <r>
    <x v="0"/>
    <x v="48"/>
    <s v="COLABORATIVA S.A.C."/>
    <x v="10"/>
    <d v="2025-11-03T20:42:56"/>
    <x v="52"/>
    <m/>
    <n v="6"/>
    <n v="20542731347"/>
    <s v="[{'id_producto': 31599, 'codigo_producto': 2314, 'nom_producto': 'SERV VALIDADORES', 'categoria_producto': 'service', 'cantidad': '1.0', 'valor_unitario': 421.61, 'precio_unitario': 497.5, 'descuento': 0.0, 'subtotal': 421.61, 'porcentaje_de_igv': '18.00', 'igv': 75.89, 'total': 497.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99"/>
    <x v="10"/>
    <x v="10"/>
    <x v="1"/>
    <n v="1"/>
    <n v="421.61"/>
    <n v="497.5"/>
    <n v="0"/>
    <n v="421.61"/>
    <n v="18"/>
    <n v="75.89"/>
    <n v="497.5"/>
    <n v="1"/>
    <n v="1"/>
    <x v="0"/>
    <x v="0"/>
    <x v="1"/>
    <s v="SAMUEL CHUQUISTA"/>
    <x v="2"/>
    <s v="7032102 VENTAS SERVICIOS VAOPE"/>
    <x v="5"/>
    <x v="66"/>
    <s v="Feliz 15 Aniversario El Aguaje con Yarita Lizeth, Tony Rosado y mÃ¡s en Puente Piedra"/>
    <d v="2025-09-28T00:00:00"/>
    <d v="2025-09-28T00:00:00"/>
    <x v="50"/>
    <s v="Juan Elera Guerrero"/>
    <s v="Persona"/>
    <x v="193"/>
  </r>
  <r>
    <x v="0"/>
    <x v="49"/>
    <s v="COLABORATIVA S.A.C."/>
    <x v="10"/>
    <d v="2025-11-03T20:42:22"/>
    <x v="52"/>
    <m/>
    <n v="6"/>
    <n v="20542731347"/>
    <s v="[{'id_producto': 31596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596"/>
    <x v="16"/>
    <x v="16"/>
    <x v="0"/>
    <n v="1"/>
    <n v="1500"/>
    <n v="1770"/>
    <n v="0"/>
    <n v="1500"/>
    <n v="18"/>
    <n v="270"/>
    <n v="1770"/>
    <n v="1"/>
    <n v="1"/>
    <x v="0"/>
    <x v="0"/>
    <x v="1"/>
    <s v="SAMUEL CHUQUISTA"/>
    <x v="0"/>
    <s v="7012100 MercaderÃ­as-Venta Local-Terceros"/>
    <x v="3"/>
    <x v="66"/>
    <s v="Feliz 15 Aniversario El Aguaje con Yarita Lizeth, Tony Rosado y mÃ¡s en Puente Piedra"/>
    <d v="2025-09-28T00:00:00"/>
    <d v="2025-09-28T00:00:00"/>
    <x v="50"/>
    <s v="Juan Elera Guerrero"/>
    <s v="Persona"/>
    <x v="194"/>
  </r>
  <r>
    <x v="1"/>
    <x v="159"/>
    <s v="COLABORATIVA S.A.C."/>
    <x v="10"/>
    <d v="2025-11-03T20:41:52"/>
    <x v="53"/>
    <s v="Cliente"/>
    <n v="1"/>
    <n v="40469388"/>
    <s v="[{'id_producto': 31593, 'codigo_producto': 2315, 'nom_producto': 'PAUTA PUBLICITARIA', 'categoria_producto': 'service', 'cantidad': '1.0', 'valor_unitario': 2750.0, 'precio_unitario': 3245.0, 'descuento': 0.0, 'subtotal': 2750.0, 'porcentaje_de_igv': '18.00', 'igv': 495.0, 'total': 324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16T00:00:00"/>
    <m/>
    <m/>
    <m/>
    <m/>
    <m/>
    <n v="31593"/>
    <x v="3"/>
    <x v="3"/>
    <x v="1"/>
    <n v="1"/>
    <n v="2750"/>
    <n v="3245"/>
    <n v="0"/>
    <n v="2750"/>
    <n v="18"/>
    <n v="495"/>
    <n v="3245"/>
    <n v="1"/>
    <n v="1"/>
    <x v="0"/>
    <x v="0"/>
    <x v="1"/>
    <s v="SAMUEL CHUQUISTA"/>
    <x v="2"/>
    <s v="7032102 VENTAS SERVICIOS VAOPE"/>
    <x v="2"/>
    <x v="66"/>
    <s v="Feliz 15 Aniversario El Aguaje con Yarita Lizeth, Tony Rosado y mÃ¡s en Puente Piedra"/>
    <d v="2025-09-28T00:00:00"/>
    <d v="2025-09-28T00:00:00"/>
    <x v="50"/>
    <s v="Juan Elera Guerrero"/>
    <s v="Persona"/>
    <x v="195"/>
  </r>
  <r>
    <x v="1"/>
    <x v="160"/>
    <s v="COLABORATIVA S.A.C."/>
    <x v="10"/>
    <d v="2025-11-03T20:41:34"/>
    <x v="53"/>
    <s v="Cliente"/>
    <n v="1"/>
    <n v="40469388"/>
    <s v="[{'id_producto': 31590, 'codigo_producto': 1786, 'nom_producto': 'COMISION VAOPE SEGUN CONTRATO', 'categoria_producto': 'service', 'cantidad': '1.0', 'valor_unitario': 2447.71, 'precio_unitario': 2888.3, 'descuento': 0.0, 'subtotal': 2447.71, 'porcentaje_de_igv': '18.00', 'igv': 440.59, 'total': 2888.3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90"/>
    <x v="5"/>
    <x v="5"/>
    <x v="1"/>
    <n v="1"/>
    <n v="2447.71"/>
    <n v="2888.3"/>
    <n v="0"/>
    <n v="2447.71"/>
    <n v="18"/>
    <n v="440.59"/>
    <n v="2888.3"/>
    <n v="1"/>
    <n v="1"/>
    <x v="0"/>
    <x v="0"/>
    <x v="1"/>
    <s v="SAMUEL CHUQUISTA"/>
    <x v="1"/>
    <s v="7032101 VENTAS COMISION VAOPE"/>
    <x v="5"/>
    <x v="66"/>
    <s v="Feliz 15 Aniversario El Aguaje con Yarita Lizeth, Tony Rosado y mÃ¡s en Puente Piedra"/>
    <d v="2025-09-28T00:00:00"/>
    <d v="2025-09-28T00:00:00"/>
    <x v="50"/>
    <s v="Juan Elera Guerrero"/>
    <s v="Persona"/>
    <x v="196"/>
  </r>
  <r>
    <x v="1"/>
    <x v="161"/>
    <s v="COLABORATIVA S.A.C."/>
    <x v="10"/>
    <d v="2025-11-03T20:41:16"/>
    <x v="53"/>
    <s v="Cliente"/>
    <n v="1"/>
    <n v="40469388"/>
    <s v="[{'id_producto': 31587, 'codigo_producto': 216, 'nom_producto': 'COMISION PAGOS DIGITALES SEGUN CONTRATO', 'categoria_producto': 'service', 'cantidad': '1.0', 'valor_unitario': 3083.1, 'precio_unitario': 3638.06, 'descuento': 0.0, 'subtotal': 3083.1, 'porcentaje_de_igv': '18.00', 'igv': 554.96, 'total': 3638.06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87"/>
    <x v="6"/>
    <x v="6"/>
    <x v="1"/>
    <n v="1"/>
    <n v="3083.1"/>
    <n v="3638.06"/>
    <n v="0"/>
    <n v="3083.1"/>
    <n v="18"/>
    <n v="554.96"/>
    <n v="3638.06"/>
    <n v="1"/>
    <n v="1"/>
    <x v="0"/>
    <x v="0"/>
    <x v="1"/>
    <s v="SAMUEL CHUQUISTA"/>
    <x v="3"/>
    <s v="7032100 Servicios-Local- VISA"/>
    <x v="1"/>
    <x v="66"/>
    <s v="Feliz 15 Aniversario El Aguaje con Yarita Lizeth, Tony Rosado y mÃ¡s en Puente Piedra"/>
    <d v="2025-09-28T00:00:00"/>
    <d v="2025-09-28T00:00:00"/>
    <x v="50"/>
    <s v="Juan Elera Guerrero"/>
    <s v="Persona"/>
    <x v="197"/>
  </r>
  <r>
    <x v="1"/>
    <x v="162"/>
    <s v="COLABORATIVA S.A.C."/>
    <x v="10"/>
    <d v="2025-11-03T20:40:53"/>
    <x v="53"/>
    <s v="Cliente"/>
    <n v="1"/>
    <n v="40469388"/>
    <s v="[{'id_producto': 31584, 'codigo_producto': 2274, 'nom_producto': 'COMISION CORTESIA ', 'categoria_producto': 'consu', 'cantidad': '1.0', 'valor_unitario': 80.51, 'precio_unitario': 95.0, 'descuento': 0.0, 'subtotal': 80.51, 'porcentaje_de_igv': '18.00', 'igv': 14.49, 'total': 95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584"/>
    <x v="2"/>
    <x v="2"/>
    <x v="0"/>
    <n v="1"/>
    <n v="80.510000000000005"/>
    <n v="95"/>
    <n v="0"/>
    <n v="80.510000000000005"/>
    <n v="18"/>
    <n v="14.49"/>
    <n v="95"/>
    <n v="1"/>
    <n v="1"/>
    <x v="0"/>
    <x v="0"/>
    <x v="1"/>
    <s v="SAMUEL CHUQUISTA"/>
    <x v="1"/>
    <s v="7032101 VENTAS COMISION VAOPE"/>
    <x v="1"/>
    <x v="66"/>
    <s v="Feliz 15 Aniversario El Aguaje con Yarita Lizeth, Tony Rosado y mÃ¡s en Puente Piedra"/>
    <d v="2025-09-28T00:00:00"/>
    <d v="2025-09-28T00:00:00"/>
    <x v="50"/>
    <s v="Juan Elera Guerrero"/>
    <s v="Persona"/>
    <x v="198"/>
  </r>
  <r>
    <x v="1"/>
    <x v="163"/>
    <s v="COLABORATIVA S.A.C."/>
    <x v="10"/>
    <d v="2025-11-03T20:40:35"/>
    <x v="53"/>
    <s v="Cliente"/>
    <n v="1"/>
    <n v="40469388"/>
    <s v="[{'id_producto': 31581, 'codigo_producto': 2276, 'nom_producto': 'PUNTO DE VENTA', 'categoria_producto': 'service', 'cantidad': '1.0', 'valor_unitario': 52.75, 'precio_unitario': 62.25, 'descuento': 0.0, 'subtotal': 52.75, 'porcentaje_de_igv': '18.00', 'igv': 9.5, 'total': 62.2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]}]"/>
    <d v="2025-10-16T00:00:00"/>
    <m/>
    <m/>
    <m/>
    <m/>
    <m/>
    <n v="31581"/>
    <x v="9"/>
    <x v="9"/>
    <x v="1"/>
    <n v="1"/>
    <n v="52.75"/>
    <n v="62.25"/>
    <n v="0"/>
    <n v="52.75"/>
    <n v="18"/>
    <n v="9.5"/>
    <n v="62.25"/>
    <n v="1"/>
    <n v="1"/>
    <x v="0"/>
    <x v="0"/>
    <x v="1"/>
    <s v="SAMUEL CHUQUISTA"/>
    <x v="2"/>
    <s v="7032102 VENTAS SERVICIOS VAOPE"/>
    <x v="6"/>
    <x v="66"/>
    <s v="Feliz 15 Aniversario El Aguaje con Yarita Lizeth, Tony Rosado y mÃ¡s en Puente Piedra"/>
    <d v="2025-09-28T00:00:00"/>
    <d v="2025-09-28T00:00:00"/>
    <x v="50"/>
    <s v="Juan Elera Guerrero"/>
    <s v="Persona"/>
    <x v="199"/>
  </r>
  <r>
    <x v="0"/>
    <x v="50"/>
    <s v="COLABORATIVA S.A.C."/>
    <x v="10"/>
    <d v="2025-11-03T20:40:08"/>
    <x v="52"/>
    <m/>
    <n v="6"/>
    <n v="20542731347"/>
    <s v="[{'id_producto': 31578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16T00:00:00"/>
    <m/>
    <m/>
    <m/>
    <m/>
    <m/>
    <n v="31578"/>
    <x v="4"/>
    <x v="4"/>
    <x v="1"/>
    <n v="1"/>
    <n v="100"/>
    <n v="118"/>
    <n v="0"/>
    <n v="100"/>
    <n v="18"/>
    <n v="18"/>
    <n v="118"/>
    <n v="1"/>
    <n v="1"/>
    <x v="0"/>
    <x v="0"/>
    <x v="1"/>
    <s v="SAMUEL CHUQUISTA"/>
    <x v="2"/>
    <s v="7032102 VENTAS SERVICIOS VAOPE"/>
    <x v="4"/>
    <x v="66"/>
    <s v="Feliz 15 Aniversario El Aguaje con Yarita Lizeth, Tony Rosado y mÃ¡s en Puente Piedra"/>
    <d v="2025-09-28T00:00:00"/>
    <d v="2025-09-28T00:00:00"/>
    <x v="50"/>
    <s v="Juan Elera Guerrero"/>
    <s v="Persona"/>
    <x v="200"/>
  </r>
  <r>
    <x v="1"/>
    <x v="164"/>
    <s v="COLABORATIVA S.A.C."/>
    <x v="10"/>
    <d v="2025-11-03T20:39:35"/>
    <x v="53"/>
    <s v="Cliente"/>
    <n v="1"/>
    <n v="40469388"/>
    <s v="[{'id_producto': 31575, 'codigo_producto': 224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54, 'nom_distribucion': 'Venta', 'sub_categoria': 'Fee Administrativo', 'porcentaje': '100.00'}]]}]"/>
    <d v="2025-10-16T00:00:00"/>
    <m/>
    <m/>
    <m/>
    <m/>
    <m/>
    <n v="31575"/>
    <x v="4"/>
    <x v="4"/>
    <x v="1"/>
    <n v="1"/>
    <n v="100"/>
    <n v="118"/>
    <n v="0"/>
    <n v="100"/>
    <n v="18"/>
    <n v="18"/>
    <n v="118"/>
    <n v="1"/>
    <n v="1"/>
    <x v="0"/>
    <x v="0"/>
    <x v="1"/>
    <s v="SAMUEL CHUQUISTA"/>
    <x v="2"/>
    <s v="7032102 VENTAS SERVICIOS VAOPE"/>
    <x v="4"/>
    <x v="66"/>
    <s v="Feliz 15 Aniversario El Aguaje con Yarita Lizeth, Tony Rosado y mÃ¡s en Puente Piedra"/>
    <d v="2025-09-28T00:00:00"/>
    <d v="2025-09-28T00:00:00"/>
    <x v="50"/>
    <s v="Juan Elera Guerrero"/>
    <s v="Persona"/>
    <x v="201"/>
  </r>
  <r>
    <x v="1"/>
    <x v="165"/>
    <s v="COLABORATIVA S.A.C."/>
    <x v="10"/>
    <d v="2025-11-03T20:39:16"/>
    <x v="53"/>
    <s v="Cliente"/>
    <n v="1"/>
    <n v="40469388"/>
    <s v="[{'id_producto': 31572, 'codigo_producto': 2314, 'nom_producto': 'SERV VALIDADORES', 'categoria_producto': 'service', 'cantidad': '1.0', 'valor_unitario': 421.61, 'precio_unitario': 497.5, 'descuento': 0.0, 'subtotal': 421.61, 'porcentaje_de_igv': '18.00', 'igv': 75.89, 'total': 497.5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72"/>
    <x v="10"/>
    <x v="10"/>
    <x v="1"/>
    <n v="1"/>
    <n v="421.61"/>
    <n v="497.5"/>
    <n v="0"/>
    <n v="421.61"/>
    <n v="18"/>
    <n v="75.89"/>
    <n v="497.5"/>
    <n v="1"/>
    <n v="1"/>
    <x v="0"/>
    <x v="0"/>
    <x v="1"/>
    <s v="SAMUEL CHUQUISTA"/>
    <x v="2"/>
    <s v="7032102 VENTAS SERVICIOS VAOPE"/>
    <x v="5"/>
    <x v="66"/>
    <s v="Feliz 15 Aniversario El Aguaje con Yarita Lizeth, Tony Rosado y mÃ¡s en Puente Piedra"/>
    <d v="2025-09-28T00:00:00"/>
    <d v="2025-09-28T00:00:00"/>
    <x v="50"/>
    <s v="Juan Elera Guerrero"/>
    <s v="Persona"/>
    <x v="202"/>
  </r>
  <r>
    <x v="1"/>
    <x v="166"/>
    <s v="COLABORATIVA S.A.C."/>
    <x v="10"/>
    <d v="2025-11-03T20:38:58"/>
    <x v="53"/>
    <s v="Cliente"/>
    <n v="1"/>
    <n v="40469388"/>
    <s v="[{'id_producto': 31569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972', 'nom_evento': 'Feliz 15 Aniversario El Aguaje con Yarita Lizeth, Tony Rosado y mÃ¡s en Puente Piedra', 'fecha_hora_ini_event': '28-09-2025', 'fecha_hora_fin_event': '28-09-2025', 'id_organizador': 435, 'nom_organizador': 'Juan Elera Guerrero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569"/>
    <x v="16"/>
    <x v="16"/>
    <x v="0"/>
    <n v="1"/>
    <n v="1500"/>
    <n v="1770"/>
    <n v="0"/>
    <n v="1500"/>
    <n v="18"/>
    <n v="270"/>
    <n v="1770"/>
    <n v="1"/>
    <n v="1"/>
    <x v="0"/>
    <x v="0"/>
    <x v="1"/>
    <s v="SAMUEL CHUQUISTA"/>
    <x v="0"/>
    <s v="7012100 MercaderÃ­as-Venta Local-Terceros"/>
    <x v="3"/>
    <x v="66"/>
    <s v="Feliz 15 Aniversario El Aguaje con Yarita Lizeth, Tony Rosado y mÃ¡s en Puente Piedra"/>
    <d v="2025-09-28T00:00:00"/>
    <d v="2025-09-28T00:00:00"/>
    <x v="50"/>
    <s v="Juan Elera Guerrero"/>
    <s v="Persona"/>
    <x v="203"/>
  </r>
  <r>
    <x v="1"/>
    <x v="167"/>
    <s v="COLABORATIVA S.A.C."/>
    <x v="10"/>
    <d v="2025-11-03T20:23:59"/>
    <x v="54"/>
    <m/>
    <n v="1"/>
    <n v="40598854"/>
    <s v="[{'id_producto': 31566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566"/>
    <x v="16"/>
    <x v="16"/>
    <x v="0"/>
    <n v="1"/>
    <n v="1400"/>
    <n v="1652"/>
    <n v="0"/>
    <n v="1400"/>
    <n v="18"/>
    <n v="252"/>
    <n v="1652"/>
    <n v="1"/>
    <n v="1"/>
    <x v="0"/>
    <x v="0"/>
    <x v="1"/>
    <s v="SAMUEL CHUQUISTA"/>
    <x v="0"/>
    <s v="7012100 MercaderÃ­as-Venta Local-Terceros"/>
    <x v="3"/>
    <x v="67"/>
    <s v="La Ãšnica Tropical, ArmonÃ­a 10 y mÃ¡s en Pachacamac"/>
    <d v="2025-10-05T00:00:00"/>
    <d v="2025-10-05T00:00:00"/>
    <x v="51"/>
    <s v="LUIS ANTONIO ARIAS RAMIREZ"/>
    <s v="Persona"/>
    <x v="204"/>
  </r>
  <r>
    <x v="1"/>
    <x v="168"/>
    <s v="COLABORATIVA S.A.C."/>
    <x v="10"/>
    <d v="2025-11-03T20:23:41"/>
    <x v="54"/>
    <m/>
    <n v="1"/>
    <n v="40598854"/>
    <s v="[{'id_producto': 31563, 'codigo_producto': 1786, 'nom_producto': 'COMISION VAOPE SEGUN CONTRATO', 'categoria_producto': 'service', 'cantidad': '1.0', 'valor_unitario': 564.83, 'precio_unitario': 666.5, 'descuento': 0.0, 'subtotal': 564.83, 'porcentaje_de_igv': '18.00', 'igv': 101.67, 'total': 666.5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63"/>
    <x v="5"/>
    <x v="5"/>
    <x v="1"/>
    <n v="1"/>
    <n v="564.83000000000004"/>
    <n v="666.5"/>
    <n v="0"/>
    <n v="564.83000000000004"/>
    <n v="18"/>
    <n v="101.67"/>
    <n v="666.5"/>
    <n v="1"/>
    <n v="1"/>
    <x v="0"/>
    <x v="0"/>
    <x v="1"/>
    <s v="SAMUEL CHUQUISTA"/>
    <x v="1"/>
    <s v="7032101 VENTAS COMISION VAOPE"/>
    <x v="5"/>
    <x v="67"/>
    <s v="La Ãšnica Tropical, ArmonÃ­a 10 y mÃ¡s en Pachacamac"/>
    <d v="2025-10-05T00:00:00"/>
    <d v="2025-10-05T00:00:00"/>
    <x v="51"/>
    <s v="LUIS ANTONIO ARIAS RAMIREZ"/>
    <s v="Persona"/>
    <x v="205"/>
  </r>
  <r>
    <x v="1"/>
    <x v="169"/>
    <s v="COLABORATIVA S.A.C."/>
    <x v="10"/>
    <d v="2025-11-03T20:23:22"/>
    <x v="54"/>
    <m/>
    <n v="1"/>
    <n v="40598854"/>
    <s v="[{'id_producto': 31560, 'codigo_producto': 216, 'nom_producto': 'COMISION PAGOS DIGITALES SEGUN CONTRATO', 'categoria_producto': 'service', 'cantidad': '1.0', 'valor_unitario': 419.83, 'precio_unitario': 495.4, 'descuento': 0.0, 'subtotal': 419.83, 'porcentaje_de_igv': '18.00', 'igv': 75.57, 'total': 495.4, 'moneda': '1', 'tipo_de_cambio': 1.0, 'id_estado': 'paid', 'nombre_estado': 'Pagado', 'evento': {'id_evento': '3158', 'nom_evento': 'La Ãšnica Tropical, ArmonÃ­a 10 y mÃ¡s en Pachacamac', 'fecha_hora_ini_event': '05-10-2025', 'fecha_hora_fin_event': '05-10-2025', 'id_organizador': 5984, 'nom_organizador': 'LUIS ANTONIO ARIAS RAMIRE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60"/>
    <x v="6"/>
    <x v="6"/>
    <x v="1"/>
    <n v="1"/>
    <n v="419.83"/>
    <n v="495.4"/>
    <n v="0"/>
    <n v="419.83"/>
    <n v="18"/>
    <n v="75.569999999999993"/>
    <n v="495.4"/>
    <n v="1"/>
    <n v="1"/>
    <x v="0"/>
    <x v="0"/>
    <x v="1"/>
    <s v="SAMUEL CHUQUISTA"/>
    <x v="3"/>
    <s v="7032100 Servicios-Local- VISA"/>
    <x v="1"/>
    <x v="67"/>
    <s v="La Ãšnica Tropical, ArmonÃ­a 10 y mÃ¡s en Pachacamac"/>
    <d v="2025-10-05T00:00:00"/>
    <d v="2025-10-05T00:00:00"/>
    <x v="51"/>
    <s v="LUIS ANTONIO ARIAS RAMIREZ"/>
    <s v="Persona"/>
    <x v="206"/>
  </r>
  <r>
    <x v="0"/>
    <x v="53"/>
    <s v="COLABORATIVA S.A.C."/>
    <x v="10"/>
    <d v="2025-11-03T20:03:20"/>
    <x v="25"/>
    <m/>
    <n v="6"/>
    <n v="20611890746"/>
    <s v="[{'id_producto': 31557, 'codigo_producto': 1786, 'nom_producto': 'COMISION VAOPE SEGUN CONTRATO', 'categoria_producto': 'service', 'cantidad': '1.0', 'valor_unitario': 982.08, 'precio_unitario': 1158.85, 'descuento': 0.0, 'subtotal': 982.08, 'porcentaje_de_igv': '18.00', 'igv': 176.77, 'total': 115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57"/>
    <x v="5"/>
    <x v="5"/>
    <x v="1"/>
    <n v="1"/>
    <n v="982.08"/>
    <n v="1158.8499999999999"/>
    <n v="0"/>
    <n v="982.08"/>
    <n v="18"/>
    <n v="176.77"/>
    <n v="1158.8499999999999"/>
    <n v="1"/>
    <n v="1"/>
    <x v="0"/>
    <x v="0"/>
    <x v="1"/>
    <s v="SAMUEL CHUQUISTA"/>
    <x v="1"/>
    <s v="7032101 VENTAS COMISION VAOPE"/>
    <x v="5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07"/>
  </r>
  <r>
    <x v="0"/>
    <x v="54"/>
    <s v="COLABORATIVA S.A.C."/>
    <x v="10"/>
    <d v="2025-11-03T20:02:45"/>
    <x v="25"/>
    <m/>
    <n v="6"/>
    <n v="20611890746"/>
    <s v="[{'id_producto': 31554, 'codigo_producto': 216, 'nom_producto': 'COMISION PAGOS DIGITALES SEGUN CONTRATO', 'categoria_producto': 'service', 'cantidad': '1.0', 'valor_unitario': 1898.43, 'precio_unitario': 2240.15, 'descuento': 0.0, 'subtotal': 1898.43, 'porcentaje_de_igv': '18.00', 'igv': 341.72, 'total': 2240.1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54"/>
    <x v="6"/>
    <x v="6"/>
    <x v="1"/>
    <n v="1"/>
    <n v="1898.43"/>
    <n v="2240.15"/>
    <n v="0"/>
    <n v="1898.43"/>
    <n v="18"/>
    <n v="341.72"/>
    <n v="2240.15"/>
    <n v="1"/>
    <n v="1"/>
    <x v="0"/>
    <x v="0"/>
    <x v="1"/>
    <s v="SAMUEL CHUQUISTA"/>
    <x v="3"/>
    <s v="7032100 Servicios-Local- VISA"/>
    <x v="1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08"/>
  </r>
  <r>
    <x v="0"/>
    <x v="55"/>
    <s v="COLABORATIVA S.A.C."/>
    <x v="10"/>
    <d v="2025-11-03T20:02:15"/>
    <x v="25"/>
    <m/>
    <n v="6"/>
    <n v="20611890746"/>
    <s v="[{'id_producto': 31551, 'codigo_producto': 2274, 'nom_producto': 'COMISION CORTESIA ', 'categoria_producto': 'consu', 'cantidad': '1.0', 'valor_unitario': 7.5, 'precio_unitario': 8.85, 'descuento': 0.0, 'subtotal': 7.5, 'porcentaje_de_igv': '18.00', 'igv': 1.35, 'total': 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551"/>
    <x v="2"/>
    <x v="2"/>
    <x v="0"/>
    <n v="1"/>
    <n v="7.5"/>
    <n v="8.85"/>
    <n v="0"/>
    <n v="7.5"/>
    <n v="18"/>
    <n v="1.35"/>
    <n v="8.85"/>
    <n v="1"/>
    <n v="1"/>
    <x v="0"/>
    <x v="0"/>
    <x v="1"/>
    <s v="SAMUEL CHUQUISTA"/>
    <x v="1"/>
    <s v="7032101 VENTAS COMISION VAOPE"/>
    <x v="1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09"/>
  </r>
  <r>
    <x v="0"/>
    <x v="56"/>
    <s v="COLABORATIVA S.A.C."/>
    <x v="10"/>
    <d v="2025-11-03T20:01:48"/>
    <x v="25"/>
    <m/>
    <n v="6"/>
    <n v="20611890746"/>
    <s v="[{'id_producto': 31548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48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2"/>
    <s v="7032102 VENTAS SERVICIOS VAOPE"/>
    <x v="5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0"/>
  </r>
  <r>
    <x v="0"/>
    <x v="57"/>
    <s v="COLABORATIVA S.A.C."/>
    <x v="10"/>
    <d v="2025-11-03T20:01:23"/>
    <x v="25"/>
    <m/>
    <n v="6"/>
    <n v="20611890746"/>
    <s v="[{'id_producto': 31545, 'codigo_producto': 1895, 'nom_producto': 'BRAZALETE CON QR', 'categoria_producto': 'consu', 'cantidad': '1.0', 'valor_unitario': 590.0, 'precio_unitario': 696.2, 'descuento': 0.0, 'subtotal': 590.0, 'porcentaje_de_igv': '18.00', 'igv': 106.2, 'total': 696.2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545"/>
    <x v="1"/>
    <x v="1"/>
    <x v="0"/>
    <n v="1"/>
    <n v="590"/>
    <n v="696.2"/>
    <n v="0"/>
    <n v="590"/>
    <n v="18"/>
    <n v="106.2"/>
    <n v="696.2"/>
    <n v="1"/>
    <n v="1"/>
    <x v="0"/>
    <x v="0"/>
    <x v="1"/>
    <s v="SAMUEL CHUQUISTA"/>
    <x v="0"/>
    <s v="7012100 MercaderÃ­as-Venta Local-Terceros"/>
    <x v="3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1"/>
  </r>
  <r>
    <x v="0"/>
    <x v="58"/>
    <s v="COLABORATIVA S.A.C."/>
    <x v="10"/>
    <d v="2025-11-03T19:58:46"/>
    <x v="21"/>
    <s v="Cliente"/>
    <n v="6"/>
    <n v="20296011356"/>
    <s v="[{'id_producto': 31542, 'codigo_producto': 1786, 'nom_producto': 'COMISION VAOPE SEGUN CONTRATO', 'categoria_producto': 'service', 'cantidad': '1.0', 'valor_unitario': 982.08, 'precio_unitario': 1158.85, 'descuento': 0.0, 'subtotal': 982.08, 'porcentaje_de_igv': '18.00', 'igv': 176.77, 'total': 115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42"/>
    <x v="5"/>
    <x v="5"/>
    <x v="1"/>
    <n v="1"/>
    <n v="982.08"/>
    <n v="1158.8499999999999"/>
    <n v="0"/>
    <n v="982.08"/>
    <n v="18"/>
    <n v="176.77"/>
    <n v="1158.8499999999999"/>
    <n v="1"/>
    <n v="1"/>
    <x v="0"/>
    <x v="0"/>
    <x v="1"/>
    <s v="SAMUEL CHUQUISTA"/>
    <x v="1"/>
    <s v="7032101 VENTAS COMISION VAOPE"/>
    <x v="5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2"/>
  </r>
  <r>
    <x v="0"/>
    <x v="59"/>
    <s v="COLABORATIVA S.A.C."/>
    <x v="10"/>
    <d v="2025-11-03T19:58:26"/>
    <x v="21"/>
    <s v="Cliente"/>
    <n v="6"/>
    <n v="20296011356"/>
    <s v="[{'id_producto': 31539, 'codigo_producto': 216, 'nom_producto': 'COMISION PAGOS DIGITALES SEGUN CONTRATO', 'categoria_producto': 'service', 'cantidad': '1.0', 'valor_unitario': 1898.43, 'precio_unitario': 2240.15, 'descuento': 0.0, 'subtotal': 1898.43, 'porcentaje_de_igv': '18.00', 'igv': 341.72, 'total': 2240.1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39"/>
    <x v="6"/>
    <x v="6"/>
    <x v="1"/>
    <n v="1"/>
    <n v="1898.43"/>
    <n v="2240.15"/>
    <n v="0"/>
    <n v="1898.43"/>
    <n v="18"/>
    <n v="341.72"/>
    <n v="2240.15"/>
    <n v="1"/>
    <n v="1"/>
    <x v="0"/>
    <x v="0"/>
    <x v="1"/>
    <s v="SAMUEL CHUQUISTA"/>
    <x v="3"/>
    <s v="7032100 Servicios-Local- VISA"/>
    <x v="1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3"/>
  </r>
  <r>
    <x v="0"/>
    <x v="60"/>
    <s v="COLABORATIVA S.A.C."/>
    <x v="10"/>
    <d v="2025-11-03T19:58:01"/>
    <x v="21"/>
    <s v="Cliente"/>
    <n v="6"/>
    <n v="20296011356"/>
    <s v="[{'id_producto': 31536, 'codigo_producto': 2274, 'nom_producto': 'COMISION CORTESIA ', 'categoria_producto': 'consu', 'cantidad': '1.0', 'valor_unitario': 7.5, 'precio_unitario': 8.85, 'descuento': 0.0, 'subtotal': 7.5, 'porcentaje_de_igv': '18.00', 'igv': 1.35, 'total': 8.85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536"/>
    <x v="2"/>
    <x v="2"/>
    <x v="0"/>
    <n v="1"/>
    <n v="7.5"/>
    <n v="8.85"/>
    <n v="0"/>
    <n v="7.5"/>
    <n v="18"/>
    <n v="1.35"/>
    <n v="8.85"/>
    <n v="1"/>
    <n v="1"/>
    <x v="0"/>
    <x v="0"/>
    <x v="1"/>
    <s v="SAMUEL CHUQUISTA"/>
    <x v="1"/>
    <s v="7032101 VENTAS COMISION VAOPE"/>
    <x v="1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4"/>
  </r>
  <r>
    <x v="0"/>
    <x v="61"/>
    <s v="COLABORATIVA S.A.C."/>
    <x v="10"/>
    <d v="2025-11-03T19:57:38"/>
    <x v="21"/>
    <s v="Cliente"/>
    <n v="6"/>
    <n v="20296011356"/>
    <s v="[{'id_producto': 31533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33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2"/>
    <s v="7032102 VENTAS SERVICIOS VAOPE"/>
    <x v="5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5"/>
  </r>
  <r>
    <x v="0"/>
    <x v="62"/>
    <s v="COLABORATIVA S.A.C."/>
    <x v="10"/>
    <d v="2025-11-03T19:57:16"/>
    <x v="21"/>
    <s v="Cliente"/>
    <n v="6"/>
    <n v="20296011356"/>
    <s v="[{'id_producto': 31530, 'codigo_producto': 2324, 'nom_producto': 'ENTRADAS IMPRESAS', 'categoria_producto': 'consu', 'cantidad': '1.0', 'valor_unitario': 590.0, 'precio_unitario': 696.2, 'descuento': 0.0, 'subtotal': 590.0, 'porcentaje_de_igv': '18.00', 'igv': 106.2, 'total': 696.2, 'moneda': '1', 'tipo_de_cambio': 1.0, 'id_estado': 'paid', 'nombre_estado': 'Pagado', 'evento': {'id_evento': '3134', 'nom_evento': 'La Previa de Verano con La Ãšnica Tropical y Los CaribeÃ±os en El Remanso de Comas', 'fecha_hora_ini_event': '05-10-2025', 'fecha_hora_fin_event': '05-10-2025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530"/>
    <x v="16"/>
    <x v="16"/>
    <x v="0"/>
    <n v="1"/>
    <n v="590"/>
    <n v="696.2"/>
    <n v="0"/>
    <n v="590"/>
    <n v="18"/>
    <n v="106.2"/>
    <n v="696.2"/>
    <n v="1"/>
    <n v="1"/>
    <x v="0"/>
    <x v="0"/>
    <x v="1"/>
    <s v="SAMUEL CHUQUISTA"/>
    <x v="0"/>
    <s v="7012100 MercaderÃ­as-Venta Local-Terceros"/>
    <x v="3"/>
    <x v="68"/>
    <s v="La Previa de Verano con La Ãšnica Tropical y Los CaribeÃ±os en El Remanso de Comas"/>
    <d v="2025-10-05T00:00:00"/>
    <d v="2025-10-05T00:00:00"/>
    <x v="21"/>
    <s v="COMPLEJO TURÃSTICO EL REMANSO SAC"/>
    <s v="Empresa"/>
    <x v="216"/>
  </r>
  <r>
    <x v="1"/>
    <x v="170"/>
    <s v="COLABORATIVA S.A.C."/>
    <x v="10"/>
    <d v="2025-11-03T19:47:10"/>
    <x v="55"/>
    <m/>
    <n v="1"/>
    <n v="71004910"/>
    <s v="[{'id_producto': 31527, 'codigo_producto': 2274, 'nom_producto': 'COMISION CORTESIA ', 'categoria_producto': 'consu', 'cantidad': '1.0', 'valor_unitario': 62.5, 'precio_unitario': 73.75, 'descuento': 0.0, 'subtotal': 62.5, 'porcentaje_de_igv': '18.00', 'igv': 11.25, 'total': 73.7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527"/>
    <x v="2"/>
    <x v="2"/>
    <x v="0"/>
    <n v="1"/>
    <n v="62.5"/>
    <n v="73.75"/>
    <n v="0"/>
    <n v="62.5"/>
    <n v="18"/>
    <n v="11.25"/>
    <n v="73.75"/>
    <n v="1"/>
    <n v="1"/>
    <x v="0"/>
    <x v="0"/>
    <x v="1"/>
    <s v="SAMUEL CHUQUISTA"/>
    <x v="1"/>
    <s v="7032101 VENTAS COMISION VAOPE"/>
    <x v="1"/>
    <x v="69"/>
    <s v="ArmonÃ­a 10 y Son del Duke en Piura"/>
    <d v="2025-10-08T00:00:00"/>
    <d v="2025-10-08T00:00:00"/>
    <x v="36"/>
    <s v="A10 COMPANI S.A.C."/>
    <s v="Empresa"/>
    <x v="217"/>
  </r>
  <r>
    <x v="1"/>
    <x v="171"/>
    <s v="COLABORATIVA S.A.C."/>
    <x v="10"/>
    <d v="2025-11-03T19:46:43"/>
    <x v="55"/>
    <m/>
    <n v="1"/>
    <n v="71004910"/>
    <s v="[{'id_producto': 31524, 'codigo_producto': 1786, 'nom_producto': 'COMISION VAOPE SEGUN CONTRATO', 'categoria_producto': 'service', 'cantidad': '1.0', 'valor_unitario': 799.53, 'precio_unitario': 943.45, 'descuento': 0.0, 'subtotal': 799.53, 'porcentaje_de_igv': '18.00', 'igv': 143.92, 'total': 943.4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24"/>
    <x v="5"/>
    <x v="5"/>
    <x v="1"/>
    <n v="1"/>
    <n v="799.53"/>
    <n v="943.45"/>
    <n v="0"/>
    <n v="799.53"/>
    <n v="18"/>
    <n v="143.91999999999999"/>
    <n v="943.45"/>
    <n v="1"/>
    <n v="1"/>
    <x v="0"/>
    <x v="0"/>
    <x v="1"/>
    <s v="SAMUEL CHUQUISTA"/>
    <x v="1"/>
    <s v="7032101 VENTAS COMISION VAOPE"/>
    <x v="5"/>
    <x v="69"/>
    <s v="ArmonÃ­a 10 y Son del Duke en Piura"/>
    <d v="2025-10-08T00:00:00"/>
    <d v="2025-10-08T00:00:00"/>
    <x v="36"/>
    <s v="A10 COMPANI S.A.C."/>
    <s v="Empresa"/>
    <x v="218"/>
  </r>
  <r>
    <x v="1"/>
    <x v="172"/>
    <s v="COLABORATIVA S.A.C."/>
    <x v="10"/>
    <d v="2025-11-03T19:46:19"/>
    <x v="55"/>
    <m/>
    <n v="1"/>
    <n v="71004910"/>
    <s v="[{'id_producto': 31521, 'codigo_producto': 216, 'nom_producto': 'COMISION PAGOS DIGITALES SEGUN CONTRATO', 'categoria_producto': 'service', 'cantidad': '1.0', 'valor_unitario': 1057.33, 'precio_unitario': 1247.65, 'descuento': 0.0, 'subtotal': 1057.33, 'porcentaje_de_igv': '18.00', 'igv': 190.32, 'total': 1247.6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21"/>
    <x v="6"/>
    <x v="6"/>
    <x v="1"/>
    <n v="1"/>
    <n v="1057.33"/>
    <n v="1247.6500000000001"/>
    <n v="0"/>
    <n v="1057.33"/>
    <n v="18"/>
    <n v="190.32"/>
    <n v="1247.6500000000001"/>
    <n v="1"/>
    <n v="1"/>
    <x v="0"/>
    <x v="0"/>
    <x v="1"/>
    <s v="SAMUEL CHUQUISTA"/>
    <x v="3"/>
    <s v="7032100 Servicios-Local- VISA"/>
    <x v="1"/>
    <x v="69"/>
    <s v="ArmonÃ­a 10 y Son del Duke en Piura"/>
    <d v="2025-10-08T00:00:00"/>
    <d v="2025-10-08T00:00:00"/>
    <x v="36"/>
    <s v="A10 COMPANI S.A.C."/>
    <s v="Empresa"/>
    <x v="219"/>
  </r>
  <r>
    <x v="0"/>
    <x v="65"/>
    <s v="COLABORATIVA S.A.C."/>
    <x v="10"/>
    <d v="2025-11-03T19:45:48"/>
    <x v="38"/>
    <m/>
    <n v="6"/>
    <n v="20611536705"/>
    <s v="[{'id_producto': 31518, 'codigo_producto': 2274, 'nom_producto': 'COMISION CORTESIA ', 'categoria_producto': 'consu', 'cantidad': '1.0', 'valor_unitario': 62.5, 'precio_unitario': 73.75, 'descuento': 0.0, 'subtotal': 62.5, 'porcentaje_de_igv': '18.00', 'igv': 11.25, 'total': 73.7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518"/>
    <x v="2"/>
    <x v="2"/>
    <x v="0"/>
    <n v="1"/>
    <n v="62.5"/>
    <n v="73.75"/>
    <n v="0"/>
    <n v="62.5"/>
    <n v="18"/>
    <n v="11.25"/>
    <n v="73.75"/>
    <n v="1"/>
    <n v="1"/>
    <x v="0"/>
    <x v="0"/>
    <x v="1"/>
    <s v="SAMUEL CHUQUISTA"/>
    <x v="1"/>
    <s v="7032101 VENTAS COMISION VAOPE"/>
    <x v="1"/>
    <x v="69"/>
    <s v="ArmonÃ­a 10 y Son del Duke en Piura"/>
    <d v="2025-10-08T00:00:00"/>
    <d v="2025-10-08T00:00:00"/>
    <x v="36"/>
    <s v="A10 COMPANI S.A.C."/>
    <s v="Empresa"/>
    <x v="220"/>
  </r>
  <r>
    <x v="0"/>
    <x v="66"/>
    <s v="COLABORATIVA S.A.C."/>
    <x v="10"/>
    <d v="2025-11-03T19:45:28"/>
    <x v="38"/>
    <m/>
    <n v="6"/>
    <n v="20611536705"/>
    <s v="[{'id_producto': 31515, 'codigo_producto': 1786, 'nom_producto': 'COMISION VAOPE SEGUN CONTRATO', 'categoria_producto': 'service', 'cantidad': '1.0', 'valor_unitario': 799.53, 'precio_unitario': 943.45, 'descuento': 0.0, 'subtotal': 799.53, 'porcentaje_de_igv': '18.00', 'igv': 143.92, 'total': 943.4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15"/>
    <x v="5"/>
    <x v="5"/>
    <x v="1"/>
    <n v="1"/>
    <n v="799.53"/>
    <n v="943.45"/>
    <n v="0"/>
    <n v="799.53"/>
    <n v="18"/>
    <n v="143.91999999999999"/>
    <n v="943.45"/>
    <n v="1"/>
    <n v="1"/>
    <x v="0"/>
    <x v="0"/>
    <x v="1"/>
    <s v="SAMUEL CHUQUISTA"/>
    <x v="1"/>
    <s v="7032101 VENTAS COMISION VAOPE"/>
    <x v="5"/>
    <x v="69"/>
    <s v="ArmonÃ­a 10 y Son del Duke en Piura"/>
    <d v="2025-10-08T00:00:00"/>
    <d v="2025-10-08T00:00:00"/>
    <x v="36"/>
    <s v="A10 COMPANI S.A.C."/>
    <s v="Empresa"/>
    <x v="221"/>
  </r>
  <r>
    <x v="0"/>
    <x v="67"/>
    <s v="COLABORATIVA S.A.C."/>
    <x v="10"/>
    <d v="2025-11-03T19:45:05"/>
    <x v="38"/>
    <m/>
    <n v="6"/>
    <n v="20611536705"/>
    <s v="[{'id_producto': 31512, 'codigo_producto': 216, 'nom_producto': 'COMISION PAGOS DIGITALES SEGUN CONTRATO', 'categoria_producto': 'service', 'cantidad': '1.0', 'valor_unitario': 1057.33, 'precio_unitario': 1247.65, 'descuento': 0.0, 'subtotal': 1057.33, 'porcentaje_de_igv': '18.00', 'igv': 190.32, 'total': 1247.65, 'moneda': '1', 'tipo_de_cambio': 1.0, 'id_estado': 'paid', 'nombre_estado': 'Pagado', 'evento': {'id_evento': '3176', 'nom_evento': 'ArmonÃ­a 10 y Son del Duke en Piura', 'fecha_hora_ini_event': '08-10-2025', 'fecha_hora_fin_event': '08-10-2025', 'id_organizador': 6085, 'nom_organizador': 'A10 COMPANI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12"/>
    <x v="6"/>
    <x v="6"/>
    <x v="1"/>
    <n v="1"/>
    <n v="1057.33"/>
    <n v="1247.6500000000001"/>
    <n v="0"/>
    <n v="1057.33"/>
    <n v="18"/>
    <n v="190.32"/>
    <n v="1247.6500000000001"/>
    <n v="1"/>
    <n v="1"/>
    <x v="0"/>
    <x v="0"/>
    <x v="1"/>
    <s v="SAMUEL CHUQUISTA"/>
    <x v="3"/>
    <s v="7032100 Servicios-Local- VISA"/>
    <x v="1"/>
    <x v="69"/>
    <s v="ArmonÃ­a 10 y Son del Duke en Piura"/>
    <d v="2025-10-08T00:00:00"/>
    <d v="2025-10-08T00:00:00"/>
    <x v="36"/>
    <s v="A10 COMPANI S.A.C."/>
    <s v="Empresa"/>
    <x v="222"/>
  </r>
  <r>
    <x v="1"/>
    <x v="173"/>
    <s v="COLABORATIVA S.A.C."/>
    <x v="10"/>
    <d v="2025-11-03T19:18:52"/>
    <x v="56"/>
    <m/>
    <n v="1"/>
    <s v="03826765"/>
    <s v="[{'id_producto': 31509, 'codigo_producto': 2314, 'nom_producto': 'SERV VALIDADORES', 'categoria_producto': 'service', 'cantidad': '1.0', 'valor_unitario': 1350.0, 'precio_unitario': 1593.0, 'descuento': 0.0, 'subtotal': 1350.0, 'porcentaje_de_igv': '18.00', 'igv': 243.0, 'total': 1593.0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09"/>
    <x v="10"/>
    <x v="10"/>
    <x v="1"/>
    <n v="1"/>
    <n v="1350"/>
    <n v="1593"/>
    <n v="0"/>
    <n v="1350"/>
    <n v="18"/>
    <n v="243"/>
    <n v="1593"/>
    <n v="1"/>
    <n v="1"/>
    <x v="0"/>
    <x v="0"/>
    <x v="1"/>
    <s v="SAMUEL CHUQUISTA"/>
    <x v="2"/>
    <s v="7032102 VENTAS SERVICIOS VAOPE"/>
    <x v="5"/>
    <x v="70"/>
    <s v="Club AtlÃ©tico Torino vs. Tahuishco - Copa PerÃº 2025"/>
    <d v="2025-10-12T00:00:00"/>
    <d v="2025-10-12T00:00:00"/>
    <x v="52"/>
    <s v="JOSE MANUEL BACA ANTON PRESIDENTE DE LA LIGA DEPARTAMENTAL PIURA"/>
    <s v="Persona"/>
    <x v="223"/>
  </r>
  <r>
    <x v="1"/>
    <x v="174"/>
    <s v="COLABORATIVA S.A.C."/>
    <x v="10"/>
    <d v="2025-11-03T19:18:34"/>
    <x v="56"/>
    <m/>
    <n v="1"/>
    <s v="03826765"/>
    <s v="[{'id_producto': 31506, 'codigo_producto': 2322, 'nom_producto': 'SUPERVISOR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506"/>
    <x v="18"/>
    <x v="1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5"/>
    <x v="70"/>
    <s v="Club AtlÃ©tico Torino vs. Tahuishco - Copa PerÃº 2025"/>
    <d v="2025-10-12T00:00:00"/>
    <d v="2025-10-12T00:00:00"/>
    <x v="52"/>
    <s v="JOSE MANUEL BACA ANTON PRESIDENTE DE LA LIGA DEPARTAMENTAL PIURA"/>
    <s v="Persona"/>
    <x v="224"/>
  </r>
  <r>
    <x v="1"/>
    <x v="175"/>
    <s v="COLABORATIVA S.A.C."/>
    <x v="10"/>
    <d v="2025-11-03T19:18:15"/>
    <x v="56"/>
    <m/>
    <n v="1"/>
    <s v="03826765"/>
    <s v="[{'id_producto': 31503, 'codigo_producto': 1786, 'nom_producto': 'COMISION VAOPE SEGUN CONTRATO', 'categoria_producto': 'service', 'cantidad': '1.0', 'valor_unitario': 4262.74, 'precio_unitario': 5030.03, 'descuento': 0.0, 'subtotal': 4262.74, 'porcentaje_de_igv': '18.00', 'igv': 767.29, 'total': 5030.03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503"/>
    <x v="5"/>
    <x v="5"/>
    <x v="1"/>
    <n v="1"/>
    <n v="4262.74"/>
    <n v="5030.03"/>
    <n v="0"/>
    <n v="4262.74"/>
    <n v="18"/>
    <n v="767.29"/>
    <n v="5030.03"/>
    <n v="1"/>
    <n v="1"/>
    <x v="0"/>
    <x v="0"/>
    <x v="1"/>
    <s v="SAMUEL CHUQUISTA"/>
    <x v="1"/>
    <s v="7032101 VENTAS COMISION VAOPE"/>
    <x v="5"/>
    <x v="70"/>
    <s v="Club AtlÃ©tico Torino vs. Tahuishco - Copa PerÃº 2025"/>
    <d v="2025-10-12T00:00:00"/>
    <d v="2025-10-12T00:00:00"/>
    <x v="52"/>
    <s v="JOSE MANUEL BACA ANTON PRESIDENTE DE LA LIGA DEPARTAMENTAL PIURA"/>
    <s v="Persona"/>
    <x v="225"/>
  </r>
  <r>
    <x v="1"/>
    <x v="176"/>
    <s v="COLABORATIVA S.A.C."/>
    <x v="10"/>
    <d v="2025-11-03T19:17:58"/>
    <x v="56"/>
    <m/>
    <n v="1"/>
    <s v="03826765"/>
    <s v="[{'id_producto': 31500, 'codigo_producto': 216, 'nom_producto': 'COMISION PAGOS DIGITALES SEGUN CONTRATO', 'categoria_producto': 'service', 'cantidad': '1.0', 'valor_unitario': 3578.07, 'precio_unitario': 4222.12, 'descuento': 0.0, 'subtotal': 3578.07, 'porcentaje_de_igv': '18.00', 'igv': 644.05, 'total': 4222.12, 'moneda': '1', 'tipo_de_cambio': 1.0, 'id_estado': 'paid', 'nombre_estado': 'Pagado', 'evento': {'id_evento': '3230', 'nom_evento': 'Club AtlÃ©tico Torino vs. Tahuishco - Copa PerÃº 2025', 'fecha_hora_ini_event': '12-10-2025', 'fecha_hora_fin_event': '12-10-2025', 'id_organizador': 6249, 'nom_organizador': 'JOSE MANUEL BACA ANTON PRESIDENTE DE LA LIGA DEPARTAMENTAL PIUR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500"/>
    <x v="6"/>
    <x v="6"/>
    <x v="1"/>
    <n v="1"/>
    <n v="3578.07"/>
    <n v="4222.12"/>
    <n v="0"/>
    <n v="3578.07"/>
    <n v="18"/>
    <n v="644.04999999999995"/>
    <n v="4222.12"/>
    <n v="1"/>
    <n v="1"/>
    <x v="0"/>
    <x v="0"/>
    <x v="1"/>
    <s v="SAMUEL CHUQUISTA"/>
    <x v="3"/>
    <s v="7032100 Servicios-Local- VISA"/>
    <x v="1"/>
    <x v="70"/>
    <s v="Club AtlÃ©tico Torino vs. Tahuishco - Copa PerÃº 2025"/>
    <d v="2025-10-12T00:00:00"/>
    <d v="2025-10-12T00:00:00"/>
    <x v="52"/>
    <s v="JOSE MANUEL BACA ANTON PRESIDENTE DE LA LIGA DEPARTAMENTAL PIURA"/>
    <s v="Persona"/>
    <x v="226"/>
  </r>
  <r>
    <x v="0"/>
    <x v="68"/>
    <s v="COLABORATIVA S.A.C."/>
    <x v="10"/>
    <d v="2025-11-03T19:15:53"/>
    <x v="57"/>
    <m/>
    <n v="6"/>
    <n v="10427831812"/>
    <s v="[{'id_producto': 31497, 'codigo_producto': 2318, 'nom_producto': 'SERV DEVOLUCIONES', 'categoria_producto': 'service', 'cantidad': '1.0', 'valor_unitario': 93.22, 'precio_unitario': 110.0, 'descuento': 0.0, 'subtotal': 93.22, 'porcentaje_de_igv': '18.00', 'igv': 16.78, 'total': 110.0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59, 'nom_cuenta_analitica': '7032102 VENTAS SERVICIOS VAOPE', 'distribucion_analitica': []}]"/>
    <d v="2025-10-16T00:00:00"/>
    <m/>
    <m/>
    <m/>
    <m/>
    <m/>
    <n v="31497"/>
    <x v="8"/>
    <x v="8"/>
    <x v="1"/>
    <n v="1"/>
    <n v="93.22"/>
    <n v="110"/>
    <n v="0"/>
    <n v="93.22"/>
    <n v="18"/>
    <n v="16.78"/>
    <n v="110"/>
    <n v="1"/>
    <n v="1"/>
    <x v="0"/>
    <x v="0"/>
    <x v="1"/>
    <s v="SAMUEL CHUQUISTA"/>
    <x v="2"/>
    <s v="7032102 VENTAS SERVICIOS VAOPE"/>
    <x v="6"/>
    <x v="71"/>
    <s v="Feliz Aniversario Barranca con La Ãšnica Tropical"/>
    <d v="2025-10-11T00:00:00"/>
    <d v="2025-10-11T00:00:00"/>
    <x v="44"/>
    <s v="CUSQUI LUIS MIGUEL ALFREDO"/>
    <s v="Empresa"/>
    <x v="227"/>
  </r>
  <r>
    <x v="0"/>
    <x v="69"/>
    <s v="COLABORATIVA S.A.C."/>
    <x v="10"/>
    <d v="2025-11-03T19:15:35"/>
    <x v="57"/>
    <m/>
    <n v="6"/>
    <n v="10427831812"/>
    <s v="[{'id_producto': 31494, 'codigo_producto': 1786, 'nom_producto': 'COMISION VAOPE SEGUN CONTRATO', 'categoria_producto': 'service', 'cantidad': '1.0', 'valor_unitario': 128.73, 'precio_unitario': 151.9, 'descuento': 0.0, 'subtotal': 128.73, 'porcentaje_de_igv': '18.00', 'igv': 23.17, 'total': 151.9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94"/>
    <x v="5"/>
    <x v="5"/>
    <x v="1"/>
    <n v="1"/>
    <n v="128.72999999999999"/>
    <n v="151.9"/>
    <n v="0"/>
    <n v="128.72999999999999"/>
    <n v="18"/>
    <n v="23.17"/>
    <n v="151.9"/>
    <n v="1"/>
    <n v="1"/>
    <x v="0"/>
    <x v="0"/>
    <x v="1"/>
    <s v="SAMUEL CHUQUISTA"/>
    <x v="1"/>
    <s v="7032101 VENTAS COMISION VAOPE"/>
    <x v="5"/>
    <x v="71"/>
    <s v="Feliz Aniversario Barranca con La Ãšnica Tropical"/>
    <d v="2025-10-11T00:00:00"/>
    <d v="2025-10-11T00:00:00"/>
    <x v="44"/>
    <s v="CUSQUI LUIS MIGUEL ALFREDO"/>
    <s v="Empresa"/>
    <x v="228"/>
  </r>
  <r>
    <x v="0"/>
    <x v="70"/>
    <s v="COLABORATIVA S.A.C."/>
    <x v="10"/>
    <d v="2025-11-03T19:15:18"/>
    <x v="57"/>
    <m/>
    <n v="6"/>
    <n v="10427831812"/>
    <s v="[{'id_producto': 31491, 'codigo_producto': 216, 'nom_producto': 'COMISION PAGOS DIGITALES SEGUN CONTRATO', 'categoria_producto': 'service', 'cantidad': '1.0', 'valor_unitario': 73.73, 'precio_unitario': 87.0, 'descuento': 0.0, 'subtotal': 73.73, 'porcentaje_de_igv': '18.00', 'igv': 13.27, 'total': 87.0, 'moneda': '1', 'tipo_de_cambio': 1.0, 'id_estado': 'paid', 'nombre_estado': 'Pagado', 'evento': {'id_evento': '3197', 'nom_evento': 'Feliz Aniversario Barranca con La Ãšnica Tropical', 'fecha_hora_ini_event': '11-10-2025', 'fecha_hora_fin_event': '11-10-2025', 'id_organizador': 5519, 'nom_organizador': 'CUSQUI LUIS MIGUEL ALFRE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91"/>
    <x v="6"/>
    <x v="6"/>
    <x v="1"/>
    <n v="1"/>
    <n v="73.73"/>
    <n v="87"/>
    <n v="0"/>
    <n v="73.73"/>
    <n v="18"/>
    <n v="13.27"/>
    <n v="87"/>
    <n v="1"/>
    <n v="1"/>
    <x v="0"/>
    <x v="0"/>
    <x v="1"/>
    <s v="SAMUEL CHUQUISTA"/>
    <x v="3"/>
    <s v="7032100 Servicios-Local- VISA"/>
    <x v="1"/>
    <x v="71"/>
    <s v="Feliz Aniversario Barranca con La Ãšnica Tropical"/>
    <d v="2025-10-11T00:00:00"/>
    <d v="2025-10-11T00:00:00"/>
    <x v="44"/>
    <s v="CUSQUI LUIS MIGUEL ALFREDO"/>
    <s v="Empresa"/>
    <x v="229"/>
  </r>
  <r>
    <x v="0"/>
    <x v="94"/>
    <s v="COLABORATIVA S.A.C."/>
    <x v="10"/>
    <d v="2025-11-03T19:13:19"/>
    <x v="58"/>
    <m/>
    <n v="6"/>
    <n v="10451333351"/>
    <s v="[{'id_producto': 31488, 'codigo_producto': 1786, 'nom_producto': 'COMISION VAOPE SEGUN CONTRATO', 'categoria_producto': 'service', 'cantidad': '1.0', 'valor_unitario': 37.12, 'precio_unitario': 43.8, 'descuento': 0.0, 'subtotal': 37.12, 'porcentaje_de_igv': '18.00', 'igv': 6.68, 'total': 43.8, 'moneda': '1', 'tipo_de_cambio': 1.0, 'id_estado': 'paid', 'nombre_estado': 'Pagado', 'evento': {'id_evento': '3037', 'nom_evento': 'Circo Azteca en HuÃ¡nuco', 'fecha_hora_ini_event': '30-08-2025', 'fecha_hora_fin_event': '30-08-2025', 'id_organizador': 5554, 'nom_organizador': 'CHAVEZ MELGAREJO HENRY YUNIOR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88"/>
    <x v="5"/>
    <x v="5"/>
    <x v="1"/>
    <n v="1"/>
    <n v="37.119999999999997"/>
    <n v="43.8"/>
    <n v="0"/>
    <n v="37.119999999999997"/>
    <n v="18"/>
    <n v="6.68"/>
    <n v="43.8"/>
    <n v="1"/>
    <n v="1"/>
    <x v="0"/>
    <x v="0"/>
    <x v="1"/>
    <s v="SAMUEL CHUQUISTA"/>
    <x v="1"/>
    <s v="7032101 VENTAS COMISION VAOPE"/>
    <x v="5"/>
    <x v="72"/>
    <s v="Circo Azteca en HuÃ¡nuco"/>
    <d v="2025-08-30T00:00:00"/>
    <d v="2025-08-30T00:00:00"/>
    <x v="53"/>
    <s v="CHAVEZ MELGAREJO HENRY YUNIOR"/>
    <s v="Empresa"/>
    <x v="230"/>
  </r>
  <r>
    <x v="0"/>
    <x v="98"/>
    <s v="COLABORATIVA S.A.C."/>
    <x v="10"/>
    <d v="2025-11-03T19:13:03"/>
    <x v="58"/>
    <m/>
    <n v="6"/>
    <n v="10451333351"/>
    <s v="[{'id_producto': 31485, 'codigo_producto': 216, 'nom_producto': 'COMISION PAGOS DIGITALES SEGUN CONTRATO', 'categoria_producto': 'service', 'cantidad': '1.0', 'valor_unitario': 35.08, 'precio_unitario': 41.39, 'descuento': 0.0, 'subtotal': 35.08, 'porcentaje_de_igv': '18.00', 'igv': 6.31, 'total': 41.39, 'moneda': '1', 'tipo_de_cambio': 1.0, 'id_estado': 'paid', 'nombre_estado': 'Pagado', 'evento': {'id_evento': '3037', 'nom_evento': 'Circo Azteca en HuÃ¡nuco', 'fecha_hora_ini_event': '30-08-2025', 'fecha_hora_fin_event': '30-08-2025', 'id_organizador': 5554, 'nom_organizador': 'CHAVEZ MELGAREJO HENRY YUNIOR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85"/>
    <x v="6"/>
    <x v="6"/>
    <x v="1"/>
    <n v="1"/>
    <n v="35.08"/>
    <n v="41.39"/>
    <n v="0"/>
    <n v="35.08"/>
    <n v="18"/>
    <n v="6.31"/>
    <n v="41.39"/>
    <n v="1"/>
    <n v="1"/>
    <x v="0"/>
    <x v="0"/>
    <x v="1"/>
    <s v="SAMUEL CHUQUISTA"/>
    <x v="3"/>
    <s v="7032100 Servicios-Local- VISA"/>
    <x v="1"/>
    <x v="72"/>
    <s v="Circo Azteca en HuÃ¡nuco"/>
    <d v="2025-08-30T00:00:00"/>
    <d v="2025-08-30T00:00:00"/>
    <x v="53"/>
    <s v="CHAVEZ MELGAREJO HENRY YUNIOR"/>
    <s v="Empresa"/>
    <x v="231"/>
  </r>
  <r>
    <x v="0"/>
    <x v="99"/>
    <s v="COLABORATIVA S.A.C."/>
    <x v="10"/>
    <d v="2025-11-03T19:11:48"/>
    <x v="7"/>
    <m/>
    <n v="6"/>
    <n v="20509594903"/>
    <s v="[{'id_producto': 31482, 'codigo_producto': 1786, 'nom_producto': 'COMISION VAOPE SEGUN CONTRATO', 'categoria_producto': 'service', 'cantidad': '1.0', 'valor_unitario': 1172.37, 'precio_unitario': 1383.4, 'descuento': 0.0, 'subtotal': 1172.37, 'porcentaje_de_igv': '18.00', 'igv': 211.03, 'total': 1383.4, 'moneda': '1', 'tipo_de_cambio': 1.0, 'id_estado': 'paid', 'nombre_estado': 'Pagado', 'evento': {'id_evento': '3182', 'nom_evento': 'La Bella Luz en Mala', 'fecha_hora_ini_event': '09-10-2025', 'fecha_hora_fin_event': '09-10-2025', 'id_organizador': 5251, 'nom_organizador': 'EMPRESA MUSICAL INTERNACIONAL LA BELLA LUZ E.I.R.L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82"/>
    <x v="5"/>
    <x v="5"/>
    <x v="1"/>
    <n v="1"/>
    <n v="1172.3699999999999"/>
    <n v="1383.4"/>
    <n v="0"/>
    <n v="1172.3699999999999"/>
    <n v="18"/>
    <n v="211.03"/>
    <n v="1383.4"/>
    <n v="1"/>
    <n v="1"/>
    <x v="0"/>
    <x v="0"/>
    <x v="1"/>
    <s v="SAMUEL CHUQUISTA"/>
    <x v="1"/>
    <s v="7032101 VENTAS COMISION VAOPE"/>
    <x v="5"/>
    <x v="73"/>
    <s v="La Bella Luz en Mala"/>
    <d v="2025-10-09T00:00:00"/>
    <d v="2025-10-09T00:00:00"/>
    <x v="7"/>
    <s v="EMPRESA MUSICAL INTERNACIONAL LA BELLA LUZ E.I.R.L."/>
    <s v="Empresa"/>
    <x v="232"/>
  </r>
  <r>
    <x v="0"/>
    <x v="100"/>
    <s v="COLABORATIVA S.A.C."/>
    <x v="10"/>
    <d v="2025-11-03T19:11:23"/>
    <x v="7"/>
    <m/>
    <n v="6"/>
    <n v="20509594903"/>
    <s v="[{'id_producto': 31479, 'codigo_producto': 216, 'nom_producto': 'COMISION PAGOS DIGITALES SEGUN CONTRATO', 'categoria_producto': 'service', 'cantidad': '1.0', 'valor_unitario': 820.51, 'precio_unitario': 968.2, 'descuento': 0.0, 'subtotal': 820.51, 'porcentaje_de_igv': '18.00', 'igv': 147.69, 'total': 968.2, 'moneda': '1', 'tipo_de_cambio': 1.0, 'id_estado': 'paid', 'nombre_estado': 'Pagado', 'evento': {'id_evento': '3182', 'nom_evento': 'La Bella Luz en Mala', 'fecha_hora_ini_event': '09-10-2025', 'fecha_hora_fin_event': '09-10-2025', 'id_organizador': 5251, 'nom_organizador': 'EMPRESA MUSICAL INTERNACIONAL LA BELLA LUZ E.I.R.L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79"/>
    <x v="6"/>
    <x v="6"/>
    <x v="1"/>
    <n v="1"/>
    <n v="820.51"/>
    <n v="968.2"/>
    <n v="0"/>
    <n v="820.51"/>
    <n v="18"/>
    <n v="147.69"/>
    <n v="968.2"/>
    <n v="1"/>
    <n v="1"/>
    <x v="0"/>
    <x v="0"/>
    <x v="1"/>
    <s v="SAMUEL CHUQUISTA"/>
    <x v="3"/>
    <s v="7032100 Servicios-Local- VISA"/>
    <x v="1"/>
    <x v="73"/>
    <s v="La Bella Luz en Mala"/>
    <d v="2025-10-09T00:00:00"/>
    <d v="2025-10-09T00:00:00"/>
    <x v="7"/>
    <s v="EMPRESA MUSICAL INTERNACIONAL LA BELLA LUZ E.I.R.L."/>
    <s v="Empresa"/>
    <x v="233"/>
  </r>
  <r>
    <x v="0"/>
    <x v="101"/>
    <s v="COLABORATIVA S.A.C."/>
    <x v="10"/>
    <d v="2025-11-03T19:09:56"/>
    <x v="57"/>
    <m/>
    <n v="6"/>
    <n v="10427831812"/>
    <s v="[{'id_producto': 31476, 'codigo_producto': 1786, 'nom_producto': 'COMISION VAOPE SEGUN CONTRATO', 'categoria_producto': 'service', 'cantidad': '1.0', 'valor_unitario': 245.25, 'precio_unitario': 289.4, 'descuento': 0.0, 'subtotal': 245.25, 'porcentaje_de_igv': '18.00', 'igv': 44.15, 'total': 289.4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76"/>
    <x v="5"/>
    <x v="5"/>
    <x v="1"/>
    <n v="1"/>
    <n v="245.25"/>
    <n v="289.39999999999998"/>
    <n v="0"/>
    <n v="245.25"/>
    <n v="18"/>
    <n v="44.15"/>
    <n v="289.39999999999998"/>
    <n v="1"/>
    <n v="1"/>
    <x v="0"/>
    <x v="0"/>
    <x v="1"/>
    <s v="SAMUEL CHUQUISTA"/>
    <x v="1"/>
    <s v="7032101 VENTAS COMISION VAOPE"/>
    <x v="5"/>
    <x v="56"/>
    <s v="Feliz Aniversario Barranca con ArmonÃ­a 10 y El Gran Chorrillano"/>
    <d v="2025-10-10T00:00:00"/>
    <d v="2025-10-10T00:00:00"/>
    <x v="44"/>
    <s v="CUSQUI LUIS MIGUEL ALFREDO"/>
    <s v="Empresa"/>
    <x v="234"/>
  </r>
  <r>
    <x v="0"/>
    <x v="102"/>
    <s v="COLABORATIVA S.A.C."/>
    <x v="10"/>
    <d v="2025-11-03T19:09:38"/>
    <x v="57"/>
    <m/>
    <n v="6"/>
    <n v="10427831812"/>
    <s v="[{'id_producto': 31473, 'codigo_producto': 216, 'nom_producto': 'COMISION PAGOS DIGITALES SEGUN CONTRATO', 'categoria_producto': 'service', 'cantidad': '1.0', 'valor_unitario': 134.24, 'precio_unitario': 158.4, 'descuento': 0.0, 'subtotal': 134.24, 'porcentaje_de_igv': '18.00', 'igv': 24.16, 'total': 158.4, 'moneda': '1', 'tipo_de_cambio': 1.0, 'id_estado': 'paid', 'nombre_estado': 'Pagado', 'evento': {'id_evento': '3198', 'nom_evento': 'Feliz Aniversario Barranca con ArmonÃ­a 10 y El Gran Chorrillano', 'fecha_hora_ini_event': '10-10-2025', 'fecha_hora_fin_event': '10-10-2025', 'id_organizador': 5519, 'nom_organizador': 'CUSQUI LUIS MIGUEL ALFRE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73"/>
    <x v="6"/>
    <x v="6"/>
    <x v="1"/>
    <n v="1"/>
    <n v="134.24"/>
    <n v="158.4"/>
    <n v="0"/>
    <n v="134.24"/>
    <n v="18"/>
    <n v="24.16"/>
    <n v="158.4"/>
    <n v="1"/>
    <n v="1"/>
    <x v="0"/>
    <x v="0"/>
    <x v="1"/>
    <s v="SAMUEL CHUQUISTA"/>
    <x v="3"/>
    <s v="7032100 Servicios-Local- VISA"/>
    <x v="1"/>
    <x v="56"/>
    <s v="Feliz Aniversario Barranca con ArmonÃ­a 10 y El Gran Chorrillano"/>
    <d v="2025-10-10T00:00:00"/>
    <d v="2025-10-10T00:00:00"/>
    <x v="44"/>
    <s v="CUSQUI LUIS MIGUEL ALFREDO"/>
    <s v="Empresa"/>
    <x v="235"/>
  </r>
  <r>
    <x v="0"/>
    <x v="103"/>
    <s v="COLABORATIVA S.A.C."/>
    <x v="10"/>
    <d v="2025-11-03T19:08:14"/>
    <x v="17"/>
    <m/>
    <n v="6"/>
    <n v="20608747843"/>
    <s v="[{'id_producto': 31470, 'codigo_producto': 1786, 'nom_producto': 'COMISION VAOPE SEGUN CONTRATO', 'categoria_producto': 'service', 'cantidad': '1.0', 'valor_unitario': 41.53, 'precio_unitario': 49.01, 'descuento': 0.0, 'subtotal': 41.53, 'porcentaje_de_igv': '18.00', 'igv': 7.48, 'total': 49.01, 'moneda': '1', 'tipo_de_cambio': 1.0, 'id_estado': 'paid', 'nombre_estado': 'Pagado', 'evento': {'id_evento': '3090', 'nom_evento': 'Cristorata y mÃ¡s en 11:11 Club de Independencia', 'fecha_hora_ini_event': '11-10-2025', 'fecha_hora_fin_event': '11-10-2025', 'id_organizador': 5498, 'nom_organizador': 'CASTILLO PRODUCTIONS SOCIEDAD ANONIMA CERRADA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70"/>
    <x v="5"/>
    <x v="5"/>
    <x v="1"/>
    <n v="1"/>
    <n v="41.53"/>
    <n v="49.01"/>
    <n v="0"/>
    <n v="41.53"/>
    <n v="18"/>
    <n v="7.48"/>
    <n v="49.01"/>
    <n v="1"/>
    <n v="1"/>
    <x v="0"/>
    <x v="0"/>
    <x v="1"/>
    <s v="SAMUEL CHUQUISTA"/>
    <x v="1"/>
    <s v="7032101 VENTAS COMISION VAOPE"/>
    <x v="5"/>
    <x v="74"/>
    <s v="Cristorata y mÃ¡s en 11:11 Club de Independencia"/>
    <d v="2025-10-11T00:00:00"/>
    <d v="2025-10-11T00:00:00"/>
    <x v="17"/>
    <s v="CASTILLO PRODUCTIONS SOCIEDAD ANONIMA CERRADA"/>
    <s v="Empresa"/>
    <x v="236"/>
  </r>
  <r>
    <x v="0"/>
    <x v="104"/>
    <s v="COLABORATIVA S.A.C."/>
    <x v="10"/>
    <d v="2025-11-03T19:07:56"/>
    <x v="17"/>
    <m/>
    <n v="6"/>
    <n v="20608747843"/>
    <s v="[{'id_producto': 31467, 'codigo_producto': 216, 'nom_producto': 'COMISION PAGOS DIGITALES SEGUN CONTRATO', 'categoria_producto': 'service', 'cantidad': '1.0', 'valor_unitario': 23.39, 'precio_unitario': 27.6, 'descuento': 0.0, 'subtotal': 23.39, 'porcentaje_de_igv': '18.00', 'igv': 4.21, 'total': 27.6, 'moneda': '1', 'tipo_de_cambio': 1.0, 'id_estado': 'paid', 'nombre_estado': 'Pagado', 'evento': {'id_evento': '3090', 'nom_evento': 'Cristorata y mÃ¡s en 11:11 Club de Independencia', 'fecha_hora_ini_event': '11-10-2025', 'fecha_hora_fin_event': '11-10-2025', 'id_organizador': 5498, 'nom_organizador': 'CASTILLO PRODUCTIONS SOCIEDAD ANONIMA CERRADA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67"/>
    <x v="6"/>
    <x v="6"/>
    <x v="1"/>
    <n v="1"/>
    <n v="23.39"/>
    <n v="27.6"/>
    <n v="0"/>
    <n v="23.39"/>
    <n v="18"/>
    <n v="4.21"/>
    <n v="27.6"/>
    <n v="1"/>
    <n v="1"/>
    <x v="0"/>
    <x v="0"/>
    <x v="1"/>
    <s v="SAMUEL CHUQUISTA"/>
    <x v="3"/>
    <s v="7032100 Servicios-Local- VISA"/>
    <x v="1"/>
    <x v="74"/>
    <s v="Cristorata y mÃ¡s en 11:11 Club de Independencia"/>
    <d v="2025-10-11T00:00:00"/>
    <d v="2025-10-11T00:00:00"/>
    <x v="17"/>
    <s v="CASTILLO PRODUCTIONS SOCIEDAD ANONIMA CERRADA"/>
    <s v="Empresa"/>
    <x v="237"/>
  </r>
  <r>
    <x v="0"/>
    <x v="105"/>
    <s v="COLABORATIVA S.A.C."/>
    <x v="10"/>
    <d v="2025-11-03T19:04:06"/>
    <x v="59"/>
    <m/>
    <n v="6"/>
    <n v="15611515500"/>
    <s v="[{'id_producto': 31464, 'codigo_producto': 2274, 'nom_producto': 'COMISION CORTESIA ', 'categoria_producto': 'consu', 'cantidad': '1.0', 'valor_unitario': 9.0, 'precio_unitario': 10.62, 'descuento': 0.0, 'subtotal': 9.0, 'porcentaje_de_igv': '18.00', 'igv': 1.62, 'total': 10.62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464"/>
    <x v="2"/>
    <x v="2"/>
    <x v="0"/>
    <n v="1"/>
    <n v="9"/>
    <n v="10.62"/>
    <n v="0"/>
    <n v="9"/>
    <n v="18"/>
    <n v="1.62"/>
    <n v="10.62"/>
    <n v="1"/>
    <n v="1"/>
    <x v="0"/>
    <x v="0"/>
    <x v="1"/>
    <s v="SAMUEL CHUQUISTA"/>
    <x v="1"/>
    <s v="7032101 VENTAS COMISION VAOPE"/>
    <x v="1"/>
    <x v="75"/>
    <s v="Cesar Vega en Tacna"/>
    <d v="2025-10-11T00:00:00"/>
    <d v="2025-10-11T00:00:00"/>
    <x v="54"/>
    <s v="MENDOZA VILLABON EDWIN MAURICIO"/>
    <s v="Empresa"/>
    <x v="238"/>
  </r>
  <r>
    <x v="0"/>
    <x v="106"/>
    <s v="COLABORATIVA S.A.C."/>
    <x v="10"/>
    <d v="2025-11-03T19:03:47"/>
    <x v="59"/>
    <m/>
    <n v="6"/>
    <n v="15611515500"/>
    <s v="[{'id_producto': 31461, 'codigo_producto': 1786, 'nom_producto': 'COMISION VAOPE SEGUN CONTRATO', 'categoria_producto': 'service', 'cantidad': '1.0', 'valor_unitario': 713.05, 'precio_unitario': 841.4, 'descuento': 0.0, 'subtotal': 713.05, 'porcentaje_de_igv': '18.00', 'igv': 128.35, 'total': 841.4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61"/>
    <x v="5"/>
    <x v="5"/>
    <x v="1"/>
    <n v="1"/>
    <n v="713.05"/>
    <n v="841.4"/>
    <n v="0"/>
    <n v="713.05"/>
    <n v="18"/>
    <n v="128.35"/>
    <n v="841.4"/>
    <n v="1"/>
    <n v="1"/>
    <x v="0"/>
    <x v="0"/>
    <x v="1"/>
    <s v="SAMUEL CHUQUISTA"/>
    <x v="1"/>
    <s v="7032101 VENTAS COMISION VAOPE"/>
    <x v="5"/>
    <x v="75"/>
    <s v="Cesar Vega en Tacna"/>
    <d v="2025-10-11T00:00:00"/>
    <d v="2025-10-11T00:00:00"/>
    <x v="54"/>
    <s v="MENDOZA VILLABON EDWIN MAURICIO"/>
    <s v="Empresa"/>
    <x v="239"/>
  </r>
  <r>
    <x v="0"/>
    <x v="107"/>
    <s v="COLABORATIVA S.A.C."/>
    <x v="10"/>
    <d v="2025-11-03T19:03:22"/>
    <x v="59"/>
    <m/>
    <n v="6"/>
    <n v="15611515500"/>
    <s v="[{'id_producto': 31458, 'codigo_producto': 216, 'nom_producto': 'COMISION PAGOS DIGITALES SEGUN CONTRATO', 'categoria_producto': 'service', 'cantidad': '1.0', 'valor_unitario': 545.17, 'precio_unitario': 643.3, 'descuento': 0.0, 'subtotal': 545.17, 'porcentaje_de_igv': '18.00', 'igv': 98.13, 'total': 643.3, 'moneda': '1', 'tipo_de_cambio': 1.0, 'id_estado': 'paid', 'nombre_estado': 'Pagado', 'evento': {'id_evento': '3106', 'nom_evento': 'Cesar Vega en Tacna', 'fecha_hora_ini_event': '11-10-2025', 'fecha_hora_fin_event': '11-10-2025', 'id_organizador': 5825, 'nom_organizador': 'MENDOZA VILLABON EDWIN MAURICI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58"/>
    <x v="6"/>
    <x v="6"/>
    <x v="1"/>
    <n v="1"/>
    <n v="545.16999999999996"/>
    <n v="643.29999999999995"/>
    <n v="0"/>
    <n v="545.16999999999996"/>
    <n v="18"/>
    <n v="98.13"/>
    <n v="643.29999999999995"/>
    <n v="1"/>
    <n v="1"/>
    <x v="0"/>
    <x v="0"/>
    <x v="1"/>
    <s v="SAMUEL CHUQUISTA"/>
    <x v="3"/>
    <s v="7032100 Servicios-Local- VISA"/>
    <x v="1"/>
    <x v="75"/>
    <s v="Cesar Vega en Tacna"/>
    <d v="2025-10-11T00:00:00"/>
    <d v="2025-10-11T00:00:00"/>
    <x v="54"/>
    <s v="MENDOZA VILLABON EDWIN MAURICIO"/>
    <s v="Empresa"/>
    <x v="240"/>
  </r>
  <r>
    <x v="0"/>
    <x v="108"/>
    <s v="COLABORATIVA S.A.C."/>
    <x v="10"/>
    <d v="2025-11-03T10:21:34"/>
    <x v="60"/>
    <m/>
    <n v="6"/>
    <n v="10199884951"/>
    <s v="[{'id_producto': 31455, 'codigo_producto': 1786, 'nom_producto': 'COMISION VAOPE SEGUN CONTRATO', 'categoria_producto': 'service', 'cantidad': '1.0', 'valor_unitario': 188.73, 'precio_unitario': 222.7, 'descuento': 0.0, 'subtotal': 188.73, 'porcentaje_de_igv': '18.00', 'igv': 33.97, 'total': 222.7, 'moneda': '1', 'tipo_de_cambio': 1.0, 'id_estado': 'paid', 'nombre_estado': 'Pagado', 'evento': {'id_evento': '3150', 'nom_evento': 'ArmonÃ­a 10, DÃºo Ayacucho y mÃ¡s en Coayllo', 'fecha_hora_ini_event': '11-10-2025', 'fecha_hora_fin_event': '11-10-2025', 'id_organizador': 5129, 'nom_organizador': 'AYLAS MARQUIÃ‘O ERROL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455"/>
    <x v="5"/>
    <x v="5"/>
    <x v="1"/>
    <n v="1"/>
    <n v="188.73"/>
    <n v="222.7"/>
    <n v="0"/>
    <n v="188.73"/>
    <n v="18"/>
    <n v="33.97"/>
    <n v="222.7"/>
    <n v="1"/>
    <n v="1"/>
    <x v="0"/>
    <x v="0"/>
    <x v="1"/>
    <s v="SAMUEL CHUQUISTA"/>
    <x v="1"/>
    <s v="7032101 VENTAS COMISION VAOPE"/>
    <x v="1"/>
    <x v="76"/>
    <s v="ArmonÃ­a 10, DÃºo Ayacucho y mÃ¡s en Coayllo"/>
    <d v="2025-10-11T00:00:00"/>
    <d v="2025-10-11T00:00:00"/>
    <x v="55"/>
    <s v="AYLAS MARQUIÃ‘O ERROL"/>
    <s v="Empresa"/>
    <x v="241"/>
  </r>
  <r>
    <x v="0"/>
    <x v="125"/>
    <s v="COLABORATIVA S.A.C."/>
    <x v="10"/>
    <d v="2025-11-03T19:00:39"/>
    <x v="60"/>
    <m/>
    <n v="6"/>
    <n v="10199884951"/>
    <s v="[{'id_producto': 31452, 'codigo_producto': 216, 'nom_producto': 'COMISION PAGOS DIGITALES SEGUN CONTRATO', 'categoria_producto': 'service', 'cantidad': '1.0', 'valor_unitario': 134.92, 'precio_unitario': 159.21, 'descuento': 0.0, 'subtotal': 134.92, 'porcentaje_de_igv': '18.00', 'igv': 24.29, 'total': 159.21, 'moneda': '1', 'tipo_de_cambio': 1.0, 'id_estado': 'paid', 'nombre_estado': 'Pagado', 'evento': {'id_evento': '3150', 'nom_evento': 'ArmonÃ­a 10, DÃºo Ayacucho y mÃ¡s en Coayllo', 'fecha_hora_ini_event': '11-10-2025', 'fecha_hora_fin_event': '11-10-2025', 'id_organizador': 5129, 'nom_organizador': 'AYLAS MARQUIÃ‘O ERROL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52"/>
    <x v="6"/>
    <x v="6"/>
    <x v="1"/>
    <n v="1"/>
    <n v="134.91999999999999"/>
    <n v="159.21"/>
    <n v="0"/>
    <n v="134.91999999999999"/>
    <n v="18"/>
    <n v="24.29"/>
    <n v="159.21"/>
    <n v="1"/>
    <n v="1"/>
    <x v="0"/>
    <x v="0"/>
    <x v="1"/>
    <s v="SAMUEL CHUQUISTA"/>
    <x v="3"/>
    <s v="7032100 Servicios-Local- VISA"/>
    <x v="1"/>
    <x v="76"/>
    <s v="ArmonÃ­a 10, DÃºo Ayacucho y mÃ¡s en Coayllo"/>
    <d v="2025-10-11T00:00:00"/>
    <d v="2025-10-11T00:00:00"/>
    <x v="55"/>
    <s v="AYLAS MARQUIÃ‘O ERROL"/>
    <s v="Empresa"/>
    <x v="242"/>
  </r>
  <r>
    <x v="1"/>
    <x v="177"/>
    <s v="COLABORATIVA S.A.C."/>
    <x v="10"/>
    <d v="2025-11-03T18:58:59"/>
    <x v="61"/>
    <m/>
    <n v="1"/>
    <n v="10690613"/>
    <s v="[{'id_producto': 31449, 'codigo_producto': 1786, 'nom_producto': 'COMISION VAOPE SEGUN CONTRATO', 'categoria_producto': 'service', 'cantidad': '1.0', 'valor_unitario': 39.76, 'precio_unitario': 46.92, 'descuento': 0.0, 'subtotal': 39.76, 'porcentaje_de_igv': '18.00', 'igv': 7.16, 'total': 46.92, 'moneda': '1', 'tipo_de_cambio': 1.0, 'id_estado': 'paid', 'nombre_estado': 'Pagado', 'evento': {'id_evento': '3227', 'nom_evento': 'Gran Arbolazo Primavera 2025 con String Karma, Los Runas, DÃºo Ayacucho y mÃ¡s en El Bosque de Villa el Salvador', 'fecha_hora_ini_event': '11-10-2025', 'fecha_hora_fin_event': '11-10-2025', 'id_organizador': 1157, 'nom_organizador': 'Adrian Dolores Flores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49"/>
    <x v="5"/>
    <x v="5"/>
    <x v="1"/>
    <n v="1"/>
    <n v="39.76"/>
    <n v="46.92"/>
    <n v="0"/>
    <n v="39.76"/>
    <n v="18"/>
    <n v="7.16"/>
    <n v="46.92"/>
    <n v="1"/>
    <n v="1"/>
    <x v="0"/>
    <x v="0"/>
    <x v="1"/>
    <s v="SAMUEL CHUQUISTA"/>
    <x v="1"/>
    <s v="7032101 VENTAS COMISION VAOPE"/>
    <x v="5"/>
    <x v="77"/>
    <s v="Gran Arbolazo Primavera 2025 con String Karma, Los Runas, DÃºo Ayacucho y mÃ¡s en El Bosque de Villa el Salvador"/>
    <d v="2025-10-11T00:00:00"/>
    <d v="2025-10-11T00:00:00"/>
    <x v="56"/>
    <s v="Adrian Dolores Flores"/>
    <s v="Persona"/>
    <x v="243"/>
  </r>
  <r>
    <x v="1"/>
    <x v="178"/>
    <s v="COLABORATIVA S.A.C."/>
    <x v="10"/>
    <d v="2025-11-03T18:58:41"/>
    <x v="61"/>
    <m/>
    <n v="1"/>
    <n v="10690613"/>
    <s v="[{'id_producto': 31446, 'codigo_producto': 216, 'nom_producto': 'COMISION PAGOS DIGITALES SEGUN CONTRATO', 'categoria_producto': 'service', 'cantidad': '1.0', 'valor_unitario': 23.0, 'precio_unitario': 27.14, 'descuento': 0.0, 'subtotal': 23.0, 'porcentaje_de_igv': '18.00', 'igv': 4.14, 'total': 27.14, 'moneda': '1', 'tipo_de_cambio': 1.0, 'id_estado': 'paid', 'nombre_estado': 'Pagado', 'evento': {'id_evento': '3227', 'nom_evento': 'Gran Arbolazo Primavera 2025 con String Karma, Los Runas, DÃºo Ayacucho y mÃ¡s en El Bosque de Villa el Salvador', 'fecha_hora_ini_event': '11-10-2025', 'fecha_hora_fin_event': '11-10-2025', 'id_organizador': 1157, 'nom_organizador': 'Adrian Dolores Flores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46"/>
    <x v="6"/>
    <x v="6"/>
    <x v="1"/>
    <n v="1"/>
    <n v="23"/>
    <n v="27.14"/>
    <n v="0"/>
    <n v="23"/>
    <n v="18"/>
    <n v="4.1399999999999997"/>
    <n v="27.14"/>
    <n v="1"/>
    <n v="1"/>
    <x v="0"/>
    <x v="0"/>
    <x v="1"/>
    <s v="SAMUEL CHUQUISTA"/>
    <x v="3"/>
    <s v="7032100 Servicios-Local- VISA"/>
    <x v="1"/>
    <x v="77"/>
    <s v="Gran Arbolazo Primavera 2025 con String Karma, Los Runas, DÃºo Ayacucho y mÃ¡s en El Bosque de Villa el Salvador"/>
    <d v="2025-10-11T00:00:00"/>
    <d v="2025-10-11T00:00:00"/>
    <x v="56"/>
    <s v="Adrian Dolores Flores"/>
    <s v="Persona"/>
    <x v="244"/>
  </r>
  <r>
    <x v="0"/>
    <x v="126"/>
    <s v="COLABORATIVA S.A.C."/>
    <x v="10"/>
    <d v="2025-11-03T18:57:12"/>
    <x v="62"/>
    <m/>
    <n v="6"/>
    <n v="20521137330"/>
    <s v="[{'id_producto': 31443, 'codigo_producto': 1786, 'nom_producto': 'COMISION VAOPE SEGUN CONTRATO', 'categoria_producto': 'service', 'cantidad': '1.0', 'valor_unitario': 35.42, 'precio_unitario': 41.8, 'descuento': 0.0, 'subtotal': 35.42, 'porcentaje_de_igv': '18.00', 'igv': 6.38, 'total': 41.8, 'moneda': '1', 'tipo_de_cambio': 1.0, 'id_estado': 'paid', 'nombre_estado': 'Pagado', 'evento': {'id_evento': '3057', 'nom_evento': 'Loser El Proyecto Glee en San Isidro', 'fecha_hora_ini_event': '11-10-2025', 'fecha_hora_fin_event': '11-10-2025', 'id_organizador': 5228, 'nom_organizador': 'ENTRENARTE EVENTOS DEPORTIVO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43"/>
    <x v="5"/>
    <x v="5"/>
    <x v="1"/>
    <n v="1"/>
    <n v="35.42"/>
    <n v="41.8"/>
    <n v="0"/>
    <n v="35.42"/>
    <n v="18"/>
    <n v="6.38"/>
    <n v="41.8"/>
    <n v="1"/>
    <n v="1"/>
    <x v="0"/>
    <x v="0"/>
    <x v="1"/>
    <s v="SAMUEL CHUQUISTA"/>
    <x v="1"/>
    <s v="7032101 VENTAS COMISION VAOPE"/>
    <x v="5"/>
    <x v="78"/>
    <s v="Loser El Proyecto Glee en San Isidro"/>
    <d v="2025-10-11T00:00:00"/>
    <d v="2025-10-11T00:00:00"/>
    <x v="57"/>
    <s v="ENTRENARTE EVENTOS DEPORTIVOS S.A.C."/>
    <s v="Empresa"/>
    <x v="245"/>
  </r>
  <r>
    <x v="0"/>
    <x v="127"/>
    <s v="COLABORATIVA S.A.C."/>
    <x v="10"/>
    <d v="2025-11-03T18:56:49"/>
    <x v="62"/>
    <m/>
    <n v="6"/>
    <n v="20521137330"/>
    <s v="[{'id_producto': 31440, 'codigo_producto': 216, 'nom_producto': 'COMISION PAGOS DIGITALES SEGUN CONTRATO', 'categoria_producto': 'service', 'cantidad': '1.0', 'valor_unitario': 19.32, 'precio_unitario': 22.8, 'descuento': 0.0, 'subtotal': 19.32, 'porcentaje_de_igv': '18.00', 'igv': 3.48, 'total': 22.8, 'moneda': '1', 'tipo_de_cambio': 1.0, 'id_estado': 'paid', 'nombre_estado': 'Pagado', 'evento': {'id_evento': '3057', 'nom_evento': 'Loser El Proyecto Glee en San Isidro', 'fecha_hora_ini_event': '11-10-2025', 'fecha_hora_fin_event': '11-10-2025', 'id_organizador': 5228, 'nom_organizador': 'ENTRENARTE EVENTOS DEPORTIVO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40"/>
    <x v="6"/>
    <x v="6"/>
    <x v="1"/>
    <n v="1"/>
    <n v="19.32"/>
    <n v="22.8"/>
    <n v="0"/>
    <n v="19.32"/>
    <n v="18"/>
    <n v="3.48"/>
    <n v="22.8"/>
    <n v="1"/>
    <n v="1"/>
    <x v="0"/>
    <x v="0"/>
    <x v="1"/>
    <s v="SAMUEL CHUQUISTA"/>
    <x v="3"/>
    <s v="7032100 Servicios-Local- VISA"/>
    <x v="1"/>
    <x v="78"/>
    <s v="Loser El Proyecto Glee en San Isidro"/>
    <d v="2025-10-11T00:00:00"/>
    <d v="2025-10-11T00:00:00"/>
    <x v="57"/>
    <s v="ENTRENARTE EVENTOS DEPORTIVOS S.A.C."/>
    <s v="Empresa"/>
    <x v="246"/>
  </r>
  <r>
    <x v="0"/>
    <x v="128"/>
    <s v="COLABORATIVA S.A.C."/>
    <x v="10"/>
    <d v="2025-11-03T18:54:00"/>
    <x v="63"/>
    <m/>
    <n v="6"/>
    <n v="20612897426"/>
    <s v="[{'id_producto': 31437, 'codigo_producto': 1786, 'nom_producto': 'COMISION VAOPE SEGUN CONTRATO', 'categoria_producto': 'service', 'cantidad': '1.0', 'valor_unitario': 6713.73, 'precio_unitario': 7922.2, 'descuento': 0.0, 'subtotal': 6713.73, 'porcentaje_de_igv': '18.00', 'igv': 1208.47, 'total': 7922.2, 'moneda': '1', 'tipo_de_cambio': 1.0, 'id_estado': 'paid', 'nombre_estado': 'Pagado', 'evento': {'id_evento': '3121', 'nom_evento': 'Grupo 5 en Puerto Maldonado', 'fecha_hora_ini_event': '10-10-2025', 'fecha_hora_fin_event': '10-10-2025', 'id_organizador': 5084, 'nom_organizador': 'CORPORACION WAYRA PRODUCCIONE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37"/>
    <x v="5"/>
    <x v="5"/>
    <x v="1"/>
    <n v="1"/>
    <n v="6713.73"/>
    <n v="7922.2"/>
    <n v="0"/>
    <n v="6713.73"/>
    <n v="18"/>
    <n v="1208.47"/>
    <n v="7922.2"/>
    <n v="1"/>
    <n v="1"/>
    <x v="0"/>
    <x v="0"/>
    <x v="1"/>
    <s v="SAMUEL CHUQUISTA"/>
    <x v="1"/>
    <s v="7032101 VENTAS COMISION VAOPE"/>
    <x v="5"/>
    <x v="79"/>
    <s v="Grupo 5 en Puerto Maldonado"/>
    <d v="2025-10-10T00:00:00"/>
    <d v="2025-10-10T00:00:00"/>
    <x v="58"/>
    <s v="CORPORACION WAYRA PRODUCCIONES S.A.C."/>
    <s v="Empresa"/>
    <x v="247"/>
  </r>
  <r>
    <x v="0"/>
    <x v="129"/>
    <s v="COLABORATIVA S.A.C."/>
    <x v="10"/>
    <d v="2025-11-03T18:53:40"/>
    <x v="63"/>
    <m/>
    <n v="6"/>
    <n v="20612897426"/>
    <s v="[{'id_producto': 31434, 'codigo_producto': 216, 'nom_producto': 'COMISION PAGOS DIGITALES SEGUN CONTRATO', 'categoria_producto': 'service', 'cantidad': '1.0', 'valor_unitario': 4588.64, 'precio_unitario': 5414.6, 'descuento': 0.0, 'subtotal': 4588.64, 'porcentaje_de_igv': '18.00', 'igv': 825.96, 'total': 5414.6, 'moneda': '1', 'tipo_de_cambio': 1.0, 'id_estado': 'paid', 'nombre_estado': 'Pagado', 'evento': {'id_evento': '3121', 'nom_evento': 'Grupo 5 en Puerto Maldonado', 'fecha_hora_ini_event': '10-10-2025', 'fecha_hora_fin_event': '10-10-2025', 'id_organizador': 5084, 'nom_organizador': 'CORPORACION WAYRA PRODUCCIONE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34"/>
    <x v="6"/>
    <x v="6"/>
    <x v="1"/>
    <n v="1"/>
    <n v="4588.6400000000003"/>
    <n v="5414.6"/>
    <n v="0"/>
    <n v="4588.6400000000003"/>
    <n v="18"/>
    <n v="825.96"/>
    <n v="5414.6"/>
    <n v="1"/>
    <n v="1"/>
    <x v="0"/>
    <x v="0"/>
    <x v="1"/>
    <s v="SAMUEL CHUQUISTA"/>
    <x v="3"/>
    <s v="7032100 Servicios-Local- VISA"/>
    <x v="1"/>
    <x v="79"/>
    <s v="Grupo 5 en Puerto Maldonado"/>
    <d v="2025-10-10T00:00:00"/>
    <d v="2025-10-10T00:00:00"/>
    <x v="58"/>
    <s v="CORPORACION WAYRA PRODUCCIONES S.A.C."/>
    <s v="Empresa"/>
    <x v="248"/>
  </r>
  <r>
    <x v="1"/>
    <x v="179"/>
    <s v="COLABORATIVA S.A.C."/>
    <x v="10"/>
    <d v="2025-11-03T18:51:09"/>
    <x v="56"/>
    <m/>
    <n v="1"/>
    <s v="03826765"/>
    <s v="[{'id_producto': 31431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431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2"/>
    <s v="7032102 VENTAS SERVICIOS VAOPE"/>
    <x v="5"/>
    <x v="80"/>
    <s v="AtlÃ©tico Torino vs Bagua FC - Copa PerÃº 2025"/>
    <d v="2025-10-05T00:00:00"/>
    <d v="2025-10-05T00:00:00"/>
    <x v="59"/>
    <s v="LIGA DEPARTAMENTAL DE FUTBOL DE PIURA -  LIDEFUPI"/>
    <s v="Empresa"/>
    <x v="249"/>
  </r>
  <r>
    <x v="1"/>
    <x v="180"/>
    <s v="COLABORATIVA S.A.C."/>
    <x v="10"/>
    <d v="2025-11-03T18:50:39"/>
    <x v="56"/>
    <m/>
    <n v="1"/>
    <s v="03826765"/>
    <s v="[{'id_producto': 31428, 'codigo_producto': 1786, 'nom_producto': 'COMISION VAOPE SEGUN CONTRATO', 'categoria_producto': 'service', 'cantidad': '1.0', 'valor_unitario': 4904.1, 'precio_unitario': 5786.84, 'descuento': 0.0, 'subtotal': 4904.1, 'porcentaje_de_igv': '18.00', 'igv': 882.74, 'total': 5786.84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28"/>
    <x v="5"/>
    <x v="5"/>
    <x v="1"/>
    <n v="1"/>
    <n v="4904.1000000000004"/>
    <n v="5786.84"/>
    <n v="0"/>
    <n v="4904.1000000000004"/>
    <n v="18"/>
    <n v="882.74"/>
    <n v="5786.84"/>
    <n v="1"/>
    <n v="1"/>
    <x v="0"/>
    <x v="0"/>
    <x v="1"/>
    <s v="SAMUEL CHUQUISTA"/>
    <x v="1"/>
    <s v="7032101 VENTAS COMISION VAOPE"/>
    <x v="5"/>
    <x v="80"/>
    <s v="AtlÃ©tico Torino vs Bagua FC - Copa PerÃº 2025"/>
    <d v="2025-10-05T00:00:00"/>
    <d v="2025-10-05T00:00:00"/>
    <x v="59"/>
    <s v="LIGA DEPARTAMENTAL DE FUTBOL DE PIURA -  LIDEFUPI"/>
    <s v="Empresa"/>
    <x v="250"/>
  </r>
  <r>
    <x v="0"/>
    <x v="130"/>
    <s v="COLABORATIVA S.A.C."/>
    <x v="10"/>
    <d v="2025-11-03T18:47:18"/>
    <x v="22"/>
    <s v="Cliente"/>
    <n v="6"/>
    <n v="20168142375"/>
    <s v="[{'id_producto': 31425, 'codigo_producto': 2274, 'nom_producto': 'COMISION CORTESIA ', 'categoria_producto': 'consu', 'cantidad': '1.0', 'valor_unitario': 76.0, 'precio_unitario': 89.68, 'descuento': 0.0, 'subtotal': 76.0, 'porcentaje_de_igv': '18.00', 'igv': 13.68, 'total': 89.68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425"/>
    <x v="2"/>
    <x v="2"/>
    <x v="0"/>
    <n v="1"/>
    <n v="76"/>
    <n v="89.68"/>
    <n v="0"/>
    <n v="76"/>
    <n v="18"/>
    <n v="13.68"/>
    <n v="89.68"/>
    <n v="1"/>
    <n v="1"/>
    <x v="0"/>
    <x v="0"/>
    <x v="1"/>
    <s v="SAMUEL CHUQUISTA"/>
    <x v="1"/>
    <s v="7032101 VENTAS COMISION VAOPE"/>
    <x v="1"/>
    <x v="81"/>
    <s v="AtlÃ©tico Grau vs FBC Melgar"/>
    <d v="2025-10-05T00:00:00"/>
    <d v="2025-10-05T00:00:00"/>
    <x v="22"/>
    <s v="Club AtlÃ©tico Grau"/>
    <s v="Empresa"/>
    <x v="251"/>
  </r>
  <r>
    <x v="0"/>
    <x v="131"/>
    <s v="COLABORATIVA S.A.C."/>
    <x v="10"/>
    <d v="2025-11-03T18:47:01"/>
    <x v="22"/>
    <s v="Cliente"/>
    <n v="6"/>
    <n v="20168142375"/>
    <s v="[{'id_producto': 31422, 'codigo_producto': 2324, 'nom_producto': 'ENTRADAS IMPRESAS', 'categoria_producto': 'consu', 'cantidad': '1.0', 'valor_unitario': 24.0, 'precio_unitario': 28.32, 'descuento': 0.0, 'subtotal': 24.0, 'porcentaje_de_igv': '18.00', 'igv': 4.32, 'total': 28.32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422"/>
    <x v="16"/>
    <x v="16"/>
    <x v="0"/>
    <n v="1"/>
    <n v="24"/>
    <n v="28.32"/>
    <n v="0"/>
    <n v="24"/>
    <n v="18"/>
    <n v="4.32"/>
    <n v="28.32"/>
    <n v="1"/>
    <n v="1"/>
    <x v="0"/>
    <x v="0"/>
    <x v="1"/>
    <s v="SAMUEL CHUQUISTA"/>
    <x v="0"/>
    <s v="7012100 MercaderÃ­as-Venta Local-Terceros"/>
    <x v="3"/>
    <x v="81"/>
    <s v="AtlÃ©tico Grau vs FBC Melgar"/>
    <d v="2025-10-05T00:00:00"/>
    <d v="2025-10-05T00:00:00"/>
    <x v="22"/>
    <s v="Club AtlÃ©tico Grau"/>
    <s v="Empresa"/>
    <x v="252"/>
  </r>
  <r>
    <x v="0"/>
    <x v="132"/>
    <s v="COLABORATIVA S.A.C."/>
    <x v="10"/>
    <d v="2025-11-03T18:46:40"/>
    <x v="22"/>
    <s v="Cliente"/>
    <n v="6"/>
    <n v="20168142375"/>
    <s v="[{'id_producto': 31419, 'codigo_producto': 1786, 'nom_producto': 'COMISION VAOPE SEGUN CONTRATO', 'categoria_producto': 'service', 'cantidad': '1.0', 'valor_unitario': 160.35, 'precio_unitario': 189.21, 'descuento': 0.0, 'subtotal': 160.35, 'porcentaje_de_igv': '18.00', 'igv': 28.86, 'total': 189.21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19"/>
    <x v="5"/>
    <x v="5"/>
    <x v="1"/>
    <n v="1"/>
    <n v="160.35"/>
    <n v="189.21"/>
    <n v="0"/>
    <n v="160.35"/>
    <n v="18"/>
    <n v="28.86"/>
    <n v="189.21"/>
    <n v="1"/>
    <n v="1"/>
    <x v="0"/>
    <x v="0"/>
    <x v="1"/>
    <s v="SAMUEL CHUQUISTA"/>
    <x v="1"/>
    <s v="7032101 VENTAS COMISION VAOPE"/>
    <x v="5"/>
    <x v="81"/>
    <s v="AtlÃ©tico Grau vs FBC Melgar"/>
    <d v="2025-10-05T00:00:00"/>
    <d v="2025-10-05T00:00:00"/>
    <x v="22"/>
    <s v="Club AtlÃ©tico Grau"/>
    <s v="Empresa"/>
    <x v="253"/>
  </r>
  <r>
    <x v="0"/>
    <x v="133"/>
    <s v="COLABORATIVA S.A.C."/>
    <x v="10"/>
    <d v="2025-11-03T18:46:23"/>
    <x v="22"/>
    <s v="Cliente"/>
    <n v="6"/>
    <n v="20168142375"/>
    <s v="[{'id_producto': 31416, 'codigo_producto': 216, 'nom_producto': 'COMISION PAGOS DIGITALES SEGUN CONTRATO', 'categoria_producto': 'service', 'cantidad': '1.0', 'valor_unitario': 119.0, 'precio_unitario': 140.42, 'descuento': 0.0, 'subtotal': 119.0, 'porcentaje_de_igv': '18.00', 'igv': 21.42, 'total': 140.42, 'moneda': '1', 'tipo_de_cambio': 1.0, 'id_estado': 'paid', 'nombre_estado': 'Pagado', 'evento': {'id_evento': '3191', 'nom_evento': 'AtlÃ©tico Grau vs FBC Melgar', 'fecha_hora_ini_event': '05-10-2025', 'fecha_hora_fin_event': '05-10-2025', 'id_organizador': 388, 'nom_organizador': 'Club AtlÃ©tico Grau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416"/>
    <x v="6"/>
    <x v="6"/>
    <x v="1"/>
    <n v="1"/>
    <n v="119"/>
    <n v="140.41999999999999"/>
    <n v="0"/>
    <n v="119"/>
    <n v="18"/>
    <n v="21.42"/>
    <n v="140.41999999999999"/>
    <n v="1"/>
    <n v="1"/>
    <x v="0"/>
    <x v="0"/>
    <x v="1"/>
    <s v="SAMUEL CHUQUISTA"/>
    <x v="3"/>
    <s v="7032100 Servicios-Local- VISA"/>
    <x v="1"/>
    <x v="81"/>
    <s v="AtlÃ©tico Grau vs FBC Melgar"/>
    <d v="2025-10-05T00:00:00"/>
    <d v="2025-10-05T00:00:00"/>
    <x v="22"/>
    <s v="Club AtlÃ©tico Grau"/>
    <s v="Empresa"/>
    <x v="254"/>
  </r>
  <r>
    <x v="0"/>
    <x v="134"/>
    <s v="COLABORATIVA S.A.C."/>
    <x v="10"/>
    <d v="2025-11-03T18:42:57"/>
    <x v="0"/>
    <m/>
    <n v="6"/>
    <n v="20611018925"/>
    <s v="[{'id_producto': 31411, 'codigo_producto': 2276, 'nom_producto': 'PUNTO DE VENTA', 'categoria_producto': 'service', 'cantidad': '1.0', 'valor_unitario': 25.0, 'precio_unitario': 29.5, 'descuento': 0.0, 'subtotal': 25.0, 'porcentaje_de_igv': '18.00', 'igv': 4.5, 'total': 29.5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6959, 'nom_cuenta_analitica': '7032102 VENTAS SERVICIOS VAOPE', 'distribucion_analitica': []}]"/>
    <d v="2025-10-16T00:00:00"/>
    <m/>
    <m/>
    <m/>
    <m/>
    <m/>
    <n v="31411"/>
    <x v="9"/>
    <x v="9"/>
    <x v="1"/>
    <n v="1"/>
    <n v="25"/>
    <n v="29.5"/>
    <n v="0"/>
    <n v="25"/>
    <n v="18"/>
    <n v="4.5"/>
    <n v="29.5"/>
    <n v="1"/>
    <n v="1"/>
    <x v="0"/>
    <x v="0"/>
    <x v="1"/>
    <s v="SAMUEL CHUQUISTA"/>
    <x v="2"/>
    <s v="7032102 VENTAS SERVICIOS VAOPE"/>
    <x v="6"/>
    <x v="82"/>
    <s v="CorazÃ³n Serrano en Huacho"/>
    <d v="2025-09-25T00:00:00"/>
    <d v="2025-09-25T00:00:00"/>
    <x v="0"/>
    <s v="G &amp; N MUSIC S.A.C."/>
    <s v="Empresa"/>
    <x v="255"/>
  </r>
  <r>
    <x v="0"/>
    <x v="135"/>
    <s v="COLABORATIVA S.A.C."/>
    <x v="10"/>
    <d v="2025-11-03T18:39:41"/>
    <x v="64"/>
    <m/>
    <n v="6"/>
    <n v="10207250991"/>
    <s v="[{'id_producto': 31408, 'codigo_producto': 1786, 'nom_producto': 'COMISION VAOPE SEGUN CONTRATO', 'categoria_producto': 'service', 'cantidad': '1.0', 'valor_unitario': 2054.49, 'precio_unitario': 2424.3, 'descuento': 0.0, 'subtotal': 2054.49, 'porcentaje_de_igv': '18.00', 'igv': 369.81, 'total': 2424.3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408"/>
    <x v="5"/>
    <x v="5"/>
    <x v="1"/>
    <n v="1"/>
    <n v="2054.4899999999998"/>
    <n v="2424.3000000000002"/>
    <n v="0"/>
    <n v="2054.4899999999998"/>
    <n v="18"/>
    <n v="369.81"/>
    <n v="2424.3000000000002"/>
    <n v="1"/>
    <n v="1"/>
    <x v="0"/>
    <x v="0"/>
    <x v="1"/>
    <s v="SAMUEL CHUQUISTA"/>
    <x v="1"/>
    <s v="7032101 VENTAS COMISION VAOPE"/>
    <x v="5"/>
    <x v="83"/>
    <s v="Joelma Isso Ã© Calypso en Iquitos"/>
    <d v="2025-09-28T00:00:00"/>
    <d v="2025-09-28T00:00:00"/>
    <x v="60"/>
    <s v="MARTINEZ GABALDONI GUSTAVO ARISTIDES"/>
    <s v="Empresa"/>
    <x v="256"/>
  </r>
  <r>
    <x v="0"/>
    <x v="144"/>
    <s v="COLABORATIVA S.A.C."/>
    <x v="10"/>
    <d v="2025-11-03T18:33:45"/>
    <x v="64"/>
    <m/>
    <n v="6"/>
    <n v="10207250991"/>
    <s v="[{'id_producto': 31400, 'codigo_producto': 2274, 'nom_producto': 'COMISION CORTESIA ', 'categoria_producto': 'consu', 'cantidad': '1.0', 'valor_unitario': 15.5, 'precio_unitario': 18.29, 'descuento': 0.0, 'subtotal': 15.5, 'porcentaje_de_igv': '18.00', 'igv': 2.79, 'total': 18.29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400"/>
    <x v="2"/>
    <x v="2"/>
    <x v="0"/>
    <n v="1"/>
    <n v="15.5"/>
    <n v="18.29"/>
    <n v="0"/>
    <n v="15.5"/>
    <n v="18"/>
    <n v="2.79"/>
    <n v="18.29"/>
    <n v="1"/>
    <n v="1"/>
    <x v="0"/>
    <x v="0"/>
    <x v="1"/>
    <s v="SAMUEL CHUQUISTA"/>
    <x v="1"/>
    <s v="7032101 VENTAS COMISION VAOPE"/>
    <x v="1"/>
    <x v="83"/>
    <s v="Joelma Isso Ã© Calypso en Iquitos"/>
    <d v="2025-09-28T00:00:00"/>
    <d v="2025-09-28T00:00:00"/>
    <x v="60"/>
    <s v="MARTINEZ GABALDONI GUSTAVO ARISTIDES"/>
    <s v="Empresa"/>
    <x v="257"/>
  </r>
  <r>
    <x v="0"/>
    <x v="145"/>
    <s v="COLABORATIVA S.A.C."/>
    <x v="10"/>
    <d v="2025-11-03T18:33:19"/>
    <x v="64"/>
    <m/>
    <n v="6"/>
    <n v="10207250991"/>
    <s v="[{'id_producto': 31397, 'codigo_producto': 2276, 'nom_producto': 'PUNTO DE VENTA', 'categoria_producto': 'service', 'cantidad': '1.0', 'valor_unitario': 5.0, 'precio_unitario': 5.9, 'descuento': 0.0, 'subtotal': 5.0, 'porcentaje_de_igv': '18.00', 'igv': 0.9, 'total': 5.9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59, 'nom_cuenta_analitica': '7032102 VENTAS SERVICIOS VAOPE', 'distribucion_analitica': []}]"/>
    <d v="2025-10-16T00:00:00"/>
    <m/>
    <m/>
    <m/>
    <m/>
    <m/>
    <n v="31397"/>
    <x v="9"/>
    <x v="9"/>
    <x v="1"/>
    <n v="1"/>
    <n v="5"/>
    <n v="5.9"/>
    <n v="0"/>
    <n v="5"/>
    <n v="18"/>
    <n v="0.9"/>
    <n v="5.9"/>
    <n v="1"/>
    <n v="1"/>
    <x v="0"/>
    <x v="0"/>
    <x v="1"/>
    <s v="SAMUEL CHUQUISTA"/>
    <x v="2"/>
    <s v="7032102 VENTAS SERVICIOS VAOPE"/>
    <x v="6"/>
    <x v="83"/>
    <s v="Joelma Isso Ã© Calypso en Iquitos"/>
    <d v="2025-09-28T00:00:00"/>
    <d v="2025-09-28T00:00:00"/>
    <x v="60"/>
    <s v="MARTINEZ GABALDONI GUSTAVO ARISTIDES"/>
    <s v="Empresa"/>
    <x v="258"/>
  </r>
  <r>
    <x v="0"/>
    <x v="146"/>
    <s v="COLABORATIVA S.A.C."/>
    <x v="10"/>
    <d v="2025-11-03T18:33:00"/>
    <x v="64"/>
    <m/>
    <n v="6"/>
    <n v="10207250991"/>
    <s v="[{'id_producto': 31394, 'codigo_producto': 2315, 'nom_producto': 'PAUTA PUBLICITARIA', 'categoria_producto': 'service', 'cantidad': '1.0', 'valor_unitario': 1271.19, 'precio_unitario': 1500.0, 'descuento': 0.0, 'subtotal': 1271.19, 'porcentaje_de_igv': '18.00', 'igv': 228.81, 'total': 150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59, 'nom_cuenta_analitica': '7032102 VENTAS SERVICIOS VAOPE', 'distribucion_analitica': [[{'codigo': 89, 'nom_distribucion': 'Marketing', 'sub_categoria': 'Pauta', 'porcentaje': '100.00'}]]}]"/>
    <d v="2025-10-16T00:00:00"/>
    <m/>
    <m/>
    <m/>
    <m/>
    <m/>
    <n v="31394"/>
    <x v="3"/>
    <x v="3"/>
    <x v="1"/>
    <n v="1"/>
    <n v="1271.19"/>
    <n v="1500"/>
    <n v="0"/>
    <n v="1271.19"/>
    <n v="18"/>
    <n v="228.81"/>
    <n v="1500"/>
    <n v="1"/>
    <n v="1"/>
    <x v="0"/>
    <x v="0"/>
    <x v="1"/>
    <s v="SAMUEL CHUQUISTA"/>
    <x v="2"/>
    <s v="7032102 VENTAS SERVICIOS VAOPE"/>
    <x v="2"/>
    <x v="83"/>
    <s v="Joelma Isso Ã© Calypso en Iquitos"/>
    <d v="2025-09-28T00:00:00"/>
    <d v="2025-09-28T00:00:00"/>
    <x v="60"/>
    <s v="MARTINEZ GABALDONI GUSTAVO ARISTIDES"/>
    <s v="Empresa"/>
    <x v="259"/>
  </r>
  <r>
    <x v="0"/>
    <x v="147"/>
    <s v="COLABORATIVA S.A.C."/>
    <x v="10"/>
    <d v="2025-11-03T18:32:27"/>
    <x v="64"/>
    <m/>
    <n v="6"/>
    <n v="10207250991"/>
    <s v="[{'id_producto': 31391, 'codigo_producto': 2324, 'nom_producto': 'ENTRADAS IMPRESAS', 'categoria_producto': 'consu', 'cantidad': '1.0', 'valor_unitario': 1500.0, 'precio_unitario': 1770.0, 'descuento': 0.0, 'subtotal': 1500.0, 'porcentaje_de_igv': '18.00', 'igv': 270.0, 'total': 177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391"/>
    <x v="16"/>
    <x v="16"/>
    <x v="0"/>
    <n v="1"/>
    <n v="1500"/>
    <n v="1770"/>
    <n v="0"/>
    <n v="1500"/>
    <n v="18"/>
    <n v="270"/>
    <n v="1770"/>
    <n v="1"/>
    <n v="1"/>
    <x v="0"/>
    <x v="0"/>
    <x v="1"/>
    <s v="SAMUEL CHUQUISTA"/>
    <x v="0"/>
    <s v="7012100 MercaderÃ­as-Venta Local-Terceros"/>
    <x v="3"/>
    <x v="83"/>
    <s v="Joelma Isso Ã© Calypso en Iquitos"/>
    <d v="2025-09-28T00:00:00"/>
    <d v="2025-09-28T00:00:00"/>
    <x v="60"/>
    <s v="MARTINEZ GABALDONI GUSTAVO ARISTIDES"/>
    <s v="Empresa"/>
    <x v="260"/>
  </r>
  <r>
    <x v="0"/>
    <x v="148"/>
    <s v="COLABORATIVA S.A.C."/>
    <x v="10"/>
    <d v="2025-11-03T18:31:59"/>
    <x v="64"/>
    <m/>
    <n v="6"/>
    <n v="10207250991"/>
    <s v="[{'id_producto': 31388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388"/>
    <x v="16"/>
    <x v="16"/>
    <x v="0"/>
    <n v="1"/>
    <n v="1000"/>
    <n v="1180"/>
    <n v="0"/>
    <n v="1000"/>
    <n v="18"/>
    <n v="180"/>
    <n v="1180"/>
    <n v="1"/>
    <n v="1"/>
    <x v="0"/>
    <x v="0"/>
    <x v="1"/>
    <s v="SAMUEL CHUQUISTA"/>
    <x v="0"/>
    <s v="7012100 MercaderÃ­as-Venta Local-Terceros"/>
    <x v="3"/>
    <x v="83"/>
    <s v="Joelma Isso Ã© Calypso en Iquitos"/>
    <d v="2025-09-28T00:00:00"/>
    <d v="2025-09-28T00:00:00"/>
    <x v="60"/>
    <s v="MARTINEZ GABALDONI GUSTAVO ARISTIDES"/>
    <s v="Empresa"/>
    <x v="261"/>
  </r>
  <r>
    <x v="0"/>
    <x v="149"/>
    <s v="COLABORATIVA S.A.C."/>
    <x v="10"/>
    <d v="2025-11-03T18:31:14"/>
    <x v="64"/>
    <m/>
    <n v="6"/>
    <n v="10207250991"/>
    <s v="[{'id_producto': 31385, 'codigo_producto': 1786, 'nom_producto': 'COMISION VAOPE SEGUN CONTRATO', 'categoria_producto': 'service', 'cantidad': '1.0', 'valor_unitario': 3130.76, 'precio_unitario': 3694.3, 'descuento': 0.0, 'subtotal': 3130.76, 'porcentaje_de_igv': '18.00', 'igv': 563.54, 'total': 3694.3, 'moneda': '1', 'tipo_de_cambio': 1.0, 'id_estado': 'paid', 'nombre_estado': 'Paga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85"/>
    <x v="5"/>
    <x v="5"/>
    <x v="1"/>
    <n v="1"/>
    <n v="3130.76"/>
    <n v="3694.3"/>
    <n v="0"/>
    <n v="3130.76"/>
    <n v="18"/>
    <n v="563.54"/>
    <n v="3694.3"/>
    <n v="1"/>
    <n v="1"/>
    <x v="0"/>
    <x v="0"/>
    <x v="1"/>
    <s v="SAMUEL CHUQUISTA"/>
    <x v="1"/>
    <s v="7032101 VENTAS COMISION VAOPE"/>
    <x v="5"/>
    <x v="83"/>
    <s v="Joelma Isso Ã© Calypso en Iquitos"/>
    <d v="2025-09-28T00:00:00"/>
    <d v="2025-09-28T00:00:00"/>
    <x v="60"/>
    <s v="MARTINEZ GABALDONI GUSTAVO ARISTIDES"/>
    <s v="Empresa"/>
    <x v="262"/>
  </r>
  <r>
    <x v="0"/>
    <x v="150"/>
    <s v="COLABORATIVA S.A.C."/>
    <x v="10"/>
    <d v="2025-11-03T18:21:45"/>
    <x v="50"/>
    <m/>
    <n v="6"/>
    <n v="20606672323"/>
    <s v="[{'id_producto': 31382, 'codigo_producto': 2318, 'nom_producto': 'SERV DEVOLUCION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]}]"/>
    <d v="2025-10-16T00:00:00"/>
    <m/>
    <m/>
    <m/>
    <m/>
    <m/>
    <n v="31382"/>
    <x v="8"/>
    <x v="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6"/>
    <x v="60"/>
    <s v="Feliz 43.er Aniversario Colegio HipÃ³lito Unanue en Villa el Salvador"/>
    <d v="2025-10-04T00:00:00"/>
    <d v="2025-10-04T00:00:00"/>
    <x v="48"/>
    <s v="EDUCATENEA S.A.C."/>
    <s v="Empresa"/>
    <x v="263"/>
  </r>
  <r>
    <x v="0"/>
    <x v="151"/>
    <s v="COLABORATIVA S.A.C."/>
    <x v="10"/>
    <d v="2025-11-03T18:13:31"/>
    <x v="50"/>
    <m/>
    <n v="6"/>
    <n v="20606672323"/>
    <s v="[{'id_producto': 31379, 'codigo_producto': 2274, 'nom_producto': 'COMISION CORTESIA ', 'categoria_producto': 'consu', 'cantidad': '1.0', 'valor_unitario': 2.5, 'precio_unitario': 2.95, 'descuento': 0.0, 'subtotal': 2.5, 'porcentaje_de_igv': '18.00', 'igv': 0.45, 'total': 2.95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379"/>
    <x v="2"/>
    <x v="2"/>
    <x v="0"/>
    <n v="1"/>
    <n v="2.5"/>
    <n v="2.95"/>
    <n v="0"/>
    <n v="2.5"/>
    <n v="18"/>
    <n v="0.45"/>
    <n v="2.95"/>
    <n v="1"/>
    <n v="1"/>
    <x v="0"/>
    <x v="0"/>
    <x v="1"/>
    <s v="SAMUEL CHUQUISTA"/>
    <x v="1"/>
    <s v="7032101 VENTAS COMISION VAOPE"/>
    <x v="1"/>
    <x v="60"/>
    <s v="Feliz 43.er Aniversario Colegio HipÃ³lito Unanue en Villa el Salvador"/>
    <d v="2025-10-04T00:00:00"/>
    <d v="2025-10-04T00:00:00"/>
    <x v="48"/>
    <s v="EDUCATENEA S.A.C."/>
    <s v="Empresa"/>
    <x v="264"/>
  </r>
  <r>
    <x v="0"/>
    <x v="154"/>
    <s v="COLABORATIVA S.A.C."/>
    <x v="10"/>
    <d v="2025-11-03T18:12:16"/>
    <x v="50"/>
    <m/>
    <n v="6"/>
    <n v="20606672323"/>
    <s v="[{'id_producto': 31370, 'codigo_producto': 2322, 'nom_producto': 'SUPERVISOR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370"/>
    <x v="18"/>
    <x v="18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5"/>
    <x v="60"/>
    <s v="Feliz 43.er Aniversario Colegio HipÃ³lito Unanue en Villa el Salvador"/>
    <d v="2025-10-04T00:00:00"/>
    <d v="2025-10-04T00:00:00"/>
    <x v="48"/>
    <s v="EDUCATENEA S.A.C."/>
    <s v="Empresa"/>
    <x v="265"/>
  </r>
  <r>
    <x v="0"/>
    <x v="155"/>
    <s v="COLABORATIVA S.A.C."/>
    <x v="10"/>
    <d v="2025-11-03T18:06:11"/>
    <x v="50"/>
    <m/>
    <n v="6"/>
    <n v="20606672323"/>
    <s v="[{'id_producto': 31367, 'codigo_producto': 2314, 'nom_producto': 'SERV VALIDADORES', 'categoria_producto': 'service', 'cantidad': '1.0', 'valor_unitario': 200.0, 'precio_unitario': 236.0, 'descuento': 0.0, 'subtotal': 200.0, 'porcentaje_de_igv': '18.00', 'igv': 36.0, 'total': 236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367"/>
    <x v="10"/>
    <x v="10"/>
    <x v="1"/>
    <n v="1"/>
    <n v="200"/>
    <n v="236"/>
    <n v="0"/>
    <n v="200"/>
    <n v="18"/>
    <n v="36"/>
    <n v="236"/>
    <n v="1"/>
    <n v="1"/>
    <x v="0"/>
    <x v="0"/>
    <x v="1"/>
    <s v="SAMUEL CHUQUISTA"/>
    <x v="2"/>
    <s v="7032102 VENTAS SERVICIOS VAOPE"/>
    <x v="5"/>
    <x v="60"/>
    <s v="Feliz 43.er Aniversario Colegio HipÃ³lito Unanue en Villa el Salvador"/>
    <d v="2025-10-04T00:00:00"/>
    <d v="2025-10-04T00:00:00"/>
    <x v="48"/>
    <s v="EDUCATENEA S.A.C."/>
    <s v="Empresa"/>
    <x v="266"/>
  </r>
  <r>
    <x v="0"/>
    <x v="156"/>
    <s v="COLABORATIVA S.A.C."/>
    <x v="10"/>
    <d v="2025-11-03T18:05:49"/>
    <x v="50"/>
    <m/>
    <n v="6"/>
    <n v="20606672323"/>
    <s v="[{'id_producto': 31364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59, 'nom_cuenta_analitica': '7032102 VENTAS SERVICIOS VAOPE', 'distribucion_analitica': [[{'codigo': 103, 'nom_distribucion': 'Validadores', 'sub_categoria': 'Personal temporal', 'porcentaje': '100.00'}]]}]"/>
    <d v="2025-10-16T00:00:00"/>
    <m/>
    <m/>
    <m/>
    <m/>
    <m/>
    <n v="31364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2"/>
    <s v="7032102 VENTAS SERVICIOS VAOPE"/>
    <x v="5"/>
    <x v="60"/>
    <s v="Feliz 43.er Aniversario Colegio HipÃ³lito Unanue en Villa el Salvador"/>
    <d v="2025-10-04T00:00:00"/>
    <d v="2025-10-04T00:00:00"/>
    <x v="48"/>
    <s v="EDUCATENEA S.A.C."/>
    <s v="Empresa"/>
    <x v="267"/>
  </r>
  <r>
    <x v="0"/>
    <x v="157"/>
    <s v="COLABORATIVA S.A.C."/>
    <x v="10"/>
    <d v="2025-11-03T18:04:58"/>
    <x v="50"/>
    <m/>
    <n v="6"/>
    <n v="20606672323"/>
    <s v="[{'id_producto': 31361, 'codigo_producto': 1786, 'nom_producto': 'COMISION VAOPE SEGUN CONTRATO', 'categoria_producto': 'service', 'cantidad': '1.0', 'valor_unitario': 7812.63, 'precio_unitario': 9218.9, 'descuento': 0.0, 'subtotal': 7812.63, 'porcentaje_de_igv': '18.00', 'igv': 1406.27, 'total': 9218.9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61"/>
    <x v="5"/>
    <x v="5"/>
    <x v="1"/>
    <n v="1"/>
    <n v="7812.63"/>
    <n v="9218.9"/>
    <n v="0"/>
    <n v="7812.63"/>
    <n v="18"/>
    <n v="1406.27"/>
    <n v="9218.9"/>
    <n v="1"/>
    <n v="1"/>
    <x v="0"/>
    <x v="0"/>
    <x v="1"/>
    <s v="SAMUEL CHUQUISTA"/>
    <x v="1"/>
    <s v="7032101 VENTAS COMISION VAOPE"/>
    <x v="5"/>
    <x v="60"/>
    <s v="Feliz 43.er Aniversario Colegio HipÃ³lito Unanue en Villa el Salvador"/>
    <d v="2025-10-04T00:00:00"/>
    <d v="2025-10-04T00:00:00"/>
    <x v="48"/>
    <s v="EDUCATENEA S.A.C."/>
    <s v="Empresa"/>
    <x v="268"/>
  </r>
  <r>
    <x v="0"/>
    <x v="158"/>
    <s v="COLABORATIVA S.A.C."/>
    <x v="10"/>
    <d v="2025-11-03T18:04:35"/>
    <x v="50"/>
    <m/>
    <n v="6"/>
    <n v="20606672323"/>
    <s v="[{'id_producto': 31358, 'codigo_producto': 216, 'nom_producto': 'COMISION PAGOS DIGITALES SEGUN CONTRATO', 'categoria_producto': 'service', 'cantidad': '1.0', 'valor_unitario': 6786.37, 'precio_unitario': 8007.92, 'descuento': 0.0, 'subtotal': 6786.37, 'porcentaje_de_igv': '18.00', 'igv': 1221.55, 'total': 8007.92, 'moneda': '1', 'tipo_de_cambio': 1.0, 'id_estado': 'paid', 'nombre_estado': 'Pagado', 'evento': {'id_evento': '3035', 'nom_evento': 'Feliz 43.er Aniversario Colegio HipÃ³lito Unanue en Villa el Salvador', 'fecha_hora_ini_event': '04-10-2025', 'fecha_hora_fin_event': '04-10-2025', 'id_organizador': 5606, 'nom_organizador': 'EDUCATENEA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58"/>
    <x v="6"/>
    <x v="6"/>
    <x v="1"/>
    <n v="1"/>
    <n v="6786.37"/>
    <n v="8007.92"/>
    <n v="0"/>
    <n v="6786.37"/>
    <n v="18"/>
    <n v="1221.55"/>
    <n v="8007.92"/>
    <n v="1"/>
    <n v="1"/>
    <x v="0"/>
    <x v="0"/>
    <x v="1"/>
    <s v="SAMUEL CHUQUISTA"/>
    <x v="3"/>
    <s v="7032100 Servicios-Local- VISA"/>
    <x v="1"/>
    <x v="60"/>
    <s v="Feliz 43.er Aniversario Colegio HipÃ³lito Unanue en Villa el Salvador"/>
    <d v="2025-10-04T00:00:00"/>
    <d v="2025-10-04T00:00:00"/>
    <x v="48"/>
    <s v="EDUCATENEA S.A.C."/>
    <s v="Empresa"/>
    <x v="269"/>
  </r>
  <r>
    <x v="1"/>
    <x v="181"/>
    <s v="COLABORATIVA S.A.C."/>
    <x v="10"/>
    <d v="2025-11-03T17:58:37"/>
    <x v="9"/>
    <m/>
    <n v="1"/>
    <n v="48505208"/>
    <s v="[{'id_producto': 31352, 'codigo_producto': 1786, 'nom_producto': 'COMISION VAOPE SEGUN CONTRATO', 'categoria_producto': 'service', 'cantidad': '1.0', 'valor_unitario': 7.46, 'precio_unitario': 8.8, 'descuento': 0.0, 'subtotal': 7.46, 'porcentaje_de_igv': '18.00', 'igv': 1.34, 'total': 8.8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52"/>
    <x v="5"/>
    <x v="5"/>
    <x v="1"/>
    <n v="1"/>
    <n v="7.46"/>
    <n v="8.8000000000000007"/>
    <n v="0"/>
    <n v="7.46"/>
    <n v="18"/>
    <n v="1.34"/>
    <n v="8.8000000000000007"/>
    <n v="1"/>
    <n v="1"/>
    <x v="0"/>
    <x v="0"/>
    <x v="1"/>
    <s v="SAMUEL CHUQUISTA"/>
    <x v="1"/>
    <s v="7032101 VENTAS COMISION VAOPE"/>
    <x v="5"/>
    <x v="64"/>
    <s v="Tributo Oficial a Pxndx en Arequipa"/>
    <d v="2025-09-26T00:00:00"/>
    <d v="2025-09-26T00:00:00"/>
    <x v="9"/>
    <s v="JEAN CARLOS HUARACA HUARANGA"/>
    <s v="Persona"/>
    <x v="270"/>
  </r>
  <r>
    <x v="1"/>
    <x v="182"/>
    <s v="COLABORATIVA S.A.C."/>
    <x v="10"/>
    <d v="2025-11-03T17:58:08"/>
    <x v="9"/>
    <m/>
    <n v="1"/>
    <n v="48505208"/>
    <s v="[{'id_producto': 31349, 'codigo_producto': 216, 'nom_producto': 'COMISION PAGOS DIGITALES SEGUN CONTRATO', 'categoria_producto': 'service', 'cantidad': '1.0', 'valor_unitario': 55.08, 'precio_unitario': 64.99, 'descuento': 0.0, 'subtotal': 55.08, 'porcentaje_de_igv': '18.00', 'igv': 9.91, 'total': 64.99, 'moneda': '1', 'tipo_de_cambio': 1.0, 'id_estado': 'paid', 'nombre_estado': 'Pagado', 'evento': {'id_evento': '3070', 'nom_evento': 'Tributo Oficial a Pxndx en Arequipa', 'fecha_hora_ini_event': '26-09-2025', 'fecha_hora_fin_event': '26-09-2025', 'id_organizador': 5080, 'nom_organizador': 'JEAN CARLOS HUARACA HUARANGA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49"/>
    <x v="6"/>
    <x v="6"/>
    <x v="1"/>
    <n v="1"/>
    <n v="55.08"/>
    <n v="64.989999999999995"/>
    <n v="0"/>
    <n v="55.08"/>
    <n v="18"/>
    <n v="9.91"/>
    <n v="64.989999999999995"/>
    <n v="1"/>
    <n v="1"/>
    <x v="0"/>
    <x v="0"/>
    <x v="1"/>
    <s v="SAMUEL CHUQUISTA"/>
    <x v="3"/>
    <s v="7032100 Servicios-Local- VISA"/>
    <x v="1"/>
    <x v="64"/>
    <s v="Tributo Oficial a Pxndx en Arequipa"/>
    <d v="2025-09-26T00:00:00"/>
    <d v="2025-09-26T00:00:00"/>
    <x v="9"/>
    <s v="JEAN CARLOS HUARACA HUARANGA"/>
    <s v="Persona"/>
    <x v="271"/>
  </r>
  <r>
    <x v="1"/>
    <x v="183"/>
    <s v="COLABORATIVA S.A.C."/>
    <x v="10"/>
    <d v="2025-11-03T17:53:28"/>
    <x v="65"/>
    <m/>
    <n v="1"/>
    <n v="40632612"/>
    <s v="[{'id_producto': 31346, 'codigo_producto': 2342, 'nom_producto': 'SERVICIO DE DISENO ', 'categoria_producto': 'service', 'cantidad': '1.0', 'valor_unitario': 50.0, 'precio_unitario': 59.0, 'descuento': 0.0, 'subtotal': 50.0, 'porcentaje_de_igv': '18.00', 'igv': 9.0, 'total': 59.0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59, 'nom_cuenta_analitica': '7032102 VENTAS SERVICIOS VAOPE', 'distribucion_analitica': []}]"/>
    <d v="2025-10-16T00:00:00"/>
    <m/>
    <m/>
    <m/>
    <m/>
    <m/>
    <n v="31346"/>
    <x v="12"/>
    <x v="12"/>
    <x v="1"/>
    <n v="1"/>
    <n v="50"/>
    <n v="59"/>
    <n v="0"/>
    <n v="50"/>
    <n v="18"/>
    <n v="9"/>
    <n v="59"/>
    <n v="1"/>
    <n v="1"/>
    <x v="0"/>
    <x v="0"/>
    <x v="1"/>
    <s v="SAMUEL CHUQUISTA"/>
    <x v="2"/>
    <s v="7032102 VENTAS SERVICIOS VAOPE"/>
    <x v="6"/>
    <x v="84"/>
    <s v="El Gran Retorno de los Reyes de la Cumbia RomÃ¡ntica SureÃ±a en el Complejo Santa Rosa"/>
    <d v="2025-10-04T00:00:00"/>
    <d v="2025-10-04T00:00:00"/>
    <x v="61"/>
    <s v="YOLANDA FLORINDA MANCHA DE LA CRUZ"/>
    <s v="Persona"/>
    <x v="272"/>
  </r>
  <r>
    <x v="0"/>
    <x v="159"/>
    <s v="COLABORATIVA S.A.C."/>
    <x v="10"/>
    <d v="2025-11-03T17:50:21"/>
    <x v="66"/>
    <m/>
    <n v="6"/>
    <n v="20613927221"/>
    <s v="[{'id_producto': 31343, 'codigo_producto': 1786, 'nom_producto': 'COMISION VAOPE SEGUN CONTRATO', 'categoria_producto': 'service', 'cantidad': '1.0', 'valor_unitario': 392.03, 'precio_unitario': 462.6, 'descuento': 0.0, 'subtotal': 392.03, 'porcentaje_de_igv': '18.00', 'igv': 70.57, 'total': 462.6, 'moneda': '1', 'tipo_de_cambio': 1.0, 'id_estado': 'paid', 'nombre_estado': 'Pagado', 'evento': {'id_evento': '2616', 'nom_evento': '1er Cumbia Fest con ArmonÃ­a 10, Pamela Franco, Mauricio Mesones y mÃ¡s en Trujillo', 'fecha_hora_ini_event': '28-09-2025', 'fecha_hora_fin_event': '28-09-2025', 'id_organizador': 5539, 'nom_organizador': 'SONIC ENTERTAINMENT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43"/>
    <x v="5"/>
    <x v="5"/>
    <x v="1"/>
    <n v="1"/>
    <n v="392.03"/>
    <n v="462.6"/>
    <n v="0"/>
    <n v="392.03"/>
    <n v="18"/>
    <n v="70.569999999999993"/>
    <n v="462.6"/>
    <n v="1"/>
    <n v="1"/>
    <x v="0"/>
    <x v="0"/>
    <x v="1"/>
    <s v="SAMUEL CHUQUISTA"/>
    <x v="1"/>
    <s v="7032101 VENTAS COMISION VAOPE"/>
    <x v="5"/>
    <x v="85"/>
    <s v="1er Cumbia Fest con ArmonÃ­a 10, Pamela Franco, Mauricio Mesones y mÃ¡s en Trujillo"/>
    <d v="2025-09-28T00:00:00"/>
    <d v="2025-09-28T00:00:00"/>
    <x v="62"/>
    <s v="SONIC ENTERTAINMENT S.A.C."/>
    <s v="Empresa"/>
    <x v="273"/>
  </r>
  <r>
    <x v="0"/>
    <x v="160"/>
    <s v="COLABORATIVA S.A.C."/>
    <x v="10"/>
    <d v="2025-11-03T17:50:00"/>
    <x v="66"/>
    <m/>
    <n v="6"/>
    <n v="20613927221"/>
    <s v="[{'id_producto': 31340, 'codigo_producto': 216, 'nom_producto': 'COMISION PAGOS DIGITALES SEGUN CONTRATO', 'categoria_producto': 'service', 'cantidad': '1.0', 'valor_unitario': 306.9, 'precio_unitario': 362.14, 'descuento': 0.0, 'subtotal': 306.9, 'porcentaje_de_igv': '18.00', 'igv': 55.24, 'total': 362.14, 'moneda': '1', 'tipo_de_cambio': 1.0, 'id_estado': 'paid', 'nombre_estado': 'Pagado', 'evento': {'id_evento': '2616', 'nom_evento': '1er Cumbia Fest con ArmonÃ­a 10, Pamela Franco, Mauricio Mesones y mÃ¡s en Trujillo', 'fecha_hora_ini_event': '28-09-2025', 'fecha_hora_fin_event': '28-09-2025', 'id_organizador': 5539, 'nom_organizador': 'SONIC ENTERTAINMENT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40"/>
    <x v="6"/>
    <x v="6"/>
    <x v="1"/>
    <n v="1"/>
    <n v="306.89999999999998"/>
    <n v="362.14"/>
    <n v="0"/>
    <n v="306.89999999999998"/>
    <n v="18"/>
    <n v="55.24"/>
    <n v="362.14"/>
    <n v="1"/>
    <n v="1"/>
    <x v="0"/>
    <x v="0"/>
    <x v="1"/>
    <s v="SAMUEL CHUQUISTA"/>
    <x v="3"/>
    <s v="7032100 Servicios-Local- VISA"/>
    <x v="1"/>
    <x v="85"/>
    <s v="1er Cumbia Fest con ArmonÃ­a 10, Pamela Franco, Mauricio Mesones y mÃ¡s en Trujillo"/>
    <d v="2025-09-28T00:00:00"/>
    <d v="2025-09-28T00:00:00"/>
    <x v="62"/>
    <s v="SONIC ENTERTAINMENT S.A.C."/>
    <s v="Empresa"/>
    <x v="274"/>
  </r>
  <r>
    <x v="0"/>
    <x v="161"/>
    <s v="COLABORATIVA S.A.C."/>
    <x v="10"/>
    <d v="2025-11-03T17:43:12"/>
    <x v="67"/>
    <s v="Cliente"/>
    <n v="6"/>
    <n v="20608361074"/>
    <s v="[{'id_producto': 31337, 'codigo_producto': 2274, 'nom_producto': 'COMISION CORTESIA ', 'categoria_producto': 'consu', 'cantidad': '1.0', 'valor_unitario': 22.5, 'precio_unitario': 26.55, 'descuento': 0.0, 'subtotal': 22.5, 'porcentaje_de_igv': '18.00', 'igv': 4.05, 'total': 26.55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7, 'nom_cuenta_analitica': '7032101 VENTAS COMISION VAOPE', 'distribucion_analitica': [[{'codigo': 149, 'nom_distribucion': 'Venta', 'sub_categoria': 'ComisiÃ³n Pagos digitales', 'porcentaje': '100.00'}]]}]"/>
    <d v="2025-10-16T00:00:00"/>
    <m/>
    <m/>
    <m/>
    <m/>
    <m/>
    <n v="31337"/>
    <x v="2"/>
    <x v="2"/>
    <x v="0"/>
    <n v="1"/>
    <n v="22.5"/>
    <n v="26.55"/>
    <n v="0"/>
    <n v="22.5"/>
    <n v="18"/>
    <n v="4.05"/>
    <n v="26.55"/>
    <n v="1"/>
    <n v="1"/>
    <x v="0"/>
    <x v="0"/>
    <x v="1"/>
    <s v="SAMUEL CHUQUISTA"/>
    <x v="1"/>
    <s v="7032101 VENTAS COMISION VAOPE"/>
    <x v="1"/>
    <x v="86"/>
    <s v="Agua Marina en La Merced"/>
    <d v="2025-10-05T00:00:00"/>
    <d v="2025-10-05T00:00:00"/>
    <x v="63"/>
    <s v="JP Producciones Generales EIRL"/>
    <s v="Empresa"/>
    <x v="275"/>
  </r>
  <r>
    <x v="0"/>
    <x v="162"/>
    <s v="COLABORATIVA S.A.C."/>
    <x v="10"/>
    <d v="2025-11-03T17:40:28"/>
    <x v="67"/>
    <s v="Cliente"/>
    <n v="6"/>
    <n v="20608361074"/>
    <s v="[{'id_producto': 31334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48, 'nom_distribucion': 'Impresos', 'sub_categoria': 'Suministros Venta', 'porcentaje': '100.00'}]]}]"/>
    <d v="2025-10-16T00:00:00"/>
    <m/>
    <m/>
    <m/>
    <m/>
    <m/>
    <n v="31334"/>
    <x v="16"/>
    <x v="16"/>
    <x v="0"/>
    <n v="1"/>
    <n v="1400"/>
    <n v="1652"/>
    <n v="0"/>
    <n v="1400"/>
    <n v="18"/>
    <n v="252"/>
    <n v="1652"/>
    <n v="1"/>
    <n v="1"/>
    <x v="0"/>
    <x v="0"/>
    <x v="1"/>
    <s v="SAMUEL CHUQUISTA"/>
    <x v="0"/>
    <s v="7012100 MercaderÃ­as-Venta Local-Terceros"/>
    <x v="3"/>
    <x v="86"/>
    <s v="Agua Marina en La Merced"/>
    <d v="2025-10-05T00:00:00"/>
    <d v="2025-10-05T00:00:00"/>
    <x v="63"/>
    <s v="JP Producciones Generales EIRL"/>
    <s v="Empresa"/>
    <x v="276"/>
  </r>
  <r>
    <x v="1"/>
    <x v="184"/>
    <s v="COLABORATIVA S.A.C."/>
    <x v="10"/>
    <d v="2025-11-03T17:18:43"/>
    <x v="68"/>
    <m/>
    <n v="1"/>
    <n v="70440013"/>
    <s v="[{'id_producto': 31331, 'codigo_producto': 1786, 'nom_producto': 'COMISION VAOPE SEGUN CONTRATO', 'categoria_producto': 'service', 'cantidad': '1.0', 'valor_unitario': 84.24, 'precio_unitario': 99.4, 'descuento': 0.0, 'subtotal': 84.24, 'porcentaje_de_igv': '18.00', 'igv': 15.16, 'total': 99.4, 'moneda': '1', 'tipo_de_cambio': 1.0, 'id_estado': 'paid', 'nombre_estado': 'Pagado', 'evento': {'id_evento': '3015', 'nom_evento': 'Punito Fest Rumbo a la Candelaria 2026 en Lima', 'fecha_hora_ini_event': '04-10-2025', 'fecha_hora_fin_event': '04-10-2025', 'id_organizador': 5600, 'nom_organizador': 'MICHAEL STEVEN WHARTON ALBERTO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31"/>
    <x v="5"/>
    <x v="5"/>
    <x v="1"/>
    <n v="1"/>
    <n v="84.24"/>
    <n v="99.4"/>
    <n v="0"/>
    <n v="84.24"/>
    <n v="18"/>
    <n v="15.16"/>
    <n v="99.4"/>
    <n v="1"/>
    <n v="1"/>
    <x v="0"/>
    <x v="0"/>
    <x v="1"/>
    <s v="SAMUEL CHUQUISTA"/>
    <x v="1"/>
    <s v="7032101 VENTAS COMISION VAOPE"/>
    <x v="5"/>
    <x v="87"/>
    <s v="Punito Fest Rumbo a la Candelaria 2026 en Lima"/>
    <d v="2025-10-04T00:00:00"/>
    <d v="2025-10-04T00:00:00"/>
    <x v="64"/>
    <s v="MICHAEL STEVEN WHARTON ALBERTO"/>
    <s v="Persona"/>
    <x v="277"/>
  </r>
  <r>
    <x v="1"/>
    <x v="185"/>
    <s v="COLABORATIVA S.A.C."/>
    <x v="10"/>
    <d v="2025-11-03T17:14:57"/>
    <x v="68"/>
    <m/>
    <n v="1"/>
    <n v="70440013"/>
    <s v="[{'id_producto': 31328, 'codigo_producto': 216, 'nom_producto': 'COMISION PAGOS DIGITALES SEGUN CONTRATO', 'categoria_producto': 'service', 'cantidad': '1.0', 'valor_unitario': 76.19, 'precio_unitario': 89.9, 'descuento': 0.0, 'subtotal': 76.19, 'porcentaje_de_igv': '18.00', 'igv': 13.71, 'total': 89.9, 'moneda': '1', 'tipo_de_cambio': 1.0, 'id_estado': 'paid', 'nombre_estado': 'Pagado', 'evento': {'id_evento': '3015', 'nom_evento': 'Punito Fest Rumbo a la Candelaria 2026 en Lima', 'fecha_hora_ini_event': '04-10-2025', 'fecha_hora_fin_event': '04-10-2025', 'id_organizador': 5600, 'nom_organizador': 'MICHAEL STEVEN WHARTON ALBERTO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28"/>
    <x v="6"/>
    <x v="6"/>
    <x v="1"/>
    <n v="1"/>
    <n v="76.19"/>
    <n v="89.9"/>
    <n v="0"/>
    <n v="76.19"/>
    <n v="18"/>
    <n v="13.71"/>
    <n v="89.9"/>
    <n v="1"/>
    <n v="1"/>
    <x v="0"/>
    <x v="0"/>
    <x v="1"/>
    <s v="SAMUEL CHUQUISTA"/>
    <x v="3"/>
    <s v="7032100 Servicios-Local- VISA"/>
    <x v="1"/>
    <x v="87"/>
    <s v="Punito Fest Rumbo a la Candelaria 2026 en Lima"/>
    <d v="2025-10-04T00:00:00"/>
    <d v="2025-10-04T00:00:00"/>
    <x v="64"/>
    <s v="MICHAEL STEVEN WHARTON ALBERTO"/>
    <s v="Persona"/>
    <x v="278"/>
  </r>
  <r>
    <x v="0"/>
    <x v="163"/>
    <s v="COLABORATIVA S.A.C."/>
    <x v="10"/>
    <d v="2025-11-03T17:11:32"/>
    <x v="69"/>
    <m/>
    <n v="6"/>
    <n v="10749980163"/>
    <s v="[{'id_producto': 31325, 'codigo_producto': 1786, 'nom_producto': 'COMISION VAOPE SEGUN CONTRATO', 'categoria_producto': 'service', 'cantidad': '1.0', 'valor_unitario': 63.39, 'precio_unitario': 74.8, 'descuento': 0.0, 'subtotal': 63.39, 'porcentaje_de_igv': '18.00', 'igv': 11.41, 'total': 74.8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25"/>
    <x v="5"/>
    <x v="5"/>
    <x v="1"/>
    <n v="1"/>
    <n v="63.39"/>
    <n v="74.8"/>
    <n v="0"/>
    <n v="63.39"/>
    <n v="18"/>
    <n v="11.41"/>
    <n v="74.8"/>
    <n v="1"/>
    <n v="1"/>
    <x v="0"/>
    <x v="0"/>
    <x v="1"/>
    <s v="SAMUEL CHUQUISTA"/>
    <x v="1"/>
    <s v="7032101 VENTAS COMISION VAOPE"/>
    <x v="5"/>
    <x v="65"/>
    <s v="Feliz Aniversario Barranca con Yarita Lizeth, Noemi Huaman, Miguel Salas y mÃ¡s"/>
    <d v="2025-10-05T00:00:00"/>
    <d v="2025-10-05T00:00:00"/>
    <x v="49"/>
    <s v="DOROTEO VELASQUEZ JAHN PAVEL FERNANDO"/>
    <s v="Empresa"/>
    <x v="279"/>
  </r>
  <r>
    <x v="0"/>
    <x v="164"/>
    <s v="COLABORATIVA S.A.C."/>
    <x v="10"/>
    <d v="2025-11-03T17:11:08"/>
    <x v="69"/>
    <m/>
    <n v="6"/>
    <n v="10749980163"/>
    <s v="[{'id_producto': 31322, 'codigo_producto': 216, 'nom_producto': 'COMISION PAGOS DIGITALES SEGUN CONTRATO', 'categoria_producto': 'service', 'cantidad': '1.0', 'valor_unitario': 51.86, 'precio_unitario': 61.19, 'descuento': 0.0, 'subtotal': 51.86, 'porcentaje_de_igv': '18.00', 'igv': 9.33, 'total': 61.19, 'moneda': '1', 'tipo_de_cambio': 1.0, 'id_estado': 'paid', 'nombre_estado': 'Pagado', 'evento': {'id_evento': '3165', 'nom_evento': 'Feliz Aniversario Barranca con Yarita Lizeth, Noemi Huaman, Miguel Salas y mÃ¡s', 'fecha_hora_ini_event': '05-10-2025', 'fecha_hora_fin_event': '05-10-2025', 'id_organizador': 5445, 'nom_organizador': 'DOROTEO VELASQUEZ JAHN PAVEL FERNAN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22"/>
    <x v="6"/>
    <x v="6"/>
    <x v="1"/>
    <n v="1"/>
    <n v="51.86"/>
    <n v="61.19"/>
    <n v="0"/>
    <n v="51.86"/>
    <n v="18"/>
    <n v="9.33"/>
    <n v="61.19"/>
    <n v="1"/>
    <n v="1"/>
    <x v="0"/>
    <x v="0"/>
    <x v="1"/>
    <s v="SAMUEL CHUQUISTA"/>
    <x v="3"/>
    <s v="7032100 Servicios-Local- VISA"/>
    <x v="1"/>
    <x v="65"/>
    <s v="Feliz Aniversario Barranca con Yarita Lizeth, Noemi Huaman, Miguel Salas y mÃ¡s"/>
    <d v="2025-10-05T00:00:00"/>
    <d v="2025-10-05T00:00:00"/>
    <x v="49"/>
    <s v="DOROTEO VELASQUEZ JAHN PAVEL FERNANDO"/>
    <s v="Empresa"/>
    <x v="280"/>
  </r>
  <r>
    <x v="0"/>
    <x v="165"/>
    <s v="COLABORATIVA S.A.C."/>
    <x v="10"/>
    <d v="2025-11-03T17:07:34"/>
    <x v="70"/>
    <m/>
    <n v="6"/>
    <n v="10485350107"/>
    <s v="[{'id_producto': 31319, 'codigo_producto': 1786, 'nom_producto': 'COMISION VAOPE SEGUN CONTRATO', 'categoria_producto': 'service', 'cantidad': '1.0', 'valor_unitario': 65.08, 'precio_unitario': 76.79, 'descuento': 0.0, 'subtotal': 65.08, 'porcentaje_de_igv': '18.00', 'igv': 11.71, 'total': 76.79, 'moneda': '1', 'tipo_de_cambio': 1.0, 'id_estado': 'paid', 'nombre_estado': 'Pagado', 'evento': {'id_evento': '3156', 'nom_evento': 'Tour Palomita en Chiclayo', 'fecha_hora_ini_event': '05-10-2025', 'fecha_hora_fin_event': '05-10-2025', 'id_organizador': 5974, 'nom_organizador': &quot;PISFIL PINZON ARNOLD'S JOSE LUIS&quot;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19"/>
    <x v="5"/>
    <x v="5"/>
    <x v="1"/>
    <n v="1"/>
    <n v="65.08"/>
    <n v="76.790000000000006"/>
    <n v="0"/>
    <n v="65.08"/>
    <n v="18"/>
    <n v="11.71"/>
    <n v="76.790000000000006"/>
    <n v="1"/>
    <n v="1"/>
    <x v="0"/>
    <x v="0"/>
    <x v="1"/>
    <s v="SAMUEL CHUQUISTA"/>
    <x v="1"/>
    <s v="7032101 VENTAS COMISION VAOPE"/>
    <x v="5"/>
    <x v="88"/>
    <s v="Tour Palomita en Chiclayo"/>
    <d v="2025-10-05T00:00:00"/>
    <d v="2025-10-05T00:00:00"/>
    <x v="65"/>
    <s v="PISFIL PINZON ARNOLD'S JOSE LUIS"/>
    <s v="Empresa"/>
    <x v="281"/>
  </r>
  <r>
    <x v="0"/>
    <x v="166"/>
    <s v="COLABORATIVA S.A.C."/>
    <x v="10"/>
    <d v="2025-11-03T17:07:07"/>
    <x v="70"/>
    <m/>
    <n v="6"/>
    <n v="10485350107"/>
    <s v="[{'id_producto': 31316, 'codigo_producto': 216, 'nom_producto': 'COMISION PAGOS DIGITALES SEGUN CONTRATO', 'categoria_producto': 'service', 'cantidad': '1.0', 'valor_unitario': 61.02, 'precio_unitario': 72.0, 'descuento': 0.0, 'subtotal': 61.02, 'porcentaje_de_igv': '18.00', 'igv': 10.98, 'total': 72.0, 'moneda': '1', 'tipo_de_cambio': 1.0, 'id_estado': 'paid', 'nombre_estado': 'Pagado', 'evento': {'id_evento': '3156', 'nom_evento': 'Tour Palomita en Chiclayo', 'fecha_hora_ini_event': '05-10-2025', 'fecha_hora_fin_event': '05-10-2025', 'id_organizador': 5974, 'nom_organizador': &quot;PISFIL PINZON ARNOLD'S JOSE LUIS&quot;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16"/>
    <x v="6"/>
    <x v="6"/>
    <x v="1"/>
    <n v="1"/>
    <n v="61.02"/>
    <n v="72"/>
    <n v="0"/>
    <n v="61.02"/>
    <n v="18"/>
    <n v="10.98"/>
    <n v="72"/>
    <n v="1"/>
    <n v="1"/>
    <x v="0"/>
    <x v="0"/>
    <x v="1"/>
    <s v="SAMUEL CHUQUISTA"/>
    <x v="3"/>
    <s v="7032100 Servicios-Local- VISA"/>
    <x v="1"/>
    <x v="88"/>
    <s v="Tour Palomita en Chiclayo"/>
    <d v="2025-10-05T00:00:00"/>
    <d v="2025-10-05T00:00:00"/>
    <x v="65"/>
    <s v="PISFIL PINZON ARNOLD'S JOSE LUIS"/>
    <s v="Empresa"/>
    <x v="282"/>
  </r>
  <r>
    <x v="0"/>
    <x v="167"/>
    <s v="COLABORATIVA S.A.C."/>
    <x v="10"/>
    <d v="2025-11-03T17:00:59"/>
    <x v="67"/>
    <s v="Cliente"/>
    <n v="6"/>
    <n v="20608361074"/>
    <s v="[{'id_producto': 31313, 'codigo_producto': 1786, 'nom_producto': 'COMISION VAOPE SEGUN CONTRATO', 'categoria_producto': 'service', 'cantidad': '1.0', 'valor_unitario': 1866.36, 'precio_unitario': 2202.3, 'descuento': 0.0, 'subtotal': 1866.36, 'porcentaje_de_igv': '18.00', 'igv': 335.94, 'total': 2202.3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13"/>
    <x v="5"/>
    <x v="5"/>
    <x v="1"/>
    <n v="1"/>
    <n v="1866.36"/>
    <n v="2202.3000000000002"/>
    <n v="0"/>
    <n v="1866.36"/>
    <n v="18"/>
    <n v="335.94"/>
    <n v="2202.3000000000002"/>
    <n v="1"/>
    <n v="1"/>
    <x v="0"/>
    <x v="0"/>
    <x v="1"/>
    <s v="SAMUEL CHUQUISTA"/>
    <x v="1"/>
    <s v="7032101 VENTAS COMISION VAOPE"/>
    <x v="5"/>
    <x v="86"/>
    <s v="Agua Marina en La Merced"/>
    <d v="2025-10-05T00:00:00"/>
    <d v="2025-10-05T00:00:00"/>
    <x v="63"/>
    <s v="JP Producciones Generales EIRL"/>
    <s v="Empresa"/>
    <x v="283"/>
  </r>
  <r>
    <x v="0"/>
    <x v="168"/>
    <s v="COLABORATIVA S.A.C."/>
    <x v="10"/>
    <d v="2025-11-03T17:00:37"/>
    <x v="67"/>
    <s v="Cliente"/>
    <n v="6"/>
    <n v="20608361074"/>
    <s v="[{'id_producto': 31310, 'codigo_producto': 216, 'nom_producto': 'COMISION PAGOS DIGITALES SEGUN CONTRATO', 'categoria_producto': 'service', 'cantidad': '1.0', 'valor_unitario': 789.66, 'precio_unitario': 931.8, 'descuento': 0.0, 'subtotal': 789.66, 'porcentaje_de_igv': '18.00', 'igv': 142.14, 'total': 931.8, 'moneda': '1', 'tipo_de_cambio': 1.0, 'id_estado': 'paid', 'nombre_estado': 'Pagado', 'evento': {'id_evento': '3050', 'nom_evento': 'Agua Marina en La Merced', 'fecha_hora_ini_event': '05-10-2025', 'fecha_hora_fin_event': '05-10-2025', 'id_organizador': 397, 'nom_organizador': 'JP Producciones Generales EIRL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10"/>
    <x v="6"/>
    <x v="6"/>
    <x v="1"/>
    <n v="1"/>
    <n v="789.66"/>
    <n v="931.8"/>
    <n v="0"/>
    <n v="789.66"/>
    <n v="18"/>
    <n v="142.13999999999999"/>
    <n v="931.8"/>
    <n v="1"/>
    <n v="1"/>
    <x v="0"/>
    <x v="0"/>
    <x v="1"/>
    <s v="SAMUEL CHUQUISTA"/>
    <x v="3"/>
    <s v="7032100 Servicios-Local- VISA"/>
    <x v="1"/>
    <x v="86"/>
    <s v="Agua Marina en La Merced"/>
    <d v="2025-10-05T00:00:00"/>
    <d v="2025-10-05T00:00:00"/>
    <x v="63"/>
    <s v="JP Producciones Generales EIRL"/>
    <s v="Empresa"/>
    <x v="284"/>
  </r>
  <r>
    <x v="0"/>
    <x v="169"/>
    <s v="COLABORATIVA S.A.C."/>
    <x v="10"/>
    <d v="2025-11-03T16:57:42"/>
    <x v="69"/>
    <m/>
    <n v="6"/>
    <n v="10749980163"/>
    <s v="[{'id_producto': 31307, 'codigo_producto': 1786, 'nom_producto': 'COMISION VAOPE SEGUN CONTRATO', 'categoria_producto': 'service', 'cantidad': '1.0', 'valor_unitario': 206.95, 'precio_unitario': 244.2, 'descuento': 0.0, 'subtotal': 206.95, 'porcentaje_de_igv': '18.00', 'igv': 37.25, 'total': 244.2, 'moneda': '1', 'tipo_de_cambio': 1.0, 'id_estado': 'paid', 'nombre_estado': 'Pagado', 'evento': {'id_evento': '3162', 'nom_evento': 'Yarita Lizeth, Noemi Huaman y mÃ¡s en Huaral', 'fecha_hora_ini_event': '04-10-2025', 'fecha_hora_fin_event': '04-10-2025', 'id_organizador': 5445, 'nom_organizador': 'DOROTEO VELASQUEZ JAHN PAVEL FERNANDO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07"/>
    <x v="5"/>
    <x v="5"/>
    <x v="1"/>
    <n v="1"/>
    <n v="206.95"/>
    <n v="244.2"/>
    <n v="0"/>
    <n v="206.95"/>
    <n v="18"/>
    <n v="37.25"/>
    <n v="244.2"/>
    <n v="1"/>
    <n v="1"/>
    <x v="0"/>
    <x v="0"/>
    <x v="1"/>
    <s v="SAMUEL CHUQUISTA"/>
    <x v="1"/>
    <s v="7032101 VENTAS COMISION VAOPE"/>
    <x v="5"/>
    <x v="89"/>
    <s v="Yarita Lizeth, Noemi Huaman y mÃ¡s en Huaral"/>
    <d v="2025-10-04T00:00:00"/>
    <d v="2025-10-04T00:00:00"/>
    <x v="49"/>
    <s v="DOROTEO VELASQUEZ JAHN PAVEL FERNANDO"/>
    <s v="Empresa"/>
    <x v="285"/>
  </r>
  <r>
    <x v="0"/>
    <x v="170"/>
    <s v="COLABORATIVA S.A.C."/>
    <x v="10"/>
    <d v="2025-11-03T16:56:43"/>
    <x v="69"/>
    <m/>
    <n v="6"/>
    <n v="10749980163"/>
    <s v="[{'id_producto': 31304, 'codigo_producto': 216, 'nom_producto': 'COMISION PAGOS DIGITALES SEGUN CONTRATO', 'categoria_producto': 'service', 'cantidad': '1.0', 'valor_unitario': 169.32, 'precio_unitario': 199.8, 'descuento': 0.0, 'subtotal': 169.32, 'porcentaje_de_igv': '18.00', 'igv': 30.48, 'total': 199.8, 'moneda': '1', 'tipo_de_cambio': 1.0, 'id_estado': 'paid', 'nombre_estado': 'Pagado', 'evento': {'id_evento': '3162', 'nom_evento': 'Yarita Lizeth, Noemi Huaman y mÃ¡s en Huaral', 'fecha_hora_ini_event': '04-10-2025', 'fecha_hora_fin_event': '04-10-2025', 'id_organizador': 5445, 'nom_organizador': 'DOROTEO VELASQUEZ JAHN PAVEL FERNANDO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304"/>
    <x v="6"/>
    <x v="6"/>
    <x v="1"/>
    <n v="1"/>
    <n v="169.32"/>
    <n v="199.8"/>
    <n v="0"/>
    <n v="169.32"/>
    <n v="18"/>
    <n v="30.48"/>
    <n v="199.8"/>
    <n v="1"/>
    <n v="1"/>
    <x v="0"/>
    <x v="0"/>
    <x v="1"/>
    <s v="SAMUEL CHUQUISTA"/>
    <x v="3"/>
    <s v="7032100 Servicios-Local- VISA"/>
    <x v="1"/>
    <x v="89"/>
    <s v="Yarita Lizeth, Noemi Huaman y mÃ¡s en Huaral"/>
    <d v="2025-10-04T00:00:00"/>
    <d v="2025-10-04T00:00:00"/>
    <x v="49"/>
    <s v="DOROTEO VELASQUEZ JAHN PAVEL FERNANDO"/>
    <s v="Empresa"/>
    <x v="286"/>
  </r>
  <r>
    <x v="1"/>
    <x v="186"/>
    <s v="COLABORATIVA S.A.C."/>
    <x v="10"/>
    <d v="2025-11-03T16:35:18"/>
    <x v="65"/>
    <m/>
    <n v="1"/>
    <n v="40632612"/>
    <s v="[{'id_producto': 31301, 'codigo_producto': 1786, 'nom_producto': 'COMISION VAOPE SEGUN CONTRATO', 'categoria_producto': 'service', 'cantidad': '1.0', 'valor_unitario': 533.11, 'precio_unitario': 629.07, 'descuento': 0.0, 'subtotal': 533.11, 'porcentaje_de_igv': '18.00', 'igv': 95.96, 'total': 629.07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301"/>
    <x v="5"/>
    <x v="5"/>
    <x v="1"/>
    <n v="1"/>
    <n v="533.11"/>
    <n v="629.07000000000005"/>
    <n v="0"/>
    <n v="533.11"/>
    <n v="18"/>
    <n v="95.96"/>
    <n v="629.07000000000005"/>
    <n v="1"/>
    <n v="1"/>
    <x v="0"/>
    <x v="0"/>
    <x v="1"/>
    <s v="SAMUEL CHUQUISTA"/>
    <x v="1"/>
    <s v="7032101 VENTAS COMISION VAOPE"/>
    <x v="5"/>
    <x v="84"/>
    <s v="El Gran Retorno de los Reyes de la Cumbia RomÃ¡ntica SureÃ±a en el Complejo Santa Rosa"/>
    <d v="2025-10-04T00:00:00"/>
    <d v="2025-10-04T00:00:00"/>
    <x v="61"/>
    <s v="YOLANDA FLORINDA MANCHA DE LA CRUZ"/>
    <s v="Persona"/>
    <x v="287"/>
  </r>
  <r>
    <x v="1"/>
    <x v="187"/>
    <s v="COLABORATIVA S.A.C."/>
    <x v="10"/>
    <d v="2025-11-03T16:31:50"/>
    <x v="65"/>
    <m/>
    <n v="1"/>
    <n v="40632612"/>
    <s v="[{'id_producto': 31298, 'codigo_producto': 216, 'nom_producto': 'COMISION PAGOS DIGITALES SEGUN CONTRATO', 'categoria_producto': 'service', 'cantidad': '1.0', 'valor_unitario': 575.44, 'precio_unitario': 679.02, 'descuento': 0.0, 'subtotal': 575.44, 'porcentaje_de_igv': '18.00', 'igv': 103.58, 'total': 679.02, 'moneda': '1', 'tipo_de_cambio': 1.0, 'id_estado': 'paid', 'nombre_estado': 'Pagado', 'evento': {'id_evento': '3141', 'nom_evento': 'El Gran Retorno de los Reyes de la Cumbia RomÃ¡ntica SureÃ±a en el Complejo Santa Rosa', 'fecha_hora_ini_event': '04-10-2025', 'fecha_hora_fin_event': '04-10-2025', 'id_organizador': 5933, 'nom_organizador': 'YOLANDA FLORINDA MANCHA DE LA CRUZ', 'tipo_organizador': 'Person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298"/>
    <x v="6"/>
    <x v="6"/>
    <x v="1"/>
    <n v="1"/>
    <n v="575.44000000000005"/>
    <n v="679.02"/>
    <n v="0"/>
    <n v="575.44000000000005"/>
    <n v="18"/>
    <n v="103.58"/>
    <n v="679.02"/>
    <n v="1"/>
    <n v="1"/>
    <x v="0"/>
    <x v="0"/>
    <x v="1"/>
    <s v="SAMUEL CHUQUISTA"/>
    <x v="3"/>
    <s v="7032100 Servicios-Local- VISA"/>
    <x v="1"/>
    <x v="84"/>
    <s v="El Gran Retorno de los Reyes de la Cumbia RomÃ¡ntica SureÃ±a en el Complejo Santa Rosa"/>
    <d v="2025-10-04T00:00:00"/>
    <d v="2025-10-04T00:00:00"/>
    <x v="61"/>
    <s v="YOLANDA FLORINDA MANCHA DE LA CRUZ"/>
    <s v="Persona"/>
    <x v="288"/>
  </r>
  <r>
    <x v="0"/>
    <x v="171"/>
    <s v="COLABORATIVA S.A.C."/>
    <x v="10"/>
    <d v="2025-11-03T16:18:15"/>
    <x v="71"/>
    <m/>
    <n v="6"/>
    <n v="20609649039"/>
    <s v="[{'id_producto': 31295, 'codigo_producto': 1786, 'nom_producto': 'COMISION VAOPE SEGUN CONTRATO', 'categoria_producto': 'service', 'cantidad': '1.0', 'valor_unitario': 4.32, 'precio_unitario': 5.1, 'descuento': 0.0, 'subtotal': 4.32, 'porcentaje_de_igv': '18.00', 'igv': 0.78, 'total': 5.1, 'moneda': '1', 'tipo_de_cambio': 1.0, 'id_estado': 'paid', 'nombre_estado': 'Pagado', 'evento': {'id_evento': '3127', 'nom_evento': &quot;Cubanada con Pamela Franco, N'Talla, La Patente y mÃ¡s en SMP&quot;, 'fecha_hora_ini_event': '04-10-2025', 'fecha_hora_fin_event': '04-10-2025', 'id_organizador': 1142, 'nom_organizador': 'CARDANO PRODUCCIONES S.A.C.', 'tipo_organizador': 'Empresa'}, 'id_vendedor': 2, 'nom_vendedor': 'SAMUEL CHUQUISTA', 'id_cuenta_analitica': 6937, 'nom_cuenta_analitica': '7032101 VENTAS COMISION VAOPE', 'distribucion_analitica': [[{'codigo': 103, 'nom_distribucion': 'Validadores', 'sub_categoria': 'Personal temporal', 'porcentaje': '100.00'}]]}]"/>
    <d v="2025-10-16T00:00:00"/>
    <m/>
    <m/>
    <m/>
    <m/>
    <m/>
    <n v="31295"/>
    <x v="5"/>
    <x v="5"/>
    <x v="1"/>
    <n v="1"/>
    <n v="4.32"/>
    <n v="5.0999999999999996"/>
    <n v="0"/>
    <n v="4.32"/>
    <n v="18"/>
    <n v="0.78"/>
    <n v="5.0999999999999996"/>
    <n v="1"/>
    <n v="1"/>
    <x v="0"/>
    <x v="0"/>
    <x v="1"/>
    <s v="SAMUEL CHUQUISTA"/>
    <x v="1"/>
    <s v="7032101 VENTAS COMISION VAOPE"/>
    <x v="5"/>
    <x v="90"/>
    <s v="Cubanada con Pamela Franco, N'Talla, La Patente y mÃ¡s en SMP"/>
    <d v="2025-10-04T00:00:00"/>
    <d v="2025-10-04T00:00:00"/>
    <x v="66"/>
    <s v="CARDANO PRODUCCIONES S.A.C."/>
    <s v="Empresa"/>
    <x v="289"/>
  </r>
  <r>
    <x v="0"/>
    <x v="172"/>
    <s v="COLABORATIVA S.A.C."/>
    <x v="10"/>
    <d v="2025-11-03T16:17:47"/>
    <x v="71"/>
    <m/>
    <n v="6"/>
    <n v="20609649039"/>
    <s v="[{'id_producto': 31292, 'codigo_producto': 216, 'nom_producto': 'COMISION PAGOS DIGITALES SEGUN CONTRATO', 'categoria_producto': 'service', 'cantidad': '1.0', 'valor_unitario': 3.05, 'precio_unitario': 3.6, 'descuento': 0.0, 'subtotal': 3.05, 'porcentaje_de_igv': '18.00', 'igv': 0.55, 'total': 3.6, 'moneda': '1', 'tipo_de_cambio': 1.0, 'id_estado': 'paid', 'nombre_estado': 'Pagado', 'evento': {'id_evento': '3127', 'nom_evento': &quot;Cubanada con Pamela Franco, N'Talla, La Patente y mÃ¡s en SMP&quot;, 'fecha_hora_ini_event': '04-10-2025', 'fecha_hora_fin_event': '04-10-2025', 'id_organizador': 1142, 'nom_organizador': 'CARDANO PRODUCCIONES S.A.C.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292"/>
    <x v="6"/>
    <x v="6"/>
    <x v="1"/>
    <n v="1"/>
    <n v="3.05"/>
    <n v="3.6"/>
    <n v="0"/>
    <n v="3.05"/>
    <n v="18"/>
    <n v="0.55000000000000004"/>
    <n v="3.6"/>
    <n v="1"/>
    <n v="1"/>
    <x v="0"/>
    <x v="0"/>
    <x v="1"/>
    <s v="SAMUEL CHUQUISTA"/>
    <x v="3"/>
    <s v="7032100 Servicios-Local- VISA"/>
    <x v="1"/>
    <x v="90"/>
    <s v="Cubanada con Pamela Franco, N'Talla, La Patente y mÃ¡s en SMP"/>
    <d v="2025-10-04T00:00:00"/>
    <d v="2025-10-04T00:00:00"/>
    <x v="66"/>
    <s v="CARDANO PRODUCCIONES S.A.C."/>
    <s v="Empresa"/>
    <x v="290"/>
  </r>
  <r>
    <x v="1"/>
    <x v="188"/>
    <s v="COLABORATIVA S.A.C."/>
    <x v="10"/>
    <d v="2025-11-03T16:10:34"/>
    <x v="72"/>
    <m/>
    <n v="1"/>
    <n v="75241793"/>
    <s v="[{'id_producto': 31289, 'codigo_producto': 2276, 'nom_producto': 'PUNTO DE VENTA', 'categoria_producto': 'service', 'cantidad': '1.0', 'valor_unitario': 32.5, 'precio_unitario': 38.35, 'descuento': 0.0, 'subtotal': 32.5, 'porcentaje_de_igv': '18.00', 'igv': 5.85, 'total': 38.35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6959, 'nom_cuenta_analitica': '7032102 VENTAS SERVICIOS VAOPE', 'distribucion_analitica': []}]"/>
    <d v="2025-10-16T00:00:00"/>
    <m/>
    <m/>
    <m/>
    <m/>
    <m/>
    <n v="31289"/>
    <x v="9"/>
    <x v="9"/>
    <x v="1"/>
    <n v="1"/>
    <n v="32.5"/>
    <n v="38.35"/>
    <n v="0"/>
    <n v="32.5"/>
    <n v="18"/>
    <n v="5.85"/>
    <n v="38.35"/>
    <n v="1"/>
    <n v="1"/>
    <x v="0"/>
    <x v="0"/>
    <x v="1"/>
    <s v="SAMUEL CHUQUISTA"/>
    <x v="2"/>
    <s v="7032102 VENTAS SERVICIOS VAOPE"/>
    <x v="6"/>
    <x v="91"/>
    <s v="Trilogia Pxndx Festival III en Lince"/>
    <d v="2025-10-04T00:00:00"/>
    <d v="2025-10-04T00:00:00"/>
    <x v="67"/>
    <s v="RANDOLF STHIVEN GARCIA MEDINA"/>
    <s v="Persona"/>
    <x v="291"/>
  </r>
  <r>
    <x v="0"/>
    <x v="173"/>
    <s v="COLABORATIVA S.A.C."/>
    <x v="10"/>
    <d v="2025-11-03T13:15:35"/>
    <x v="64"/>
    <m/>
    <n v="6"/>
    <n v="10207250991"/>
    <s v="[{'id_producto': 31286, 'codigo_producto': 216, 'nom_producto': 'COMISION PAGOS DIGITALES SEGUN CONTRATO', 'categoria_producto': 'service', 'cantidad': '1.0', 'valor_unitario': 2124.49, 'precio_unitario': 2506.9, 'descuento': 0.0, 'subtotal': 2124.49, 'porcentaje_de_igv': '18.00', 'igv': 382.41, 'total': 2506.9, 'moneda': '1', 'tipo_de_cambio': 1.0, 'id_estado': 'reversed', 'nombre_estado': 'Revertido', 'evento': {'id_evento': '2471', 'nom_evento': 'Joelma Isso Ã© Calypso en Iquitos', 'fecha_hora_ini_event': '28-09-2025', 'fecha_hora_fin_event': '28-09-2025', 'id_organizador': 5507, 'nom_organizador': 'MARTINEZ GABALDONI GUSTAVO ARISTIDES', 'tipo_organizador': 'Empresa'}, 'id_vendedor': 2, 'nom_vendedor': 'SAMUEL CHUQUISTA', 'id_cuenta_analitica': 6936, 'nom_cuenta_analitica': '7032100 Servicios-Local- VISA', 'distribucion_analitica': [[{'codigo': 149, 'nom_distribucion': 'Venta', 'sub_categoria': 'ComisiÃ³n Pagos digitales', 'porcentaje': '100.00'}]]}]"/>
    <d v="2025-10-16T00:00:00"/>
    <m/>
    <m/>
    <m/>
    <m/>
    <m/>
    <n v="31286"/>
    <x v="6"/>
    <x v="6"/>
    <x v="1"/>
    <n v="1"/>
    <n v="2124.4899999999998"/>
    <n v="2506.9"/>
    <n v="0"/>
    <n v="2124.4899999999998"/>
    <n v="18"/>
    <n v="382.41"/>
    <n v="2506.9"/>
    <n v="1"/>
    <n v="1"/>
    <x v="1"/>
    <x v="1"/>
    <x v="1"/>
    <s v="SAMUEL CHUQUISTA"/>
    <x v="3"/>
    <s v="7032100 Servicios-Local- VISA"/>
    <x v="1"/>
    <x v="83"/>
    <s v="Joelma Isso Ã© Calypso en Iquitos"/>
    <d v="2025-09-28T00:00:00"/>
    <d v="2025-09-28T00:00:00"/>
    <x v="60"/>
    <s v="MARTINEZ GABALDONI GUSTAVO ARISTIDES"/>
    <s v="Empresa"/>
    <x v="292"/>
  </r>
  <r>
    <x v="1"/>
    <x v="189"/>
    <s v="COLABORATIVA S.A.C."/>
    <x v="10"/>
    <d v="2025-11-03T10:58:56"/>
    <x v="18"/>
    <m/>
    <n v="1"/>
    <n v="75329338"/>
    <s v="[{'id_producto': 31281, 'codigo_producto': 216, 'nom_producto': 'COMISION PAGOS DIGITALES SEGUN CONTRATO', 'categoria_producto': 'service', 'cantidad': '1.0', 'valor_unitario': 40.89, 'precio_unitario': 48.25, 'descuento': 0.0, 'subtotal': 40.89, 'porcentaje_de_igv': '18.00', 'igv': 7.36, 'total': 48.25, 'moneda': '1', 'tipo_de_cambio': 1.0, 'id_estado': 'paid', 'nombre_estado': 'Pagado', 'evento': {'id_evento': '3060', 'nom_evento': 'Tributo Oficial a Mago de Oz en Ayacucho', 'fecha_hora_ini_event': '27-09-2025', 'fecha_hora_fin_event': '27-09-2025', 'id_organizador': 1173, 'nom_organizador': ' ALEJANDRA FLORES TICONA', 'tipo_organizador': 'Persona'}, 'id_vendedor': 2, 'nom_vendedor': 'SAMUEL CHUQUISTA', 'id_cuenta_analitica': 6936, 'nom_cuenta_analitica': '7032100 Servicios-Local- VISA', 'distribucion_analitica': []}]"/>
    <d v="2025-10-16T00:00:00"/>
    <m/>
    <m/>
    <m/>
    <m/>
    <m/>
    <n v="31281"/>
    <x v="6"/>
    <x v="6"/>
    <x v="1"/>
    <n v="1"/>
    <n v="40.89"/>
    <n v="48.25"/>
    <n v="0"/>
    <n v="40.89"/>
    <n v="18"/>
    <n v="7.36"/>
    <n v="48.25"/>
    <n v="1"/>
    <n v="1"/>
    <x v="0"/>
    <x v="0"/>
    <x v="1"/>
    <s v="SAMUEL CHUQUISTA"/>
    <x v="3"/>
    <s v="7032100 Servicios-Local- VISA"/>
    <x v="6"/>
    <x v="92"/>
    <s v="Tributo Oficial a Mago de Oz en Ayacucho"/>
    <d v="2025-09-27T00:00:00"/>
    <d v="2025-09-27T00:00:00"/>
    <x v="18"/>
    <s v=" ALEJANDRA FLORES TICONA"/>
    <s v="Persona"/>
    <x v="293"/>
  </r>
  <r>
    <x v="1"/>
    <x v="190"/>
    <s v="COLABORATIVA S.A.C."/>
    <x v="11"/>
    <d v="2025-11-03T18:53:04"/>
    <x v="72"/>
    <m/>
    <n v="1"/>
    <n v="75241793"/>
    <s v="[{'id_producto': 31271, 'codigo_producto': 1786, 'nom_producto': 'COMISION VAOPE SEGUN CONTRATO', 'categoria_producto': 'service', 'cantidad': '1.0', 'valor_unitario': 12.2, 'precio_unitario': 14.4, 'descuento': 0.0, 'subtotal': 12.2, 'porcentaje_de_igv': '18.00', 'igv': 2.2, 'total': 14.4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71"/>
    <x v="5"/>
    <x v="5"/>
    <x v="1"/>
    <n v="1"/>
    <n v="12.2"/>
    <n v="14.4"/>
    <n v="0"/>
    <n v="12.2"/>
    <n v="18"/>
    <n v="2.2000000000000002"/>
    <n v="14.4"/>
    <n v="1"/>
    <n v="1"/>
    <x v="0"/>
    <x v="0"/>
    <x v="1"/>
    <s v="SAMUEL CHUQUISTA"/>
    <x v="0"/>
    <s v="7012100 MercaderÃ­as-Venta Local-Terceros"/>
    <x v="6"/>
    <x v="91"/>
    <s v="Trilogia Pxndx Festival III en Lince"/>
    <d v="2025-10-04T00:00:00"/>
    <d v="2025-10-04T00:00:00"/>
    <x v="67"/>
    <s v="RANDOLF STHIVEN GARCIA MEDINA"/>
    <s v="Persona"/>
    <x v="294"/>
  </r>
  <r>
    <x v="1"/>
    <x v="191"/>
    <s v="COLABORATIVA S.A.C."/>
    <x v="11"/>
    <d v="2025-11-03T18:50:23"/>
    <x v="72"/>
    <m/>
    <n v="1"/>
    <n v="75241793"/>
    <s v="[{'id_producto': 31268, 'codigo_producto': 216, 'nom_producto': 'COMISION PAGOS DIGITALES SEGUN CONTRATO', 'categoria_producto': 'service', 'cantidad': '1.0', 'valor_unitario': 41.14, 'precio_unitario': 48.55, 'descuento': 0.0, 'subtotal': 41.14, 'porcentaje_de_igv': '18.00', 'igv': 7.41, 'total': 48.55, 'moneda': '1', 'tipo_de_cambio': 1.0, 'id_estado': 'paid', 'nombre_estado': 'Pagado', 'evento': {'id_evento': '3100', 'nom_evento': 'Trilogia Pxndx Festival III en Lince', 'fecha_hora_ini_event': '04-10-2025', 'fecha_hora_fin_event': '04-10-2025', 'id_organizador': 5199, 'nom_organizador': 'RANDOLF STHIVEN GARCIA MEDIN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68"/>
    <x v="6"/>
    <x v="6"/>
    <x v="1"/>
    <n v="1"/>
    <n v="41.14"/>
    <n v="48.55"/>
    <n v="0"/>
    <n v="41.14"/>
    <n v="18"/>
    <n v="7.41"/>
    <n v="48.55"/>
    <n v="1"/>
    <n v="1"/>
    <x v="0"/>
    <x v="0"/>
    <x v="1"/>
    <s v="SAMUEL CHUQUISTA"/>
    <x v="0"/>
    <s v="7012100 MercaderÃ­as-Venta Local-Terceros"/>
    <x v="6"/>
    <x v="91"/>
    <s v="Trilogia Pxndx Festival III en Lince"/>
    <d v="2025-10-04T00:00:00"/>
    <d v="2025-10-04T00:00:00"/>
    <x v="67"/>
    <s v="RANDOLF STHIVEN GARCIA MEDINA"/>
    <s v="Persona"/>
    <x v="295"/>
  </r>
  <r>
    <x v="0"/>
    <x v="174"/>
    <s v="COLABORATIVA S.A.C."/>
    <x v="11"/>
    <d v="2025-11-03T18:47:50"/>
    <x v="67"/>
    <s v="Cliente"/>
    <n v="6"/>
    <n v="20608361074"/>
    <s v="[{'id_producto': 31265, 'codigo_producto': 2316, 'nom_producto': 'DELIVERY', 'categoria_producto': 'service', 'cantidad': '1.0', 'valor_unitario': 14.5, 'precio_unitario': 17.11, 'descuento': 0.0, 'subtotal': 14.5, 'porcentaje_de_igv': '18.00', 'igv': 2.61, 'total': 17.1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65"/>
    <x v="19"/>
    <x v="13"/>
    <x v="1"/>
    <n v="1"/>
    <n v="14.5"/>
    <n v="17.11"/>
    <n v="0"/>
    <n v="14.5"/>
    <n v="18"/>
    <n v="2.61"/>
    <n v="17.11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296"/>
  </r>
  <r>
    <x v="0"/>
    <x v="175"/>
    <s v="COLABORATIVA S.A.C."/>
    <x v="11"/>
    <d v="2025-11-03T18:47:12"/>
    <x v="67"/>
    <s v="Cliente"/>
    <n v="6"/>
    <n v="20608361074"/>
    <s v="[{'id_producto': 31262, 'codigo_producto': 2317, 'nom_producto': 'COMISION CORTESIA', 'categoria_producto': 'service', 'cantidad': '1.0', 'valor_unitario': 84.5, 'precio_unitario': 99.71, 'descuento': 0.0, 'subtotal': 84.5, 'porcentaje_de_igv': '18.00', 'igv': 15.21, 'total': 99.7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62"/>
    <x v="20"/>
    <x v="19"/>
    <x v="1"/>
    <n v="1"/>
    <n v="84.5"/>
    <n v="99.71"/>
    <n v="0"/>
    <n v="84.5"/>
    <n v="18"/>
    <n v="15.21"/>
    <n v="99.71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297"/>
  </r>
  <r>
    <x v="0"/>
    <x v="176"/>
    <s v="COLABORATIVA S.A.C."/>
    <x v="11"/>
    <d v="2025-11-03T18:46:38"/>
    <x v="67"/>
    <s v="Cliente"/>
    <n v="6"/>
    <n v="20608361074"/>
    <s v="[{'id_producto': 31259, 'codigo_producto': 2314, 'nom_producto': 'SERV VALIDADORES', 'categoria_producto': 'service', 'cantidad': '1.0', 'valor_unitario': 150.0, 'precio_unitario': 177.0, 'descuento': 0.0, 'subtotal': 150.0, 'porcentaje_de_igv': '18.00', 'igv': 27.0, 'total': 177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59"/>
    <x v="10"/>
    <x v="10"/>
    <x v="1"/>
    <n v="1"/>
    <n v="150"/>
    <n v="177"/>
    <n v="0"/>
    <n v="150"/>
    <n v="18"/>
    <n v="27"/>
    <n v="177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298"/>
  </r>
  <r>
    <x v="0"/>
    <x v="177"/>
    <s v="COLABORATIVA S.A.C."/>
    <x v="11"/>
    <d v="2025-11-03T18:45:41"/>
    <x v="67"/>
    <s v="Cliente"/>
    <n v="6"/>
    <n v="20608361074"/>
    <s v="[{'id_producto': 31256, 'codigo_producto': 2324, 'nom_producto': 'ENTRADAS IMPRESAS', 'categoria_producto': 'consu', 'cantidad': '1.0', 'valor_unitario': 1600.0, 'precio_unitario': 1888.0, 'descuento': 0.0, 'subtotal': 1600.0, 'porcentaje_de_igv': '18.00', 'igv': 288.0, 'total': 1888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56"/>
    <x v="16"/>
    <x v="16"/>
    <x v="0"/>
    <n v="1"/>
    <n v="1600"/>
    <n v="1888"/>
    <n v="0"/>
    <n v="1600"/>
    <n v="18"/>
    <n v="288"/>
    <n v="1888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299"/>
  </r>
  <r>
    <x v="0"/>
    <x v="178"/>
    <s v="COLABORATIVA S.A.C."/>
    <x v="11"/>
    <d v="2025-11-03T18:44:35"/>
    <x v="67"/>
    <s v="Cliente"/>
    <n v="6"/>
    <n v="20608361074"/>
    <s v="[{'id_producto': 31253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53"/>
    <x v="16"/>
    <x v="16"/>
    <x v="0"/>
    <n v="1"/>
    <n v="1000"/>
    <n v="1180"/>
    <n v="0"/>
    <n v="1000"/>
    <n v="18"/>
    <n v="180"/>
    <n v="1180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300"/>
  </r>
  <r>
    <x v="0"/>
    <x v="179"/>
    <s v="COLABORATIVA S.A.C."/>
    <x v="11"/>
    <d v="2025-11-03T18:44:10"/>
    <x v="67"/>
    <s v="Cliente"/>
    <n v="6"/>
    <n v="20608361074"/>
    <s v="[{'id_producto': 31250, 'codigo_producto': 1786, 'nom_producto': 'COMISION VAOPE SEGUN CONTRATO', 'categoria_producto': 'service', 'cantidad': '1.0', 'valor_unitario': 6305.08, 'precio_unitario': 7439.99, 'descuento': 0.0, 'subtotal': 6305.08, 'porcentaje_de_igv': '18.00', 'igv': 1134.91, 'total': 7439.99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50"/>
    <x v="5"/>
    <x v="5"/>
    <x v="1"/>
    <n v="1"/>
    <n v="6305.08"/>
    <n v="7439.99"/>
    <n v="0"/>
    <n v="6305.08"/>
    <n v="18"/>
    <n v="1134.9100000000001"/>
    <n v="7439.99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301"/>
  </r>
  <r>
    <x v="0"/>
    <x v="180"/>
    <s v="COLABORATIVA S.A.C."/>
    <x v="11"/>
    <d v="2025-11-03T18:43:47"/>
    <x v="67"/>
    <s v="Cliente"/>
    <n v="6"/>
    <n v="20608361074"/>
    <s v="[{'id_producto': 31247, 'codigo_producto': 216, 'nom_producto': 'COMISION PAGOS DIGITALES SEGUN CONTRATO', 'categoria_producto': 'service', 'cantidad': '1.0', 'valor_unitario': 2880.59, 'precio_unitario': 3399.1, 'descuento': 0.0, 'subtotal': 2880.59, 'porcentaje_de_igv': '18.00', 'igv': 518.51, 'total': 3399.1, 'moneda': '1', 'tipo_de_cambio': 1.0, 'id_estado': 'paid', 'nombre_estado': 'Pagado', 'evento': {'id_evento': '3081', 'nom_evento': 'El ClÃ¡sico de la Cumbia NorteÃ±a en Huancayo con Agua Marina y Walther Lozada &amp; Orquesta', 'fecha_hora_ini_event': '04-10-2025', 'fecha_hora_fin_event': '04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47"/>
    <x v="6"/>
    <x v="6"/>
    <x v="1"/>
    <n v="1"/>
    <n v="2880.59"/>
    <n v="3399.1"/>
    <n v="0"/>
    <n v="2880.59"/>
    <n v="18"/>
    <n v="518.51"/>
    <n v="3399.1"/>
    <n v="1"/>
    <n v="1"/>
    <x v="0"/>
    <x v="0"/>
    <x v="1"/>
    <s v="SAMUEL CHUQUISTA"/>
    <x v="0"/>
    <s v="7012100 MercaderÃ­as-Venta Local-Terceros"/>
    <x v="6"/>
    <x v="93"/>
    <s v="El ClÃ¡sico de la Cumbia NorteÃ±a en Huancayo con Agua Marina y Walther Lozada &amp; Orquesta"/>
    <d v="2025-10-04T00:00:00"/>
    <d v="2025-10-04T00:00:00"/>
    <x v="63"/>
    <s v="JP Producciones Generales EIRL"/>
    <s v="Empresa"/>
    <x v="302"/>
  </r>
  <r>
    <x v="1"/>
    <x v="192"/>
    <s v="COLABORATIVA S.A.C."/>
    <x v="11"/>
    <d v="2025-11-03T18:26:58"/>
    <x v="73"/>
    <s v="Cliente"/>
    <n v="1"/>
    <n v="48595560"/>
    <s v="[{'id_producto': 31244, 'codigo_producto': 2315, 'nom_producto': 'PAUTA PUBLICITARIA', 'categoria_producto': 'service', 'cantidad': '1.0', 'valor_unitario': 2701.0, 'precio_unitario': 3187.18, 'descuento': 0.0, 'subtotal': 2701.0, 'porcentaje_de_igv': '18.00', 'igv': 486.18, 'total': 3187.18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44"/>
    <x v="3"/>
    <x v="3"/>
    <x v="1"/>
    <n v="1"/>
    <n v="2701"/>
    <n v="3187.18"/>
    <n v="0"/>
    <n v="2701"/>
    <n v="18"/>
    <n v="486.18"/>
    <n v="3187.18"/>
    <n v="1"/>
    <n v="1"/>
    <x v="0"/>
    <x v="0"/>
    <x v="1"/>
    <s v="SAMUEL CHUQUISTA"/>
    <x v="0"/>
    <s v="7012100 MercaderÃ­as-Venta Local-Terceros"/>
    <x v="6"/>
    <x v="94"/>
    <s v="Son del Duke y mucho mÃ¡s en el Crucero del Amor de SJL"/>
    <d v="2025-10-04T00:00:00"/>
    <d v="2025-10-04T00:00:00"/>
    <x v="68"/>
    <s v="FIGUEROA ROSADO GABRIELA BRIYIT"/>
    <s v="Persona"/>
    <x v="303"/>
  </r>
  <r>
    <x v="1"/>
    <x v="193"/>
    <s v="COLABORATIVA S.A.C."/>
    <x v="11"/>
    <d v="2025-11-03T18:26:07"/>
    <x v="73"/>
    <s v="Cliente"/>
    <n v="1"/>
    <n v="48595560"/>
    <s v="[{'id_producto': 31241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41"/>
    <x v="21"/>
    <x v="4"/>
    <x v="1"/>
    <n v="1"/>
    <n v="100"/>
    <n v="118"/>
    <n v="0"/>
    <n v="100"/>
    <n v="18"/>
    <n v="18"/>
    <n v="118"/>
    <n v="1"/>
    <n v="1"/>
    <x v="0"/>
    <x v="0"/>
    <x v="1"/>
    <s v="SAMUEL CHUQUISTA"/>
    <x v="0"/>
    <s v="7012100 MercaderÃ­as-Venta Local-Terceros"/>
    <x v="6"/>
    <x v="94"/>
    <s v="Son del Duke y mucho mÃ¡s en el Crucero del Amor de SJL"/>
    <d v="2025-10-04T00:00:00"/>
    <d v="2025-10-04T00:00:00"/>
    <x v="68"/>
    <s v="FIGUEROA ROSADO GABRIELA BRIYIT"/>
    <s v="Persona"/>
    <x v="304"/>
  </r>
  <r>
    <x v="1"/>
    <x v="194"/>
    <s v="COLABORATIVA S.A.C."/>
    <x v="11"/>
    <d v="2025-11-03T18:25:49"/>
    <x v="73"/>
    <s v="Cliente"/>
    <n v="1"/>
    <n v="48595560"/>
    <s v="[{'id_producto': 31238, 'codigo_producto': 1786, 'nom_producto': 'COMISION VAOPE SEGUN CONTRATO', 'categoria_producto': 'service', 'cantidad': '1.0', 'valor_unitario': 1688.56, 'precio_unitario': 1992.5, 'descuento': 0.0, 'subtotal': 1688.56, 'porcentaje_de_igv': '18.00', 'igv': 303.94, 'total': 1992.5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38"/>
    <x v="5"/>
    <x v="5"/>
    <x v="1"/>
    <n v="1"/>
    <n v="1688.56"/>
    <n v="1992.5"/>
    <n v="0"/>
    <n v="1688.56"/>
    <n v="18"/>
    <n v="303.94"/>
    <n v="1992.5"/>
    <n v="1"/>
    <n v="1"/>
    <x v="0"/>
    <x v="0"/>
    <x v="1"/>
    <s v="SAMUEL CHUQUISTA"/>
    <x v="0"/>
    <s v="7012100 MercaderÃ­as-Venta Local-Terceros"/>
    <x v="6"/>
    <x v="94"/>
    <s v="Son del Duke y mucho mÃ¡s en el Crucero del Amor de SJL"/>
    <d v="2025-10-04T00:00:00"/>
    <d v="2025-10-04T00:00:00"/>
    <x v="68"/>
    <s v="FIGUEROA ROSADO GABRIELA BRIYIT"/>
    <s v="Persona"/>
    <x v="305"/>
  </r>
  <r>
    <x v="1"/>
    <x v="195"/>
    <s v="COLABORATIVA S.A.C."/>
    <x v="11"/>
    <d v="2025-11-03T18:25:31"/>
    <x v="73"/>
    <s v="Cliente"/>
    <n v="1"/>
    <n v="48595560"/>
    <s v="[{'id_producto': 31235, 'codigo_producto': 216, 'nom_producto': 'COMISION PAGOS DIGITALES SEGUN CONTRATO', 'categoria_producto': 'service', 'cantidad': '1.0', 'valor_unitario': 1340.25, 'precio_unitario': 1581.5, 'descuento': 0.0, 'subtotal': 1340.25, 'porcentaje_de_igv': '18.00', 'igv': 241.25, 'total': 1581.5, 'moneda': '1', 'tipo_de_cambio': 1.0, 'id_estado': 'paid', 'nombre_estado': 'Pagado', 'evento': {'id_evento': '3066', 'nom_evento': 'Son del Duke y mucho mÃ¡s en el Crucero del Amor de SJL', 'fecha_hora_ini_event': '04-10-2025', 'fecha_hora_fin_event': '04-10-2025', 'id_organizador': 387, 'nom_organizador': 'FIGUEROA ROSADO GABRIELA BRIYIT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35"/>
    <x v="6"/>
    <x v="6"/>
    <x v="1"/>
    <n v="1"/>
    <n v="1340.25"/>
    <n v="1581.5"/>
    <n v="0"/>
    <n v="1340.25"/>
    <n v="18"/>
    <n v="241.25"/>
    <n v="1581.5"/>
    <n v="1"/>
    <n v="1"/>
    <x v="0"/>
    <x v="0"/>
    <x v="1"/>
    <s v="SAMUEL CHUQUISTA"/>
    <x v="0"/>
    <s v="7012100 MercaderÃ­as-Venta Local-Terceros"/>
    <x v="6"/>
    <x v="94"/>
    <s v="Son del Duke y mucho mÃ¡s en el Crucero del Amor de SJL"/>
    <d v="2025-10-04T00:00:00"/>
    <d v="2025-10-04T00:00:00"/>
    <x v="68"/>
    <s v="FIGUEROA ROSADO GABRIELA BRIYIT"/>
    <s v="Persona"/>
    <x v="306"/>
  </r>
  <r>
    <x v="1"/>
    <x v="196"/>
    <s v="COLABORATIVA S.A.C."/>
    <x v="11"/>
    <d v="2025-11-03T18:23:28"/>
    <x v="74"/>
    <m/>
    <n v="1"/>
    <s v="00384366"/>
    <s v="[{'id_producto': 31232, 'codigo_producto': 1786, 'nom_producto': 'COMISION VAOPE SEGUN CONTRATO', 'categoria_producto': 'service', 'cantidad': '1.0', 'valor_unitario': 25.93, 'precio_unitario': 30.6, 'descuento': 0.0, 'subtotal': 25.93, 'porcentaje_de_igv': '18.00', 'igv': 4.67, 'total': 30.6, 'moneda': '1', 'tipo_de_cambio': 1.0, 'id_estado': 'paid', 'nombre_estado': 'Pagado', 'evento': {'id_evento': '3029', 'nom_evento': '3er Aniversario Complejo Deportivo y Cultural Los Cumpas con Alegres de Bambamarca, Martin Vera y mÃ¡s en Puente Piedra', 'fecha_hora_ini_event': '04-10-2025', 'fecha_hora_fin_event': '04-10-2025', 'id_organizador': 5603, 'nom_organizador': 'ANGEL GABRIEL RODRÃGUEZ PINED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32"/>
    <x v="5"/>
    <x v="5"/>
    <x v="1"/>
    <n v="1"/>
    <n v="25.93"/>
    <n v="30.6"/>
    <n v="0"/>
    <n v="25.93"/>
    <n v="18"/>
    <n v="4.67"/>
    <n v="30.6"/>
    <n v="1"/>
    <n v="1"/>
    <x v="0"/>
    <x v="0"/>
    <x v="1"/>
    <s v="SAMUEL CHUQUISTA"/>
    <x v="0"/>
    <s v="7012100 MercaderÃ­as-Venta Local-Terceros"/>
    <x v="6"/>
    <x v="95"/>
    <s v="3er Aniversario Complejo Deportivo y Cultural Los Cumpas con Alegres de Bambamarca, Martin Vera y mÃ¡s en Puente Piedra"/>
    <d v="2025-10-04T00:00:00"/>
    <d v="2025-10-04T00:00:00"/>
    <x v="69"/>
    <s v="ANGEL GABRIEL RODRÃGUEZ PINEDA"/>
    <s v="Persona"/>
    <x v="307"/>
  </r>
  <r>
    <x v="1"/>
    <x v="197"/>
    <s v="COLABORATIVA S.A.C."/>
    <x v="11"/>
    <d v="2025-11-03T18:23:11"/>
    <x v="74"/>
    <m/>
    <n v="1"/>
    <s v="00384366"/>
    <s v="[{'id_producto': 31229, 'codigo_producto': 216, 'nom_producto': 'COMISION PAGOS DIGITALES SEGUN CONTRATO', 'categoria_producto': 'service', 'cantidad': '1.0', 'valor_unitario': 18.31, 'precio_unitario': 21.61, 'descuento': 0.0, 'subtotal': 18.31, 'porcentaje_de_igv': '18.00', 'igv': 3.3, 'total': 21.61, 'moneda': '1', 'tipo_de_cambio': 1.0, 'id_estado': 'paid', 'nombre_estado': 'Pagado', 'evento': {'id_evento': '3029', 'nom_evento': '3er Aniversario Complejo Deportivo y Cultural Los Cumpas con Alegres de Bambamarca, Martin Vera y mÃ¡s en Puente Piedra', 'fecha_hora_ini_event': '04-10-2025', 'fecha_hora_fin_event': '04-10-2025', 'id_organizador': 5603, 'nom_organizador': 'ANGEL GABRIEL RODRÃGUEZ PINED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29"/>
    <x v="6"/>
    <x v="6"/>
    <x v="1"/>
    <n v="1"/>
    <n v="18.309999999999999"/>
    <n v="21.61"/>
    <n v="0"/>
    <n v="18.309999999999999"/>
    <n v="18"/>
    <n v="3.3"/>
    <n v="21.61"/>
    <n v="1"/>
    <n v="1"/>
    <x v="0"/>
    <x v="0"/>
    <x v="1"/>
    <s v="SAMUEL CHUQUISTA"/>
    <x v="0"/>
    <s v="7012100 MercaderÃ­as-Venta Local-Terceros"/>
    <x v="6"/>
    <x v="95"/>
    <s v="3er Aniversario Complejo Deportivo y Cultural Los Cumpas con Alegres de Bambamarca, Martin Vera y mÃ¡s en Puente Piedra"/>
    <d v="2025-10-04T00:00:00"/>
    <d v="2025-10-04T00:00:00"/>
    <x v="69"/>
    <s v="ANGEL GABRIEL RODRÃGUEZ PINEDA"/>
    <s v="Persona"/>
    <x v="308"/>
  </r>
  <r>
    <x v="0"/>
    <x v="181"/>
    <s v="COLABORATIVA S.A.C."/>
    <x v="11"/>
    <d v="2025-11-03T18:21:32"/>
    <x v="7"/>
    <m/>
    <n v="6"/>
    <n v="20509594903"/>
    <s v="[{'id_producto': 31226, 'codigo_producto': 1786, 'nom_producto': 'COMISION VAOPE SEGUN CONTRATO', 'categoria_producto': 'service', 'cantidad': '1.0', 'valor_unitario': 369.41, 'precio_unitario': 435.9, 'descuento': 0.0, 'subtotal': 369.41, 'porcentaje_de_igv': '18.00', 'igv': 66.49, 'total': 435.9, 'moneda': '1', 'tipo_de_cambio': 1.0, 'id_estado': 'paid', 'nombre_estado': 'Pagado', 'evento': {'id_evento': '3188', 'nom_evento': 'La Bella Luz y mÃ¡s en Ate Vitarte', 'fecha_hora_ini_event': '03-10-2025', 'fecha_hora_fin_event': '03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26"/>
    <x v="5"/>
    <x v="5"/>
    <x v="1"/>
    <n v="1"/>
    <n v="369.41"/>
    <n v="435.9"/>
    <n v="0"/>
    <n v="369.41"/>
    <n v="18"/>
    <n v="66.489999999999995"/>
    <n v="435.9"/>
    <n v="1"/>
    <n v="1"/>
    <x v="0"/>
    <x v="0"/>
    <x v="1"/>
    <s v="SAMUEL CHUQUISTA"/>
    <x v="0"/>
    <s v="7012100 MercaderÃ­as-Venta Local-Terceros"/>
    <x v="6"/>
    <x v="96"/>
    <s v="La Bella Luz y mÃ¡s en Ate Vitarte"/>
    <d v="2025-10-03T00:00:00"/>
    <d v="2025-10-03T00:00:00"/>
    <x v="7"/>
    <s v="EMPRESA MUSICAL INTERNACIONAL LA BELLA LUZ E.I.R.L."/>
    <s v="Empresa"/>
    <x v="309"/>
  </r>
  <r>
    <x v="0"/>
    <x v="182"/>
    <s v="COLABORATIVA S.A.C."/>
    <x v="11"/>
    <d v="2025-11-03T18:21:13"/>
    <x v="7"/>
    <m/>
    <n v="6"/>
    <n v="20509594903"/>
    <s v="[{'id_producto': 31223, 'codigo_producto': 216, 'nom_producto': 'COMISION PAGOS DIGITALES SEGUN CONTRATO', 'categoria_producto': 'service', 'cantidad': '1.0', 'valor_unitario': 256.61, 'precio_unitario': 302.8, 'descuento': 0.0, 'subtotal': 256.61, 'porcentaje_de_igv': '18.00', 'igv': 46.19, 'total': 302.8, 'moneda': '1', 'tipo_de_cambio': 1.0, 'id_estado': 'paid', 'nombre_estado': 'Pagado', 'evento': {'id_evento': '3188', 'nom_evento': 'La Bella Luz y mÃ¡s en Ate Vitarte', 'fecha_hora_ini_event': '03-10-2025', 'fecha_hora_fin_event': '03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23"/>
    <x v="6"/>
    <x v="6"/>
    <x v="1"/>
    <n v="1"/>
    <n v="256.61"/>
    <n v="302.8"/>
    <n v="0"/>
    <n v="256.61"/>
    <n v="18"/>
    <n v="46.19"/>
    <n v="302.8"/>
    <n v="1"/>
    <n v="1"/>
    <x v="0"/>
    <x v="0"/>
    <x v="1"/>
    <s v="SAMUEL CHUQUISTA"/>
    <x v="0"/>
    <s v="7012100 MercaderÃ­as-Venta Local-Terceros"/>
    <x v="6"/>
    <x v="96"/>
    <s v="La Bella Luz y mÃ¡s en Ate Vitarte"/>
    <d v="2025-10-03T00:00:00"/>
    <d v="2025-10-03T00:00:00"/>
    <x v="7"/>
    <s v="EMPRESA MUSICAL INTERNACIONAL LA BELLA LUZ E.I.R.L."/>
    <s v="Empresa"/>
    <x v="310"/>
  </r>
  <r>
    <x v="0"/>
    <x v="183"/>
    <s v="COLABORATIVA S.A.C."/>
    <x v="11"/>
    <d v="2025-11-03T18:18:46"/>
    <x v="67"/>
    <s v="Cliente"/>
    <n v="6"/>
    <n v="20608361074"/>
    <s v="[{'id_producto': 31220, 'codigo_producto': 2317, 'nom_producto': 'COMISION CORTESIA', 'categoria_producto': 'service', 'cantidad': '1.0', 'valor_unitario': 33.9, 'precio_unitario': 40.0, 'descuento': 0.0, 'subtotal': 33.9, 'porcentaje_de_igv': '18.00', 'igv': 6.1, 'total': 40.0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20"/>
    <x v="20"/>
    <x v="19"/>
    <x v="1"/>
    <n v="1"/>
    <n v="33.9"/>
    <n v="40"/>
    <n v="0"/>
    <n v="33.9"/>
    <n v="18"/>
    <n v="6.1"/>
    <n v="40"/>
    <n v="1"/>
    <n v="1"/>
    <x v="0"/>
    <x v="0"/>
    <x v="1"/>
    <s v="SAMUEL CHUQUISTA"/>
    <x v="0"/>
    <s v="7012100 MercaderÃ­as-Venta Local-Terceros"/>
    <x v="6"/>
    <x v="97"/>
    <s v="Agua Marina en Pichanaki"/>
    <d v="2025-10-03T00:00:00"/>
    <d v="2025-10-03T00:00:00"/>
    <x v="63"/>
    <s v="JP Producciones Generales EIRL"/>
    <s v="Empresa"/>
    <x v="311"/>
  </r>
  <r>
    <x v="0"/>
    <x v="184"/>
    <s v="COLABORATIVA S.A.C."/>
    <x v="11"/>
    <d v="2025-11-03T18:15:12"/>
    <x v="67"/>
    <s v="Cliente"/>
    <n v="6"/>
    <n v="20608361074"/>
    <s v="[{'id_producto': 31217, 'codigo_producto': 2324, 'nom_producto': 'ENTRADAS IMPRESAS', 'categoria_producto': 'consu', 'cantidad': '1.0', 'valor_unitario': 1400.0, 'precio_unitario': 1652.0, 'descuento': 0.0, 'subtotal': 1400.0, 'porcentaje_de_igv': '18.00', 'igv': 252.0, 'total': 1652.0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17"/>
    <x v="16"/>
    <x v="16"/>
    <x v="0"/>
    <n v="1"/>
    <n v="1400"/>
    <n v="1652"/>
    <n v="0"/>
    <n v="1400"/>
    <n v="18"/>
    <n v="252"/>
    <n v="1652"/>
    <n v="1"/>
    <n v="1"/>
    <x v="0"/>
    <x v="0"/>
    <x v="1"/>
    <s v="SAMUEL CHUQUISTA"/>
    <x v="0"/>
    <s v="7012100 MercaderÃ­as-Venta Local-Terceros"/>
    <x v="6"/>
    <x v="97"/>
    <s v="Agua Marina en Pichanaki"/>
    <d v="2025-10-03T00:00:00"/>
    <d v="2025-10-03T00:00:00"/>
    <x v="63"/>
    <s v="JP Producciones Generales EIRL"/>
    <s v="Empresa"/>
    <x v="312"/>
  </r>
  <r>
    <x v="0"/>
    <x v="185"/>
    <s v="COLABORATIVA S.A.C."/>
    <x v="11"/>
    <d v="2025-11-03T18:14:33"/>
    <x v="67"/>
    <s v="Cliente"/>
    <n v="6"/>
    <n v="20608361074"/>
    <s v="[{'id_producto': 31214, 'codigo_producto': 1786, 'nom_producto': 'COMISION VAOPE SEGUN CONTRATO', 'categoria_producto': 'service', 'cantidad': '1.0', 'valor_unitario': 3741.1, 'precio_unitario': 4414.5, 'descuento': 0.0, 'subtotal': 3741.1, 'porcentaje_de_igv': '18.00', 'igv': 673.4, 'total': 4414.5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14"/>
    <x v="5"/>
    <x v="5"/>
    <x v="1"/>
    <n v="1"/>
    <n v="3741.1"/>
    <n v="4414.5"/>
    <n v="0"/>
    <n v="3741.1"/>
    <n v="18"/>
    <n v="673.4"/>
    <n v="4414.5"/>
    <n v="1"/>
    <n v="1"/>
    <x v="0"/>
    <x v="0"/>
    <x v="1"/>
    <s v="SAMUEL CHUQUISTA"/>
    <x v="0"/>
    <s v="7012100 MercaderÃ­as-Venta Local-Terceros"/>
    <x v="6"/>
    <x v="97"/>
    <s v="Agua Marina en Pichanaki"/>
    <d v="2025-10-03T00:00:00"/>
    <d v="2025-10-03T00:00:00"/>
    <x v="63"/>
    <s v="JP Producciones Generales EIRL"/>
    <s v="Empresa"/>
    <x v="313"/>
  </r>
  <r>
    <x v="0"/>
    <x v="186"/>
    <s v="COLABORATIVA S.A.C."/>
    <x v="11"/>
    <d v="2025-11-03T18:14:08"/>
    <x v="67"/>
    <s v="Cliente"/>
    <n v="6"/>
    <n v="20608361074"/>
    <s v="[{'id_producto': 31211, 'codigo_producto': 216, 'nom_producto': 'COMISION PAGOS DIGITALES SEGUN CONTRATO', 'categoria_producto': 'service', 'cantidad': '1.0', 'valor_unitario': 1571.02, 'precio_unitario': 1853.8, 'descuento': 0.0, 'subtotal': 1571.02, 'porcentaje_de_igv': '18.00', 'igv': 282.78, 'total': 1853.8, 'moneda': '1', 'tipo_de_cambio': 1.0, 'id_estado': 'paid', 'nombre_estado': 'Pagado', 'evento': {'id_evento': '3051', 'nom_evento': 'Agua Marina en Pichanaki', 'fecha_hora_ini_event': '03-10-2025', 'fecha_hora_fin_event': '03-10-2025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11"/>
    <x v="6"/>
    <x v="6"/>
    <x v="1"/>
    <n v="1"/>
    <n v="1571.02"/>
    <n v="1853.8"/>
    <n v="0"/>
    <n v="1571.02"/>
    <n v="18"/>
    <n v="282.77999999999997"/>
    <n v="1853.8"/>
    <n v="1"/>
    <n v="1"/>
    <x v="0"/>
    <x v="0"/>
    <x v="1"/>
    <s v="SAMUEL CHUQUISTA"/>
    <x v="0"/>
    <s v="7012100 MercaderÃ­as-Venta Local-Terceros"/>
    <x v="6"/>
    <x v="97"/>
    <s v="Agua Marina en Pichanaki"/>
    <d v="2025-10-03T00:00:00"/>
    <d v="2025-10-03T00:00:00"/>
    <x v="63"/>
    <s v="JP Producciones Generales EIRL"/>
    <s v="Empresa"/>
    <x v="314"/>
  </r>
  <r>
    <x v="1"/>
    <x v="198"/>
    <s v="COLABORATIVA S.A.C."/>
    <x v="11"/>
    <d v="2025-11-03T18:11:09"/>
    <x v="75"/>
    <m/>
    <n v="1"/>
    <n v="73252959"/>
    <s v="[{'id_producto': 31208, 'codigo_producto': 2317, 'nom_producto': 'COMISION CORTESIA', 'categoria_producto': 'service', 'cantidad': '1.0', 'valor_unitario': 63.0, 'precio_unitario': 74.34, 'descuento': 0.0, 'subtotal': 63.0, 'porcentaje_de_igv': '18.00', 'igv': 11.34, 'total': 74.34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08"/>
    <x v="20"/>
    <x v="19"/>
    <x v="1"/>
    <n v="1"/>
    <n v="63"/>
    <n v="74.34"/>
    <n v="0"/>
    <n v="63"/>
    <n v="18"/>
    <n v="11.34"/>
    <n v="74.34"/>
    <n v="1"/>
    <n v="1"/>
    <x v="0"/>
    <x v="0"/>
    <x v="1"/>
    <s v="SAMUEL CHUQUISTA"/>
    <x v="0"/>
    <s v="7012100 MercaderÃ­as-Venta Local-Terceros"/>
    <x v="6"/>
    <x v="98"/>
    <s v="TrilogÃ­a de Oro con Max Castro, William Luna y Marco Antonio en Pucallpa"/>
    <d v="2025-10-04T00:00:00"/>
    <d v="2025-10-04T00:00:00"/>
    <x v="70"/>
    <s v="JOSELYN VERONICA GUTIERREZ HUANCA"/>
    <s v="Persona"/>
    <x v="315"/>
  </r>
  <r>
    <x v="1"/>
    <x v="199"/>
    <s v="COLABORATIVA S.A.C."/>
    <x v="11"/>
    <d v="2025-11-03T18:10:51"/>
    <x v="75"/>
    <m/>
    <n v="1"/>
    <n v="73252959"/>
    <s v="[{'id_producto': 31205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05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0"/>
    <s v="7012100 MercaderÃ­as-Venta Local-Terceros"/>
    <x v="6"/>
    <x v="98"/>
    <s v="TrilogÃ­a de Oro con Max Castro, William Luna y Marco Antonio en Pucallpa"/>
    <d v="2025-10-04T00:00:00"/>
    <d v="2025-10-04T00:00:00"/>
    <x v="70"/>
    <s v="JOSELYN VERONICA GUTIERREZ HUANCA"/>
    <s v="Persona"/>
    <x v="316"/>
  </r>
  <r>
    <x v="1"/>
    <x v="200"/>
    <s v="COLABORATIVA S.A.C."/>
    <x v="11"/>
    <d v="2025-11-03T18:10:33"/>
    <x v="75"/>
    <m/>
    <n v="1"/>
    <n v="73252959"/>
    <s v="[{'id_producto': 31202, 'codigo_producto': 1786, 'nom_producto': 'COMISION VAOPE SEGUN CONTRATO', 'categoria_producto': 'service', 'cantidad': '1.0', 'valor_unitario': 785.59, 'precio_unitario': 927.0, 'descuento': 0.0, 'subtotal': 785.59, 'porcentaje_de_igv': '18.00', 'igv': 141.41, 'total': 927.0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202"/>
    <x v="5"/>
    <x v="5"/>
    <x v="1"/>
    <n v="1"/>
    <n v="785.59"/>
    <n v="927"/>
    <n v="0"/>
    <n v="785.59"/>
    <n v="18"/>
    <n v="141.41"/>
    <n v="927"/>
    <n v="1"/>
    <n v="1"/>
    <x v="0"/>
    <x v="0"/>
    <x v="1"/>
    <s v="SAMUEL CHUQUISTA"/>
    <x v="0"/>
    <s v="7012100 MercaderÃ­as-Venta Local-Terceros"/>
    <x v="6"/>
    <x v="98"/>
    <s v="TrilogÃ­a de Oro con Max Castro, William Luna y Marco Antonio en Pucallpa"/>
    <d v="2025-10-04T00:00:00"/>
    <d v="2025-10-04T00:00:00"/>
    <x v="70"/>
    <s v="JOSELYN VERONICA GUTIERREZ HUANCA"/>
    <s v="Persona"/>
    <x v="317"/>
  </r>
  <r>
    <x v="1"/>
    <x v="201"/>
    <s v="COLABORATIVA S.A.C."/>
    <x v="11"/>
    <d v="2025-11-03T18:10:16"/>
    <x v="75"/>
    <m/>
    <n v="1"/>
    <n v="73252959"/>
    <s v="[{'id_producto': 31199, 'codigo_producto': 216, 'nom_producto': 'COMISION PAGOS DIGITALES SEGUN CONTRATO', 'categoria_producto': 'service', 'cantidad': '1.0', 'valor_unitario': 943.14, 'precio_unitario': 1112.91, 'descuento': 0.0, 'subtotal': 943.14, 'porcentaje_de_igv': '18.00', 'igv': 169.77, 'total': 1112.91, 'moneda': '1', 'tipo_de_cambio': 1.0, 'id_estado': 'paid', 'nombre_estado': 'Pagado', 'evento': {'id_evento': '3030', 'nom_evento': 'TrilogÃ­a de Oro con Max Castro, William Luna y Marco Antonio en Pucallpa', 'fecha_hora_ini_event': '04-10-2025', 'fecha_hora_fin_event': '04-10-2025', 'id_organizador': 5605, 'nom_organizador': 'JOSELYN VERONICA GUTIERREZ HUANC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99"/>
    <x v="6"/>
    <x v="6"/>
    <x v="1"/>
    <n v="1"/>
    <n v="943.14"/>
    <n v="1112.9100000000001"/>
    <n v="0"/>
    <n v="943.14"/>
    <n v="18"/>
    <n v="169.77"/>
    <n v="1112.9100000000001"/>
    <n v="1"/>
    <n v="1"/>
    <x v="0"/>
    <x v="0"/>
    <x v="1"/>
    <s v="SAMUEL CHUQUISTA"/>
    <x v="0"/>
    <s v="7012100 MercaderÃ­as-Venta Local-Terceros"/>
    <x v="6"/>
    <x v="98"/>
    <s v="TrilogÃ­a de Oro con Max Castro, William Luna y Marco Antonio en Pucallpa"/>
    <d v="2025-10-04T00:00:00"/>
    <d v="2025-10-04T00:00:00"/>
    <x v="70"/>
    <s v="JOSELYN VERONICA GUTIERREZ HUANCA"/>
    <s v="Persona"/>
    <x v="318"/>
  </r>
  <r>
    <x v="0"/>
    <x v="187"/>
    <s v="COLABORATIVA S.A.C."/>
    <x v="11"/>
    <d v="2025-11-03T18:08:04"/>
    <x v="76"/>
    <m/>
    <n v="6"/>
    <n v="20610320261"/>
    <s v="[{'id_producto': 31196, 'codigo_producto': 1786, 'nom_producto': 'COMISION VAOPE SEGUN CONTRATO', 'categoria_producto': 'service', 'cantidad': '1.0', 'valor_unitario': 1820.0, 'precio_unitario': 2147.6, 'descuento': 0.0, 'subtotal': 1820.0, 'porcentaje_de_igv': '18.00', 'igv': 327.6, 'total': 2147.6, 'moneda': '1', 'tipo_de_cambio': 1.0, 'id_estado': 'paid', 'nombre_estado': 'Pagado', 'evento': {'id_evento': '2897', 'nom_evento': 'Amaranta en Cusco', 'fecha_hora_ini_event': '02-10-2025', 'fecha_hora_fin_event': '02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96"/>
    <x v="5"/>
    <x v="5"/>
    <x v="1"/>
    <n v="1"/>
    <n v="1820"/>
    <n v="2147.6"/>
    <n v="0"/>
    <n v="1820"/>
    <n v="18"/>
    <n v="327.60000000000002"/>
    <n v="2147.6"/>
    <n v="1"/>
    <n v="1"/>
    <x v="0"/>
    <x v="0"/>
    <x v="1"/>
    <s v="SAMUEL CHUQUISTA"/>
    <x v="0"/>
    <s v="7012100 MercaderÃ­as-Venta Local-Terceros"/>
    <x v="6"/>
    <x v="99"/>
    <s v="Amaranta en Cusco"/>
    <d v="2025-10-02T00:00:00"/>
    <d v="2025-10-02T00:00:00"/>
    <x v="71"/>
    <s v="AMARANTA MUSIC CORP S.A.C."/>
    <s v="Empresa"/>
    <x v="319"/>
  </r>
  <r>
    <x v="0"/>
    <x v="188"/>
    <s v="COLABORATIVA S.A.C."/>
    <x v="11"/>
    <d v="2025-11-03T18:07:43"/>
    <x v="76"/>
    <m/>
    <n v="6"/>
    <n v="20610320261"/>
    <s v="[{'id_producto': 31193, 'codigo_producto': 216, 'nom_producto': 'COMISION PAGOS DIGITALES SEGUN CONTRATO', 'categoria_producto': 'service', 'cantidad': '1.0', 'valor_unitario': 2213.98, 'precio_unitario': 2612.5, 'descuento': 0.0, 'subtotal': 2213.98, 'porcentaje_de_igv': '18.00', 'igv': 398.52, 'total': 2612.5, 'moneda': '1', 'tipo_de_cambio': 1.0, 'id_estado': 'paid', 'nombre_estado': 'Pagado', 'evento': {'id_evento': '2897', 'nom_evento': 'Amaranta en Cusco', 'fecha_hora_ini_event': '02-10-2025', 'fecha_hora_fin_event': '02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93"/>
    <x v="6"/>
    <x v="6"/>
    <x v="1"/>
    <n v="1"/>
    <n v="2213.98"/>
    <n v="2612.5"/>
    <n v="0"/>
    <n v="2213.98"/>
    <n v="18"/>
    <n v="398.52"/>
    <n v="2612.5"/>
    <n v="1"/>
    <n v="1"/>
    <x v="0"/>
    <x v="0"/>
    <x v="1"/>
    <s v="SAMUEL CHUQUISTA"/>
    <x v="0"/>
    <s v="7012100 MercaderÃ­as-Venta Local-Terceros"/>
    <x v="6"/>
    <x v="99"/>
    <s v="Amaranta en Cusco"/>
    <d v="2025-10-02T00:00:00"/>
    <d v="2025-10-02T00:00:00"/>
    <x v="71"/>
    <s v="AMARANTA MUSIC CORP S.A.C."/>
    <s v="Empresa"/>
    <x v="320"/>
  </r>
  <r>
    <x v="0"/>
    <x v="189"/>
    <s v="COLABORATIVA S.A.C."/>
    <x v="11"/>
    <d v="2025-11-03T18:05:49"/>
    <x v="76"/>
    <m/>
    <n v="6"/>
    <n v="20610320261"/>
    <s v="[{'id_producto': 31190, 'codigo_producto': 2317, 'nom_producto': 'COMISION CORTESIA', 'categoria_producto': 'service', 'cantidad': '1.0', 'valor_unitario': 7.5, 'precio_unitario': 8.85, 'descuento': 0.0, 'subtotal': 7.5, 'porcentaje_de_igv': '18.00', 'igv': 1.35, 'total': 8.85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90"/>
    <x v="20"/>
    <x v="19"/>
    <x v="1"/>
    <n v="1"/>
    <n v="7.5"/>
    <n v="8.85"/>
    <n v="0"/>
    <n v="7.5"/>
    <n v="18"/>
    <n v="1.35"/>
    <n v="8.85"/>
    <n v="1"/>
    <n v="1"/>
    <x v="0"/>
    <x v="0"/>
    <x v="1"/>
    <s v="SAMUEL CHUQUISTA"/>
    <x v="0"/>
    <s v="7012100 MercaderÃ­as-Venta Local-Terceros"/>
    <x v="6"/>
    <x v="100"/>
    <s v="Amaranta en Juliaca"/>
    <d v="2025-10-03T00:00:00"/>
    <d v="2025-10-03T00:00:00"/>
    <x v="71"/>
    <s v="AMARANTA MUSIC CORP S.A.C."/>
    <s v="Empresa"/>
    <x v="321"/>
  </r>
  <r>
    <x v="0"/>
    <x v="190"/>
    <s v="COLABORATIVA S.A.C."/>
    <x v="11"/>
    <d v="2025-11-03T18:05:30"/>
    <x v="76"/>
    <m/>
    <n v="6"/>
    <n v="20610320261"/>
    <s v="[{'id_producto': 31187, 'codigo_producto': 1786, 'nom_producto': 'COMISION VAOPE SEGUN CONTRATO', 'categoria_producto': 'service', 'cantidad': '1.0', 'valor_unitario': 1174.24, 'precio_unitario': 1385.6, 'descuento': 0.0, 'subtotal': 1174.24, 'porcentaje_de_igv': '18.00', 'igv': 211.36, 'total': 1385.6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87"/>
    <x v="5"/>
    <x v="5"/>
    <x v="1"/>
    <n v="1"/>
    <n v="1174.24"/>
    <n v="1385.6"/>
    <n v="0"/>
    <n v="1174.24"/>
    <n v="18"/>
    <n v="211.36"/>
    <n v="1385.6"/>
    <n v="1"/>
    <n v="1"/>
    <x v="0"/>
    <x v="0"/>
    <x v="1"/>
    <s v="SAMUEL CHUQUISTA"/>
    <x v="0"/>
    <s v="7012100 MercaderÃ­as-Venta Local-Terceros"/>
    <x v="6"/>
    <x v="100"/>
    <s v="Amaranta en Juliaca"/>
    <d v="2025-10-03T00:00:00"/>
    <d v="2025-10-03T00:00:00"/>
    <x v="71"/>
    <s v="AMARANTA MUSIC CORP S.A.C."/>
    <s v="Empresa"/>
    <x v="322"/>
  </r>
  <r>
    <x v="0"/>
    <x v="191"/>
    <s v="COLABORATIVA S.A.C."/>
    <x v="11"/>
    <d v="2025-11-03T18:05:09"/>
    <x v="76"/>
    <m/>
    <n v="6"/>
    <n v="20610320261"/>
    <s v="[{'id_producto': 31184, 'codigo_producto': 216, 'nom_producto': 'COMISION PAGOS DIGITALES SEGUN CONTRATO', 'categoria_producto': 'service', 'cantidad': '1.0', 'valor_unitario': 1463.05, 'precio_unitario': 1726.4, 'descuento': 0.0, 'subtotal': 1463.05, 'porcentaje_de_igv': '18.00', 'igv': 263.35, 'total': 1726.4, 'moneda': '1', 'tipo_de_cambio': 1.0, 'id_estado': 'paid', 'nombre_estado': 'Pagado', 'evento': {'id_evento': '2899', 'nom_evento': 'Amaranta en Juliaca', 'fecha_hora_ini_event': '03-10-2025', 'fecha_hora_fin_event': '03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84"/>
    <x v="6"/>
    <x v="6"/>
    <x v="1"/>
    <n v="1"/>
    <n v="1463.05"/>
    <n v="1726.4"/>
    <n v="0"/>
    <n v="1463.05"/>
    <n v="18"/>
    <n v="263.35000000000002"/>
    <n v="1726.4"/>
    <n v="1"/>
    <n v="1"/>
    <x v="0"/>
    <x v="0"/>
    <x v="1"/>
    <s v="SAMUEL CHUQUISTA"/>
    <x v="0"/>
    <s v="7012100 MercaderÃ­as-Venta Local-Terceros"/>
    <x v="6"/>
    <x v="100"/>
    <s v="Amaranta en Juliaca"/>
    <d v="2025-10-03T00:00:00"/>
    <d v="2025-10-03T00:00:00"/>
    <x v="71"/>
    <s v="AMARANTA MUSIC CORP S.A.C."/>
    <s v="Empresa"/>
    <x v="323"/>
  </r>
  <r>
    <x v="0"/>
    <x v="192"/>
    <s v="COLABORATIVA S.A.C."/>
    <x v="11"/>
    <d v="2025-11-03T18:02:44"/>
    <x v="76"/>
    <m/>
    <n v="6"/>
    <n v="20610320261"/>
    <s v="[{'id_producto': 31181, 'codigo_producto': 2317, 'nom_producto': 'COMISION CORTESIA', 'categoria_producto': 'service', 'cantidad': '1.0', 'valor_unitario': 6.0, 'precio_unitario': 7.08, 'descuento': 0.0, 'subtotal': 6.0, 'porcentaje_de_igv': '18.00', 'igv': 1.08, 'total': 7.08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81"/>
    <x v="20"/>
    <x v="19"/>
    <x v="1"/>
    <n v="1"/>
    <n v="6"/>
    <n v="7.08"/>
    <n v="0"/>
    <n v="6"/>
    <n v="18"/>
    <n v="1.08"/>
    <n v="7.08"/>
    <n v="1"/>
    <n v="1"/>
    <x v="0"/>
    <x v="0"/>
    <x v="1"/>
    <s v="SAMUEL CHUQUISTA"/>
    <x v="0"/>
    <s v="7012100 MercaderÃ­as-Venta Local-Terceros"/>
    <x v="6"/>
    <x v="101"/>
    <s v="Amaranta en Arequipa"/>
    <d v="2025-10-04T00:00:00"/>
    <d v="2025-10-04T00:00:00"/>
    <x v="71"/>
    <s v="AMARANTA MUSIC CORP S.A.C."/>
    <s v="Empresa"/>
    <x v="324"/>
  </r>
  <r>
    <x v="0"/>
    <x v="193"/>
    <s v="COLABORATIVA S.A.C."/>
    <x v="11"/>
    <d v="2025-11-03T18:02:27"/>
    <x v="76"/>
    <m/>
    <n v="6"/>
    <n v="20610320261"/>
    <s v="[{'id_producto': 31178, 'codigo_producto': 1786, 'nom_producto': 'COMISION VAOPE SEGUN CONTRATO', 'categoria_producto': 'service', 'cantidad': '1.0', 'valor_unitario': 3056.19, 'precio_unitario': 3606.3, 'descuento': 0.0, 'subtotal': 3056.19, 'porcentaje_de_igv': '18.00', 'igv': 550.11, 'total': 3606.3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78"/>
    <x v="5"/>
    <x v="5"/>
    <x v="1"/>
    <n v="1"/>
    <n v="3056.19"/>
    <n v="3606.3"/>
    <n v="0"/>
    <n v="3056.19"/>
    <n v="18"/>
    <n v="550.11"/>
    <n v="3606.3"/>
    <n v="1"/>
    <n v="1"/>
    <x v="0"/>
    <x v="0"/>
    <x v="1"/>
    <s v="SAMUEL CHUQUISTA"/>
    <x v="0"/>
    <s v="7012100 MercaderÃ­as-Venta Local-Terceros"/>
    <x v="6"/>
    <x v="101"/>
    <s v="Amaranta en Arequipa"/>
    <d v="2025-10-04T00:00:00"/>
    <d v="2025-10-04T00:00:00"/>
    <x v="71"/>
    <s v="AMARANTA MUSIC CORP S.A.C."/>
    <s v="Empresa"/>
    <x v="325"/>
  </r>
  <r>
    <x v="0"/>
    <x v="194"/>
    <s v="COLABORATIVA S.A.C."/>
    <x v="11"/>
    <d v="2025-11-03T18:02:07"/>
    <x v="76"/>
    <m/>
    <n v="6"/>
    <n v="20610320261"/>
    <s v="[{'id_producto': 31175, 'codigo_producto': 216, 'nom_producto': 'COMISION PAGOS DIGITALES SEGUN CONTRATO', 'categoria_producto': 'service', 'cantidad': '1.0', 'valor_unitario': 3740.42, 'precio_unitario': 4413.7, 'descuento': 0.0, 'subtotal': 3740.42, 'porcentaje_de_igv': '18.00', 'igv': 673.28, 'total': 4413.7, 'moneda': '1', 'tipo_de_cambio': 1.0, 'id_estado': 'paid', 'nombre_estado': 'Pagado', 'evento': {'id_evento': '2898', 'nom_evento': 'Amaranta en Arequipa', 'fecha_hora_ini_event': '04-10-2025', 'fecha_hora_fin_event': '04-10-2025', 'id_organizador': 5586, 'nom_organizador': 'AMARANTA MUSIC CORP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75"/>
    <x v="6"/>
    <x v="6"/>
    <x v="1"/>
    <n v="1"/>
    <n v="3740.42"/>
    <n v="4413.7"/>
    <n v="0"/>
    <n v="3740.42"/>
    <n v="18"/>
    <n v="673.28"/>
    <n v="4413.7"/>
    <n v="1"/>
    <n v="1"/>
    <x v="0"/>
    <x v="0"/>
    <x v="1"/>
    <s v="SAMUEL CHUQUISTA"/>
    <x v="0"/>
    <s v="7012100 MercaderÃ­as-Venta Local-Terceros"/>
    <x v="6"/>
    <x v="101"/>
    <s v="Amaranta en Arequipa"/>
    <d v="2025-10-04T00:00:00"/>
    <d v="2025-10-04T00:00:00"/>
    <x v="71"/>
    <s v="AMARANTA MUSIC CORP S.A.C."/>
    <s v="Empresa"/>
    <x v="326"/>
  </r>
  <r>
    <x v="1"/>
    <x v="202"/>
    <s v="COLABORATIVA S.A.C."/>
    <x v="11"/>
    <d v="2025-11-03T17:59:07"/>
    <x v="77"/>
    <m/>
    <n v="1"/>
    <n v="46168918"/>
    <s v="[{'id_producto': 31172, 'codigo_producto': 2316, 'nom_producto': 'DELIVERY', 'categoria_producto': 'service', 'cantidad': '1.0', 'valor_unitario': 30.0, 'precio_unitario': 35.4, 'descuento': 0.0, 'subtotal': 30.0, 'porcentaje_de_igv': '18.00', 'igv': 5.4, 'total': 35.4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72"/>
    <x v="19"/>
    <x v="13"/>
    <x v="1"/>
    <n v="1"/>
    <n v="30"/>
    <n v="35.4"/>
    <n v="0"/>
    <n v="30"/>
    <n v="18"/>
    <n v="5.4"/>
    <n v="35.4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27"/>
  </r>
  <r>
    <x v="1"/>
    <x v="203"/>
    <s v="COLABORATIVA S.A.C."/>
    <x v="11"/>
    <d v="2025-11-03T17:58:49"/>
    <x v="77"/>
    <m/>
    <n v="1"/>
    <n v="46168918"/>
    <s v="[{'id_producto': 31169, 'codigo_producto': 2317, 'nom_producto': 'COMISION CORTESIA', 'categoria_producto': 'service', 'cantidad': '1.0', 'valor_unitario': 6.0, 'precio_unitario': 7.08, 'descuento': 0.0, 'subtotal': 6.0, 'porcentaje_de_igv': '18.00', 'igv': 1.08, 'total': 7.08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69"/>
    <x v="20"/>
    <x v="19"/>
    <x v="1"/>
    <n v="1"/>
    <n v="6"/>
    <n v="7.08"/>
    <n v="0"/>
    <n v="6"/>
    <n v="18"/>
    <n v="1.08"/>
    <n v="7.08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28"/>
  </r>
  <r>
    <x v="1"/>
    <x v="204"/>
    <s v="COLABORATIVA S.A.C."/>
    <x v="11"/>
    <d v="2025-11-03T17:55:13"/>
    <x v="77"/>
    <m/>
    <n v="1"/>
    <n v="46168918"/>
    <s v="[{'id_producto': 31166, 'codigo_producto': 2315, 'nom_producto': 'PAUTA PUBLICITARIA', 'categoria_producto': 'service', 'cantidad': '1.0', 'valor_unitario': 2687.46, 'precio_unitario': 3171.2, 'descuento': 0.0, 'subtotal': 2687.46, 'porcentaje_de_igv': '18.00', 'igv': 483.74, 'total': 3171.2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66"/>
    <x v="3"/>
    <x v="3"/>
    <x v="1"/>
    <n v="1"/>
    <n v="2687.46"/>
    <n v="3171.2"/>
    <n v="0"/>
    <n v="2687.46"/>
    <n v="18"/>
    <n v="483.74"/>
    <n v="3171.2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29"/>
  </r>
  <r>
    <x v="1"/>
    <x v="205"/>
    <s v="COLABORATIVA S.A.C."/>
    <x v="11"/>
    <d v="2025-11-03T17:54:53"/>
    <x v="77"/>
    <m/>
    <n v="1"/>
    <n v="46168918"/>
    <s v="[{'id_producto': 31163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63"/>
    <x v="21"/>
    <x v="4"/>
    <x v="1"/>
    <n v="1"/>
    <n v="100"/>
    <n v="118"/>
    <n v="0"/>
    <n v="100"/>
    <n v="18"/>
    <n v="18"/>
    <n v="118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0"/>
  </r>
  <r>
    <x v="1"/>
    <x v="206"/>
    <s v="COLABORATIVA S.A.C."/>
    <x v="11"/>
    <d v="2025-11-03T17:54:34"/>
    <x v="77"/>
    <m/>
    <n v="1"/>
    <n v="46168918"/>
    <s v="[{'id_producto': 31160, 'codigo_producto': 2320, 'nom_producto': 'FEE ADMINISTRATIVO', 'categoria_producto': 'service', 'cantidad': '1.0', 'valor_unitario': 100.0, 'precio_unitario': 118.0, 'descuento': 0.0, 'subtotal': 100.0, 'porcentaje_de_igv': '18.00', 'igv': 18.0, 'total': 118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60"/>
    <x v="21"/>
    <x v="4"/>
    <x v="1"/>
    <n v="1"/>
    <n v="100"/>
    <n v="118"/>
    <n v="0"/>
    <n v="100"/>
    <n v="18"/>
    <n v="18"/>
    <n v="118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1"/>
  </r>
  <r>
    <x v="1"/>
    <x v="207"/>
    <s v="COLABORATIVA S.A.C."/>
    <x v="11"/>
    <d v="2025-11-03T17:53:34"/>
    <x v="77"/>
    <m/>
    <n v="1"/>
    <n v="46168918"/>
    <s v="[{'id_producto': 31157, 'codigo_producto': 2314, 'nom_producto': 'SERV VALIDADORES', 'categoria_producto': 'service', 'cantidad': '1.0', 'valor_unitario': 300.0, 'precio_unitario': 354.0, 'descuento': 0.0, 'subtotal': 300.0, 'porcentaje_de_igv': '18.00', 'igv': 54.0, 'total': 354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57"/>
    <x v="10"/>
    <x v="10"/>
    <x v="1"/>
    <n v="1"/>
    <n v="300"/>
    <n v="354"/>
    <n v="0"/>
    <n v="300"/>
    <n v="18"/>
    <n v="54"/>
    <n v="354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2"/>
  </r>
  <r>
    <x v="1"/>
    <x v="208"/>
    <s v="COLABORATIVA S.A.C."/>
    <x v="11"/>
    <d v="2025-11-03T17:50:13"/>
    <x v="77"/>
    <m/>
    <n v="1"/>
    <n v="46168918"/>
    <s v="[{'id_producto': 31154, 'codigo_producto': 2324, 'nom_producto': 'ENTRADAS IMPRESAS', 'categoria_producto': 'consu', 'cantidad': '1.0', 'valor_unitario': 1630.51, 'precio_unitario': 1924.0, 'descuento': 0.0, 'subtotal': 1630.51, 'porcentaje_de_igv': '18.00', 'igv': 293.49, 'total': 1924.0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54"/>
    <x v="16"/>
    <x v="16"/>
    <x v="0"/>
    <n v="1"/>
    <n v="1630.51"/>
    <n v="1924"/>
    <n v="0"/>
    <n v="1630.51"/>
    <n v="18"/>
    <n v="293.49"/>
    <n v="1924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3"/>
  </r>
  <r>
    <x v="1"/>
    <x v="209"/>
    <s v="COLABORATIVA S.A.C."/>
    <x v="11"/>
    <d v="2025-11-03T17:49:49"/>
    <x v="77"/>
    <m/>
    <n v="1"/>
    <n v="46168918"/>
    <s v="[{'id_producto': 31151, 'codigo_producto': 1786, 'nom_producto': 'COMISION VAOPE SEGUN CONTRATO', 'categoria_producto': 'service', 'cantidad': '1.0', 'valor_unitario': 988.4, 'precio_unitario': 1166.31, 'descuento': 0.0, 'subtotal': 988.4, 'porcentaje_de_igv': '18.00', 'igv': 177.91, 'total': 1166.31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51"/>
    <x v="5"/>
    <x v="5"/>
    <x v="1"/>
    <n v="1"/>
    <n v="988.4"/>
    <n v="1166.31"/>
    <n v="0"/>
    <n v="988.4"/>
    <n v="18"/>
    <n v="177.91"/>
    <n v="1166.31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4"/>
  </r>
  <r>
    <x v="1"/>
    <x v="210"/>
    <s v="COLABORATIVA S.A.C."/>
    <x v="11"/>
    <d v="2025-11-03T17:49:18"/>
    <x v="77"/>
    <m/>
    <n v="1"/>
    <n v="46168918"/>
    <s v="[{'id_producto': 31148, 'codigo_producto': 216, 'nom_producto': 'COMISION PAGOS DIGITALES SEGUN CONTRATO', 'categoria_producto': 'service', 'cantidad': '1.0', 'valor_unitario': 904.65, 'precio_unitario': 1067.49, 'descuento': 0.0, 'subtotal': 904.65, 'porcentaje_de_igv': '18.00', 'igv': 162.84, 'total': 1067.49, 'moneda': '1', 'tipo_de_cambio': 1.0, 'id_estado': 'paid', 'nombre_estado': 'Pagado', 'evento': {'id_evento': '2953', 'nom_evento': 'Primer Festival de la MÃºsica Latino Americana en Chiclayo', 'fecha_hora_ini_event': '04-10-2025', 'fecha_hora_fin_event': '04-10-2025', 'id_organizador': 5592, 'nom_organizador': 'MANUEL CARLOS AMIAS SHAPIAMA', 'tipo_organizador': 'Person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48"/>
    <x v="6"/>
    <x v="6"/>
    <x v="1"/>
    <n v="1"/>
    <n v="904.65"/>
    <n v="1067.49"/>
    <n v="0"/>
    <n v="904.65"/>
    <n v="18"/>
    <n v="162.84"/>
    <n v="1067.49"/>
    <n v="1"/>
    <n v="1"/>
    <x v="0"/>
    <x v="0"/>
    <x v="1"/>
    <s v="SAMUEL CHUQUISTA"/>
    <x v="0"/>
    <s v="7012100 MercaderÃ­as-Venta Local-Terceros"/>
    <x v="6"/>
    <x v="102"/>
    <s v="Primer Festival de la MÃºsica Latino Americana en Chiclayo"/>
    <d v="2025-10-04T00:00:00"/>
    <d v="2025-10-04T00:00:00"/>
    <x v="72"/>
    <s v="MANUEL CARLOS AMIAS SHAPIAMA"/>
    <s v="Persona"/>
    <x v="335"/>
  </r>
  <r>
    <x v="0"/>
    <x v="195"/>
    <s v="COLABORATIVA S.A.C."/>
    <x v="11"/>
    <d v="2025-11-03T17:44:51"/>
    <x v="78"/>
    <m/>
    <n v="6"/>
    <n v="20559860701"/>
    <s v="[{'id_producto': 31145, 'codigo_producto': 1786, 'nom_producto': 'COMISION VAOPE SEGUN CONTRATO', 'categoria_producto': 'service', 'cantidad': '1.0', 'valor_unitario': 1934.24, 'precio_unitario': 2282.4, 'descuento': 0.0, 'subtotal': 1934.24, 'porcentaje_de_igv': '18.00', 'igv': 348.16, 'total': 2282.4, 'moneda': '1', 'tipo_de_cambio': 1.0, 'id_estado': 'paid', 'nombre_estado': 'Pagado', 'evento': {'id_evento': '3094', 'nom_evento': '24 Aniversario de Victor Manuel del PerÃº, Max Castro, Milder Ore y mÃ¡s en Trujillo', 'fecha_hora_ini_event': '05-10-2025', 'fecha_hora_fin_event': '05-10-202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45"/>
    <x v="5"/>
    <x v="5"/>
    <x v="1"/>
    <n v="1"/>
    <n v="1934.24"/>
    <n v="2282.4"/>
    <n v="0"/>
    <n v="1934.24"/>
    <n v="18"/>
    <n v="348.16"/>
    <n v="2282.4"/>
    <n v="1"/>
    <n v="1"/>
    <x v="0"/>
    <x v="0"/>
    <x v="1"/>
    <s v="SAMUEL CHUQUISTA"/>
    <x v="0"/>
    <s v="7012100 MercaderÃ­as-Venta Local-Terceros"/>
    <x v="6"/>
    <x v="103"/>
    <s v="24 Aniversario de Victor Manuel del PerÃº, Max Castro, Milder Ore y mÃ¡s en Trujillo"/>
    <d v="2025-10-05T00:00:00"/>
    <d v="2025-10-05T00:00:00"/>
    <x v="73"/>
    <s v="ALAN INVERSIONES &amp; REPRESENTACIONES S.A.C."/>
    <s v="Empresa"/>
    <x v="336"/>
  </r>
  <r>
    <x v="0"/>
    <x v="196"/>
    <s v="COLABORATIVA S.A.C."/>
    <x v="11"/>
    <d v="2025-11-03T17:44:32"/>
    <x v="78"/>
    <m/>
    <n v="6"/>
    <n v="20559860701"/>
    <s v="[{'id_producto': 31142, 'codigo_producto': 216, 'nom_producto': 'COMISION PAGOS DIGITALES SEGUN CONTRATO', 'categoria_producto': 'service', 'cantidad': '1.0', 'valor_unitario': 2316.61, 'precio_unitario': 2733.6, 'descuento': 0.0, 'subtotal': 2316.61, 'porcentaje_de_igv': '18.00', 'igv': 416.99, 'total': 2733.6, 'moneda': '1', 'tipo_de_cambio': 1.0, 'id_estado': 'paid', 'nombre_estado': 'Pagado', 'evento': {'id_evento': '3094', 'nom_evento': '24 Aniversario de Victor Manuel del PerÃº, Max Castro, Milder Ore y mÃ¡s en Trujillo', 'fecha_hora_ini_event': '05-10-2025', 'fecha_hora_fin_event': '05-10-2025', 'id_organizador': 5805, 'nom_organizador': 'ALAN INVERSIONES &amp; REPRESENTACIONES S.A.C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42"/>
    <x v="6"/>
    <x v="6"/>
    <x v="1"/>
    <n v="1"/>
    <n v="2316.61"/>
    <n v="2733.6"/>
    <n v="0"/>
    <n v="2316.61"/>
    <n v="18"/>
    <n v="416.99"/>
    <n v="2733.6"/>
    <n v="1"/>
    <n v="1"/>
    <x v="0"/>
    <x v="0"/>
    <x v="1"/>
    <s v="SAMUEL CHUQUISTA"/>
    <x v="0"/>
    <s v="7012100 MercaderÃ­as-Venta Local-Terceros"/>
    <x v="6"/>
    <x v="103"/>
    <s v="24 Aniversario de Victor Manuel del PerÃº, Max Castro, Milder Ore y mÃ¡s en Trujillo"/>
    <d v="2025-10-05T00:00:00"/>
    <d v="2025-10-05T00:00:00"/>
    <x v="73"/>
    <s v="ALAN INVERSIONES &amp; REPRESENTACIONES S.A.C."/>
    <s v="Empresa"/>
    <x v="337"/>
  </r>
  <r>
    <x v="0"/>
    <x v="197"/>
    <s v="COLABORATIVA S.A.C."/>
    <x v="11"/>
    <d v="2025-11-03T17:42:47"/>
    <x v="7"/>
    <m/>
    <n v="6"/>
    <n v="20509594903"/>
    <s v="[{'id_producto': 31139, 'codigo_producto': 1786, 'nom_producto': 'COMISION VAOPE SEGUN CONTRATO', 'categoria_producto': 'service', 'cantidad': '1.0', 'valor_unitario': 1427.8, 'precio_unitario': 1684.8, 'descuento': 0.0, 'subtotal': 1427.8, 'porcentaje_de_igv': '18.00', 'igv': 257.0, 'total': 1684.8, 'moneda': '1', 'tipo_de_cambio': 1.0, 'id_estado': 'paid', 'nombre_estado': 'Pagado', 'evento': {'id_evento': '3172', 'nom_evento': 'La Bella Luz en Pachacamac', 'fecha_hora_ini_event': '06-10-2025', 'fecha_hora_fin_event': '06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39"/>
    <x v="5"/>
    <x v="5"/>
    <x v="1"/>
    <n v="1"/>
    <n v="1427.8"/>
    <n v="1684.8"/>
    <n v="0"/>
    <n v="1427.8"/>
    <n v="18"/>
    <n v="257"/>
    <n v="1684.8"/>
    <n v="1"/>
    <n v="1"/>
    <x v="0"/>
    <x v="0"/>
    <x v="1"/>
    <s v="SAMUEL CHUQUISTA"/>
    <x v="0"/>
    <s v="7012100 MercaderÃ­as-Venta Local-Terceros"/>
    <x v="6"/>
    <x v="104"/>
    <s v="La Bella Luz en Pachacamac"/>
    <d v="2025-10-06T00:00:00"/>
    <d v="2025-10-06T00:00:00"/>
    <x v="7"/>
    <s v="EMPRESA MUSICAL INTERNACIONAL LA BELLA LUZ E.I.R.L."/>
    <s v="Empresa"/>
    <x v="338"/>
  </r>
  <r>
    <x v="0"/>
    <x v="198"/>
    <s v="COLABORATIVA S.A.C."/>
    <x v="11"/>
    <d v="2025-11-03T17:42:24"/>
    <x v="7"/>
    <m/>
    <n v="6"/>
    <n v="20509594903"/>
    <s v="[{'id_producto': 31136, 'codigo_producto': 216, 'nom_producto': 'COMISION PAGOS DIGITALES SEGUN CONTRATO', 'categoria_producto': 'service', 'cantidad': '1.0', 'valor_unitario': 976.78, 'precio_unitario': 1152.6, 'descuento': 0.0, 'subtotal': 976.78, 'porcentaje_de_igv': '18.00', 'igv': 175.82, 'total': 1152.6, 'moneda': '1', 'tipo_de_cambio': 1.0, 'id_estado': 'paid', 'nombre_estado': 'Pagado', 'evento': {'id_evento': '3172', 'nom_evento': 'La Bella Luz en Pachacamac', 'fecha_hora_ini_event': '06-10-2025', 'fecha_hora_fin_event': '06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5T00:00:00"/>
    <m/>
    <m/>
    <m/>
    <m/>
    <m/>
    <n v="31136"/>
    <x v="6"/>
    <x v="6"/>
    <x v="1"/>
    <n v="1"/>
    <n v="976.78"/>
    <n v="1152.5999999999999"/>
    <n v="0"/>
    <n v="976.78"/>
    <n v="18"/>
    <n v="175.82"/>
    <n v="1152.5999999999999"/>
    <n v="1"/>
    <n v="1"/>
    <x v="0"/>
    <x v="0"/>
    <x v="1"/>
    <s v="SAMUEL CHUQUISTA"/>
    <x v="0"/>
    <s v="7012100 MercaderÃ­as-Venta Local-Terceros"/>
    <x v="6"/>
    <x v="104"/>
    <s v="La Bella Luz en Pachacamac"/>
    <d v="2025-10-06T00:00:00"/>
    <d v="2025-10-06T00:00:00"/>
    <x v="7"/>
    <s v="EMPRESA MUSICAL INTERNACIONAL LA BELLA LUZ E.I.R.L."/>
    <s v="Empresa"/>
    <x v="339"/>
  </r>
  <r>
    <x v="0"/>
    <x v="199"/>
    <s v="COLABORATIVA S.A.C."/>
    <x v="12"/>
    <d v="2025-11-03T15:08:24"/>
    <x v="79"/>
    <m/>
    <n v="6"/>
    <n v="10461667983"/>
    <s v="[{'id_producto': 31129, 'codigo_producto': 1786, 'nom_producto': 'COMISION VAOPE SEGUN CONTRATO', 'categoria_producto': 'service', 'cantidad': '1.0', 'valor_unitario': 651.53, 'precio_unitario': 768.81, 'descuento': 0.0, 'subtotal': 651.53, 'porcentaje_de_igv': '18.00', 'igv': 117.28, 'total': 768.81, 'moneda': '1', 'tipo_de_cambio': 1.0, 'id_estado': 'paid', 'nombre_estado': 'Pagado', 'evento': {'id_evento': '3092', 'nom_evento': 'Desde Colombia Lil Silvio &amp; El Vega en Cajamarca', 'fecha_hora_ini_event': '07-10-2025', 'fecha_hora_fin_event': '07-10-2025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29"/>
    <x v="5"/>
    <x v="5"/>
    <x v="1"/>
    <n v="1"/>
    <n v="651.53"/>
    <n v="768.81"/>
    <n v="0"/>
    <n v="651.53"/>
    <n v="18"/>
    <n v="117.28"/>
    <n v="768.81"/>
    <n v="1"/>
    <n v="1"/>
    <x v="0"/>
    <x v="0"/>
    <x v="1"/>
    <s v="SAMUEL CHUQUISTA"/>
    <x v="0"/>
    <s v="7012100 MercaderÃ­as-Venta Local-Terceros"/>
    <x v="6"/>
    <x v="105"/>
    <s v="Desde Colombia Lil Silvio &amp; El Vega en Cajamarca"/>
    <d v="2025-10-07T00:00:00"/>
    <d v="2025-10-07T00:00:00"/>
    <x v="74"/>
    <s v="RIVERA GUERRERO ANGGELA RINA"/>
    <s v="Empresa"/>
    <x v="340"/>
  </r>
  <r>
    <x v="0"/>
    <x v="200"/>
    <s v="COLABORATIVA S.A.C."/>
    <x v="12"/>
    <d v="2025-11-03T15:08:04"/>
    <x v="79"/>
    <m/>
    <n v="6"/>
    <n v="10461667983"/>
    <s v="[{'id_producto': 31126, 'codigo_producto': 216, 'nom_producto': 'COMISION PAGOS DIGITALES SEGUN CONTRATO', 'categoria_producto': 'service', 'cantidad': '1.0', 'valor_unitario': 556.44, 'precio_unitario': 656.6, 'descuento': 0.0, 'subtotal': 556.44, 'porcentaje_de_igv': '18.00', 'igv': 100.16, 'total': 656.6, 'moneda': '1', 'tipo_de_cambio': 1.0, 'id_estado': 'paid', 'nombre_estado': 'Pagado', 'evento': {'id_evento': '3092', 'nom_evento': 'Desde Colombia Lil Silvio &amp; El Vega en Cajamarca', 'fecha_hora_ini_event': '07-10-2025', 'fecha_hora_fin_event': '07-10-2025', 'id_organizador': 5804, 'nom_organizador': 'RIVERA GUERRERO ANGGELA RINA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26"/>
    <x v="6"/>
    <x v="6"/>
    <x v="1"/>
    <n v="1"/>
    <n v="556.44000000000005"/>
    <n v="656.6"/>
    <n v="0"/>
    <n v="556.44000000000005"/>
    <n v="18"/>
    <n v="100.16"/>
    <n v="656.6"/>
    <n v="1"/>
    <n v="1"/>
    <x v="0"/>
    <x v="0"/>
    <x v="1"/>
    <s v="SAMUEL CHUQUISTA"/>
    <x v="0"/>
    <s v="7012100 MercaderÃ­as-Venta Local-Terceros"/>
    <x v="6"/>
    <x v="105"/>
    <s v="Desde Colombia Lil Silvio &amp; El Vega en Cajamarca"/>
    <d v="2025-10-07T00:00:00"/>
    <d v="2025-10-07T00:00:00"/>
    <x v="74"/>
    <s v="RIVERA GUERRERO ANGGELA RINA"/>
    <s v="Empresa"/>
    <x v="341"/>
  </r>
  <r>
    <x v="1"/>
    <x v="211"/>
    <s v="COLABORATIVA S.A.C."/>
    <x v="12"/>
    <d v="2025-11-03T14:51:15"/>
    <x v="80"/>
    <s v="Cliente"/>
    <n v="1"/>
    <n v="43908595"/>
    <s v="[{'id_producto': 31122, 'codigo_producto': 2316, 'nom_producto': 'DELIVERY', 'categoria_producto': 'service', 'cantidad': '1.0', 'valor_unitario': 60.0, 'precio_unitario': 70.8, 'descuento': 0.0, 'subtotal': 60.0, 'porcentaje_de_igv': '18.00', 'igv': 10.8, 'total': 70.8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22"/>
    <x v="19"/>
    <x v="13"/>
    <x v="1"/>
    <n v="1"/>
    <n v="60"/>
    <n v="70.8"/>
    <n v="0"/>
    <n v="60"/>
    <n v="18"/>
    <n v="10.8"/>
    <n v="70.8"/>
    <n v="1"/>
    <n v="1"/>
    <x v="0"/>
    <x v="0"/>
    <x v="1"/>
    <s v="SAMUEL CHUQUISTA"/>
    <x v="0"/>
    <s v="7012100 MercaderÃ­as-Venta Local-Terceros"/>
    <x v="6"/>
    <x v="106"/>
    <s v="Agua Marina en Barranca"/>
    <d v="2025-10-07T00:00:00"/>
    <d v="2025-10-07T00:00:00"/>
    <x v="75"/>
    <s v="JESUS MANUEL COTRINA CORPUS"/>
    <s v="Persona"/>
    <x v="342"/>
  </r>
  <r>
    <x v="0"/>
    <x v="201"/>
    <s v="COLABORATIVA S.A.C."/>
    <x v="12"/>
    <d v="2025-11-03T09:36:40"/>
    <x v="81"/>
    <m/>
    <n v="6"/>
    <n v="20480413700"/>
    <s v="[{'id_producto': 31111, 'codigo_producto': 2317, 'nom_producto': 'COMISION CORTESIA', 'categoria_producto': 'service', 'cantidad': '1.0', 'valor_unitario': 12.5, 'precio_unitario': 14.75, 'descuento': 0.0, 'subtotal': 12.5, 'porcentaje_de_igv': '18.00', 'igv': 2.25, 'total': 14.75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11"/>
    <x v="20"/>
    <x v="19"/>
    <x v="1"/>
    <n v="1"/>
    <n v="12.5"/>
    <n v="14.75"/>
    <n v="0"/>
    <n v="12.5"/>
    <n v="18"/>
    <n v="2.25"/>
    <n v="14.75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43"/>
  </r>
  <r>
    <x v="0"/>
    <x v="202"/>
    <s v="COLABORATIVA S.A.C."/>
    <x v="12"/>
    <d v="2025-11-03T09:36:08"/>
    <x v="81"/>
    <m/>
    <n v="6"/>
    <n v="20480413700"/>
    <s v="[{'id_producto': 31108, 'codigo_producto': 2315, 'nom_producto': 'PAUTA PUBLICITARIA', 'categoria_producto': 'service', 'cantidad': '1.0', 'valor_unitario': 1271.19, 'precio_unitario': 1500.0, 'descuento': 0.0, 'subtotal': 1271.19, 'porcentaje_de_igv': '18.00', 'igv': 228.81, 'total': 1500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08"/>
    <x v="3"/>
    <x v="3"/>
    <x v="1"/>
    <n v="1"/>
    <n v="1271.19"/>
    <n v="1500"/>
    <n v="0"/>
    <n v="1271.19"/>
    <n v="18"/>
    <n v="228.81"/>
    <n v="1500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44"/>
  </r>
  <r>
    <x v="0"/>
    <x v="203"/>
    <s v="COLABORATIVA S.A.C."/>
    <x v="12"/>
    <d v="2025-11-03T09:29:12"/>
    <x v="81"/>
    <m/>
    <n v="6"/>
    <n v="20480413700"/>
    <s v="[{'id_producto': 31105, 'codigo_producto': 1786, 'nom_producto': 'COMISION VAOPE SEGUN CONTRATO', 'categoria_producto': 'service', 'cantidad': '1.0', 'valor_unitario': 4676.95, 'precio_unitario': 5518.8, 'descuento': 0.0, 'subtotal': 4676.95, 'porcentaje_de_igv': '18.00', 'igv': 841.85, 'total': 5518.8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05"/>
    <x v="5"/>
    <x v="5"/>
    <x v="1"/>
    <n v="1"/>
    <n v="4676.95"/>
    <n v="5518.8"/>
    <n v="0"/>
    <n v="4676.95"/>
    <n v="18"/>
    <n v="841.85"/>
    <n v="5518.8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45"/>
  </r>
  <r>
    <x v="0"/>
    <x v="204"/>
    <s v="COLABORATIVA S.A.C."/>
    <x v="12"/>
    <d v="2025-11-03T09:28:44"/>
    <x v="81"/>
    <m/>
    <n v="6"/>
    <n v="20480413700"/>
    <s v="[{'id_producto': 31102, 'codigo_producto': 2314, 'nom_producto': 'SERV VALIDADORES', 'categoria_producto': 'service', 'cantidad': '1.0', 'valor_unitario': 150.0, 'precio_unitario': 177.0, 'descuento': 0.0, 'subtotal': 150.0, 'porcentaje_de_igv': '18.00', 'igv': 27.0, 'total': 177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102"/>
    <x v="10"/>
    <x v="10"/>
    <x v="1"/>
    <n v="1"/>
    <n v="150"/>
    <n v="177"/>
    <n v="0"/>
    <n v="150"/>
    <n v="18"/>
    <n v="27"/>
    <n v="177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46"/>
  </r>
  <r>
    <x v="0"/>
    <x v="205"/>
    <s v="COLABORATIVA S.A.C."/>
    <x v="12"/>
    <d v="2025-11-03T09:25:52"/>
    <x v="81"/>
    <m/>
    <n v="6"/>
    <n v="20480413700"/>
    <s v="[{'id_producto': 31099, 'codigo_producto': 2324, 'nom_producto': 'ENTRADAS IMPRESAS', 'categoria_producto': 'consu', 'cantidad': '1.0', 'valor_unitario': 900.0, 'precio_unitario': 1062.0, 'descuento': 0.0, 'subtotal': 900.0, 'porcentaje_de_igv': '18.00', 'igv': 162.0, 'total': 1062.0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14T00:00:00"/>
    <m/>
    <m/>
    <m/>
    <m/>
    <m/>
    <n v="31099"/>
    <x v="16"/>
    <x v="16"/>
    <x v="0"/>
    <n v="1"/>
    <n v="900"/>
    <n v="1062"/>
    <n v="0"/>
    <n v="900"/>
    <n v="18"/>
    <n v="162"/>
    <n v="1062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47"/>
  </r>
  <r>
    <x v="1"/>
    <x v="212"/>
    <s v="COLABORATIVA S.A.C."/>
    <x v="13"/>
    <d v="2025-11-03T18:37:47"/>
    <x v="80"/>
    <s v="Cliente"/>
    <n v="1"/>
    <n v="43908595"/>
    <s v="[{'id_producto': 31091, 'codigo_producto': 2315, 'nom_producto': 'PAUTA PUBLICITARIA', 'categoria_producto': 'service', 'cantidad': '1.0', 'valor_unitario': 500.0, 'precio_unitario': 590.0, 'descuento': 0.0, 'subtotal': 500.0, 'porcentaje_de_igv': '18.00', 'igv': 90.0, 'total': 590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91"/>
    <x v="3"/>
    <x v="3"/>
    <x v="1"/>
    <n v="1"/>
    <n v="500"/>
    <n v="590"/>
    <n v="0"/>
    <n v="500"/>
    <n v="18"/>
    <n v="90"/>
    <n v="590"/>
    <n v="1"/>
    <n v="1"/>
    <x v="0"/>
    <x v="0"/>
    <x v="1"/>
    <s v="SAMUEL CHUQUISTA"/>
    <x v="0"/>
    <s v="7012100 MercaderÃ­as-Venta Local-Terceros"/>
    <x v="6"/>
    <x v="106"/>
    <s v="Agua Marina en Barranca"/>
    <d v="2025-10-07T00:00:00"/>
    <d v="2025-10-07T00:00:00"/>
    <x v="75"/>
    <s v="JESUS MANUEL COTRINA CORPUS"/>
    <s v="Persona"/>
    <x v="348"/>
  </r>
  <r>
    <x v="1"/>
    <x v="213"/>
    <s v="COLABORATIVA S.A.C."/>
    <x v="13"/>
    <d v="2025-11-03T18:36:58"/>
    <x v="80"/>
    <s v="Cliente"/>
    <n v="1"/>
    <n v="43908595"/>
    <s v="[{'id_producto': 31088, 'codigo_producto': 2324, 'nom_producto': 'ENTRADAS IMPRESAS', 'categoria_producto': 'consu', 'cantidad': '1.0', 'valor_unitario': 1000.0, 'precio_unitario': 1180.0, 'descuento': 0.0, 'subtotal': 1000.0, 'porcentaje_de_igv': '18.00', 'igv': 180.0, 'total': 1180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4, 'nom_distribucion': 'Impresos', 'sub_categoria': 'OPERATIVOS', 'porcentaje': '100.00'}]]}]"/>
    <d v="2025-10-13T00:00:00"/>
    <m/>
    <m/>
    <m/>
    <m/>
    <m/>
    <n v="31088"/>
    <x v="16"/>
    <x v="16"/>
    <x v="0"/>
    <n v="1"/>
    <n v="1000"/>
    <n v="1180"/>
    <n v="0"/>
    <n v="1000"/>
    <n v="18"/>
    <n v="180"/>
    <n v="1180"/>
    <n v="1"/>
    <n v="1"/>
    <x v="0"/>
    <x v="0"/>
    <x v="1"/>
    <s v="SAMUEL CHUQUISTA"/>
    <x v="0"/>
    <s v="7012100 MercaderÃ­as-Venta Local-Terceros"/>
    <x v="10"/>
    <x v="106"/>
    <s v="Agua Marina en Barranca"/>
    <d v="2025-10-07T00:00:00"/>
    <d v="2025-10-07T00:00:00"/>
    <x v="75"/>
    <s v="JESUS MANUEL COTRINA CORPUS"/>
    <s v="Persona"/>
    <x v="349"/>
  </r>
  <r>
    <x v="1"/>
    <x v="214"/>
    <s v="COLABORATIVA S.A.C."/>
    <x v="13"/>
    <d v="2025-11-03T18:30:55"/>
    <x v="80"/>
    <s v="Cliente"/>
    <n v="1"/>
    <n v="43908595"/>
    <s v="[{'id_producto': 31085, 'codigo_producto': 2318, 'nom_producto': 'SERV DEVOLUCIONES', 'categoria_producto': 'service', 'cantidad': '1.0', 'valor_unitario': 1800.0, 'precio_unitario': 2124.0, 'descuento': 0.0, 'subtotal': 1800.0, 'porcentaje_de_igv': '18.00', 'igv': 324.0, 'total': 2124.0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85"/>
    <x v="8"/>
    <x v="8"/>
    <x v="1"/>
    <n v="1"/>
    <n v="1800"/>
    <n v="2124"/>
    <n v="0"/>
    <n v="1800"/>
    <n v="18"/>
    <n v="324"/>
    <n v="2124"/>
    <n v="1"/>
    <n v="1"/>
    <x v="0"/>
    <x v="0"/>
    <x v="1"/>
    <s v="SAMUEL CHUQUISTA"/>
    <x v="0"/>
    <s v="7012100 MercaderÃ­as-Venta Local-Terceros"/>
    <x v="6"/>
    <x v="106"/>
    <s v="Agua Marina en Barranca"/>
    <d v="2025-10-07T00:00:00"/>
    <d v="2025-10-07T00:00:00"/>
    <x v="75"/>
    <s v="JESUS MANUEL COTRINA CORPUS"/>
    <s v="Persona"/>
    <x v="350"/>
  </r>
  <r>
    <x v="1"/>
    <x v="215"/>
    <s v="COLABORATIVA S.A.C."/>
    <x v="13"/>
    <d v="2025-11-03T18:30:30"/>
    <x v="80"/>
    <s v="Cliente"/>
    <n v="1"/>
    <n v="43908595"/>
    <s v="[{'id_producto': 31082, 'codigo_producto': 1786, 'nom_producto': 'COMISION VAOPE SEGUN CONTRATO', 'categoria_producto': 'service', 'cantidad': '1.0', 'valor_unitario': 638.31, 'precio_unitario': 753.21, 'descuento': 0.0, 'subtotal': 638.31, 'porcentaje_de_igv': '18.00', 'igv': 114.9, 'total': 753.21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82"/>
    <x v="5"/>
    <x v="5"/>
    <x v="1"/>
    <n v="1"/>
    <n v="638.30999999999995"/>
    <n v="753.21"/>
    <n v="0"/>
    <n v="638.30999999999995"/>
    <n v="18"/>
    <n v="114.9"/>
    <n v="753.21"/>
    <n v="1"/>
    <n v="1"/>
    <x v="0"/>
    <x v="0"/>
    <x v="1"/>
    <s v="SAMUEL CHUQUISTA"/>
    <x v="0"/>
    <s v="7012100 MercaderÃ­as-Venta Local-Terceros"/>
    <x v="6"/>
    <x v="106"/>
    <s v="Agua Marina en Barranca"/>
    <d v="2025-10-07T00:00:00"/>
    <d v="2025-10-07T00:00:00"/>
    <x v="75"/>
    <s v="JESUS MANUEL COTRINA CORPUS"/>
    <s v="Persona"/>
    <x v="351"/>
  </r>
  <r>
    <x v="1"/>
    <x v="216"/>
    <s v="COLABORATIVA S.A.C."/>
    <x v="13"/>
    <d v="2025-11-03T18:29:59"/>
    <x v="80"/>
    <s v="Cliente"/>
    <n v="1"/>
    <n v="43908595"/>
    <s v="[{'id_producto': 31079, 'codigo_producto': 216, 'nom_producto': 'COMISION PAGOS DIGITALES SEGUN CONTRATO', 'categoria_producto': 'service', 'cantidad': '1.0', 'valor_unitario': 652.2, 'precio_unitario': 769.6, 'descuento': 0.0, 'subtotal': 652.2, 'porcentaje_de_igv': '18.00', 'igv': 117.4, 'total': 769.6, 'moneda': '1', 'tipo_de_cambio': 1.0, 'id_estado': 'paid', 'nombre_estado': 'Pagado', 'evento': {'id_evento': '3123', 'nom_evento': 'Agua Marina en Barranca', 'fecha_hora_ini_event': '07-10-2025', 'fecha_hora_fin_event': '07-10-2025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79"/>
    <x v="6"/>
    <x v="6"/>
    <x v="1"/>
    <n v="1"/>
    <n v="652.20000000000005"/>
    <n v="769.6"/>
    <n v="0"/>
    <n v="652.20000000000005"/>
    <n v="18"/>
    <n v="117.4"/>
    <n v="769.6"/>
    <n v="1"/>
    <n v="1"/>
    <x v="0"/>
    <x v="0"/>
    <x v="1"/>
    <s v="SAMUEL CHUQUISTA"/>
    <x v="0"/>
    <s v="7012100 MercaderÃ­as-Venta Local-Terceros"/>
    <x v="6"/>
    <x v="106"/>
    <s v="Agua Marina en Barranca"/>
    <d v="2025-10-07T00:00:00"/>
    <d v="2025-10-07T00:00:00"/>
    <x v="75"/>
    <s v="JESUS MANUEL COTRINA CORPUS"/>
    <s v="Persona"/>
    <x v="352"/>
  </r>
  <r>
    <x v="0"/>
    <x v="206"/>
    <s v="COLABORATIVA S.A.C."/>
    <x v="13"/>
    <d v="2025-11-03T18:26:54"/>
    <x v="7"/>
    <m/>
    <n v="6"/>
    <n v="20509594903"/>
    <s v="[{'id_producto': 31076, 'codigo_producto': 2317, 'nom_producto': 'COMISION CORTESIA', 'categoria_producto': 'service', 'cantidad': '1.0', 'valor_unitario': 75.0, 'precio_unitario': 88.5, 'descuento': 0.0, 'subtotal': 75.0, 'porcentaje_de_igv': '18.00', 'igv': 13.5, 'total': 88.5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76"/>
    <x v="20"/>
    <x v="19"/>
    <x v="1"/>
    <n v="1"/>
    <n v="75"/>
    <n v="88.5"/>
    <n v="0"/>
    <n v="75"/>
    <n v="18"/>
    <n v="13.5"/>
    <n v="88.5"/>
    <n v="1"/>
    <n v="1"/>
    <x v="0"/>
    <x v="0"/>
    <x v="1"/>
    <s v="SAMUEL CHUQUISTA"/>
    <x v="0"/>
    <s v="7012100 MercaderÃ­as-Venta Local-Terceros"/>
    <x v="6"/>
    <x v="108"/>
    <s v="Feliz DÃ­a de la Suegra con la Bella Luz y mÃ¡s en El Huaralino"/>
    <d v="2025-10-07T00:00:00"/>
    <d v="2025-10-07T00:00:00"/>
    <x v="7"/>
    <s v="EMPRESA MUSICAL INTERNACIONAL LA BELLA LUZ E.I.R.L."/>
    <s v="Empresa"/>
    <x v="353"/>
  </r>
  <r>
    <x v="0"/>
    <x v="207"/>
    <s v="COLABORATIVA S.A.C."/>
    <x v="13"/>
    <d v="2025-11-03T18:26:34"/>
    <x v="7"/>
    <m/>
    <n v="6"/>
    <n v="20509594903"/>
    <s v="[{'id_producto': 31073, 'codigo_producto': 2315, 'nom_producto': 'PAUTA PUBLICITARIA', 'categoria_producto': 'service', 'cantidad': '1.0', 'valor_unitario': 423.73, 'precio_unitario': 500.0, 'descuento': 0.0, 'subtotal': 423.73, 'porcentaje_de_igv': '18.00', 'igv': 76.27, 'total': 500.0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73"/>
    <x v="3"/>
    <x v="3"/>
    <x v="1"/>
    <n v="1"/>
    <n v="423.73"/>
    <n v="500"/>
    <n v="0"/>
    <n v="423.73"/>
    <n v="18"/>
    <n v="76.27"/>
    <n v="500"/>
    <n v="1"/>
    <n v="1"/>
    <x v="0"/>
    <x v="0"/>
    <x v="1"/>
    <s v="SAMUEL CHUQUISTA"/>
    <x v="0"/>
    <s v="7012100 MercaderÃ­as-Venta Local-Terceros"/>
    <x v="6"/>
    <x v="108"/>
    <s v="Feliz DÃ­a de la Suegra con la Bella Luz y mÃ¡s en El Huaralino"/>
    <d v="2025-10-07T00:00:00"/>
    <d v="2025-10-07T00:00:00"/>
    <x v="7"/>
    <s v="EMPRESA MUSICAL INTERNACIONAL LA BELLA LUZ E.I.R.L."/>
    <s v="Empresa"/>
    <x v="354"/>
  </r>
  <r>
    <x v="0"/>
    <x v="208"/>
    <s v="COLABORATIVA S.A.C."/>
    <x v="13"/>
    <d v="2025-11-03T18:26:17"/>
    <x v="7"/>
    <m/>
    <n v="6"/>
    <n v="20509594903"/>
    <s v="[{'id_producto': 31070, 'codigo_producto': 1786, 'nom_producto': 'COMISION VAOPE SEGUN CONTRATO', 'categoria_producto': 'service', 'cantidad': '1.0', 'valor_unitario': 1695.17, 'precio_unitario': 2000.3, 'descuento': 0.0, 'subtotal': 1695.17, 'porcentaje_de_igv': '18.00', 'igv': 305.13, 'total': 2000.3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70"/>
    <x v="5"/>
    <x v="5"/>
    <x v="1"/>
    <n v="1"/>
    <n v="1695.17"/>
    <n v="2000.3"/>
    <n v="0"/>
    <n v="1695.17"/>
    <n v="18"/>
    <n v="305.13"/>
    <n v="2000.3"/>
    <n v="1"/>
    <n v="1"/>
    <x v="0"/>
    <x v="0"/>
    <x v="1"/>
    <s v="SAMUEL CHUQUISTA"/>
    <x v="0"/>
    <s v="7012100 MercaderÃ­as-Venta Local-Terceros"/>
    <x v="6"/>
    <x v="108"/>
    <s v="Feliz DÃ­a de la Suegra con la Bella Luz y mÃ¡s en El Huaralino"/>
    <d v="2025-10-07T00:00:00"/>
    <d v="2025-10-07T00:00:00"/>
    <x v="7"/>
    <s v="EMPRESA MUSICAL INTERNACIONAL LA BELLA LUZ E.I.R.L."/>
    <s v="Empresa"/>
    <x v="355"/>
  </r>
  <r>
    <x v="0"/>
    <x v="209"/>
    <s v="COLABORATIVA S.A.C."/>
    <x v="13"/>
    <d v="2025-11-03T18:25:53"/>
    <x v="7"/>
    <m/>
    <n v="6"/>
    <n v="20509594903"/>
    <s v="[{'id_producto': 31067, 'codigo_producto': 216, 'nom_producto': 'COMISION PAGOS DIGITALES SEGUN CONTRATO', 'categoria_producto': 'service', 'cantidad': '1.0', 'valor_unitario': 1163.56, 'precio_unitario': 1373.0, 'descuento': 0.0, 'subtotal': 1163.56, 'porcentaje_de_igv': '18.00', 'igv': 209.44, 'total': 1373.0, 'moneda': '1', 'tipo_de_cambio': 1.0, 'id_estado': 'paid', 'nombre_estado': 'Pagado', 'evento': {'id_evento': '3168', 'nom_evento': 'Feliz DÃ­a de la Suegra con la Bella Luz y mÃ¡s en El Huaralino', 'fecha_hora_ini_event': '07-10-2025', 'fecha_hora_fin_event': '07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67"/>
    <x v="6"/>
    <x v="6"/>
    <x v="1"/>
    <n v="1"/>
    <n v="1163.56"/>
    <n v="1373"/>
    <n v="0"/>
    <n v="1163.56"/>
    <n v="18"/>
    <n v="209.44"/>
    <n v="1373"/>
    <n v="1"/>
    <n v="1"/>
    <x v="0"/>
    <x v="0"/>
    <x v="1"/>
    <s v="SAMUEL CHUQUISTA"/>
    <x v="0"/>
    <s v="7012100 MercaderÃ­as-Venta Local-Terceros"/>
    <x v="6"/>
    <x v="108"/>
    <s v="Feliz DÃ­a de la Suegra con la Bella Luz y mÃ¡s en El Huaralino"/>
    <d v="2025-10-07T00:00:00"/>
    <d v="2025-10-07T00:00:00"/>
    <x v="7"/>
    <s v="EMPRESA MUSICAL INTERNACIONAL LA BELLA LUZ E.I.R.L."/>
    <s v="Empresa"/>
    <x v="356"/>
  </r>
  <r>
    <x v="0"/>
    <x v="210"/>
    <s v="COLABORATIVA S.A.C."/>
    <x v="13"/>
    <d v="2025-11-03T18:22:43"/>
    <x v="82"/>
    <m/>
    <n v="6"/>
    <n v="20613294814"/>
    <s v="[{'id_producto': 31064, 'codigo_producto': 1786, 'nom_producto': 'COMISION VAOPE SEGUN CONTRATO', 'categoria_producto': 'service', 'cantidad': '1.0', 'valor_unitario': 375.53, 'precio_unitario': 443.13, 'descuento': 0.0, 'subtotal': 375.53, 'porcentaje_de_igv': '18.00', 'igv': 67.6, 'total': 443.13, 'moneda': '1', 'tipo_de_cambio': 1.0, 'id_estado': 'paid', 'nombre_estado': 'Pagado', 'evento': {'id_evento': '3147', 'nom_evento': 'Flor PileÃ±a, Alegres de Bambarmarca y Victor Manuel en Cajabamba', 'fecha_hora_ini_event': '08-10-2025', 'fecha_hora_fin_event': '08-10-2025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64"/>
    <x v="5"/>
    <x v="5"/>
    <x v="1"/>
    <n v="1"/>
    <n v="375.53"/>
    <n v="443.13"/>
    <n v="0"/>
    <n v="375.53"/>
    <n v="18"/>
    <n v="67.599999999999994"/>
    <n v="443.13"/>
    <n v="1"/>
    <n v="1"/>
    <x v="0"/>
    <x v="0"/>
    <x v="1"/>
    <s v="SAMUEL CHUQUISTA"/>
    <x v="0"/>
    <s v="7012100 MercaderÃ­as-Venta Local-Terceros"/>
    <x v="6"/>
    <x v="109"/>
    <s v="Flor PileÃ±a, Alegres de Bambarmarca y Victor Manuel en Cajabamba"/>
    <d v="2025-10-08T00:00:00"/>
    <d v="2025-10-08T00:00:00"/>
    <x v="77"/>
    <s v="ESPECTACULOS MARCABALITO S.A.C."/>
    <s v="Empresa"/>
    <x v="357"/>
  </r>
  <r>
    <x v="0"/>
    <x v="211"/>
    <s v="COLABORATIVA S.A.C."/>
    <x v="13"/>
    <d v="2025-11-03T18:22:24"/>
    <x v="82"/>
    <m/>
    <n v="6"/>
    <n v="20613294814"/>
    <s v="[{'id_producto': 31061, 'codigo_producto': 216, 'nom_producto': 'COMISION PAGOS DIGITALES SEGUN CONTRATO', 'categoria_producto': 'service', 'cantidad': '1.0', 'valor_unitario': 268.53, 'precio_unitario': 316.87, 'descuento': 0.0, 'subtotal': 268.53, 'porcentaje_de_igv': '18.00', 'igv': 48.34, 'total': 316.87, 'moneda': '1', 'tipo_de_cambio': 1.0, 'id_estado': 'paid', 'nombre_estado': 'Pagado', 'evento': {'id_evento': '3147', 'nom_evento': 'Flor PileÃ±a, Alegres de Bambarmarca y Victor Manuel en Cajabamba', 'fecha_hora_ini_event': '08-10-2025', 'fecha_hora_fin_event': '08-10-2025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61"/>
    <x v="6"/>
    <x v="6"/>
    <x v="1"/>
    <n v="1"/>
    <n v="268.52999999999997"/>
    <n v="316.87"/>
    <n v="0"/>
    <n v="268.52999999999997"/>
    <n v="18"/>
    <n v="48.34"/>
    <n v="316.87"/>
    <n v="1"/>
    <n v="1"/>
    <x v="0"/>
    <x v="0"/>
    <x v="1"/>
    <s v="SAMUEL CHUQUISTA"/>
    <x v="0"/>
    <s v="7012100 MercaderÃ­as-Venta Local-Terceros"/>
    <x v="6"/>
    <x v="109"/>
    <s v="Flor PileÃ±a, Alegres de Bambarmarca y Victor Manuel en Cajabamba"/>
    <d v="2025-10-08T00:00:00"/>
    <d v="2025-10-08T00:00:00"/>
    <x v="77"/>
    <s v="ESPECTACULOS MARCABALITO S.A.C."/>
    <s v="Empresa"/>
    <x v="358"/>
  </r>
  <r>
    <x v="0"/>
    <x v="212"/>
    <s v="COLABORATIVA S.A.C."/>
    <x v="13"/>
    <d v="2025-11-03T18:07:46"/>
    <x v="7"/>
    <m/>
    <n v="6"/>
    <n v="20509594903"/>
    <s v="[{'id_producto': 31058, 'codigo_producto': 1786, 'nom_producto': 'COMISION VAOPE SEGUN CONTRATO', 'categoria_producto': 'service', 'cantidad': '1.0', 'valor_unitario': 708.9, 'precio_unitario': 836.5, 'descuento': 0.0, 'subtotal': 708.9, 'porcentaje_de_igv': '18.00', 'igv': 127.6, 'total': 836.5, 'moneda': '1', 'tipo_de_cambio': 1.0, 'id_estado': 'paid', 'nombre_estado': 'Pagado', 'evento': {'id_evento': '3190', 'nom_evento': 'Feliz Aniversario Barranca con La Bella Luz', 'fecha_hora_ini_event': '08-10-2025', 'fecha_hora_fin_event': '08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58"/>
    <x v="5"/>
    <x v="5"/>
    <x v="1"/>
    <n v="1"/>
    <n v="708.9"/>
    <n v="836.5"/>
    <n v="0"/>
    <n v="708.9"/>
    <n v="18"/>
    <n v="127.6"/>
    <n v="836.5"/>
    <n v="1"/>
    <n v="1"/>
    <x v="0"/>
    <x v="0"/>
    <x v="1"/>
    <s v="SAMUEL CHUQUISTA"/>
    <x v="0"/>
    <s v="7012100 MercaderÃ­as-Venta Local-Terceros"/>
    <x v="6"/>
    <x v="110"/>
    <s v="Feliz Aniversario Barranca con La Bella Luz"/>
    <d v="2025-10-08T00:00:00"/>
    <d v="2025-10-08T00:00:00"/>
    <x v="7"/>
    <s v="EMPRESA MUSICAL INTERNACIONAL LA BELLA LUZ E.I.R.L."/>
    <s v="Empresa"/>
    <x v="359"/>
  </r>
  <r>
    <x v="0"/>
    <x v="214"/>
    <s v="COLABORATIVA S.A.C."/>
    <x v="13"/>
    <d v="2025-11-03T11:33:45"/>
    <x v="7"/>
    <m/>
    <n v="6"/>
    <n v="20509594903"/>
    <s v="[{'id_producto': 31033, 'codigo_producto': 216, 'nom_producto': 'COMISION PAGOS DIGITALES SEGUN CONTRATO', 'categoria_producto': 'service', 'cantidad': '1.0', 'valor_unitario': 488.81, 'precio_unitario': 576.8, 'descuento': 0.0, 'subtotal': 488.81, 'porcentaje_de_igv': '18.00', 'igv': 87.99, 'total': 576.8, 'moneda': '1', 'tipo_de_cambio': 1.0, 'id_estado': 'paid', 'nombre_estado': 'Pagado', 'evento': {'id_evento': '3190', 'nom_evento': 'Feliz Aniversario Barranca con La Bella Luz', 'fecha_hora_ini_event': '08-10-2025', 'fecha_hora_fin_event': '08-10-2025', 'id_organizador': 5251, 'nom_organizador': 'EMPRESA MUSICAL INTERNACIONAL LA BELLA LUZ E.I.R.L.', 'tipo_organizador': 'Empresa'}, 'id_vendedor': 2, 'nom_vendedor': 'SAMUEL CHUQUISTA', 'id_cuenta_analitica': 1106, 'nom_cuenta_analitica': '7012100 MercaderÃ­as-Venta Local-Terceros', 'distribucion_analitica': []}]"/>
    <d v="2025-10-13T00:00:00"/>
    <m/>
    <m/>
    <m/>
    <m/>
    <m/>
    <n v="31033"/>
    <x v="6"/>
    <x v="6"/>
    <x v="1"/>
    <n v="1"/>
    <n v="488.81"/>
    <n v="576.79999999999995"/>
    <n v="0"/>
    <n v="488.81"/>
    <n v="18"/>
    <n v="87.99"/>
    <n v="576.79999999999995"/>
    <n v="1"/>
    <n v="1"/>
    <x v="0"/>
    <x v="0"/>
    <x v="1"/>
    <s v="SAMUEL CHUQUISTA"/>
    <x v="0"/>
    <s v="7012100 MercaderÃ­as-Venta Local-Terceros"/>
    <x v="6"/>
    <x v="110"/>
    <s v="Feliz Aniversario Barranca con La Bella Luz"/>
    <d v="2025-10-08T00:00:00"/>
    <d v="2025-10-08T00:00:00"/>
    <x v="7"/>
    <s v="EMPRESA MUSICAL INTERNACIONAL LA BELLA LUZ E.I.R.L."/>
    <s v="Empresa"/>
    <x v="360"/>
  </r>
  <r>
    <x v="1"/>
    <x v="217"/>
    <s v="COLABORATIVA S.A.C."/>
    <x v="14"/>
    <d v="2025-11-03T10:24:03"/>
    <x v="83"/>
    <m/>
    <n v="1"/>
    <n v="46377925"/>
    <s v="[{'id_producto': 31005, 'codigo_producto': 1786, 'nom_producto': 'COMISION VAOPE SEGUN CONTRATO', 'categoria_producto': 'service', 'cantidad': '1.0', 'valor_unitario': 79.75, 'precio_unitario': 94.11, 'descuento': 0.0, 'subtotal': 79.75, 'porcentaje_de_igv': '18.00', 'igv': 14.36, 'total': 94.11, 'moneda': '1', 'tipo_de_cambio': 1.0, 'id_estado': 'paid', 'nombre_estado': 'Pagado', 'evento': {'id_evento': '3149', 'nom_evento': '18Â° Aniversario de Illari del Cusco con Chinito del Ande, Osito Pardo, Los Puntos del Amor y mÃ¡s en Huaracondo de SJL', 'fecha_hora_ini_event': '04-10-2025', 'fecha_hora_fin_event': '04-10-2025', 'id_organizador': 5562, 'nom_organizador': 'JUAN EDGAR VENTURA MACAZANA', 'tipo_organizador': 'Persona'}, 'id_vendedor': 2, 'nom_vendedor': 'SAMUEL CHUQUISTA', 'id_cuenta_analitica': 1106, 'nom_cuenta_analitica': '7012100 MercaderÃ­as-Venta Local-Terceros', 'distribucion_analitica': []}]"/>
    <d v="2025-10-11T00:00:00"/>
    <m/>
    <m/>
    <m/>
    <m/>
    <m/>
    <n v="31005"/>
    <x v="5"/>
    <x v="5"/>
    <x v="1"/>
    <n v="1"/>
    <n v="79.75"/>
    <n v="94.11"/>
    <n v="0"/>
    <n v="79.75"/>
    <n v="18"/>
    <n v="14.36"/>
    <n v="94.11"/>
    <n v="1"/>
    <n v="1"/>
    <x v="0"/>
    <x v="0"/>
    <x v="1"/>
    <s v="SAMUEL CHUQUISTA"/>
    <x v="0"/>
    <s v="7012100 MercaderÃ­as-Venta Local-Terceros"/>
    <x v="6"/>
    <x v="111"/>
    <s v="18Â° Aniversario de Illari del Cusco con Chinito del Ande, Osito Pardo, Los Puntos del Amor y mÃ¡s en Huaracondo de SJL"/>
    <d v="2025-10-04T00:00:00"/>
    <d v="2025-10-04T00:00:00"/>
    <x v="78"/>
    <s v="JUAN EDGAR VENTURA MACAZANA"/>
    <s v="Persona"/>
    <x v="361"/>
  </r>
  <r>
    <x v="1"/>
    <x v="218"/>
    <s v="COLABORATIVA S.A.C."/>
    <x v="15"/>
    <d v="2025-11-03T17:31:09"/>
    <x v="83"/>
    <m/>
    <n v="1"/>
    <n v="46377925"/>
    <s v="[{'id_producto': 30996, 'codigo_producto': 216, 'nom_producto': 'COMISION PAGOS DIGITALES SEGUN CONTRATO', 'categoria_producto': 'service', 'cantidad': '1.0', 'valor_unitario': 73.47, 'precio_unitario': 86.69, 'descuento': 0.0, 'subtotal': 73.47, 'porcentaje_de_igv': '18.00', 'igv': 13.22, 'total': 86.69, 'moneda': '1', 'tipo_de_cambio': 1.0, 'id_estado': 'paid', 'nombre_estado': 'Pagado', 'evento': {'id_evento': '3149', 'nom_evento': '18Â° Aniversario de Illari del Cusco con Chinito del Ande, Osito Pardo, Los Puntos del Amor y mÃ¡s en Huaracondo de SJL', 'fecha_hora_ini_event': '04-10-2025', 'fecha_hora_fin_event': '04-10-2025', 'id_organizador': 5562, 'nom_organizador': 'JUAN EDGAR VENTURA MACAZANA', 'tipo_organizador': 'Persona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30996"/>
    <x v="6"/>
    <x v="6"/>
    <x v="1"/>
    <n v="1"/>
    <n v="73.47"/>
    <n v="86.69"/>
    <n v="0"/>
    <n v="73.47"/>
    <n v="18"/>
    <n v="13.22"/>
    <n v="86.69"/>
    <n v="1"/>
    <n v="1"/>
    <x v="0"/>
    <x v="0"/>
    <x v="1"/>
    <s v="SAMUEL CHUQUISTA"/>
    <x v="0"/>
    <s v="7012100 MercaderÃ­as-Venta Local-Terceros"/>
    <x v="6"/>
    <x v="111"/>
    <s v="18Â° Aniversario de Illari del Cusco con Chinito del Ande, Osito Pardo, Los Puntos del Amor y mÃ¡s en Huaracondo de SJL"/>
    <d v="2025-10-04T00:00:00"/>
    <d v="2025-10-04T00:00:00"/>
    <x v="78"/>
    <s v="JUAN EDGAR VENTURA MACAZANA"/>
    <s v="Persona"/>
    <x v="362"/>
  </r>
  <r>
    <x v="0"/>
    <x v="216"/>
    <s v="COLABORATIVA S.A.C."/>
    <x v="15"/>
    <d v="2025-11-03T15:48:07"/>
    <x v="0"/>
    <m/>
    <n v="6"/>
    <n v="20611018925"/>
    <s v="[{'id_producto': 30993, 'codigo_producto': 1786, 'nom_producto': 'COMISION VAOPE SEGUN CONTRATO', 'categoria_producto': 'service', 'cantidad': '1.0', 'valor_unitario': 482.54, 'precio_unitario': 569.4, 'descuento': 0.0, 'subtotal': 482.54, 'porcentaje_de_igv': '18.00', 'igv': 86.86, 'total': 569.4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"/>
    <d v="2025-10-10T00:00:00"/>
    <m/>
    <m/>
    <m/>
    <m/>
    <m/>
    <n v="30993"/>
    <x v="5"/>
    <x v="5"/>
    <x v="1"/>
    <n v="1"/>
    <n v="482.54"/>
    <n v="569.4"/>
    <n v="0"/>
    <n v="482.54"/>
    <n v="18"/>
    <n v="86.86"/>
    <n v="569.4"/>
    <n v="1"/>
    <n v="1"/>
    <x v="0"/>
    <x v="0"/>
    <x v="1"/>
    <s v="SAMUEL CHUQUISTA"/>
    <x v="0"/>
    <s v="7012100 MercaderÃ­as-Venta Local-Terceros"/>
    <x v="6"/>
    <x v="82"/>
    <s v="CorazÃ³n Serrano en Huacho"/>
    <d v="2025-09-25T00:00:00"/>
    <d v="2025-09-25T00:00:00"/>
    <x v="0"/>
    <s v="G &amp; N MUSIC S.A.C."/>
    <s v="Empresa"/>
    <x v="363"/>
  </r>
  <r>
    <x v="0"/>
    <x v="217"/>
    <s v="COLABORATIVA S.A.C."/>
    <x v="16"/>
    <d v="2025-11-03T17:56:09"/>
    <x v="0"/>
    <m/>
    <n v="6"/>
    <n v="20611018925"/>
    <s v="[{'id_producto': 30949, 'codigo_producto': 216, 'nom_producto': 'COMISION PAGOS DIGITALES SEGUN CONTRATO', 'categoria_producto': 'service', 'cantidad': '1.0', 'valor_unitario': 317.5, 'precio_unitario': 374.65, 'descuento': 0.0, 'subtotal': 317.5, 'porcentaje_de_igv': '18.00', 'igv': 57.15, 'total': 374.65, 'moneda': '1', 'tipo_de_cambio': 1.0, 'id_estado': 'paid', 'nombre_estado': 'Pagado', 'evento': {'id_evento': '3157', 'nom_evento': 'CorazÃ³n Serrano en Huacho', 'fecha_hora_ini_event': '25-09-2025', 'fecha_hora_fin_event': '25-09-2025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]}]"/>
    <d v="2025-10-09T00:00:00"/>
    <m/>
    <m/>
    <m/>
    <m/>
    <m/>
    <n v="30949"/>
    <x v="6"/>
    <x v="6"/>
    <x v="1"/>
    <n v="1"/>
    <n v="317.5"/>
    <n v="374.65"/>
    <n v="0"/>
    <n v="317.5"/>
    <n v="18"/>
    <n v="57.15"/>
    <n v="374.65"/>
    <n v="1"/>
    <n v="1"/>
    <x v="0"/>
    <x v="0"/>
    <x v="1"/>
    <s v="SAMUEL CHUQUISTA"/>
    <x v="0"/>
    <s v="7012100 MercaderÃ­as-Venta Local-Terceros"/>
    <x v="6"/>
    <x v="82"/>
    <s v="CorazÃ³n Serrano en Huacho"/>
    <d v="2025-09-25T00:00:00"/>
    <d v="2025-09-25T00:00:00"/>
    <x v="0"/>
    <s v="G &amp; N MUSIC S.A.C."/>
    <s v="Empresa"/>
    <x v="364"/>
  </r>
  <r>
    <x v="1"/>
    <x v="219"/>
    <s v="COLABORATIVA S.A.C."/>
    <x v="17"/>
    <d v="2025-11-03T15:55:46"/>
    <x v="56"/>
    <m/>
    <n v="1"/>
    <s v="03826765"/>
    <s v="[{'id_producto': 30877, 'codigo_producto': 216, 'nom_producto': 'COMISION PAGOS DIGITALES SEGUN CONTRATO', 'categoria_producto': 'service', 'cantidad': '1.0', 'valor_unitario': 4123.66, 'precio_unitario': 4865.92, 'descuento': 0.0, 'subtotal': 4123.66, 'porcentaje_de_igv': '18.00', 'igv': 742.26, 'total': 4865.92, 'moneda': '1', 'tipo_de_cambio': 1.0, 'id_estado': 'paid', 'nombre_estado': 'Pagado', 'evento': {'id_evento': '3185', 'nom_evento': 'AtlÃ©tico Torino vs Bagua FC - Copa PerÃº 2025', 'fecha_hora_ini_event': '05-10-2025', 'fecha_hora_fin_event': '05-10-2025', 'id_organizador': 6123, 'nom_organizador': 'LIGA DEPARTAMENTAL DE FUTBOL DE PIURA -  LIDEFUPI', 'tipo_organizador': 'Empresa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30877"/>
    <x v="6"/>
    <x v="6"/>
    <x v="1"/>
    <n v="1"/>
    <n v="4123.66"/>
    <n v="4865.92"/>
    <n v="0"/>
    <n v="4123.66"/>
    <n v="18"/>
    <n v="742.26"/>
    <n v="4865.92"/>
    <n v="1"/>
    <n v="1"/>
    <x v="0"/>
    <x v="0"/>
    <x v="1"/>
    <s v="SAMUEL CHUQUISTA"/>
    <x v="0"/>
    <s v="7012100 MercaderÃ­as-Venta Local-Terceros"/>
    <x v="6"/>
    <x v="80"/>
    <s v="AtlÃ©tico Torino vs Bagua FC - Copa PerÃº 2025"/>
    <d v="2025-10-05T00:00:00"/>
    <d v="2025-10-05T00:00:00"/>
    <x v="59"/>
    <s v="LIGA DEPARTAMENTAL DE FUTBOL DE PIURA -  LIDEFUPI"/>
    <s v="Empresa"/>
    <x v="365"/>
  </r>
  <r>
    <x v="0"/>
    <x v="218"/>
    <s v="COLABORATIVA S.A.C."/>
    <x v="17"/>
    <d v="2025-11-03T15:29:35"/>
    <x v="81"/>
    <m/>
    <n v="6"/>
    <n v="20480413700"/>
    <s v="[{'id_producto': 30868, 'codigo_producto': 216, 'nom_producto': 'COMISION PAGOS DIGITALES SEGUN CONTRATO', 'categoria_producto': 'service', 'cantidad': '1.0', 'valor_unitario': 5603.9, 'precio_unitario': 6612.6, 'descuento': 0.0, 'subtotal': 5603.9, 'porcentaje_de_igv': '18.00', 'igv': 1008.7, 'total': 6612.6, 'moneda': '1', 'tipo_de_cambio': 1.0, 'id_estado': 'paid', 'nombre_estado': 'Pagado', 'evento': {'id_evento': '3065', 'nom_evento': 'CorazÃ³n Serrano en la Isla del ParaÃ­so del Callao', 'fecha_hora_ini_event': '27-09-2025', 'fecha_hora_fin_event': '27-09-2025', 'id_organizador': 5118, 'nom_organizador': 'PROMOTORA M&amp;M S.R.L.', 'tipo_organizador': 'Empresa'}, 'id_vendedor': 2, 'nom_vendedor': 'SAMUEL CHUQUISTA', 'id_cuenta_analitica': 1106, 'nom_cuenta_analitica': '7012100 MercaderÃ­as-Venta Local-Terceros', 'distribucion_analitica': []}]"/>
    <d v="2025-10-07T00:00:00"/>
    <m/>
    <m/>
    <m/>
    <m/>
    <m/>
    <n v="30868"/>
    <x v="6"/>
    <x v="6"/>
    <x v="1"/>
    <n v="1"/>
    <n v="5603.9"/>
    <n v="6612.6"/>
    <n v="0"/>
    <n v="5603.9"/>
    <n v="18"/>
    <n v="1008.7"/>
    <n v="6612.6"/>
    <n v="1"/>
    <n v="1"/>
    <x v="0"/>
    <x v="0"/>
    <x v="1"/>
    <s v="SAMUEL CHUQUISTA"/>
    <x v="0"/>
    <s v="7012100 MercaderÃ­as-Venta Local-Terceros"/>
    <x v="6"/>
    <x v="107"/>
    <s v="CorazÃ³n Serrano en la Isla del ParaÃ­so del Callao"/>
    <d v="2025-09-27T00:00:00"/>
    <d v="2025-09-27T00:00:00"/>
    <x v="76"/>
    <s v="PROMOTORA M&amp;M S.R.L."/>
    <s v="Empresa"/>
    <x v="366"/>
  </r>
  <r>
    <x v="2"/>
    <x v="220"/>
    <s v="COLABORATIVA S.A.C."/>
    <x v="18"/>
    <d v="2025-11-03T00:00:00"/>
    <x v="84"/>
    <m/>
    <n v="6"/>
    <n v="20611066971"/>
    <s v="[{'id_producto': 18784, 'codigo_producto': 985, 'nom_producto': 'BRAZALETES VIP-ARMONIA 10 EN DISCOTECA COCOS DE LINCE BRAZALETES PLATINIUM Y PERSONAL DELIVERY', 'categoria_producto': 'consu', 'cantidad': '1.0', 'valor_unitario': 1230.0, 'precio_unitario': 1451.4, 'descuento': 0.0, 'subtotal': 1230.0, 'porcentaje_de_igv': '18.00', 'igv': 221.4, 'total': 1451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8784"/>
    <x v="22"/>
    <x v="20"/>
    <x v="0"/>
    <n v="1"/>
    <n v="1230"/>
    <n v="1451.4"/>
    <n v="0"/>
    <n v="1230"/>
    <n v="18"/>
    <n v="221.4"/>
    <n v="1451.4"/>
    <n v="1"/>
    <n v="1"/>
    <x v="2"/>
    <x v="2"/>
    <x v="1"/>
    <s v="SAMUEL CHUQUISTA"/>
    <x v="0"/>
    <s v="7012100 MercaderÃ­as-Venta Local-Terceros"/>
    <x v="11"/>
    <x v="32"/>
    <m/>
    <m/>
    <m/>
    <x v="79"/>
    <s v="PERUVIAN PRODUCTIONS SOCIEDAD ANONIMA CERRADA"/>
    <s v="Empresa"/>
    <x v="367"/>
  </r>
  <r>
    <x v="2"/>
    <x v="221"/>
    <s v="COLABORATIVA S.A.C."/>
    <x v="18"/>
    <d v="2025-11-03T00:00:00"/>
    <x v="0"/>
    <m/>
    <n v="6"/>
    <n v="20611018925"/>
    <s v="[{'id_producto': 18783, 'codigo_producto': 984, 'nom_producto': 'ENTRADAS IMPRESAS FULL COLOR GENERAL BRAZALETES VIP -CORAZON SERRANO BARRANCA - 0902 Y PERSONAL DELIVERY', 'categoria_producto': 'consu', 'cantidad': '1.0', 'valor_unitario': 1241.0, 'precio_unitario': 1464.38, 'descuento': 0.0, 'subtotal': 1241.0, 'porcentaje_de_igv': '18.00', 'igv': 223.38, 'total': 1464.38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8783"/>
    <x v="23"/>
    <x v="21"/>
    <x v="0"/>
    <n v="1"/>
    <n v="1241"/>
    <n v="1464.38"/>
    <n v="0"/>
    <n v="1241"/>
    <n v="18"/>
    <n v="223.38"/>
    <n v="1464.38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368"/>
  </r>
  <r>
    <x v="2"/>
    <x v="222"/>
    <s v="COLABORATIVA S.A.C."/>
    <x v="18"/>
    <d v="2025-11-03T00:00:00"/>
    <x v="85"/>
    <m/>
    <n v="6"/>
    <n v="10198893710"/>
    <s v="[{'id_producto': 18782, 'codigo_producto': 983, 'nom_producto': 'ENTRADAS IMPRESAS  FULL COLOR GENERAL ', 'categoria_producto': 'consu', 'cantidad': '1.0', 'valor_unitario': 400.0, 'precio_unitario': 472.0, 'descuento': 0.0, 'subtotal': 400.0, 'porcentaje_de_igv': '18.00', 'igv': 72.0, 'total': 472.0, 'moneda': '1', 'tipo_de_cambio': 1.0, 'id_estado': 'not_paid', 'nombre_estado': 'Sin pagar', 'evento': {'id_evento': '', 'nom_evento': '', 'fecha_hora_ini_event': '', 'fecha_hora_fin_event': '', 'id_organizador': 1150, 'nom_organizador': 'MACHA MUNIVE JULIO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10T00:00:00"/>
    <m/>
    <m/>
    <m/>
    <m/>
    <m/>
    <n v="18782"/>
    <x v="24"/>
    <x v="22"/>
    <x v="0"/>
    <n v="1"/>
    <n v="400"/>
    <n v="472"/>
    <n v="0"/>
    <n v="400"/>
    <n v="18"/>
    <n v="72"/>
    <n v="472"/>
    <n v="1"/>
    <n v="1"/>
    <x v="2"/>
    <x v="2"/>
    <x v="1"/>
    <s v="SAMUEL CHUQUISTA"/>
    <x v="0"/>
    <s v="7012100 MercaderÃ­as-Venta Local-Terceros"/>
    <x v="11"/>
    <x v="32"/>
    <m/>
    <m/>
    <m/>
    <x v="80"/>
    <s v="MACHA MUNIVE JULIO"/>
    <s v="Empresa"/>
    <x v="369"/>
  </r>
  <r>
    <x v="3"/>
    <x v="223"/>
    <s v="COLABORATIVA S.A.C."/>
    <x v="19"/>
    <d v="2025-11-03T00:00:00"/>
    <x v="86"/>
    <m/>
    <n v="6"/>
    <n v="10755725086"/>
    <s v="[{'id_producto': 18781, 'codigo_producto': 982, 'nom_producto': 'COMISION CORTESIA - ACTUALIZACION GRAFICA', 'categoria_producto': 'consu', 'cantidad': '1.0', 'valor_unitario': 107.37, 'precio_unitario': 126.7, 'descuento': 0.0, 'subtotal': 107.37, 'porcentaje_de_igv': '18.00', 'igv': 19.33, 'total': 126.7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8781"/>
    <x v="25"/>
    <x v="23"/>
    <x v="0"/>
    <n v="1"/>
    <n v="107.37"/>
    <n v="126.7"/>
    <n v="0"/>
    <n v="107.37"/>
    <n v="18"/>
    <n v="19.329999999999998"/>
    <n v="126.7"/>
    <n v="1"/>
    <n v="1"/>
    <x v="2"/>
    <x v="2"/>
    <x v="1"/>
    <s v="SAMUEL CHUQUISTA"/>
    <x v="0"/>
    <s v="7012100 MercaderÃ­as-Venta Local-Terceros"/>
    <x v="12"/>
    <x v="32"/>
    <m/>
    <m/>
    <m/>
    <x v="81"/>
    <s v="REYNOSO BENDEZU CARLOS ARTURO"/>
    <s v="Empresa"/>
    <x v="370"/>
  </r>
  <r>
    <x v="3"/>
    <x v="224"/>
    <s v="COLABORATIVA S.A.C."/>
    <x v="19"/>
    <d v="2025-11-03T00:00:00"/>
    <x v="86"/>
    <m/>
    <n v="6"/>
    <n v="10755725086"/>
    <s v="[{'id_producto': 18780, 'codigo_producto': 877, 'nom_producto': 'COMISION PAGOS DIGITALES SEGUN CONTRATO', 'categoria_producto': 'consu', 'cantidad': '1.0', 'valor_unitario': 30.68, 'precio_unitario': 36.2, 'descuento': 0.0, 'subtotal': 30.68, 'porcentaje_de_igv': '18.00', 'igv': 5.52, 'total': 36.2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8780"/>
    <x v="26"/>
    <x v="6"/>
    <x v="0"/>
    <n v="1"/>
    <n v="30.68"/>
    <n v="36.200000000000003"/>
    <n v="0"/>
    <n v="30.68"/>
    <n v="18"/>
    <n v="5.52"/>
    <n v="36.200000000000003"/>
    <n v="1"/>
    <n v="1"/>
    <x v="2"/>
    <x v="2"/>
    <x v="1"/>
    <s v="SAMUEL CHUQUISTA"/>
    <x v="0"/>
    <s v="7012100 MercaderÃ­as-Venta Local-Terceros"/>
    <x v="12"/>
    <x v="32"/>
    <m/>
    <m/>
    <m/>
    <x v="81"/>
    <s v="REYNOSO BENDEZU CARLOS ARTURO"/>
    <s v="Empresa"/>
    <x v="371"/>
  </r>
  <r>
    <x v="3"/>
    <x v="225"/>
    <s v="COLABORATIVA S.A.C."/>
    <x v="19"/>
    <d v="2025-11-03T00:00:00"/>
    <x v="86"/>
    <m/>
    <n v="6"/>
    <n v="10755725086"/>
    <s v="[{'id_producto': 18779, 'codigo_producto': 870, 'nom_producto': 'COMISION VAOPE SEGUN CONTRATO', 'categoria_producto': 'consu', 'cantidad': '1.0', 'valor_unitario': 20.19, 'precio_unitario': 23.83, 'descuento': 0.0, 'subtotal': 20.19, 'porcentaje_de_igv': '18.00', 'igv': 3.64, 'total': 23.83, 'moneda': '1', 'tipo_de_cambio': 1.0, 'id_estado': 'not_paid', 'nombre_estado': 'Sin pagar', 'evento': {'id_evento': '', 'nom_evento': '', 'fecha_hora_ini_event': '', 'fecha_hora_fin_event': '', 'id_organizador': 1149, 'nom_organizador': 'REYNOSO BENDEZU CARLOS ARTUR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8779"/>
    <x v="27"/>
    <x v="5"/>
    <x v="0"/>
    <n v="1"/>
    <n v="20.190000000000001"/>
    <n v="23.83"/>
    <n v="0"/>
    <n v="20.190000000000001"/>
    <n v="18"/>
    <n v="3.64"/>
    <n v="23.83"/>
    <n v="1"/>
    <n v="1"/>
    <x v="2"/>
    <x v="2"/>
    <x v="1"/>
    <s v="SAMUEL CHUQUISTA"/>
    <x v="0"/>
    <s v="7012100 MercaderÃ­as-Venta Local-Terceros"/>
    <x v="12"/>
    <x v="32"/>
    <m/>
    <m/>
    <m/>
    <x v="81"/>
    <s v="REYNOSO BENDEZU CARLOS ARTURO"/>
    <s v="Empresa"/>
    <x v="372"/>
  </r>
  <r>
    <x v="4"/>
    <x v="226"/>
    <s v="COLABORATIVA S.A.C."/>
    <x v="19"/>
    <d v="2025-11-03T00:00:00"/>
    <x v="87"/>
    <m/>
    <n v="1"/>
    <n v="72431289"/>
    <s v="[{'id_producto': 18778, 'codigo_producto': 877, 'nom_producto': 'COMISION PAGOS DIGITALES SEGUN CONTRATO', 'categoria_producto': 'consu', 'cantidad': '1.0', 'valor_unitario': 50.85, 'precio_unitario': 60.0, 'descuento': 0.0, 'subtotal': 50.85, 'porcentaje_de_igv': '18.00', 'igv': 9.15, 'total': 60.0, 'moneda': '1', 'tipo_de_cambio': 1.0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8778"/>
    <x v="26"/>
    <x v="6"/>
    <x v="0"/>
    <n v="1"/>
    <n v="50.85"/>
    <n v="60"/>
    <n v="0"/>
    <n v="50.85"/>
    <n v="18"/>
    <n v="9.15"/>
    <n v="60"/>
    <n v="1"/>
    <n v="1"/>
    <x v="2"/>
    <x v="2"/>
    <x v="1"/>
    <s v="SAMUEL CHUQUISTA"/>
    <x v="0"/>
    <s v="7012100 MercaderÃ­as-Venta Local-Terceros"/>
    <x v="12"/>
    <x v="32"/>
    <m/>
    <m/>
    <m/>
    <x v="82"/>
    <s v="RODRIGO ANTONIO QUISPE MONTAÃ‘EZ"/>
    <s v="Persona"/>
    <x v="373"/>
  </r>
  <r>
    <x v="4"/>
    <x v="227"/>
    <s v="COLABORATIVA S.A.C."/>
    <x v="19"/>
    <d v="2025-11-03T00:00:00"/>
    <x v="87"/>
    <m/>
    <n v="1"/>
    <n v="72431289"/>
    <s v="[{'id_producto': 18777, 'codigo_producto': 870, 'nom_producto': 'COMISION VAOPE SEGUN CONTRATO', 'categoria_producto': 'consu', 'cantidad': '1.0', 'valor_unitario': 60.0, 'precio_unitario': 70.8, 'descuento': 0.0, 'subtotal': 60.0, 'porcentaje_de_igv': '18.00', 'igv': 10.8, 'total': 70.8, 'moneda': '1', 'tipo_de_cambio': 1.0, 'id_estado': 'not_paid', 'nombre_estado': 'Sin pagar', 'evento': {'id_evento': '', 'nom_evento': '', 'fecha_hora_ini_event': '', 'fecha_hora_fin_event': '', 'id_organizador': 1177, 'nom_organizador': 'RODRIGO ANTONIO QUISPE MONTAÃ‘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7T00:00:00"/>
    <m/>
    <m/>
    <m/>
    <m/>
    <m/>
    <n v="18777"/>
    <x v="27"/>
    <x v="5"/>
    <x v="0"/>
    <n v="1"/>
    <n v="60"/>
    <n v="70.8"/>
    <n v="0"/>
    <n v="60"/>
    <n v="18"/>
    <n v="10.8"/>
    <n v="70.8"/>
    <n v="1"/>
    <n v="1"/>
    <x v="2"/>
    <x v="2"/>
    <x v="1"/>
    <s v="SAMUEL CHUQUISTA"/>
    <x v="0"/>
    <s v="7012100 MercaderÃ­as-Venta Local-Terceros"/>
    <x v="12"/>
    <x v="32"/>
    <m/>
    <m/>
    <m/>
    <x v="82"/>
    <s v="RODRIGO ANTONIO QUISPE MONTAÃ‘EZ"/>
    <s v="Persona"/>
    <x v="374"/>
  </r>
  <r>
    <x v="3"/>
    <x v="228"/>
    <s v="COLABORATIVA S.A.C."/>
    <x v="20"/>
    <d v="2025-11-03T00:00:00"/>
    <x v="88"/>
    <s v="Cliente"/>
    <n v="6"/>
    <n v="20602855733"/>
    <s v="[{'id_producto': 18776, 'codigo_producto': 981, 'nom_producto': 'COMISION CORTESIA - PUNTO DE VENTA', 'categoria_producto': 'consu', 'cantidad': '1.0', 'valor_unitario': 12.75, 'precio_unitario': 15.04, 'descuento': 0.0, 'subtotal': 12.75, 'porcentaje_de_igv': '18.00', 'igv': 2.29, 'total': 15.0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76"/>
    <x v="28"/>
    <x v="24"/>
    <x v="0"/>
    <n v="1"/>
    <n v="12.75"/>
    <n v="15.04"/>
    <n v="0"/>
    <n v="12.75"/>
    <n v="18"/>
    <n v="2.29"/>
    <n v="15.04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375"/>
  </r>
  <r>
    <x v="3"/>
    <x v="229"/>
    <s v="COLABORATIVA S.A.C."/>
    <x v="20"/>
    <d v="2025-11-03T00:00:00"/>
    <x v="88"/>
    <s v="Cliente"/>
    <n v="6"/>
    <n v="20602855733"/>
    <s v="[{'id_producto': 18775, 'codigo_producto': 877, 'nom_producto': 'COMISION PAGOS DIGITALES SEGUN CONTRATO', 'categoria_producto': 'consu', 'cantidad': '1.0', 'valor_unitario': 392.2, 'precio_unitario': 462.8, 'descuento': 0.0, 'subtotal': 392.2, 'porcentaje_de_igv': '18.00', 'igv': 70.6, 'total': 462.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75"/>
    <x v="26"/>
    <x v="6"/>
    <x v="0"/>
    <n v="1"/>
    <n v="392.2"/>
    <n v="462.8"/>
    <n v="0"/>
    <n v="392.2"/>
    <n v="18"/>
    <n v="70.599999999999994"/>
    <n v="462.8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376"/>
  </r>
  <r>
    <x v="3"/>
    <x v="230"/>
    <s v="COLABORATIVA S.A.C."/>
    <x v="20"/>
    <d v="2025-11-03T00:00:00"/>
    <x v="88"/>
    <s v="Cliente"/>
    <n v="6"/>
    <n v="20602855733"/>
    <s v="[{'id_producto': 18774, 'codigo_producto': 870, 'nom_producto': 'COMISION VAOPE SEGUN CONTRATO', 'categoria_producto': 'consu', 'cantidad': '1.0', 'valor_unitario': 527.39, 'precio_unitario': 622.32, 'descuento': 0.0, 'subtotal': 527.39, 'porcentaje_de_igv': '18.00', 'igv': 94.93, 'total': 622.3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74"/>
    <x v="27"/>
    <x v="5"/>
    <x v="0"/>
    <n v="1"/>
    <n v="527.39"/>
    <n v="622.32000000000005"/>
    <n v="0"/>
    <n v="527.39"/>
    <n v="18"/>
    <n v="94.93"/>
    <n v="622.32000000000005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377"/>
  </r>
  <r>
    <x v="4"/>
    <x v="231"/>
    <s v="COLABORATIVA S.A.C."/>
    <x v="20"/>
    <d v="2025-11-03T00:00:00"/>
    <x v="29"/>
    <m/>
    <n v="1"/>
    <n v="19941551"/>
    <s v="[{'id_producto': 18773, 'codigo_producto': 980, 'nom_producto': 'PERSONAL - PAUTA PUBLICITARIA - EULALIA PEREZ', 'categoria_producto': 'consu', 'cantidad': '1.0', 'valor_unitario': 980.0, 'precio_unitario': 1156.4, 'descuento': 0.0, 'subtotal': 980.0, 'porcentaje_de_igv': '18.00', 'igv': 176.4, 'total': 1156.4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73"/>
    <x v="29"/>
    <x v="25"/>
    <x v="0"/>
    <n v="1"/>
    <n v="980"/>
    <n v="1156.4000000000001"/>
    <n v="0"/>
    <n v="980"/>
    <n v="18"/>
    <n v="176.4"/>
    <n v="1156.4000000000001"/>
    <n v="1"/>
    <n v="1"/>
    <x v="2"/>
    <x v="2"/>
    <x v="1"/>
    <s v="SAMUEL CHUQUISTA"/>
    <x v="0"/>
    <s v="7012100 MercaderÃ­as-Venta Local-Terceros"/>
    <x v="2"/>
    <x v="32"/>
    <m/>
    <m/>
    <m/>
    <x v="84"/>
    <s v="EULALIA GAUDENCIA PEREZ CARHUAMACA"/>
    <s v="Persona"/>
    <x v="378"/>
  </r>
  <r>
    <x v="4"/>
    <x v="232"/>
    <s v="COLABORATIVA S.A.C."/>
    <x v="20"/>
    <d v="2025-11-03T00:00:00"/>
    <x v="29"/>
    <m/>
    <n v="1"/>
    <n v="19941551"/>
    <s v="[{'id_producto': 18772, 'codigo_producto': 940, 'nom_producto': 'COMISION PAGOS DIGITALES SEGUN CONTRATO - EULALIA PEREZ', 'categoria_producto': 'consu', 'cantidad': '1.0', 'valor_unitario': 437.8, 'precio_unitario': 516.6, 'descuento': 0.0, 'subtotal': 437.8, 'porcentaje_de_igv': '18.00', 'igv': 78.8, 'total': 516.6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72"/>
    <x v="30"/>
    <x v="26"/>
    <x v="0"/>
    <n v="1"/>
    <n v="437.8"/>
    <n v="516.6"/>
    <n v="0"/>
    <n v="437.8"/>
    <n v="18"/>
    <n v="78.8"/>
    <n v="516.6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379"/>
  </r>
  <r>
    <x v="4"/>
    <x v="233"/>
    <s v="COLABORATIVA S.A.C."/>
    <x v="20"/>
    <d v="2025-11-03T00:00:00"/>
    <x v="29"/>
    <m/>
    <n v="1"/>
    <n v="19941551"/>
    <s v="[{'id_producto': 18771, 'codigo_producto': 979, 'nom_producto': 'COMISION VAOPE SEGUN CONTRATO - EULALIA PEREZ ', 'categoria_producto': 'consu', 'cantidad': '1.0', 'valor_unitario': 391.08, 'precio_unitario': 461.47, 'descuento': 0.0, 'subtotal': 391.08, 'porcentaje_de_igv': '18.00', 'igv': 70.39, 'total': 461.47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71"/>
    <x v="31"/>
    <x v="27"/>
    <x v="0"/>
    <n v="1"/>
    <n v="391.08"/>
    <n v="461.47"/>
    <n v="0"/>
    <n v="391.08"/>
    <n v="18"/>
    <n v="70.39"/>
    <n v="461.47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380"/>
  </r>
  <r>
    <x v="4"/>
    <x v="234"/>
    <s v="COLABORATIVA S.A.C."/>
    <x v="20"/>
    <d v="2025-11-03T00:00:00"/>
    <x v="28"/>
    <m/>
    <n v="1"/>
    <n v="19889371"/>
    <s v="[{'id_producto': 18770, 'codigo_producto': 978, 'nom_producto': 'PERSONAL - PAUTA PUBLICITARIA JULIO MACHA', 'categoria_producto': 'consu', 'cantidad': '1.0', 'valor_unitario': 500.0, 'precio_unitario': 590.0, 'descuento': 0.0, 'subtotal': 500.0, 'porcentaje_de_igv': '18.00', 'igv': 90.0, 'total': 590.0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70"/>
    <x v="32"/>
    <x v="28"/>
    <x v="0"/>
    <n v="1"/>
    <n v="500"/>
    <n v="590"/>
    <n v="0"/>
    <n v="500"/>
    <n v="18"/>
    <n v="90"/>
    <n v="590"/>
    <n v="1"/>
    <n v="1"/>
    <x v="2"/>
    <x v="2"/>
    <x v="1"/>
    <s v="SAMUEL CHUQUISTA"/>
    <x v="0"/>
    <s v="7012100 MercaderÃ­as-Venta Local-Terceros"/>
    <x v="2"/>
    <x v="32"/>
    <m/>
    <m/>
    <m/>
    <x v="85"/>
    <s v="JULIO MACHA MUNIVE"/>
    <s v="Persona"/>
    <x v="381"/>
  </r>
  <r>
    <x v="4"/>
    <x v="235"/>
    <s v="COLABORATIVA S.A.C."/>
    <x v="20"/>
    <d v="2025-11-03T00:00:00"/>
    <x v="28"/>
    <m/>
    <n v="1"/>
    <n v="19889371"/>
    <s v="[{'id_producto': 18769, 'codigo_producto': 938, 'nom_producto': 'COMISION PAGOS DIGITALES SEGUN CONTRATO - JULIO MACHA ', 'categoria_producto': 'consu', 'cantidad': '1.0', 'valor_unitario': 223.36, 'precio_unitario': 263.57, 'descuento': 0.0, 'subtotal': 223.36, 'porcentaje_de_igv': '18.00', 'igv': 40.21, 'total': 263.57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9"/>
    <x v="33"/>
    <x v="29"/>
    <x v="0"/>
    <n v="1"/>
    <n v="223.36"/>
    <n v="263.57"/>
    <n v="0"/>
    <n v="223.36"/>
    <n v="18"/>
    <n v="40.21"/>
    <n v="263.57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382"/>
  </r>
  <r>
    <x v="4"/>
    <x v="236"/>
    <s v="COLABORATIVA S.A.C."/>
    <x v="20"/>
    <d v="2025-11-03T00:00:00"/>
    <x v="28"/>
    <m/>
    <n v="1"/>
    <n v="19889371"/>
    <s v="[{'id_producto': 18768, 'codigo_producto': 937, 'nom_producto': 'COMISION VAOPE SEGUN CONTRATO - JULIO MACHA', 'categoria_producto': 'consu', 'cantidad': '1.0', 'valor_unitario': 199.53, 'precio_unitario': 235.45, 'descuento': 0.0, 'subtotal': 199.53, 'porcentaje_de_igv': '18.00', 'igv': 35.92, 'total': 235.45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8"/>
    <x v="34"/>
    <x v="30"/>
    <x v="0"/>
    <n v="1"/>
    <n v="199.53"/>
    <n v="235.45"/>
    <n v="0"/>
    <n v="199.53"/>
    <n v="18"/>
    <n v="35.92"/>
    <n v="235.45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383"/>
  </r>
  <r>
    <x v="4"/>
    <x v="237"/>
    <s v="COLABORATIVA S.A.C."/>
    <x v="20"/>
    <d v="2025-11-03T00:00:00"/>
    <x v="89"/>
    <m/>
    <n v="1"/>
    <n v="76561182"/>
    <s v="[{'id_producto': 18767, 'codigo_producto': 977, 'nom_producto': 'PERSONAL - PAUTA PUBLICITARIA - YARIT ALANYA', 'categoria_producto': 'consu', 'cantidad': '1.0', 'valor_unitario': 500.0, 'precio_unitario': 590.0, 'descuento': 0.0, 'subtotal': 500.0, 'porcentaje_de_igv': '18.00', 'igv': 90.0, 'total': 590.0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67"/>
    <x v="35"/>
    <x v="31"/>
    <x v="0"/>
    <n v="1"/>
    <n v="500"/>
    <n v="590"/>
    <n v="0"/>
    <n v="500"/>
    <n v="18"/>
    <n v="90"/>
    <n v="590"/>
    <n v="1"/>
    <n v="1"/>
    <x v="2"/>
    <x v="2"/>
    <x v="1"/>
    <s v="SAMUEL CHUQUISTA"/>
    <x v="0"/>
    <s v="7012100 MercaderÃ­as-Venta Local-Terceros"/>
    <x v="2"/>
    <x v="32"/>
    <m/>
    <m/>
    <m/>
    <x v="86"/>
    <s v="YARIT ZARI ALANYA PEREZ"/>
    <s v="Persona"/>
    <x v="384"/>
  </r>
  <r>
    <x v="4"/>
    <x v="238"/>
    <s v="COLABORATIVA S.A.C."/>
    <x v="20"/>
    <d v="2025-11-03T00:00:00"/>
    <x v="89"/>
    <m/>
    <n v="1"/>
    <n v="76561182"/>
    <s v="[{'id_producto': 18766, 'codigo_producto': 936, 'nom_producto': 'COMISION PAGOS DIGITALES SEGUN CONTRATO - YARIT ALANYA', 'categoria_producto': 'consu', 'cantidad': '1.0', 'valor_unitario': 223.36, 'precio_unitario': 263.57, 'descuento': 0.0, 'subtotal': 223.36, 'porcentaje_de_igv': '18.00', 'igv': 40.21, 'total': 263.57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6"/>
    <x v="36"/>
    <x v="32"/>
    <x v="0"/>
    <n v="1"/>
    <n v="223.36"/>
    <n v="263.57"/>
    <n v="0"/>
    <n v="223.36"/>
    <n v="18"/>
    <n v="40.21"/>
    <n v="263.57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385"/>
  </r>
  <r>
    <x v="4"/>
    <x v="239"/>
    <s v="COLABORATIVA S.A.C."/>
    <x v="20"/>
    <d v="2025-11-03T00:00:00"/>
    <x v="89"/>
    <m/>
    <n v="1"/>
    <n v="76561182"/>
    <s v="[{'id_producto': 18765, 'codigo_producto': 935, 'nom_producto': 'COMISION VAOPE SEGUN CONTRATO - YARIT ALANYA', 'categoria_producto': 'consu', 'cantidad': '1.0', 'valor_unitario': 199.53, 'precio_unitario': 235.45, 'descuento': 0.0, 'subtotal': 199.53, 'porcentaje_de_igv': '18.00', 'igv': 35.92, 'total': 235.45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5"/>
    <x v="37"/>
    <x v="33"/>
    <x v="0"/>
    <n v="1"/>
    <n v="199.53"/>
    <n v="235.45"/>
    <n v="0"/>
    <n v="199.53"/>
    <n v="18"/>
    <n v="35.92"/>
    <n v="235.45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386"/>
  </r>
  <r>
    <x v="4"/>
    <x v="240"/>
    <s v="COLABORATIVA S.A.C."/>
    <x v="20"/>
    <d v="2025-11-03T00:00:00"/>
    <x v="90"/>
    <s v="Cliente"/>
    <n v="1"/>
    <n v="19988495"/>
    <s v="[{'id_producto': 18764, 'codigo_producto': 976, 'nom_producto': 'PERSONAL - PAUTA PUBLICITARIA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64"/>
    <x v="38"/>
    <x v="34"/>
    <x v="0"/>
    <n v="1"/>
    <n v="423.73"/>
    <n v="500"/>
    <n v="0"/>
    <n v="423.73"/>
    <n v="18"/>
    <n v="76.27"/>
    <n v="500"/>
    <n v="1"/>
    <n v="1"/>
    <x v="2"/>
    <x v="2"/>
    <x v="1"/>
    <s v="SAMUEL CHUQUISTA"/>
    <x v="0"/>
    <s v="7012100 MercaderÃ­as-Venta Local-Terceros"/>
    <x v="2"/>
    <x v="32"/>
    <m/>
    <m/>
    <m/>
    <x v="87"/>
    <s v="Erol Aylas MarquiÃ±o"/>
    <s v="Persona"/>
    <x v="387"/>
  </r>
  <r>
    <x v="4"/>
    <x v="241"/>
    <s v="COLABORATIVA S.A.C."/>
    <x v="20"/>
    <d v="2025-11-03T00:00:00"/>
    <x v="90"/>
    <s v="Cliente"/>
    <n v="1"/>
    <n v="19988495"/>
    <s v="[{'id_producto': 18763, 'codigo_producto': 871, 'nom_producto': 'COMISION PAGOS DIGITALES SEGUN CONTRATO ', 'categoria_producto': 'consu', 'cantidad': '1.0', 'valor_unitario': 57.2, 'precio_unitario': 67.5, 'descuento': 0.0, 'subtotal': 57.2, 'porcentaje_de_igv': '18.00', 'igv': 10.3, 'total': 67.5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3"/>
    <x v="39"/>
    <x v="35"/>
    <x v="0"/>
    <n v="1"/>
    <n v="57.2"/>
    <n v="67.5"/>
    <n v="0"/>
    <n v="57.2"/>
    <n v="18"/>
    <n v="10.3"/>
    <n v="67.5"/>
    <n v="1"/>
    <n v="1"/>
    <x v="2"/>
    <x v="2"/>
    <x v="1"/>
    <s v="SAMUEL CHUQUISTA"/>
    <x v="0"/>
    <s v="7012100 MercaderÃ­as-Venta Local-Terceros"/>
    <x v="12"/>
    <x v="32"/>
    <m/>
    <m/>
    <m/>
    <x v="87"/>
    <s v="Erol Aylas MarquiÃ±o"/>
    <s v="Persona"/>
    <x v="388"/>
  </r>
  <r>
    <x v="4"/>
    <x v="242"/>
    <s v="COLABORATIVA S.A.C."/>
    <x v="20"/>
    <d v="2025-11-03T00:00:00"/>
    <x v="90"/>
    <s v="Cliente"/>
    <n v="1"/>
    <n v="19988495"/>
    <s v="[{'id_producto': 18762, 'codigo_producto': 870, 'nom_producto': 'COMISION VAOPE SEGUN CONTRATO', 'categoria_producto': 'consu', 'cantidad': '1.0', 'valor_unitario': 33.47, 'precio_unitario': 39.5, 'descuento': 0.0, 'subtotal': 33.47, 'porcentaje_de_igv': '18.00', 'igv': 6.03, 'total': 39.5, 'moneda': '1', 'tipo_de_cambio': 1.0, 'id_estado': 'not_paid', 'nombre_estado': 'Sin pagar', 'evento': {'id_evento': '', 'nom_evento': '', 'fecha_hora_ini_event': '', 'fecha_hora_fin_event': '', 'id_organizador': 432, 'nom_organizador': 'Erol Aylas MarquiÃ±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2"/>
    <x v="27"/>
    <x v="5"/>
    <x v="0"/>
    <n v="1"/>
    <n v="33.47"/>
    <n v="39.5"/>
    <n v="0"/>
    <n v="33.47"/>
    <n v="18"/>
    <n v="6.03"/>
    <n v="39.5"/>
    <n v="1"/>
    <n v="1"/>
    <x v="2"/>
    <x v="2"/>
    <x v="1"/>
    <s v="SAMUEL CHUQUISTA"/>
    <x v="0"/>
    <s v="7012100 MercaderÃ­as-Venta Local-Terceros"/>
    <x v="12"/>
    <x v="32"/>
    <m/>
    <m/>
    <m/>
    <x v="87"/>
    <s v="Erol Aylas MarquiÃ±o"/>
    <s v="Persona"/>
    <x v="389"/>
  </r>
  <r>
    <x v="3"/>
    <x v="243"/>
    <s v="COLABORATIVA S.A.C."/>
    <x v="20"/>
    <d v="2025-11-03T00:00:00"/>
    <x v="91"/>
    <m/>
    <n v="6"/>
    <n v="20609978407"/>
    <s v="[{'id_producto': 18761, 'codigo_producto': 877, 'nom_producto': 'COMISION PAGOS DIGITALES SEGUN CONTRATO', 'categoria_producto': 'consu', 'cantidad': '1.0', 'valor_unitario': 190.17, 'precio_unitario': 224.4, 'descuento': 0.0, 'subtotal': 190.17, 'porcentaje_de_igv': '18.00', 'igv': 34.23, 'total': 224.4, 'moneda': '1', 'tipo_de_cambio': 1.0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1"/>
    <x v="26"/>
    <x v="6"/>
    <x v="0"/>
    <n v="1"/>
    <n v="190.17"/>
    <n v="224.4"/>
    <n v="0"/>
    <n v="190.17"/>
    <n v="18"/>
    <n v="34.229999999999997"/>
    <n v="224.4"/>
    <n v="1"/>
    <n v="1"/>
    <x v="2"/>
    <x v="2"/>
    <x v="1"/>
    <s v="SAMUEL CHUQUISTA"/>
    <x v="0"/>
    <s v="7012100 MercaderÃ­as-Venta Local-Terceros"/>
    <x v="12"/>
    <x v="32"/>
    <m/>
    <m/>
    <m/>
    <x v="88"/>
    <s v="MAKWA ENTERTAINMENT S.A.C."/>
    <s v="Empresa"/>
    <x v="390"/>
  </r>
  <r>
    <x v="3"/>
    <x v="244"/>
    <s v="COLABORATIVA S.A.C."/>
    <x v="20"/>
    <d v="2025-11-03T00:00:00"/>
    <x v="91"/>
    <m/>
    <n v="6"/>
    <n v="20609978407"/>
    <s v="[{'id_producto': 18760, 'codigo_producto': 870, 'nom_producto': 'COMISION VAOPE SEGUN CONTRATO', 'categoria_producto': 'consu', 'cantidad': '1.0', 'valor_unitario': 140.34, 'precio_unitario': 165.6, 'descuento': 0.0, 'subtotal': 140.34, 'porcentaje_de_igv': '18.00', 'igv': 25.26, 'total': 165.6, 'moneda': '1', 'tipo_de_cambio': 1.0, 'id_estado': 'not_paid', 'nombre_estado': 'Sin pagar', 'evento': {'id_evento': '', 'nom_evento': '', 'fecha_hora_ini_event': '', 'fecha_hora_fin_event': '', 'id_organizador': 1148, 'nom_organizador': 'MAKWA ENTERTAINMENT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60"/>
    <x v="27"/>
    <x v="5"/>
    <x v="0"/>
    <n v="1"/>
    <n v="140.34"/>
    <n v="165.6"/>
    <n v="0"/>
    <n v="140.34"/>
    <n v="18"/>
    <n v="25.26"/>
    <n v="165.6"/>
    <n v="1"/>
    <n v="1"/>
    <x v="2"/>
    <x v="2"/>
    <x v="1"/>
    <s v="SAMUEL CHUQUISTA"/>
    <x v="0"/>
    <s v="7012100 MercaderÃ­as-Venta Local-Terceros"/>
    <x v="12"/>
    <x v="32"/>
    <m/>
    <m/>
    <m/>
    <x v="88"/>
    <s v="MAKWA ENTERTAINMENT S.A.C."/>
    <s v="Empresa"/>
    <x v="391"/>
  </r>
  <r>
    <x v="3"/>
    <x v="245"/>
    <s v="COLABORATIVA S.A.C."/>
    <x v="20"/>
    <d v="2025-11-03T00:00:00"/>
    <x v="92"/>
    <m/>
    <n v="6"/>
    <n v="20611129212"/>
    <s v="[{'id_producto': 18759, 'codigo_producto': 877, 'nom_producto': 'COMISION PAGOS DIGITALES SEGUN CONTRATO', 'categoria_producto': 'consu', 'cantidad': '1.0', 'valor_unitario': 18.64, 'precio_unitario': 22.0, 'descuento': 0.0, 'subtotal': 18.64, 'porcentaje_de_igv': '18.00', 'igv': 3.36, 'total': 22.0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9"/>
    <x v="26"/>
    <x v="6"/>
    <x v="0"/>
    <n v="1"/>
    <n v="18.64"/>
    <n v="22"/>
    <n v="0"/>
    <n v="18.64"/>
    <n v="18"/>
    <n v="3.36"/>
    <n v="22"/>
    <n v="1"/>
    <n v="1"/>
    <x v="2"/>
    <x v="2"/>
    <x v="1"/>
    <s v="SAMUEL CHUQUISTA"/>
    <x v="0"/>
    <s v="7012100 MercaderÃ­as-Venta Local-Terceros"/>
    <x v="12"/>
    <x v="32"/>
    <m/>
    <m/>
    <m/>
    <x v="89"/>
    <s v="LA MATARINA PUENTE PIEDRA E.I.R.L."/>
    <s v="Empresa"/>
    <x v="392"/>
  </r>
  <r>
    <x v="3"/>
    <x v="246"/>
    <s v="COLABORATIVA S.A.C."/>
    <x v="20"/>
    <d v="2025-11-03T00:00:00"/>
    <x v="92"/>
    <m/>
    <n v="6"/>
    <n v="20611129212"/>
    <s v="[{'id_producto': 18758, 'codigo_producto': 870, 'nom_producto': 'COMISION VAOPE SEGUN CONTRATO', 'categoria_producto': 'consu', 'cantidad': '1.0', 'valor_unitario': 12.71, 'precio_unitario': 15.0, 'descuento': 0.0, 'subtotal': 12.71, 'porcentaje_de_igv': '18.00', 'igv': 2.29, 'total': 15.0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8"/>
    <x v="27"/>
    <x v="5"/>
    <x v="0"/>
    <n v="1"/>
    <n v="12.71"/>
    <n v="15"/>
    <n v="0"/>
    <n v="12.71"/>
    <n v="18"/>
    <n v="2.29"/>
    <n v="15"/>
    <n v="1"/>
    <n v="1"/>
    <x v="2"/>
    <x v="2"/>
    <x v="1"/>
    <s v="SAMUEL CHUQUISTA"/>
    <x v="0"/>
    <s v="7012100 MercaderÃ­as-Venta Local-Terceros"/>
    <x v="12"/>
    <x v="32"/>
    <m/>
    <m/>
    <m/>
    <x v="89"/>
    <s v="LA MATARINA PUENTE PIEDRA E.I.R.L."/>
    <s v="Empresa"/>
    <x v="393"/>
  </r>
  <r>
    <x v="3"/>
    <x v="247"/>
    <s v="COLABORATIVA S.A.C."/>
    <x v="20"/>
    <d v="2025-11-03T00:00:00"/>
    <x v="92"/>
    <m/>
    <n v="6"/>
    <n v="20611129212"/>
    <s v="[{'id_producto': 18757, 'codigo_producto': 877, 'nom_producto': 'COMISION PAGOS DIGITALES SEGUN CONTRATO', 'categoria_producto': 'consu', 'cantidad': '1.0', 'valor_unitario': 6.95, 'precio_unitario': 8.2, 'descuento': 0.0, 'subtotal': 6.95, 'porcentaje_de_igv': '18.00', 'igv': 1.25, 'total': 8.2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7"/>
    <x v="26"/>
    <x v="6"/>
    <x v="0"/>
    <n v="1"/>
    <n v="6.95"/>
    <n v="8.1999999999999993"/>
    <n v="0"/>
    <n v="6.95"/>
    <n v="18"/>
    <n v="1.25"/>
    <n v="8.1999999999999993"/>
    <n v="1"/>
    <n v="1"/>
    <x v="2"/>
    <x v="2"/>
    <x v="1"/>
    <s v="SAMUEL CHUQUISTA"/>
    <x v="0"/>
    <s v="7012100 MercaderÃ­as-Venta Local-Terceros"/>
    <x v="12"/>
    <x v="32"/>
    <m/>
    <m/>
    <m/>
    <x v="89"/>
    <s v="LA MATARINA PUENTE PIEDRA E.I.R.L."/>
    <s v="Empresa"/>
    <x v="394"/>
  </r>
  <r>
    <x v="3"/>
    <x v="248"/>
    <s v="COLABORATIVA S.A.C."/>
    <x v="20"/>
    <d v="2025-11-03T00:00:00"/>
    <x v="92"/>
    <m/>
    <n v="6"/>
    <n v="20611129212"/>
    <s v="[{'id_producto': 18756, 'codigo_producto': 870, 'nom_producto': 'COMISION VAOPE SEGUN CONTRATO', 'categoria_producto': 'consu', 'cantidad': '1.0', 'valor_unitario': 4.58, 'precio_unitario': 5.4, 'descuento': 0.0, 'subtotal': 4.58, 'porcentaje_de_igv': '18.00', 'igv': 0.82, 'total': 5.4, 'moneda': '1', 'tipo_de_cambio': 1.0, 'id_estado': 'not_paid', 'nombre_estado': 'Sin pagar', 'evento': {'id_evento': '', 'nom_evento': '', 'fecha_hora_ini_event': '', 'fecha_hora_fin_event': '', 'id_organizador': 1147, 'nom_organizador': 'LA MATARINA PUENTE PIEDR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6"/>
    <x v="27"/>
    <x v="5"/>
    <x v="0"/>
    <n v="1"/>
    <n v="4.58"/>
    <n v="5.4"/>
    <n v="0"/>
    <n v="4.58"/>
    <n v="18"/>
    <n v="0.82"/>
    <n v="5.4"/>
    <n v="1"/>
    <n v="1"/>
    <x v="2"/>
    <x v="2"/>
    <x v="1"/>
    <s v="SAMUEL CHUQUISTA"/>
    <x v="0"/>
    <s v="7012100 MercaderÃ­as-Venta Local-Terceros"/>
    <x v="12"/>
    <x v="32"/>
    <m/>
    <m/>
    <m/>
    <x v="89"/>
    <s v="LA MATARINA PUENTE PIEDRA E.I.R.L."/>
    <s v="Empresa"/>
    <x v="395"/>
  </r>
  <r>
    <x v="4"/>
    <x v="249"/>
    <s v="COLABORATIVA S.A.C."/>
    <x v="20"/>
    <d v="2025-11-03T00:00:00"/>
    <x v="93"/>
    <s v="Cliente"/>
    <n v="1"/>
    <n v="44292844"/>
    <s v="[{'id_producto': 18755, 'codigo_producto': 874, 'nom_producto': 'COMISION CORTES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5"/>
    <x v="40"/>
    <x v="19"/>
    <x v="0"/>
    <n v="1"/>
    <n v="5"/>
    <n v="5.9"/>
    <n v="0"/>
    <n v="5"/>
    <n v="18"/>
    <n v="0.9"/>
    <n v="5.9"/>
    <n v="1"/>
    <n v="1"/>
    <x v="2"/>
    <x v="2"/>
    <x v="1"/>
    <s v="SAMUEL CHUQUISTA"/>
    <x v="0"/>
    <s v="7012100 MercaderÃ­as-Venta Local-Terceros"/>
    <x v="12"/>
    <x v="32"/>
    <m/>
    <m/>
    <m/>
    <x v="90"/>
    <s v="Humberto Ronald Mendoza Chacha"/>
    <s v="Persona"/>
    <x v="396"/>
  </r>
  <r>
    <x v="4"/>
    <x v="250"/>
    <s v="COLABORATIVA S.A.C."/>
    <x v="20"/>
    <d v="2025-11-03T00:00:00"/>
    <x v="93"/>
    <s v="Cliente"/>
    <n v="1"/>
    <n v="44292844"/>
    <s v="[{'id_producto': 18754, 'codigo_producto': 877, 'nom_producto': 'COMISION PAGOS DIGITALES SEGUN CONTRATO', 'categoria_producto': 'consu', 'cantidad': '1.0', 'valor_unitario': 275.32, 'precio_unitario': 324.88, 'descuento': 0.0, 'subtotal': 275.32, 'porcentaje_de_igv': '18.00', 'igv': 49.56, 'total': 324.88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4"/>
    <x v="26"/>
    <x v="6"/>
    <x v="0"/>
    <n v="1"/>
    <n v="275.32"/>
    <n v="324.88"/>
    <n v="0"/>
    <n v="275.32"/>
    <n v="18"/>
    <n v="49.56"/>
    <n v="324.88"/>
    <n v="1"/>
    <n v="1"/>
    <x v="2"/>
    <x v="2"/>
    <x v="1"/>
    <s v="SAMUEL CHUQUISTA"/>
    <x v="0"/>
    <s v="7012100 MercaderÃ­as-Venta Local-Terceros"/>
    <x v="12"/>
    <x v="32"/>
    <m/>
    <m/>
    <m/>
    <x v="90"/>
    <s v="Humberto Ronald Mendoza Chacha"/>
    <s v="Persona"/>
    <x v="397"/>
  </r>
  <r>
    <x v="4"/>
    <x v="251"/>
    <s v="COLABORATIVA S.A.C."/>
    <x v="20"/>
    <d v="2025-11-03T00:00:00"/>
    <x v="93"/>
    <s v="Cliente"/>
    <n v="1"/>
    <n v="44292844"/>
    <s v="[{'id_producto': 18753, 'codigo_producto': 870, 'nom_producto': 'COMISION VAOPE SEGUN CONTRATO', 'categoria_producto': 'consu', 'cantidad': '1.0', 'valor_unitario': 165.5, 'precio_unitario': 195.29, 'descuento': 0.0, 'subtotal': 165.5, 'porcentaje_de_igv': '18.00', 'igv': 29.79, 'total': 195.29, 'moneda': '1', 'tipo_de_cambio': 1.0, 'id_estado': 'not_paid', 'nombre_estado': 'Sin pagar', 'evento': {'id_evento': '', 'nom_evento': '', 'fecha_hora_ini_event': '', 'fecha_hora_fin_event': '', 'id_organizador': 463, 'nom_organizador': 'Humberto Ronald Mendoza Chach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3"/>
    <x v="27"/>
    <x v="5"/>
    <x v="0"/>
    <n v="1"/>
    <n v="165.5"/>
    <n v="195.29"/>
    <n v="0"/>
    <n v="165.5"/>
    <n v="18"/>
    <n v="29.79"/>
    <n v="195.29"/>
    <n v="1"/>
    <n v="1"/>
    <x v="2"/>
    <x v="2"/>
    <x v="1"/>
    <s v="SAMUEL CHUQUISTA"/>
    <x v="0"/>
    <s v="7012100 MercaderÃ­as-Venta Local-Terceros"/>
    <x v="12"/>
    <x v="32"/>
    <m/>
    <m/>
    <m/>
    <x v="90"/>
    <s v="Humberto Ronald Mendoza Chacha"/>
    <s v="Persona"/>
    <x v="398"/>
  </r>
  <r>
    <x v="3"/>
    <x v="252"/>
    <s v="COLABORATIVA S.A.C."/>
    <x v="20"/>
    <d v="2025-11-03T00:00:00"/>
    <x v="25"/>
    <m/>
    <n v="6"/>
    <n v="20611890746"/>
    <s v="[{'id_producto': 18752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2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399"/>
  </r>
  <r>
    <x v="3"/>
    <x v="253"/>
    <s v="COLABORATIVA S.A.C."/>
    <x v="20"/>
    <d v="2025-11-03T00:00:00"/>
    <x v="25"/>
    <m/>
    <n v="6"/>
    <n v="20611890746"/>
    <s v="[{'id_producto': 18751, 'codigo_producto': 975, 'nom_producto': 'PERSONAL - SERV DEVOLUCIONES', 'categoria_producto': 'consu', 'cantidad': '1.0', 'valor_unitario': 200.0, 'precio_unitario': 236.0, 'descuento': 0.0, 'subtotal': 200.0, 'porcentaje_de_igv': '18.00', 'igv': 36.0, 'total': 23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8751"/>
    <x v="41"/>
    <x v="36"/>
    <x v="0"/>
    <n v="1"/>
    <n v="200"/>
    <n v="236"/>
    <n v="0"/>
    <n v="200"/>
    <n v="18"/>
    <n v="36"/>
    <n v="236"/>
    <n v="1"/>
    <n v="1"/>
    <x v="2"/>
    <x v="2"/>
    <x v="1"/>
    <s v="SAMUEL CHUQUISTA"/>
    <x v="0"/>
    <s v="7012100 MercaderÃ­as-Venta Local-Terceros"/>
    <x v="13"/>
    <x v="32"/>
    <m/>
    <m/>
    <m/>
    <x v="25"/>
    <s v="CONSORCIO CHUNGA &amp; ASOCIADOS S.A.C."/>
    <s v="Empresa"/>
    <x v="400"/>
  </r>
  <r>
    <x v="3"/>
    <x v="254"/>
    <s v="COLABORATIVA S.A.C."/>
    <x v="20"/>
    <d v="2025-11-03T00:00:00"/>
    <x v="25"/>
    <m/>
    <n v="6"/>
    <n v="20611890746"/>
    <s v="[{'id_producto': 18750, 'codigo_producto': 877, 'nom_producto': 'COMISION PAGOS DIGITALES SEGUN CONTRATO', 'categoria_producto': 'consu', 'cantidad': '1.0', 'valor_unitario': 69.42, 'precio_unitario': 81.92, 'descuento': 0.0, 'subtotal': 69.42, 'porcentaje_de_igv': '18.00', 'igv': 12.5, 'total': 81.92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50"/>
    <x v="26"/>
    <x v="6"/>
    <x v="0"/>
    <n v="1"/>
    <n v="69.42"/>
    <n v="81.92"/>
    <n v="0"/>
    <n v="69.42"/>
    <n v="18"/>
    <n v="12.5"/>
    <n v="81.92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01"/>
  </r>
  <r>
    <x v="3"/>
    <x v="255"/>
    <s v="COLABORATIVA S.A.C."/>
    <x v="20"/>
    <d v="2025-11-03T00:00:00"/>
    <x v="25"/>
    <m/>
    <n v="6"/>
    <n v="20611890746"/>
    <s v="[{'id_producto': 18749, 'codigo_producto': 870, 'nom_producto': 'COMISION VAOPE SEGUN CONTRATO', 'categoria_producto': 'consu', 'cantidad': '1.0', 'valor_unitario': 42.58, 'precio_unitario': 50.24, 'descuento': 0.0, 'subtotal': 42.58, 'porcentaje_de_igv': '18.00', 'igv': 7.66, 'total': 50.2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9"/>
    <x v="27"/>
    <x v="5"/>
    <x v="0"/>
    <n v="1"/>
    <n v="42.58"/>
    <n v="50.24"/>
    <n v="0"/>
    <n v="42.58"/>
    <n v="18"/>
    <n v="7.66"/>
    <n v="50.24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02"/>
  </r>
  <r>
    <x v="4"/>
    <x v="256"/>
    <s v="COLABORATIVA S.A.C."/>
    <x v="20"/>
    <d v="2025-11-03T00:00:00"/>
    <x v="30"/>
    <s v="Cliente"/>
    <n v="1"/>
    <n v="73241854"/>
    <s v="[{'id_producto': 18748, 'codigo_producto': 974, 'nom_producto': 'PERSONAL - PAUTA PUBLICITARIA -PIERO MACHA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48"/>
    <x v="42"/>
    <x v="37"/>
    <x v="0"/>
    <n v="1"/>
    <n v="20"/>
    <n v="23.6"/>
    <n v="0"/>
    <n v="20"/>
    <n v="18"/>
    <n v="3.6"/>
    <n v="23.6"/>
    <n v="1"/>
    <n v="1"/>
    <x v="2"/>
    <x v="2"/>
    <x v="1"/>
    <s v="SAMUEL CHUQUISTA"/>
    <x v="0"/>
    <s v="7012100 MercaderÃ­as-Venta Local-Terceros"/>
    <x v="2"/>
    <x v="32"/>
    <m/>
    <m/>
    <m/>
    <x v="29"/>
    <s v="Piero Macha PÃ©rez"/>
    <s v="Persona"/>
    <x v="403"/>
  </r>
  <r>
    <x v="4"/>
    <x v="257"/>
    <s v="COLABORATIVA S.A.C."/>
    <x v="20"/>
    <d v="2025-11-03T00:00:00"/>
    <x v="30"/>
    <s v="Cliente"/>
    <n v="1"/>
    <n v="73241854"/>
    <s v="[{'id_producto': 18747, 'codigo_producto': 934, 'nom_producto': 'COMISION PAGOS DIGITALES SEGUN CONTRATO - PIERO MACHA', 'categoria_producto': 'consu', 'cantidad': '1.0', 'valor_unitario': 8.93, 'precio_unitario': 10.54, 'descuento': 0.0, 'subtotal': 8.93, 'porcentaje_de_igv': '18.00', 'igv': 1.61, 'total': 10.54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7"/>
    <x v="43"/>
    <x v="38"/>
    <x v="0"/>
    <n v="1"/>
    <n v="8.93"/>
    <n v="10.54"/>
    <n v="0"/>
    <n v="8.93"/>
    <n v="18"/>
    <n v="1.61"/>
    <n v="10.54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404"/>
  </r>
  <r>
    <x v="4"/>
    <x v="258"/>
    <s v="COLABORATIVA S.A.C."/>
    <x v="20"/>
    <d v="2025-11-03T00:00:00"/>
    <x v="30"/>
    <s v="Cliente"/>
    <n v="1"/>
    <n v="73241854"/>
    <s v="[{'id_producto': 18746, 'codigo_producto': 933, 'nom_producto': 'COMISION VAOPE SEGUN CONTRATO - PIERO MACHA', 'categoria_producto': 'consu', 'cantidad': '1.0', 'valor_unitario': 7.98, 'precio_unitario': 9.42, 'descuento': 0.0, 'subtotal': 7.98, 'porcentaje_de_igv': '18.00', 'igv': 1.44, 'total': 9.42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6"/>
    <x v="44"/>
    <x v="39"/>
    <x v="0"/>
    <n v="1"/>
    <n v="7.98"/>
    <n v="9.42"/>
    <n v="0"/>
    <n v="7.98"/>
    <n v="18"/>
    <n v="1.44"/>
    <n v="9.42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405"/>
  </r>
  <r>
    <x v="3"/>
    <x v="259"/>
    <s v="COLABORATIVA S.A.C."/>
    <x v="20"/>
    <d v="2025-11-03T00:00:00"/>
    <x v="21"/>
    <s v="Cliente"/>
    <n v="6"/>
    <n v="20296011356"/>
    <s v="[{'id_producto': 18745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5"/>
    <x v="40"/>
    <x v="19"/>
    <x v="0"/>
    <n v="1"/>
    <n v="10"/>
    <n v="11.8"/>
    <n v="0"/>
    <n v="10"/>
    <n v="18"/>
    <n v="1.8"/>
    <n v="11.8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406"/>
  </r>
  <r>
    <x v="3"/>
    <x v="260"/>
    <s v="COLABORATIVA S.A.C."/>
    <x v="20"/>
    <d v="2025-11-03T00:00:00"/>
    <x v="21"/>
    <s v="Cliente"/>
    <n v="6"/>
    <n v="20296011356"/>
    <s v="[{'id_producto': 18744, 'codigo_producto': 921, 'nom_producto': 'PERSONAL - Servicio de 04 validadores Inc IGV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2-05T00:00:00"/>
    <m/>
    <m/>
    <m/>
    <m/>
    <m/>
    <n v="18744"/>
    <x v="45"/>
    <x v="40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407"/>
  </r>
  <r>
    <x v="3"/>
    <x v="261"/>
    <s v="COLABORATIVA S.A.C."/>
    <x v="20"/>
    <d v="2025-11-03T00:00:00"/>
    <x v="21"/>
    <s v="Cliente"/>
    <n v="6"/>
    <n v="20296011356"/>
    <s v="[{'id_producto': 18743, 'codigo_producto': 973, 'nom_producto': 'ENTRADAS IMPRESAS - ORDEN DE VENTA N569\n  Fieston de Carnavales con La Bella Luz Linda Caba y Deyvis Orosco en El Remanso de Comas  1500 FULL COLOR ADULTO 1000 FULL COLOR PROMO ADULTO 500 FULL COLOR NINO S141600\n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43"/>
    <x v="46"/>
    <x v="41"/>
    <x v="0"/>
    <n v="1"/>
    <n v="1200"/>
    <n v="1416"/>
    <n v="0"/>
    <n v="1200"/>
    <n v="18"/>
    <n v="216"/>
    <n v="1416"/>
    <n v="1"/>
    <n v="1"/>
    <x v="2"/>
    <x v="2"/>
    <x v="1"/>
    <s v="SAMUEL CHUQUISTA"/>
    <x v="0"/>
    <s v="7012100 MercaderÃ­as-Venta Local-Terceros"/>
    <x v="11"/>
    <x v="32"/>
    <m/>
    <m/>
    <m/>
    <x v="21"/>
    <s v="COMPLEJO TURÃSTICO EL REMANSO SAC"/>
    <s v="Empresa"/>
    <x v="408"/>
  </r>
  <r>
    <x v="3"/>
    <x v="262"/>
    <s v="COLABORATIVA S.A.C."/>
    <x v="20"/>
    <d v="2025-11-03T00:00:00"/>
    <x v="21"/>
    <s v="Cliente"/>
    <n v="6"/>
    <n v="20296011356"/>
    <s v="[{'id_producto': 18742, 'codigo_producto': 877, 'nom_producto': 'COMISION PAGOS DIGITALES SEGUN CONTRATO', 'categoria_producto': 'consu', 'cantidad': '1.0', 'valor_unitario': 1693.39, 'precio_unitario': 1998.2, 'descuento': 0.0, 'subtotal': 1693.39, 'porcentaje_de_igv': '18.00', 'igv': 304.81, 'total': 1998.2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2"/>
    <x v="26"/>
    <x v="6"/>
    <x v="0"/>
    <n v="1"/>
    <n v="1693.39"/>
    <n v="1998.2"/>
    <n v="0"/>
    <n v="1693.39"/>
    <n v="18"/>
    <n v="304.81"/>
    <n v="1998.2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409"/>
  </r>
  <r>
    <x v="3"/>
    <x v="263"/>
    <s v="COLABORATIVA S.A.C."/>
    <x v="20"/>
    <d v="2025-11-03T00:00:00"/>
    <x v="21"/>
    <s v="Cliente"/>
    <n v="6"/>
    <n v="20296011356"/>
    <s v="[{'id_producto': 18741, 'codigo_producto': 870, 'nom_producto': 'COMISION VAOPE SEGUN CONTRATO', 'categoria_producto': 'consu', 'cantidad': '1.0', 'valor_unitario': 660.0, 'precio_unitario': 778.8, 'descuento': 0.0, 'subtotal': 660.0, 'porcentaje_de_igv': '18.00', 'igv': 118.8, 'total': 778.8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1"/>
    <x v="27"/>
    <x v="5"/>
    <x v="0"/>
    <n v="1"/>
    <n v="660"/>
    <n v="778.8"/>
    <n v="0"/>
    <n v="660"/>
    <n v="18"/>
    <n v="118.8"/>
    <n v="778.8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410"/>
  </r>
  <r>
    <x v="3"/>
    <x v="264"/>
    <s v="COLABORATIVA S.A.C."/>
    <x v="20"/>
    <d v="2025-11-03T00:00:00"/>
    <x v="94"/>
    <m/>
    <n v="6"/>
    <n v="20603210868"/>
    <s v="[{'id_producto': 18740, 'codigo_producto': 972, 'nom_producto': 'COMISION CORTESIA - PAUTA PUIBLICITARIA', 'categoria_producto': 'consu', 'cantidad': '1.0', 'valor_unitario': 308.0, 'precio_unitario': 363.44, 'descuento': 0.0, 'subtotal': 308.0, 'porcentaje_de_igv': '18.00', 'igv': 55.44, 'total': 363.44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40"/>
    <x v="47"/>
    <x v="42"/>
    <x v="0"/>
    <n v="1"/>
    <n v="308"/>
    <n v="363.44"/>
    <n v="0"/>
    <n v="308"/>
    <n v="18"/>
    <n v="55.44"/>
    <n v="363.44"/>
    <n v="1"/>
    <n v="1"/>
    <x v="2"/>
    <x v="2"/>
    <x v="1"/>
    <s v="SAMUEL CHUQUISTA"/>
    <x v="0"/>
    <s v="7012100 MercaderÃ­as-Venta Local-Terceros"/>
    <x v="12"/>
    <x v="32"/>
    <m/>
    <m/>
    <m/>
    <x v="91"/>
    <s v="Tarpuy Producciones E.I.R.L"/>
    <s v="Empresa"/>
    <x v="411"/>
  </r>
  <r>
    <x v="3"/>
    <x v="265"/>
    <s v="COLABORATIVA S.A.C."/>
    <x v="20"/>
    <d v="2025-11-03T00:00:00"/>
    <x v="94"/>
    <m/>
    <n v="6"/>
    <n v="20603210868"/>
    <s v="[{'id_producto': 18739, 'codigo_producto': 877, 'nom_producto': 'COMISION PAGOS DIGITALES SEGUN CONTRATO', 'categoria_producto': 'consu', 'cantidad': '1.0', 'valor_unitario': 298.87, 'precio_unitario': 352.67, 'descuento': 0.0, 'subtotal': 298.87, 'porcentaje_de_igv': '18.00', 'igv': 53.8, 'total': 352.67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9"/>
    <x v="26"/>
    <x v="6"/>
    <x v="0"/>
    <n v="1"/>
    <n v="298.87"/>
    <n v="352.67"/>
    <n v="0"/>
    <n v="298.87"/>
    <n v="18"/>
    <n v="53.8"/>
    <n v="352.67"/>
    <n v="1"/>
    <n v="1"/>
    <x v="2"/>
    <x v="2"/>
    <x v="1"/>
    <s v="SAMUEL CHUQUISTA"/>
    <x v="0"/>
    <s v="7012100 MercaderÃ­as-Venta Local-Terceros"/>
    <x v="12"/>
    <x v="32"/>
    <m/>
    <m/>
    <m/>
    <x v="91"/>
    <s v="Tarpuy Producciones E.I.R.L"/>
    <s v="Empresa"/>
    <x v="412"/>
  </r>
  <r>
    <x v="3"/>
    <x v="266"/>
    <s v="COLABORATIVA S.A.C."/>
    <x v="20"/>
    <d v="2025-11-03T00:00:00"/>
    <x v="94"/>
    <m/>
    <n v="6"/>
    <n v="20603210868"/>
    <s v="[{'id_producto': 18738, 'codigo_producto': 870, 'nom_producto': 'COMISION VAOPE SEGUN CONTRATO', 'categoria_producto': 'consu', 'cantidad': '1.0', 'valor_unitario': 183.02, 'precio_unitario': 215.96, 'descuento': 0.0, 'subtotal': 183.02, 'porcentaje_de_igv': '18.00', 'igv': 32.94, 'total': 215.96, 'moneda': '1', 'tipo_de_cambio': 1.0, 'id_estado': 'not_paid', 'nombre_estado': 'Sin pagar', 'evento': {'id_evento': '', 'nom_evento': '', 'fecha_hora_ini_event': '', 'fecha_hora_fin_event': '', 'id_organizador': 1146, 'nom_organizador': 'Tarpuy Producciones E.I.R.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8"/>
    <x v="27"/>
    <x v="5"/>
    <x v="0"/>
    <n v="1"/>
    <n v="183.02"/>
    <n v="215.96"/>
    <n v="0"/>
    <n v="183.02"/>
    <n v="18"/>
    <n v="32.94"/>
    <n v="215.96"/>
    <n v="1"/>
    <n v="1"/>
    <x v="2"/>
    <x v="2"/>
    <x v="1"/>
    <s v="SAMUEL CHUQUISTA"/>
    <x v="0"/>
    <s v="7012100 MercaderÃ­as-Venta Local-Terceros"/>
    <x v="12"/>
    <x v="32"/>
    <m/>
    <m/>
    <m/>
    <x v="91"/>
    <s v="Tarpuy Producciones E.I.R.L"/>
    <s v="Empresa"/>
    <x v="413"/>
  </r>
  <r>
    <x v="4"/>
    <x v="267"/>
    <s v="COLABORATIVA S.A.C."/>
    <x v="20"/>
    <d v="2025-11-03T00:00:00"/>
    <x v="95"/>
    <m/>
    <n v="1"/>
    <n v="47332687"/>
    <s v="[{'id_producto': 18737, 'codigo_producto': 877, 'nom_producto': 'COMISION PAGOS DIGITALES SEGUN CONTRATO', 'categoria_producto': 'consu', 'cantidad': '1.0', 'valor_unitario': 3.48, 'precio_unitario': 4.11, 'descuento': 0.0, 'subtotal': 3.48, 'porcentaje_de_igv': '18.00', 'igv': 0.63, 'total': 4.11, 'moneda': '1', 'tipo_de_cambio': 1.0, 'id_estado': 'not_paid', 'nombre_estado': 'Sin pagar', 'evento': {'id_evento': '', 'nom_evento': '', 'fecha_hora_ini_event': '', 'fecha_hora_fin_event': '', 'id_organizador': 1176, 'nom_organizador': 'GARELD ZAID HERRERA CARDEN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7"/>
    <x v="26"/>
    <x v="6"/>
    <x v="0"/>
    <n v="1"/>
    <n v="3.48"/>
    <n v="4.1100000000000003"/>
    <n v="0"/>
    <n v="3.48"/>
    <n v="18"/>
    <n v="0.63"/>
    <n v="4.1100000000000003"/>
    <n v="1"/>
    <n v="1"/>
    <x v="2"/>
    <x v="2"/>
    <x v="1"/>
    <s v="SAMUEL CHUQUISTA"/>
    <x v="0"/>
    <s v="7012100 MercaderÃ­as-Venta Local-Terceros"/>
    <x v="12"/>
    <x v="32"/>
    <m/>
    <m/>
    <m/>
    <x v="92"/>
    <s v="GARELD ZAID HERRERA CARDENAS"/>
    <s v="Persona"/>
    <x v="414"/>
  </r>
  <r>
    <x v="4"/>
    <x v="268"/>
    <s v="COLABORATIVA S.A.C."/>
    <x v="20"/>
    <d v="2025-11-03T00:00:00"/>
    <x v="95"/>
    <m/>
    <n v="1"/>
    <n v="47332687"/>
    <s v="[{'id_producto': 18736, 'codigo_producto': 870, 'nom_producto': 'COMISION VAOPE SEGUN CONTRATO', 'categoria_producto': 'consu', 'cantidad': '1.0', 'valor_unitario': 3.0, 'precio_unitario': 3.54, 'descuento': 0.0, 'subtotal': 3.0, 'porcentaje_de_igv': '18.00', 'igv': 0.54, 'total': 3.54, 'moneda': '1', 'tipo_de_cambio': 1.0, 'id_estado': 'not_paid', 'nombre_estado': 'Sin pagar', 'evento': {'id_evento': '', 'nom_evento': '', 'fecha_hora_ini_event': '', 'fecha_hora_fin_event': '', 'id_organizador': 1176, 'nom_organizador': 'GARELD ZAID HERRERA CARDEN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6"/>
    <x v="27"/>
    <x v="5"/>
    <x v="0"/>
    <n v="1"/>
    <n v="3"/>
    <n v="3.54"/>
    <n v="0"/>
    <n v="3"/>
    <n v="18"/>
    <n v="0.54"/>
    <n v="3.54"/>
    <n v="1"/>
    <n v="1"/>
    <x v="2"/>
    <x v="2"/>
    <x v="1"/>
    <s v="SAMUEL CHUQUISTA"/>
    <x v="0"/>
    <s v="7012100 MercaderÃ­as-Venta Local-Terceros"/>
    <x v="12"/>
    <x v="32"/>
    <m/>
    <m/>
    <m/>
    <x v="92"/>
    <s v="GARELD ZAID HERRERA CARDENAS"/>
    <s v="Persona"/>
    <x v="415"/>
  </r>
  <r>
    <x v="3"/>
    <x v="269"/>
    <s v="COLABORATIVA S.A.C."/>
    <x v="20"/>
    <d v="2025-11-03T00:00:00"/>
    <x v="96"/>
    <m/>
    <n v="6"/>
    <n v="20609584719"/>
    <s v="[{'id_producto': 18735, 'codigo_producto': 877, 'nom_producto': 'COMISION PAGOS DIGITALES SEGUN CONTRATO', 'categoria_producto': 'consu', 'cantidad': '1.0', 'valor_unitario': 54.07, 'precio_unitario': 63.8, 'descuento': 0.0, 'subtotal': 54.07, 'porcentaje_de_igv': '18.00', 'igv': 9.73, 'total': 63.8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5"/>
    <x v="26"/>
    <x v="6"/>
    <x v="0"/>
    <n v="1"/>
    <n v="54.07"/>
    <n v="63.8"/>
    <n v="0"/>
    <n v="54.07"/>
    <n v="18"/>
    <n v="9.73"/>
    <n v="63.8"/>
    <n v="1"/>
    <n v="1"/>
    <x v="2"/>
    <x v="2"/>
    <x v="1"/>
    <s v="SAMUEL CHUQUISTA"/>
    <x v="0"/>
    <s v="7012100 MercaderÃ­as-Venta Local-Terceros"/>
    <x v="12"/>
    <x v="32"/>
    <m/>
    <m/>
    <m/>
    <x v="93"/>
    <s v="SEVAFRA SAC"/>
    <s v="Empresa"/>
    <x v="416"/>
  </r>
  <r>
    <x v="3"/>
    <x v="270"/>
    <s v="COLABORATIVA S.A.C."/>
    <x v="20"/>
    <d v="2025-11-03T00:00:00"/>
    <x v="96"/>
    <m/>
    <n v="6"/>
    <n v="20609584719"/>
    <s v="[{'id_producto': 18734, 'codigo_producto': 870, 'nom_producto': 'COMISION VAOPE SEGUN CONTRATO', 'categoria_producto': 'consu', 'cantidad': '1.0', 'valor_unitario': 29.49, 'precio_unitario': 34.8, 'descuento': 0.0, 'subtotal': 29.49, 'porcentaje_de_igv': '18.00', 'igv': 5.31, 'total': 34.8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4"/>
    <x v="27"/>
    <x v="5"/>
    <x v="0"/>
    <n v="1"/>
    <n v="29.49"/>
    <n v="34.799999999999997"/>
    <n v="0"/>
    <n v="29.49"/>
    <n v="18"/>
    <n v="5.31"/>
    <n v="34.799999999999997"/>
    <n v="1"/>
    <n v="1"/>
    <x v="2"/>
    <x v="2"/>
    <x v="1"/>
    <s v="SAMUEL CHUQUISTA"/>
    <x v="0"/>
    <s v="7012100 MercaderÃ­as-Venta Local-Terceros"/>
    <x v="12"/>
    <x v="32"/>
    <m/>
    <m/>
    <m/>
    <x v="93"/>
    <s v="SEVAFRA SAC"/>
    <s v="Empresa"/>
    <x v="417"/>
  </r>
  <r>
    <x v="3"/>
    <x v="271"/>
    <s v="COLABORATIVA S.A.C."/>
    <x v="20"/>
    <d v="2025-11-03T00:00:00"/>
    <x v="97"/>
    <m/>
    <n v="6"/>
    <n v="20610014381"/>
    <s v="[{'id_producto': 18733, 'codigo_producto': 877, 'nom_producto': 'COMISION PAGOS DIGITALES SEGUN CONTRATO', 'categoria_producto': 'consu', 'cantidad': '1.0', 'valor_unitario': 16.44, 'precio_unitario': 19.4, 'descuento': 0.0, 'subtotal': 16.44, 'porcentaje_de_igv': '18.00', 'igv': 2.96, 'total': 19.4, 'moneda': '1', 'tipo_de_cambio': 1.0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3"/>
    <x v="26"/>
    <x v="6"/>
    <x v="0"/>
    <n v="1"/>
    <n v="16.440000000000001"/>
    <n v="19.399999999999999"/>
    <n v="0"/>
    <n v="16.440000000000001"/>
    <n v="18"/>
    <n v="2.96"/>
    <n v="19.399999999999999"/>
    <n v="1"/>
    <n v="1"/>
    <x v="2"/>
    <x v="2"/>
    <x v="1"/>
    <s v="SAMUEL CHUQUISTA"/>
    <x v="0"/>
    <s v="7012100 MercaderÃ­as-Venta Local-Terceros"/>
    <x v="12"/>
    <x v="32"/>
    <m/>
    <m/>
    <m/>
    <x v="94"/>
    <s v="MULTISERVICIOS YATACO E.I.R.L."/>
    <s v="Empresa"/>
    <x v="418"/>
  </r>
  <r>
    <x v="3"/>
    <x v="272"/>
    <s v="COLABORATIVA S.A.C."/>
    <x v="20"/>
    <d v="2025-11-03T00:00:00"/>
    <x v="97"/>
    <m/>
    <n v="6"/>
    <n v="20610014381"/>
    <s v="[{'id_producto': 18732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44, 'nom_organizador': 'MULTISERVICIOS YATACO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2"/>
    <x v="27"/>
    <x v="5"/>
    <x v="0"/>
    <n v="1"/>
    <n v="18.05"/>
    <n v="21.3"/>
    <n v="0"/>
    <n v="18.05"/>
    <n v="18"/>
    <n v="3.25"/>
    <n v="21.3"/>
    <n v="1"/>
    <n v="1"/>
    <x v="2"/>
    <x v="2"/>
    <x v="1"/>
    <s v="SAMUEL CHUQUISTA"/>
    <x v="0"/>
    <s v="7012100 MercaderÃ­as-Venta Local-Terceros"/>
    <x v="12"/>
    <x v="32"/>
    <m/>
    <m/>
    <m/>
    <x v="94"/>
    <s v="MULTISERVICIOS YATACO E.I.R.L."/>
    <s v="Empresa"/>
    <x v="419"/>
  </r>
  <r>
    <x v="3"/>
    <x v="273"/>
    <s v="COLABORATIVA S.A.C."/>
    <x v="20"/>
    <d v="2025-11-03T00:00:00"/>
    <x v="98"/>
    <m/>
    <n v="6"/>
    <n v="20516587874"/>
    <s v="[{'id_producto': 18731, 'codigo_producto': 877, 'nom_producto': 'COMISION PAGOS DIGITALES SEGUN CONTRATO', 'categoria_producto': 'consu', 'cantidad': '1.0', 'valor_unitario': 30.34, 'precio_unitario': 35.8, 'descuento': 0.0, 'subtotal': 30.34, 'porcentaje_de_igv': '18.00', 'igv': 5.46, 'total': 35.8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1"/>
    <x v="26"/>
    <x v="6"/>
    <x v="0"/>
    <n v="1"/>
    <n v="30.34"/>
    <n v="35.799999999999997"/>
    <n v="0"/>
    <n v="30.34"/>
    <n v="18"/>
    <n v="5.46"/>
    <n v="35.799999999999997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420"/>
  </r>
  <r>
    <x v="3"/>
    <x v="274"/>
    <s v="COLABORATIVA S.A.C."/>
    <x v="20"/>
    <d v="2025-11-03T00:00:00"/>
    <x v="98"/>
    <m/>
    <n v="6"/>
    <n v="20516587874"/>
    <s v="[{'id_producto': 18730, 'codigo_producto': 870, 'nom_producto': 'COMISION VAOPE SEGUN CONTRATO', 'categoria_producto': 'consu', 'cantidad': '1.0', 'valor_unitario': 17.29, 'precio_unitario': 20.4, 'descuento': 0.0, 'subtotal': 17.29, 'porcentaje_de_igv': '18.00', 'igv': 3.11, 'total': 20.4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30"/>
    <x v="27"/>
    <x v="5"/>
    <x v="0"/>
    <n v="1"/>
    <n v="17.29"/>
    <n v="20.399999999999999"/>
    <n v="0"/>
    <n v="17.29"/>
    <n v="18"/>
    <n v="3.11"/>
    <n v="20.399999999999999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421"/>
  </r>
  <r>
    <x v="3"/>
    <x v="275"/>
    <s v="COLABORATIVA S.A.C."/>
    <x v="20"/>
    <d v="2025-11-03T00:00:00"/>
    <x v="99"/>
    <m/>
    <n v="6"/>
    <n v="20600937112"/>
    <s v="[{'id_producto': 18729, 'codigo_producto': 877, 'nom_producto': 'COMISION PAGOS DIGITALES SEGUN CONTRATO', 'categoria_producto': 'consu', 'cantidad': '1.0', 'valor_unitario': 11.47, 'precio_unitario': 13.54, 'descuento': 0.0, 'subtotal': 11.47, 'porcentaje_de_igv': '18.00', 'igv': 2.07, 'total': 13.54, 'moneda': '1', 'tipo_de_cambio': 1.0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9"/>
    <x v="26"/>
    <x v="6"/>
    <x v="0"/>
    <n v="1"/>
    <n v="11.47"/>
    <n v="13.54"/>
    <n v="0"/>
    <n v="11.47"/>
    <n v="18"/>
    <n v="2.0699999999999998"/>
    <n v="13.54"/>
    <n v="1"/>
    <n v="1"/>
    <x v="2"/>
    <x v="2"/>
    <x v="1"/>
    <s v="SAMUEL CHUQUISTA"/>
    <x v="0"/>
    <s v="7012100 MercaderÃ­as-Venta Local-Terceros"/>
    <x v="12"/>
    <x v="32"/>
    <m/>
    <m/>
    <m/>
    <x v="96"/>
    <s v="INVERSIONES SAM &amp; ASOCIADOS SAC"/>
    <s v="Empresa"/>
    <x v="422"/>
  </r>
  <r>
    <x v="3"/>
    <x v="276"/>
    <s v="COLABORATIVA S.A.C."/>
    <x v="20"/>
    <d v="2025-11-03T00:00:00"/>
    <x v="99"/>
    <m/>
    <n v="6"/>
    <n v="20600937112"/>
    <s v="[{'id_producto': 18728, 'codigo_producto': 870, 'nom_producto': 'COMISION VAOPE SEGUN CONTRATO', 'categoria_producto': 'consu', 'cantidad': '1.0', 'valor_unitario': 12.2, 'precio_unitario': 14.4, 'descuento': 0.0, 'subtotal': 12.2, 'porcentaje_de_igv': '18.00', 'igv': 2.2, 'total': 14.4, 'moneda': '1', 'tipo_de_cambio': 1.0, 'id_estado': 'not_paid', 'nombre_estado': 'Sin pagar', 'evento': {'id_evento': '', 'nom_evento': '', 'fecha_hora_ini_event': '', 'fecha_hora_fin_event': '', 'id_organizador': 1143, 'nom_organizador': 'INVERSIONES SAM &amp; ASOCIADO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8"/>
    <x v="27"/>
    <x v="5"/>
    <x v="0"/>
    <n v="1"/>
    <n v="12.2"/>
    <n v="14.4"/>
    <n v="0"/>
    <n v="12.2"/>
    <n v="18"/>
    <n v="2.2000000000000002"/>
    <n v="14.4"/>
    <n v="1"/>
    <n v="1"/>
    <x v="2"/>
    <x v="2"/>
    <x v="1"/>
    <s v="SAMUEL CHUQUISTA"/>
    <x v="0"/>
    <s v="7012100 MercaderÃ­as-Venta Local-Terceros"/>
    <x v="12"/>
    <x v="32"/>
    <m/>
    <m/>
    <m/>
    <x v="96"/>
    <s v="INVERSIONES SAM &amp; ASOCIADOS SAC"/>
    <s v="Empresa"/>
    <x v="423"/>
  </r>
  <r>
    <x v="3"/>
    <x v="277"/>
    <s v="COLABORATIVA S.A.C."/>
    <x v="20"/>
    <d v="2025-11-03T00:00:00"/>
    <x v="100"/>
    <s v="Cliente"/>
    <n v="6"/>
    <n v="20608627422"/>
    <s v="[{'id_producto': 18727, 'codigo_producto': 877, 'nom_producto': 'COMISION PAGOS DIGITALES SEGUN CONTRATO', 'categoria_producto': 'consu', 'cantidad': '1.0', 'valor_unitario': 1553.9, 'precio_unitario': 1833.6, 'descuento': 0.0, 'subtotal': 1553.9, 'porcentaje_de_igv': '18.00', 'igv': 279.7, 'total': 1833.6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7"/>
    <x v="26"/>
    <x v="6"/>
    <x v="0"/>
    <n v="1"/>
    <n v="1553.9"/>
    <n v="1833.6"/>
    <n v="0"/>
    <n v="1553.9"/>
    <n v="18"/>
    <n v="279.7"/>
    <n v="1833.6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424"/>
  </r>
  <r>
    <x v="3"/>
    <x v="278"/>
    <s v="COLABORATIVA S.A.C."/>
    <x v="20"/>
    <d v="2025-11-03T00:00:00"/>
    <x v="100"/>
    <s v="Cliente"/>
    <n v="6"/>
    <n v="20608627422"/>
    <s v="[{'id_producto': 18726, 'codigo_producto': 870, 'nom_producto': 'COMISION VAOPE SEGUN CONTRATO', 'categoria_producto': 'consu', 'cantidad': '1.0', 'valor_unitario': 1180.25, 'precio_unitario': 1392.7, 'descuento': 0.0, 'subtotal': 1180.25, 'porcentaje_de_igv': '18.00', 'igv': 212.45, 'total': 1392.7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6"/>
    <x v="27"/>
    <x v="5"/>
    <x v="0"/>
    <n v="1"/>
    <n v="1180.25"/>
    <n v="1392.7"/>
    <n v="0"/>
    <n v="1180.25"/>
    <n v="18"/>
    <n v="212.45"/>
    <n v="1392.7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425"/>
  </r>
  <r>
    <x v="3"/>
    <x v="279"/>
    <s v="COLABORATIVA S.A.C."/>
    <x v="20"/>
    <d v="2025-11-03T00:00:00"/>
    <x v="25"/>
    <m/>
    <n v="6"/>
    <n v="20611890746"/>
    <s v="[{'id_producto': 18725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5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26"/>
  </r>
  <r>
    <x v="3"/>
    <x v="280"/>
    <s v="COLABORATIVA S.A.C."/>
    <x v="20"/>
    <d v="2025-11-03T00:00:00"/>
    <x v="25"/>
    <m/>
    <n v="6"/>
    <n v="20611890746"/>
    <s v="[{'id_producto': 18724, 'codigo_producto': 877, 'nom_producto': 'COMISION PAGOS DIGITALES SEGUN CONTRATO', 'categoria_producto': 'consu', 'cantidad': '1.0', 'valor_unitario': 2327.53, 'precio_unitario': 2746.48, 'descuento': 0.0, 'subtotal': 2327.53, 'porcentaje_de_igv': '18.00', 'igv': 418.95, 'total': 2746.4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4"/>
    <x v="26"/>
    <x v="6"/>
    <x v="0"/>
    <n v="1"/>
    <n v="2327.5300000000002"/>
    <n v="2746.48"/>
    <n v="0"/>
    <n v="2327.5300000000002"/>
    <n v="18"/>
    <n v="418.95"/>
    <n v="2746.4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27"/>
  </r>
  <r>
    <x v="3"/>
    <x v="281"/>
    <s v="COLABORATIVA S.A.C."/>
    <x v="20"/>
    <d v="2025-11-03T00:00:00"/>
    <x v="25"/>
    <m/>
    <n v="6"/>
    <n v="20611890746"/>
    <s v="[{'id_producto': 18723, 'codigo_producto': 870, 'nom_producto': 'COMISION VAOPE SEGUN CONTRATO', 'categoria_producto': 'consu', 'cantidad': '1.0', 'valor_unitario': 1440.93, 'precio_unitario': 1700.3, 'descuento': 0.0, 'subtotal': 1440.93, 'porcentaje_de_igv': '18.00', 'igv': 259.37, 'total': 1700.3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3"/>
    <x v="27"/>
    <x v="5"/>
    <x v="0"/>
    <n v="1"/>
    <n v="1440.93"/>
    <n v="1700.3"/>
    <n v="0"/>
    <n v="1440.93"/>
    <n v="18"/>
    <n v="259.37"/>
    <n v="1700.3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28"/>
  </r>
  <r>
    <x v="4"/>
    <x v="282"/>
    <s v="COLABORATIVA S.A.C."/>
    <x v="20"/>
    <d v="2025-11-03T00:00:00"/>
    <x v="101"/>
    <m/>
    <n v="1"/>
    <n v="45273802"/>
    <s v="[{'id_producto': 18722, 'codigo_producto': 877, 'nom_producto': 'COMISION PAGOS DIGITALES SEGUN CONTRATO', 'categoria_producto': 'consu', 'cantidad': '1.0', 'valor_unitario': 799.58, 'precio_unitario': 943.5, 'descuento': 0.0, 'subtotal': 799.58, 'porcentaje_de_igv': '18.00', 'igv': 143.92, 'total': 943.5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2"/>
    <x v="26"/>
    <x v="6"/>
    <x v="0"/>
    <n v="1"/>
    <n v="799.58"/>
    <n v="943.5"/>
    <n v="0"/>
    <n v="799.58"/>
    <n v="18"/>
    <n v="143.91999999999999"/>
    <n v="943.5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29"/>
  </r>
  <r>
    <x v="4"/>
    <x v="283"/>
    <s v="COLABORATIVA S.A.C."/>
    <x v="20"/>
    <d v="2025-11-03T00:00:00"/>
    <x v="101"/>
    <m/>
    <n v="1"/>
    <n v="45273802"/>
    <s v="[{'id_producto': 18721, 'codigo_producto': 870, 'nom_producto': 'COMISION VAOPE SEGUN CONTRATO', 'categoria_producto': 'consu', 'cantidad': '1.0', 'valor_unitario': 614.24, 'precio_unitario': 724.8, 'descuento': 0.0, 'subtotal': 614.24, 'porcentaje_de_igv': '18.00', 'igv': 110.56, 'total': 724.8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1"/>
    <x v="27"/>
    <x v="5"/>
    <x v="0"/>
    <n v="1"/>
    <n v="614.24"/>
    <n v="724.8"/>
    <n v="0"/>
    <n v="614.24"/>
    <n v="18"/>
    <n v="110.56"/>
    <n v="724.8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30"/>
  </r>
  <r>
    <x v="4"/>
    <x v="284"/>
    <s v="COLABORATIVA S.A.C."/>
    <x v="20"/>
    <d v="2025-11-03T00:00:00"/>
    <x v="101"/>
    <m/>
    <n v="1"/>
    <n v="45273802"/>
    <s v="[{'id_producto': 18720, 'codigo_producto': 877, 'nom_producto': 'COMISION PAGOS DIGITALES SEGUN CONTRATO', 'categoria_producto': 'consu', 'cantidad': '1.0', 'valor_unitario': 272.2, 'precio_unitario': 321.2, 'descuento': 0.0, 'subtotal': 272.2, 'porcentaje_de_igv': '18.00', 'igv': 49.0, 'total': 321.2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20"/>
    <x v="26"/>
    <x v="6"/>
    <x v="0"/>
    <n v="1"/>
    <n v="272.2"/>
    <n v="321.2"/>
    <n v="0"/>
    <n v="272.2"/>
    <n v="18"/>
    <n v="49"/>
    <n v="321.2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31"/>
  </r>
  <r>
    <x v="4"/>
    <x v="285"/>
    <s v="COLABORATIVA S.A.C."/>
    <x v="20"/>
    <d v="2025-11-03T00:00:00"/>
    <x v="101"/>
    <m/>
    <n v="1"/>
    <n v="45273802"/>
    <s v="[{'id_producto': 18719, 'codigo_producto': 870, 'nom_producto': 'COMISION VAOPE SEGUN CONTRATO', 'categoria_producto': 'consu', 'cantidad': '1.0', 'valor_unitario': 222.71, 'precio_unitario': 262.8, 'descuento': 0.0, 'subtotal': 222.71, 'porcentaje_de_igv': '18.00', 'igv': 40.09, 'total': 262.8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9"/>
    <x v="27"/>
    <x v="5"/>
    <x v="0"/>
    <n v="1"/>
    <n v="222.71"/>
    <n v="262.8"/>
    <n v="0"/>
    <n v="222.71"/>
    <n v="18"/>
    <n v="40.090000000000003"/>
    <n v="262.8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32"/>
  </r>
  <r>
    <x v="3"/>
    <x v="286"/>
    <s v="COLABORATIVA S.A.C."/>
    <x v="20"/>
    <d v="2025-11-03T00:00:00"/>
    <x v="25"/>
    <m/>
    <n v="6"/>
    <n v="20611890746"/>
    <s v="[{'id_producto': 18718, 'codigo_producto': 971, 'nom_producto': 'PERSONAL - PAUTA PUBLICITARIA - DELIVERY', 'categoria_producto': 'consu', 'cantidad': '1.0', 'valor_unitario': 650.0, 'precio_unitario': 767.0, 'descuento': 0.0, 'subtotal': 650.0, 'porcentaje_de_igv': '18.00', 'igv': 117.0, 'total': 767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18"/>
    <x v="48"/>
    <x v="43"/>
    <x v="0"/>
    <n v="1"/>
    <n v="650"/>
    <n v="767"/>
    <n v="0"/>
    <n v="650"/>
    <n v="18"/>
    <n v="117"/>
    <n v="767"/>
    <n v="1"/>
    <n v="1"/>
    <x v="2"/>
    <x v="2"/>
    <x v="1"/>
    <s v="SAMUEL CHUQUISTA"/>
    <x v="0"/>
    <s v="7012100 MercaderÃ­as-Venta Local-Terceros"/>
    <x v="2"/>
    <x v="32"/>
    <m/>
    <m/>
    <m/>
    <x v="25"/>
    <s v="CONSORCIO CHUNGA &amp; ASOCIADOS S.A.C."/>
    <s v="Empresa"/>
    <x v="433"/>
  </r>
  <r>
    <x v="3"/>
    <x v="287"/>
    <s v="COLABORATIVA S.A.C."/>
    <x v="20"/>
    <d v="2025-11-03T00:00:00"/>
    <x v="25"/>
    <m/>
    <n v="6"/>
    <n v="20611890746"/>
    <s v="[{'id_producto': 18717, 'codigo_producto': 970, 'nom_producto': 'ENTRADAS IMPRESAS - Orden de venta No 580\n  LA UNICA TROPICAL PAITA - 08 DE FEB - I - P  1000 BRAZALETES VIP S70800\n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17"/>
    <x v="49"/>
    <x v="44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434"/>
  </r>
  <r>
    <x v="3"/>
    <x v="288"/>
    <s v="COLABORATIVA S.A.C."/>
    <x v="20"/>
    <d v="2025-11-03T00:00:00"/>
    <x v="25"/>
    <m/>
    <n v="6"/>
    <n v="20611890746"/>
    <s v="[{'id_producto': 18716, 'codigo_producto': 969, 'nom_producto': 'ENTRADAS IMPRESAS - Orden de venta No 579\n  LA UNICA TROPICAL MOTUPE - 05 DE FEB - I - P  2000 BRAZALETES VIP S141600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16"/>
    <x v="50"/>
    <x v="45"/>
    <x v="0"/>
    <n v="1"/>
    <n v="1200"/>
    <n v="1416"/>
    <n v="0"/>
    <n v="1200"/>
    <n v="18"/>
    <n v="216"/>
    <n v="141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435"/>
  </r>
  <r>
    <x v="3"/>
    <x v="289"/>
    <s v="COLABORATIVA S.A.C."/>
    <x v="20"/>
    <d v="2025-11-03T00:00:00"/>
    <x v="25"/>
    <m/>
    <n v="6"/>
    <n v="20611890746"/>
    <s v="[{'id_producto': 18715, 'codigo_producto': 968, 'nom_producto': 'ENTRADAS IMPRESAS - ORDEN DE VENTA N573\n  La Unica Tropical en Sullana  2000 BRAZALETES VIP S141600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15"/>
    <x v="51"/>
    <x v="46"/>
    <x v="0"/>
    <n v="1"/>
    <n v="1200"/>
    <n v="1416"/>
    <n v="0"/>
    <n v="1200"/>
    <n v="18"/>
    <n v="216"/>
    <n v="141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436"/>
  </r>
  <r>
    <x v="3"/>
    <x v="290"/>
    <s v="COLABORATIVA S.A.C."/>
    <x v="20"/>
    <d v="2025-11-03T00:00:00"/>
    <x v="25"/>
    <m/>
    <n v="6"/>
    <n v="20611890746"/>
    <s v="[{'id_producto': 18714, 'codigo_producto': 877, 'nom_producto': 'COMISION PAGOS DIGITALES SEGUN CONTRATO', 'categoria_producto': 'consu', 'cantidad': '1.0', 'valor_unitario': 2530.92, 'precio_unitario': 2986.48, 'descuento': 0.0, 'subtotal': 2530.92, 'porcentaje_de_igv': '18.00', 'igv': 455.56, 'total': 2986.4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4"/>
    <x v="26"/>
    <x v="6"/>
    <x v="0"/>
    <n v="1"/>
    <n v="2530.92"/>
    <n v="2986.48"/>
    <n v="0"/>
    <n v="2530.92"/>
    <n v="18"/>
    <n v="455.56"/>
    <n v="2986.4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37"/>
  </r>
  <r>
    <x v="3"/>
    <x v="291"/>
    <s v="COLABORATIVA S.A.C."/>
    <x v="20"/>
    <d v="2025-11-03T00:00:00"/>
    <x v="25"/>
    <m/>
    <n v="6"/>
    <n v="20611890746"/>
    <s v="[{'id_producto': 18713, 'codigo_producto': 870, 'nom_producto': 'COMISION VAOPE SEGUN CONTRATO', 'categoria_producto': 'consu', 'cantidad': '1.0', 'valor_unitario': 1544.46, 'precio_unitario': 1822.46, 'descuento': 0.0, 'subtotal': 1544.46, 'porcentaje_de_igv': '18.00', 'igv': 278.0, 'total': 1822.4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3"/>
    <x v="27"/>
    <x v="5"/>
    <x v="0"/>
    <n v="1"/>
    <n v="1544.46"/>
    <n v="1822.46"/>
    <n v="0"/>
    <n v="1544.46"/>
    <n v="18"/>
    <n v="278"/>
    <n v="1822.46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38"/>
  </r>
  <r>
    <x v="4"/>
    <x v="292"/>
    <s v="COLABORATIVA S.A.C."/>
    <x v="20"/>
    <d v="2025-11-03T00:00:00"/>
    <x v="80"/>
    <s v="Cliente"/>
    <n v="1"/>
    <n v="43908595"/>
    <s v="[{'id_producto': 18712, 'codigo_producto': 967, 'nom_producto': 'COMISION PAGOS DIGITALES SEGUN CONTRAT', 'categoria_producto': 'consu', 'cantidad': '1.0', 'valor_unitario': 1885.17, 'precio_unitario': 2224.5, 'descuento': 0.0, 'subtotal': 1885.17, 'porcentaje_de_igv': '18.00', 'igv': 339.33, 'total': 2224.5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2"/>
    <x v="52"/>
    <x v="47"/>
    <x v="0"/>
    <n v="1"/>
    <n v="1885.17"/>
    <n v="2224.5"/>
    <n v="0"/>
    <n v="1885.17"/>
    <n v="18"/>
    <n v="339.33"/>
    <n v="2224.5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439"/>
  </r>
  <r>
    <x v="4"/>
    <x v="293"/>
    <s v="COLABORATIVA S.A.C."/>
    <x v="20"/>
    <d v="2025-11-03T00:00:00"/>
    <x v="80"/>
    <s v="Cliente"/>
    <n v="1"/>
    <n v="43908595"/>
    <s v="[{'id_producto': 18711, 'codigo_producto': 885, 'nom_producto': 'COMISION VAOPE SEGUN CONTRATO', 'categoria_producto': 'consu', 'cantidad': '1.0', 'valor_unitario': 2021.19, 'precio_unitario': 2385.0, 'descuento': 0.0, 'subtotal': 2021.19, 'porcentaje_de_igv': '18.00', 'igv': 363.81, 'total': 2385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1"/>
    <x v="53"/>
    <x v="5"/>
    <x v="0"/>
    <n v="1"/>
    <n v="2021.19"/>
    <n v="2385"/>
    <n v="0"/>
    <n v="2021.19"/>
    <n v="18"/>
    <n v="363.81"/>
    <n v="2385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440"/>
  </r>
  <r>
    <x v="4"/>
    <x v="294"/>
    <s v="COLABORATIVA S.A.C."/>
    <x v="20"/>
    <d v="2025-11-03T00:00:00"/>
    <x v="80"/>
    <s v="Cliente"/>
    <n v="1"/>
    <n v="43908595"/>
    <s v="[{'id_producto': 18710, 'codigo_producto': 992, 'nom_producto': 'COMISION CORTESIA - DELIVERY', 'categoria_producto': 'consu', 'cantidad': '1.0', 'valor_unitario': 32.0, 'precio_unitario': 37.76, 'descuento': 0.0, 'subtotal': 32.0, 'porcentaje_de_igv': '18.00', 'igv': 5.76, 'total': 37.76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10"/>
    <x v="54"/>
    <x v="48"/>
    <x v="0"/>
    <n v="1"/>
    <n v="32"/>
    <n v="37.76"/>
    <n v="0"/>
    <n v="32"/>
    <n v="18"/>
    <n v="5.76"/>
    <n v="37.76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441"/>
  </r>
  <r>
    <x v="4"/>
    <x v="295"/>
    <s v="COLABORATIVA S.A.C."/>
    <x v="20"/>
    <d v="2025-11-03T00:00:00"/>
    <x v="80"/>
    <s v="Cliente"/>
    <n v="1"/>
    <n v="43908595"/>
    <s v="[{'id_producto': 18709, 'codigo_producto': 966, 'nom_producto': 'PERSONAL - PUBLICIDAD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2-05T00:00:00"/>
    <m/>
    <m/>
    <m/>
    <m/>
    <m/>
    <n v="18709"/>
    <x v="55"/>
    <x v="49"/>
    <x v="0"/>
    <n v="1"/>
    <n v="300"/>
    <n v="354"/>
    <n v="0"/>
    <n v="300"/>
    <n v="18"/>
    <n v="54"/>
    <n v="354"/>
    <n v="1"/>
    <n v="1"/>
    <x v="2"/>
    <x v="2"/>
    <x v="1"/>
    <s v="SAMUEL CHUQUISTA"/>
    <x v="0"/>
    <s v="7012100 MercaderÃ­as-Venta Local-Terceros"/>
    <x v="2"/>
    <x v="32"/>
    <m/>
    <m/>
    <m/>
    <x v="75"/>
    <s v="JESUS MANUEL COTRINA CORPUS"/>
    <s v="Persona"/>
    <x v="442"/>
  </r>
  <r>
    <x v="4"/>
    <x v="296"/>
    <s v="COLABORATIVA S.A.C."/>
    <x v="20"/>
    <d v="2025-11-03T00:00:00"/>
    <x v="80"/>
    <s v="Cliente"/>
    <n v="1"/>
    <n v="43908595"/>
    <s v="[{'id_producto': 18708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2-05T00:00:00"/>
    <m/>
    <m/>
    <m/>
    <m/>
    <m/>
    <n v="18708"/>
    <x v="56"/>
    <x v="50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75"/>
    <s v="JESUS MANUEL COTRINA CORPUS"/>
    <s v="Persona"/>
    <x v="443"/>
  </r>
  <r>
    <x v="4"/>
    <x v="297"/>
    <s v="COLABORATIVA S.A.C."/>
    <x v="20"/>
    <d v="2025-11-03T00:00:00"/>
    <x v="80"/>
    <s v="Cliente"/>
    <n v="1"/>
    <n v="43908595"/>
    <s v="[{'id_producto': 18707, 'codigo_producto': 965, 'nom_producto': 'ENTRADAS IMPRESAS - ORDEN DE VENTA N529\n  CORAZON SERRANO Y DINA PAUCAR EN REAL HOTEL HUASCARAN EN HUARAZ 500 TICKETS PREMIUM PLATINUM 500 TICKETS PREMIUM VIP S109740', 'categoria_producto': 'consu', 'cantidad': '1.0', 'valor_unitario': 930.0, 'precio_unitario': 1097.4, 'descuento': 0.0, 'subtotal': 930.0, 'porcentaje_de_igv': '18.00', 'igv': 167.4, 'total': 1097.4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07"/>
    <x v="57"/>
    <x v="51"/>
    <x v="0"/>
    <n v="1"/>
    <n v="930"/>
    <n v="1097.4000000000001"/>
    <n v="0"/>
    <n v="930"/>
    <n v="18"/>
    <n v="167.4"/>
    <n v="1097.4000000000001"/>
    <n v="1"/>
    <n v="1"/>
    <x v="2"/>
    <x v="2"/>
    <x v="1"/>
    <s v="SAMUEL CHUQUISTA"/>
    <x v="0"/>
    <s v="7012100 MercaderÃ­as-Venta Local-Terceros"/>
    <x v="11"/>
    <x v="32"/>
    <m/>
    <m/>
    <m/>
    <x v="75"/>
    <s v="JESUS MANUEL COTRINA CORPUS"/>
    <s v="Persona"/>
    <x v="444"/>
  </r>
  <r>
    <x v="3"/>
    <x v="298"/>
    <s v="COLABORATIVA S.A.C."/>
    <x v="20"/>
    <d v="2025-11-03T00:00:00"/>
    <x v="71"/>
    <m/>
    <n v="6"/>
    <n v="20609649039"/>
    <s v="[{'id_producto': 18706, 'codigo_producto': 877, 'nom_producto': 'COMISION PAGOS DIGITALES SEGUN CONTRATO', 'categoria_producto': 'consu', 'cantidad': '1.0', 'valor_unitario': 25.85, 'precio_unitario': 30.5, 'descuento': 0.0, 'subtotal': 25.85, 'porcentaje_de_igv': '18.00', 'igv': 4.65, 'total': 30.5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6"/>
    <x v="26"/>
    <x v="6"/>
    <x v="0"/>
    <n v="1"/>
    <n v="25.85"/>
    <n v="30.5"/>
    <n v="0"/>
    <n v="25.85"/>
    <n v="18"/>
    <n v="4.6500000000000004"/>
    <n v="30.5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445"/>
  </r>
  <r>
    <x v="3"/>
    <x v="299"/>
    <s v="COLABORATIVA S.A.C."/>
    <x v="20"/>
    <d v="2025-11-03T00:00:00"/>
    <x v="71"/>
    <m/>
    <n v="6"/>
    <n v="20609649039"/>
    <s v="[{'id_producto': 18705, 'codigo_producto': 870, 'nom_producto': 'COMISION VAOPE SEGUN CONTRATO', 'categoria_producto': 'consu', 'cantidad': '1.0', 'valor_unitario': 20.34, 'precio_unitario': 24.0, 'descuento': 0.0, 'subtotal': 20.34, 'porcentaje_de_igv': '18.00', 'igv': 3.66, 'total': 24.0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5"/>
    <x v="27"/>
    <x v="5"/>
    <x v="0"/>
    <n v="1"/>
    <n v="20.34"/>
    <n v="24"/>
    <n v="0"/>
    <n v="20.34"/>
    <n v="18"/>
    <n v="3.66"/>
    <n v="24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446"/>
  </r>
  <r>
    <x v="3"/>
    <x v="300"/>
    <s v="COLABORATIVA S.A.C."/>
    <x v="20"/>
    <d v="2025-11-03T00:00:00"/>
    <x v="102"/>
    <m/>
    <n v="6"/>
    <n v="20611587741"/>
    <s v="[{'id_producto': 18704, 'codigo_producto': 877, 'nom_producto': 'COMISION PAGOS DIGITALES SEGUN CONTRATO', 'categoria_producto': 'consu', 'cantidad': '1.0', 'valor_unitario': 24.75, 'precio_unitario': 29.2, 'descuento': 0.0, 'subtotal': 24.75, 'porcentaje_de_igv': '18.00', 'igv': 4.45, 'total': 29.2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4"/>
    <x v="26"/>
    <x v="6"/>
    <x v="0"/>
    <n v="1"/>
    <n v="24.75"/>
    <n v="29.2"/>
    <n v="0"/>
    <n v="24.75"/>
    <n v="18"/>
    <n v="4.45"/>
    <n v="29.2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447"/>
  </r>
  <r>
    <x v="3"/>
    <x v="301"/>
    <s v="COLABORATIVA S.A.C."/>
    <x v="20"/>
    <d v="2025-11-03T00:00:00"/>
    <x v="102"/>
    <m/>
    <n v="6"/>
    <n v="20611587741"/>
    <s v="[{'id_producto': 18703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3"/>
    <x v="27"/>
    <x v="5"/>
    <x v="0"/>
    <n v="1"/>
    <n v="18.05"/>
    <n v="21.3"/>
    <n v="0"/>
    <n v="18.05"/>
    <n v="18"/>
    <n v="3.25"/>
    <n v="21.3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448"/>
  </r>
  <r>
    <x v="3"/>
    <x v="302"/>
    <s v="COLABORATIVA S.A.C."/>
    <x v="20"/>
    <d v="2025-11-03T00:00:00"/>
    <x v="25"/>
    <m/>
    <n v="6"/>
    <n v="20611890746"/>
    <s v="[{'id_producto': 18702, 'codigo_producto': 964, 'nom_producto': 'ENTRADAS IMPRESAS - ORDEN DE VENTA N575\n  La Unica Tropical en Colan  1000 BRAZALETES VIP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702"/>
    <x v="58"/>
    <x v="52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449"/>
  </r>
  <r>
    <x v="3"/>
    <x v="303"/>
    <s v="COLABORATIVA S.A.C."/>
    <x v="20"/>
    <d v="2025-11-03T00:00:00"/>
    <x v="25"/>
    <m/>
    <n v="6"/>
    <n v="20611890746"/>
    <s v="[{'id_producto': 18701, 'codigo_producto': 877, 'nom_producto': 'COMISION PAGOS DIGITALES SEGUN CONTRATO', 'categoria_producto': 'consu', 'cantidad': '1.0', 'valor_unitario': 1264.92, 'precio_unitario': 1492.6, 'descuento': 0.0, 'subtotal': 1264.92, 'porcentaje_de_igv': '18.00', 'igv': 227.68, 'total': 1492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1"/>
    <x v="26"/>
    <x v="6"/>
    <x v="0"/>
    <n v="1"/>
    <n v="1264.92"/>
    <n v="1492.6"/>
    <n v="0"/>
    <n v="1264.92"/>
    <n v="18"/>
    <n v="227.68"/>
    <n v="1492.6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50"/>
  </r>
  <r>
    <x v="3"/>
    <x v="304"/>
    <s v="COLABORATIVA S.A.C."/>
    <x v="20"/>
    <d v="2025-11-03T00:00:00"/>
    <x v="25"/>
    <m/>
    <n v="6"/>
    <n v="20611890746"/>
    <s v="[{'id_producto': 18700, 'codigo_producto': 870, 'nom_producto': 'COMISION VAOPE SEGUN CONTRATO', 'categoria_producto': 'consu', 'cantidad': '1.0', 'valor_unitario': 896.27, 'precio_unitario': 1057.6, 'descuento': 0.0, 'subtotal': 896.27, 'porcentaje_de_igv': '18.00', 'igv': 161.33, 'total': 1057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700"/>
    <x v="27"/>
    <x v="5"/>
    <x v="0"/>
    <n v="1"/>
    <n v="896.27"/>
    <n v="1057.5999999999999"/>
    <n v="0"/>
    <n v="896.27"/>
    <n v="18"/>
    <n v="161.33000000000001"/>
    <n v="1057.5999999999999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51"/>
  </r>
  <r>
    <x v="3"/>
    <x v="305"/>
    <s v="COLABORATIVA S.A.C."/>
    <x v="20"/>
    <d v="2025-11-03T00:00:00"/>
    <x v="103"/>
    <m/>
    <n v="6"/>
    <n v="10038775753"/>
    <s v="[{'id_producto': 18699, 'codigo_producto': 877, 'nom_producto': 'COMISION PAGOS DIGITALES SEGUN CONTRATO', 'categoria_producto': 'consu', 'cantidad': '1.0', 'valor_unitario': 4.95, 'precio_unitario': 5.84, 'descuento': 0.0, 'subtotal': 4.95, 'porcentaje_de_igv': '18.00', 'igv': 0.89, 'total': 5.84, 'moneda': '1', 'tipo_de_cambio': 1.0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9"/>
    <x v="26"/>
    <x v="6"/>
    <x v="0"/>
    <n v="1"/>
    <n v="4.95"/>
    <n v="5.84"/>
    <n v="0"/>
    <n v="4.95"/>
    <n v="18"/>
    <n v="0.89"/>
    <n v="5.84"/>
    <n v="1"/>
    <n v="1"/>
    <x v="2"/>
    <x v="2"/>
    <x v="1"/>
    <s v="SAMUEL CHUQUISTA"/>
    <x v="0"/>
    <s v="7012100 MercaderÃ­as-Venta Local-Terceros"/>
    <x v="12"/>
    <x v="32"/>
    <m/>
    <m/>
    <m/>
    <x v="100"/>
    <s v="RAMOS CRUZ MILAGRITOS"/>
    <s v="Empresa"/>
    <x v="452"/>
  </r>
  <r>
    <x v="3"/>
    <x v="306"/>
    <s v="COLABORATIVA S.A.C."/>
    <x v="20"/>
    <d v="2025-11-03T00:00:00"/>
    <x v="103"/>
    <m/>
    <n v="6"/>
    <n v="10038775753"/>
    <s v="[{'id_producto': 18698, 'codigo_producto': 870, 'nom_producto': 'COMISION VAOPE SEGUN CONTRATO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1141, 'nom_organizador': 'RAMOS CRUZ MILAGRITOS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8"/>
    <x v="27"/>
    <x v="5"/>
    <x v="0"/>
    <n v="1"/>
    <n v="5"/>
    <n v="5.9"/>
    <n v="0"/>
    <n v="5"/>
    <n v="18"/>
    <n v="0.9"/>
    <n v="5.9"/>
    <n v="1"/>
    <n v="1"/>
    <x v="2"/>
    <x v="2"/>
    <x v="1"/>
    <s v="SAMUEL CHUQUISTA"/>
    <x v="0"/>
    <s v="7012100 MercaderÃ­as-Venta Local-Terceros"/>
    <x v="12"/>
    <x v="32"/>
    <m/>
    <m/>
    <m/>
    <x v="100"/>
    <s v="RAMOS CRUZ MILAGRITOS"/>
    <s v="Empresa"/>
    <x v="453"/>
  </r>
  <r>
    <x v="3"/>
    <x v="307"/>
    <s v="COLABORATIVA S.A.C."/>
    <x v="20"/>
    <d v="2025-11-03T00:00:00"/>
    <x v="25"/>
    <m/>
    <n v="6"/>
    <n v="20611890746"/>
    <s v="[{'id_producto': 18697, 'codigo_producto': 963, 'nom_producto': 'COMISION CORTESIA 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7"/>
    <x v="59"/>
    <x v="2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54"/>
  </r>
  <r>
    <x v="3"/>
    <x v="308"/>
    <s v="COLABORATIVA S.A.C."/>
    <x v="20"/>
    <d v="2025-11-03T00:00:00"/>
    <x v="25"/>
    <m/>
    <n v="6"/>
    <n v="20611890746"/>
    <s v="[{'id_producto': 18696, 'codigo_producto': 962, 'nom_producto': 'ENTRADAS IMPRESAS - ORDEN DE VENTA N574\n  La Unica Tropical en Talara  1000 BRAZALETES VIP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5T00:00:00"/>
    <m/>
    <m/>
    <m/>
    <m/>
    <m/>
    <n v="18696"/>
    <x v="60"/>
    <x v="53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455"/>
  </r>
  <r>
    <x v="3"/>
    <x v="309"/>
    <s v="COLABORATIVA S.A.C."/>
    <x v="20"/>
    <d v="2025-11-03T00:00:00"/>
    <x v="25"/>
    <m/>
    <n v="6"/>
    <n v="20611890746"/>
    <s v="[{'id_producto': 18695, 'codigo_producto': 877, 'nom_producto': 'COMISION PAGOS DIGITALES SEGUN CONTRATO', 'categoria_producto': 'consu', 'cantidad': '1.0', 'valor_unitario': 1854.82, 'precio_unitario': 2188.69, 'descuento': 0.0, 'subtotal': 1854.82, 'porcentaje_de_igv': '18.00', 'igv': 333.87, 'total': 2188.6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5"/>
    <x v="26"/>
    <x v="6"/>
    <x v="0"/>
    <n v="1"/>
    <n v="1854.82"/>
    <n v="2188.69"/>
    <n v="0"/>
    <n v="1854.82"/>
    <n v="18"/>
    <n v="333.87"/>
    <n v="2188.69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56"/>
  </r>
  <r>
    <x v="3"/>
    <x v="310"/>
    <s v="COLABORATIVA S.A.C."/>
    <x v="20"/>
    <d v="2025-11-03T00:00:00"/>
    <x v="25"/>
    <m/>
    <n v="6"/>
    <n v="20611890746"/>
    <s v="[{'id_producto': 18694, 'codigo_producto': 870, 'nom_producto': 'COMISION VAOPE SEGUN CONTRATO', 'categoria_producto': 'consu', 'cantidad': '1.0', 'valor_unitario': 1170.39, 'precio_unitario': 1381.06, 'descuento': 0.0, 'subtotal': 1170.39, 'porcentaje_de_igv': '18.00', 'igv': 210.67, 'total': 1381.0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4"/>
    <x v="27"/>
    <x v="5"/>
    <x v="0"/>
    <n v="1"/>
    <n v="1170.3900000000001"/>
    <n v="1381.06"/>
    <n v="0"/>
    <n v="1170.3900000000001"/>
    <n v="18"/>
    <n v="210.67"/>
    <n v="1381.06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457"/>
  </r>
  <r>
    <x v="3"/>
    <x v="311"/>
    <s v="COLABORATIVA S.A.C."/>
    <x v="20"/>
    <d v="2025-11-03T00:00:00"/>
    <x v="104"/>
    <m/>
    <n v="6"/>
    <n v="10473186603"/>
    <s v="[{'id_producto': 18693, 'codigo_producto': 877, 'nom_producto': 'COMISION PAGOS DIGITALES SEGUN CONTRATO', 'categoria_producto': 'consu', 'cantidad': '1.0', 'valor_unitario': 138.18, 'precio_unitario': 163.05, 'descuento': 0.0, 'subtotal': 138.18, 'porcentaje_de_igv': '18.00', 'igv': 24.87, 'total': 163.05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3"/>
    <x v="26"/>
    <x v="6"/>
    <x v="0"/>
    <n v="1"/>
    <n v="138.18"/>
    <n v="163.05000000000001"/>
    <n v="0"/>
    <n v="138.18"/>
    <n v="18"/>
    <n v="24.87"/>
    <n v="163.05000000000001"/>
    <n v="1"/>
    <n v="1"/>
    <x v="2"/>
    <x v="2"/>
    <x v="1"/>
    <s v="SAMUEL CHUQUISTA"/>
    <x v="0"/>
    <s v="7012100 MercaderÃ­as-Venta Local-Terceros"/>
    <x v="12"/>
    <x v="32"/>
    <m/>
    <m/>
    <m/>
    <x v="101"/>
    <s v="TORRES TOVAR WILDER"/>
    <s v="Empresa"/>
    <x v="458"/>
  </r>
  <r>
    <x v="3"/>
    <x v="312"/>
    <s v="COLABORATIVA S.A.C."/>
    <x v="20"/>
    <d v="2025-11-03T00:00:00"/>
    <x v="104"/>
    <m/>
    <n v="6"/>
    <n v="10473186603"/>
    <s v="[{'id_producto': 18692, 'codigo_producto': 870, 'nom_producto': 'COMISION VAOPE SEGUN CONTRATO', 'categoria_producto': 'consu', 'cantidad': '1.0', 'valor_unitario': 132.97, 'precio_unitario': 156.9, 'descuento': 0.0, 'subtotal': 132.97, 'porcentaje_de_igv': '18.00', 'igv': 23.93, 'total': 156.9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2-05T00:00:00"/>
    <m/>
    <m/>
    <m/>
    <m/>
    <m/>
    <n v="18692"/>
    <x v="27"/>
    <x v="5"/>
    <x v="0"/>
    <n v="1"/>
    <n v="132.97"/>
    <n v="156.9"/>
    <n v="0"/>
    <n v="132.97"/>
    <n v="18"/>
    <n v="23.93"/>
    <n v="156.9"/>
    <n v="1"/>
    <n v="1"/>
    <x v="2"/>
    <x v="2"/>
    <x v="1"/>
    <s v="SAMUEL CHUQUISTA"/>
    <x v="0"/>
    <s v="7012100 MercaderÃ­as-Venta Local-Terceros"/>
    <x v="12"/>
    <x v="32"/>
    <m/>
    <m/>
    <m/>
    <x v="101"/>
    <s v="TORRES TOVAR WILDER"/>
    <s v="Empresa"/>
    <x v="459"/>
  </r>
  <r>
    <x v="3"/>
    <x v="313"/>
    <s v="COLABORATIVA S.A.C."/>
    <x v="21"/>
    <d v="2025-11-03T00:00:00"/>
    <x v="25"/>
    <m/>
    <n v="6"/>
    <n v="20611890746"/>
    <s v="[{'id_producto': 18691, 'codigo_producto': 961, 'nom_producto': 'PERSONAL - ENVIO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2-04T00:00:00"/>
    <m/>
    <m/>
    <m/>
    <m/>
    <m/>
    <n v="18691"/>
    <x v="61"/>
    <x v="54"/>
    <x v="0"/>
    <n v="1"/>
    <n v="20"/>
    <n v="23.6"/>
    <n v="0"/>
    <n v="20"/>
    <n v="18"/>
    <n v="3.6"/>
    <n v="23.6"/>
    <n v="1"/>
    <n v="1"/>
    <x v="2"/>
    <x v="2"/>
    <x v="1"/>
    <s v="SAMUEL CHUQUISTA"/>
    <x v="0"/>
    <s v="7012100 MercaderÃ­as-Venta Local-Terceros"/>
    <x v="14"/>
    <x v="32"/>
    <m/>
    <m/>
    <m/>
    <x v="25"/>
    <s v="CONSORCIO CHUNGA &amp; ASOCIADOS S.A.C."/>
    <s v="Empresa"/>
    <x v="460"/>
  </r>
  <r>
    <x v="2"/>
    <x v="314"/>
    <s v="COLABORATIVA S.A.C."/>
    <x v="22"/>
    <d v="2025-11-03T00:00:00"/>
    <x v="84"/>
    <m/>
    <n v="6"/>
    <n v="20611066971"/>
    <s v="[{'id_producto': 18690, 'codigo_producto': 960, 'nom_producto': 'ENTRADAS IMPRESAS FULL COLOR GENERAL -ARMONIA 10 Y PERSONAL DELIVERY', 'categoria_producto': 'consu', 'cantidad': '1.0', 'valor_unitario': 830.0, 'precio_unitario': 979.4, 'descuento': 0.0, 'subtotal': 830.0, 'porcentaje_de_igv': '18.00', 'igv': 149.4, 'total': 979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2-03T00:00:00"/>
    <m/>
    <m/>
    <m/>
    <m/>
    <m/>
    <n v="18690"/>
    <x v="62"/>
    <x v="55"/>
    <x v="0"/>
    <n v="1"/>
    <n v="830"/>
    <n v="979.4"/>
    <n v="0"/>
    <n v="830"/>
    <n v="18"/>
    <n v="149.4"/>
    <n v="979.4"/>
    <n v="1"/>
    <n v="1"/>
    <x v="2"/>
    <x v="2"/>
    <x v="1"/>
    <s v="SAMUEL CHUQUISTA"/>
    <x v="0"/>
    <s v="7012100 MercaderÃ­as-Venta Local-Terceros"/>
    <x v="11"/>
    <x v="32"/>
    <m/>
    <m/>
    <m/>
    <x v="79"/>
    <s v="PERUVIAN PRODUCTIONS SOCIEDAD ANONIMA CERRADA"/>
    <s v="Empresa"/>
    <x v="461"/>
  </r>
  <r>
    <x v="4"/>
    <x v="315"/>
    <s v="COLABORATIVA S.A.C."/>
    <x v="23"/>
    <d v="2025-11-03T00:00:00"/>
    <x v="105"/>
    <m/>
    <n v="1"/>
    <n v="44849029"/>
    <s v="[{'id_producto': 18689, 'codigo_producto': 877, 'nom_producto': 'COMISION PAGOS DIGITALES SEGUN CONTRATO', 'categoria_producto': 'consu', 'cantidad': '1.0', 'valor_unitario': 24.56, 'precio_unitario': 28.98, 'descuento': 0.0, 'subtotal': 24.56, 'porcentaje_de_igv': '18.00', 'igv': 4.42, 'total': 28.98, 'moneda': '1', 'tipo_de_cambio': 1.0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9"/>
    <x v="26"/>
    <x v="6"/>
    <x v="0"/>
    <n v="1"/>
    <n v="24.56"/>
    <n v="28.98"/>
    <n v="0"/>
    <n v="24.56"/>
    <n v="18"/>
    <n v="4.42"/>
    <n v="28.98"/>
    <n v="1"/>
    <n v="1"/>
    <x v="2"/>
    <x v="2"/>
    <x v="1"/>
    <s v="SAMUEL CHUQUISTA"/>
    <x v="0"/>
    <s v="7012100 MercaderÃ­as-Venta Local-Terceros"/>
    <x v="12"/>
    <x v="32"/>
    <m/>
    <m/>
    <m/>
    <x v="102"/>
    <s v="JHON DANNY BERNABLE BERNABLE"/>
    <s v="Persona"/>
    <x v="462"/>
  </r>
  <r>
    <x v="4"/>
    <x v="316"/>
    <s v="COLABORATIVA S.A.C."/>
    <x v="23"/>
    <d v="2025-11-03T00:00:00"/>
    <x v="105"/>
    <m/>
    <n v="1"/>
    <n v="44849029"/>
    <s v="[{'id_producto': 18688, 'codigo_producto': 870, 'nom_producto': 'COMISION VAOPE SEGUN CONTRATO', 'categoria_producto': 'consu', 'cantidad': '1.0', 'valor_unitario': 26.45, 'precio_unitario': 31.21, 'descuento': 0.0, 'subtotal': 26.45, 'porcentaje_de_igv': '18.00', 'igv': 4.76, 'total': 31.21, 'moneda': '1', 'tipo_de_cambio': 1.0, 'id_estado': 'not_paid', 'nombre_estado': 'Sin pagar', 'evento': {'id_evento': '', 'nom_evento': '', 'fecha_hora_ini_event': '', 'fecha_hora_fin_event': '', 'id_organizador': 1175, 'nom_organizador': 'JHON DANNY BERNABLE BERNABL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8"/>
    <x v="27"/>
    <x v="5"/>
    <x v="0"/>
    <n v="1"/>
    <n v="26.45"/>
    <n v="31.21"/>
    <n v="0"/>
    <n v="26.45"/>
    <n v="18"/>
    <n v="4.76"/>
    <n v="31.21"/>
    <n v="1"/>
    <n v="1"/>
    <x v="2"/>
    <x v="2"/>
    <x v="1"/>
    <s v="SAMUEL CHUQUISTA"/>
    <x v="0"/>
    <s v="7012100 MercaderÃ­as-Venta Local-Terceros"/>
    <x v="12"/>
    <x v="32"/>
    <m/>
    <m/>
    <m/>
    <x v="102"/>
    <s v="JHON DANNY BERNABLE BERNABLE"/>
    <s v="Persona"/>
    <x v="463"/>
  </r>
  <r>
    <x v="4"/>
    <x v="317"/>
    <s v="COLABORATIVA S.A.C."/>
    <x v="23"/>
    <d v="2025-11-03T00:00:00"/>
    <x v="106"/>
    <s v="Cliente"/>
    <n v="1"/>
    <n v="47633477"/>
    <s v="[{'id_producto': 18687, 'codigo_producto': 877, 'nom_producto': 'COMISION PAGOS DIGITALES SEGUN CONTRATO', 'categoria_producto': 'consu', 'cantidad': '1.0', 'valor_unitario': 117.97, 'precio_unitario': 139.2, 'descuento': 0.0, 'subtotal': 117.97, 'porcentaje_de_igv': '18.00', 'igv': 21.23, 'total': 139.2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7"/>
    <x v="26"/>
    <x v="6"/>
    <x v="0"/>
    <n v="1"/>
    <n v="117.97"/>
    <n v="139.19999999999999"/>
    <n v="0"/>
    <n v="117.97"/>
    <n v="18"/>
    <n v="21.23"/>
    <n v="139.19999999999999"/>
    <n v="1"/>
    <n v="1"/>
    <x v="2"/>
    <x v="2"/>
    <x v="1"/>
    <s v="SAMUEL CHUQUISTA"/>
    <x v="0"/>
    <s v="7012100 MercaderÃ­as-Venta Local-Terceros"/>
    <x v="12"/>
    <x v="32"/>
    <m/>
    <m/>
    <m/>
    <x v="103"/>
    <s v="SILVIA SEMIRA SANCHEZ SANGAMA"/>
    <s v="Persona"/>
    <x v="464"/>
  </r>
  <r>
    <x v="4"/>
    <x v="318"/>
    <s v="COLABORATIVA S.A.C."/>
    <x v="23"/>
    <d v="2025-11-03T00:00:00"/>
    <x v="106"/>
    <s v="Cliente"/>
    <n v="1"/>
    <n v="47633477"/>
    <s v="[{'id_producto': 18686, 'codigo_producto': 870, 'nom_producto': 'COMISION VAOPE SEGUN CONTRATO', 'categoria_producto': 'consu', 'cantidad': '1.0', 'valor_unitario': 96.1, 'precio_unitario': 113.4, 'descuento': 0.0, 'subtotal': 96.1, 'porcentaje_de_igv': '18.00', 'igv': 17.3, 'total': 113.4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6"/>
    <x v="27"/>
    <x v="5"/>
    <x v="0"/>
    <n v="1"/>
    <n v="96.1"/>
    <n v="113.4"/>
    <n v="0"/>
    <n v="96.1"/>
    <n v="18"/>
    <n v="17.3"/>
    <n v="113.4"/>
    <n v="1"/>
    <n v="1"/>
    <x v="2"/>
    <x v="2"/>
    <x v="1"/>
    <s v="SAMUEL CHUQUISTA"/>
    <x v="0"/>
    <s v="7012100 MercaderÃ­as-Venta Local-Terceros"/>
    <x v="12"/>
    <x v="32"/>
    <m/>
    <m/>
    <m/>
    <x v="103"/>
    <s v="SILVIA SEMIRA SANCHEZ SANGAMA"/>
    <s v="Persona"/>
    <x v="465"/>
  </r>
  <r>
    <x v="3"/>
    <x v="319"/>
    <s v="COLABORATIVA S.A.C."/>
    <x v="23"/>
    <d v="2025-11-03T00:00:00"/>
    <x v="107"/>
    <m/>
    <n v="6"/>
    <n v="10703039346"/>
    <s v="[{'id_producto': 18685, 'codigo_producto': 877, 'nom_producto': 'COMISION PAGOS DIGITALES SEGUN CONTRATO', 'categoria_producto': 'consu', 'cantidad': '1.0', 'valor_unitario': 212.8, 'precio_unitario': 251.1, 'descuento': 0.0, 'subtotal': 212.8, 'porcentaje_de_igv': '18.00', 'igv': 38.3, 'total': 251.1, 'moneda': '1', 'tipo_de_cambio': 1.0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5"/>
    <x v="26"/>
    <x v="6"/>
    <x v="0"/>
    <n v="1"/>
    <n v="212.8"/>
    <n v="251.1"/>
    <n v="0"/>
    <n v="212.8"/>
    <n v="18"/>
    <n v="38.299999999999997"/>
    <n v="251.1"/>
    <n v="1"/>
    <n v="1"/>
    <x v="2"/>
    <x v="2"/>
    <x v="1"/>
    <s v="SAMUEL CHUQUISTA"/>
    <x v="0"/>
    <s v="7012100 MercaderÃ­as-Venta Local-Terceros"/>
    <x v="12"/>
    <x v="32"/>
    <m/>
    <m/>
    <m/>
    <x v="104"/>
    <s v="CHAMORRO AYALA ERIKA SOLEDAD"/>
    <s v="Empresa"/>
    <x v="466"/>
  </r>
  <r>
    <x v="3"/>
    <x v="320"/>
    <s v="COLABORATIVA S.A.C."/>
    <x v="23"/>
    <d v="2025-11-03T00:00:00"/>
    <x v="107"/>
    <m/>
    <n v="6"/>
    <n v="10703039346"/>
    <s v="[{'id_producto': 18684, 'codigo_producto': 870, 'nom_producto': 'COMISION VAOPE SEGUN CONTRATO', 'categoria_producto': 'consu', 'cantidad': '1.0', 'valor_unitario': 125.25, 'precio_unitario': 147.8, 'descuento': 0.0, 'subtotal': 125.25, 'porcentaje_de_igv': '18.00', 'igv': 22.55, 'total': 147.8, 'moneda': '1', 'tipo_de_cambio': 1.0, 'id_estado': 'not_paid', 'nombre_estado': 'Sin pagar', 'evento': {'id_evento': '', 'nom_evento': '', 'fecha_hora_ini_event': '', 'fecha_hora_fin_event': '', 'id_organizador': 1139, 'nom_organizador': 'CHAMORRO AYALA ERIKA SOLEDAD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1T00:00:00"/>
    <m/>
    <m/>
    <m/>
    <m/>
    <m/>
    <n v="18684"/>
    <x v="27"/>
    <x v="5"/>
    <x v="0"/>
    <n v="1"/>
    <n v="125.25"/>
    <n v="147.80000000000001"/>
    <n v="0"/>
    <n v="125.25"/>
    <n v="18"/>
    <n v="22.55"/>
    <n v="147.80000000000001"/>
    <n v="1"/>
    <n v="1"/>
    <x v="2"/>
    <x v="2"/>
    <x v="1"/>
    <s v="SAMUEL CHUQUISTA"/>
    <x v="0"/>
    <s v="7012100 MercaderÃ­as-Venta Local-Terceros"/>
    <x v="12"/>
    <x v="32"/>
    <m/>
    <m/>
    <m/>
    <x v="104"/>
    <s v="CHAMORRO AYALA ERIKA SOLEDAD"/>
    <s v="Empresa"/>
    <x v="467"/>
  </r>
  <r>
    <x v="4"/>
    <x v="321"/>
    <s v="COLABORATIVA S.A.C."/>
    <x v="24"/>
    <d v="2025-11-03T00:00:00"/>
    <x v="101"/>
    <m/>
    <n v="1"/>
    <n v="45273802"/>
    <s v="[{'id_producto': 18683, 'codigo_producto': 877, 'nom_producto': 'COMISION PAGOS DIGITALES SEGUN CONTRATO', 'categoria_producto': 'consu', 'cantidad': '1.0', 'valor_unitario': 374.24, 'precio_unitario': 441.6, 'descuento': 0.0, 'subtotal': 374.24, 'porcentaje_de_igv': '18.00', 'igv': 67.36, 'total': 441.6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83"/>
    <x v="26"/>
    <x v="6"/>
    <x v="0"/>
    <n v="1"/>
    <n v="374.24"/>
    <n v="441.6"/>
    <n v="0"/>
    <n v="374.24"/>
    <n v="18"/>
    <n v="67.36"/>
    <n v="441.6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68"/>
  </r>
  <r>
    <x v="4"/>
    <x v="322"/>
    <s v="COLABORATIVA S.A.C."/>
    <x v="24"/>
    <d v="2025-11-03T00:00:00"/>
    <x v="101"/>
    <m/>
    <n v="1"/>
    <n v="45273802"/>
    <s v="[{'id_producto': 18682, 'codigo_producto': 870, 'nom_producto': 'COMISION VAOPE SEGUN CONTRATO', 'categoria_producto': 'consu', 'cantidad': '1.0', 'valor_unitario': 279.66, 'precio_unitario': 330.0, 'descuento': 0.0, 'subtotal': 279.66, 'porcentaje_de_igv': '18.00', 'igv': 50.34, 'total': 330.0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82"/>
    <x v="27"/>
    <x v="5"/>
    <x v="0"/>
    <n v="1"/>
    <n v="279.66000000000003"/>
    <n v="330"/>
    <n v="0"/>
    <n v="279.66000000000003"/>
    <n v="18"/>
    <n v="50.34"/>
    <n v="330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469"/>
  </r>
  <r>
    <x v="4"/>
    <x v="323"/>
    <s v="COLABORATIVA S.A.C."/>
    <x v="24"/>
    <d v="2025-11-03T00:00:00"/>
    <x v="18"/>
    <m/>
    <n v="1"/>
    <n v="75329338"/>
    <s v="[{'id_producto': 18681, 'codigo_producto': 959, 'nom_producto': 'PERSONAL - punto de venta', 'categoria_producto': 'consu', 'cantidad': '1.0', 'valor_unitario': 32.5, 'precio_unitario': 38.35, 'descuento': 0.0, 'subtotal': 32.5, 'porcentaje_de_igv': '18.00', 'igv': 5.85, 'total': 38.35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63, 'nom_distribucion': 'Administrativo', 'sub_categoria': 'Delivery', 'porcentaje': '100.00'}]]}]"/>
    <d v="2025-01-30T00:00:00"/>
    <m/>
    <m/>
    <m/>
    <m/>
    <m/>
    <n v="18681"/>
    <x v="63"/>
    <x v="56"/>
    <x v="0"/>
    <n v="1"/>
    <n v="32.5"/>
    <n v="38.35"/>
    <n v="0"/>
    <n v="32.5"/>
    <n v="18"/>
    <n v="5.85"/>
    <n v="38.35"/>
    <n v="1"/>
    <n v="1"/>
    <x v="2"/>
    <x v="2"/>
    <x v="1"/>
    <s v="SAMUEL CHUQUISTA"/>
    <x v="0"/>
    <s v="7012100 MercaderÃ­as-Venta Local-Terceros"/>
    <x v="15"/>
    <x v="32"/>
    <m/>
    <m/>
    <m/>
    <x v="18"/>
    <s v=" ALEJANDRA FLORES TICONA"/>
    <s v="Persona"/>
    <x v="470"/>
  </r>
  <r>
    <x v="4"/>
    <x v="324"/>
    <s v="COLABORATIVA S.A.C."/>
    <x v="24"/>
    <d v="2025-11-03T00:00:00"/>
    <x v="18"/>
    <m/>
    <n v="1"/>
    <n v="75329338"/>
    <s v="[{'id_producto': 18680, 'codigo_producto': 877, 'nom_producto': 'COMISION PAGOS DIGITALES SEGUN CONTRATO', 'categoria_producto': 'consu', 'cantidad': '1.0', 'valor_unitario': 4.83, 'precio_unitario': 5.7, 'descuento': 0.0, 'subtotal': 4.83, 'porcentaje_de_igv': '18.00', 'igv': 0.87, 'total': 5.7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80"/>
    <x v="26"/>
    <x v="6"/>
    <x v="0"/>
    <n v="1"/>
    <n v="4.83"/>
    <n v="5.7"/>
    <n v="0"/>
    <n v="4.83"/>
    <n v="18"/>
    <n v="0.87"/>
    <n v="5.7"/>
    <n v="1"/>
    <n v="1"/>
    <x v="2"/>
    <x v="2"/>
    <x v="1"/>
    <s v="SAMUEL CHUQUISTA"/>
    <x v="0"/>
    <s v="7012100 MercaderÃ­as-Venta Local-Terceros"/>
    <x v="12"/>
    <x v="32"/>
    <m/>
    <m/>
    <m/>
    <x v="18"/>
    <s v=" ALEJANDRA FLORES TICONA"/>
    <s v="Persona"/>
    <x v="471"/>
  </r>
  <r>
    <x v="4"/>
    <x v="325"/>
    <s v="COLABORATIVA S.A.C."/>
    <x v="24"/>
    <d v="2025-11-03T00:00:00"/>
    <x v="18"/>
    <m/>
    <n v="1"/>
    <n v="75329338"/>
    <s v="[{'id_producto': 18679, 'codigo_producto': 870, 'nom_producto': 'COMISION VAOPE SEGUN CONTRATO', 'categoria_producto': 'consu', 'cantidad': '1.0', 'valor_unitario': 35.55, 'precio_unitario': 41.95, 'descuento': 0.0, 'subtotal': 35.55, 'porcentaje_de_igv': '18.00', 'igv': 6.4, 'total': 41.95, 'moneda': '1', 'tipo_de_cambio': 1.0, 'id_estado': 'not_paid', 'nombre_estado': 'Sin pagar', 'evento': {'id_evento': '', 'nom_evento': '', 'fecha_hora_ini_event': '', 'fecha_hora_fin_event': '', 'id_organizador': 1173, 'nom_organizador': ' ALEJANDRA FLORES TICO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79"/>
    <x v="27"/>
    <x v="5"/>
    <x v="0"/>
    <n v="1"/>
    <n v="35.549999999999997"/>
    <n v="41.95"/>
    <n v="0"/>
    <n v="35.549999999999997"/>
    <n v="18"/>
    <n v="6.4"/>
    <n v="41.95"/>
    <n v="1"/>
    <n v="1"/>
    <x v="2"/>
    <x v="2"/>
    <x v="1"/>
    <s v="SAMUEL CHUQUISTA"/>
    <x v="0"/>
    <s v="7012100 MercaderÃ­as-Venta Local-Terceros"/>
    <x v="12"/>
    <x v="32"/>
    <m/>
    <m/>
    <m/>
    <x v="18"/>
    <s v=" ALEJANDRA FLORES TICONA"/>
    <s v="Persona"/>
    <x v="472"/>
  </r>
  <r>
    <x v="4"/>
    <x v="326"/>
    <s v="COLABORATIVA S.A.C."/>
    <x v="24"/>
    <d v="2025-11-03T00:00:00"/>
    <x v="108"/>
    <m/>
    <n v="1"/>
    <n v="74023096"/>
    <s v="[{'id_producto': 18678, 'codigo_producto': 877, 'nom_producto': 'COMISION PAGOS DIGITALES SEGUN CONTRATO', 'categoria_producto': 'consu', 'cantidad': '1.0', 'valor_unitario': 370.08, 'precio_unitario': 436.7, 'descuento': 0.0, 'subtotal': 370.08, 'porcentaje_de_igv': '18.00', 'igv': 66.62, 'total': 436.7, 'moneda': '1', 'tipo_de_cambio': 1.0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78"/>
    <x v="26"/>
    <x v="6"/>
    <x v="0"/>
    <n v="1"/>
    <n v="370.08"/>
    <n v="436.7"/>
    <n v="0"/>
    <n v="370.08"/>
    <n v="18"/>
    <n v="66.62"/>
    <n v="436.7"/>
    <n v="1"/>
    <n v="1"/>
    <x v="2"/>
    <x v="2"/>
    <x v="1"/>
    <s v="SAMUEL CHUQUISTA"/>
    <x v="0"/>
    <s v="7012100 MercaderÃ­as-Venta Local-Terceros"/>
    <x v="12"/>
    <x v="32"/>
    <m/>
    <m/>
    <m/>
    <x v="105"/>
    <s v="JORGE ANDRES RAMOS VILCAS"/>
    <s v="Persona"/>
    <x v="473"/>
  </r>
  <r>
    <x v="4"/>
    <x v="327"/>
    <s v="COLABORATIVA S.A.C."/>
    <x v="24"/>
    <d v="2025-11-03T00:00:00"/>
    <x v="108"/>
    <m/>
    <n v="1"/>
    <n v="74023096"/>
    <s v="[{'id_producto': 18677, 'codigo_producto': 870, 'nom_producto': 'COMISION VAOPE SEGUN CONTRATO', 'categoria_producto': 'consu', 'cantidad': '1.0', 'valor_unitario': 283.73, 'precio_unitario': 334.8, 'descuento': 0.0, 'subtotal': 283.73, 'porcentaje_de_igv': '18.00', 'igv': 51.07, 'total': 334.8, 'moneda': '1', 'tipo_de_cambio': 1.0, 'id_estado': 'not_paid', 'nombre_estado': 'Sin pagar', 'evento': {'id_evento': '', 'nom_evento': '', 'fecha_hora_ini_event': '', 'fecha_hora_fin_event': '', 'id_organizador': 1172, 'nom_organizador': 'JORGE ANDRES RAMOS VILC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30T00:00:00"/>
    <m/>
    <m/>
    <m/>
    <m/>
    <m/>
    <n v="18677"/>
    <x v="27"/>
    <x v="5"/>
    <x v="0"/>
    <n v="1"/>
    <n v="283.73"/>
    <n v="334.8"/>
    <n v="0"/>
    <n v="283.73"/>
    <n v="18"/>
    <n v="51.07"/>
    <n v="334.8"/>
    <n v="1"/>
    <n v="1"/>
    <x v="2"/>
    <x v="2"/>
    <x v="1"/>
    <s v="SAMUEL CHUQUISTA"/>
    <x v="0"/>
    <s v="7012100 MercaderÃ­as-Venta Local-Terceros"/>
    <x v="12"/>
    <x v="32"/>
    <m/>
    <m/>
    <m/>
    <x v="105"/>
    <s v="JORGE ANDRES RAMOS VILCAS"/>
    <s v="Persona"/>
    <x v="474"/>
  </r>
  <r>
    <x v="3"/>
    <x v="328"/>
    <s v="COLABORATIVA S.A.C."/>
    <x v="25"/>
    <d v="2025-11-03T00:00:00"/>
    <x v="109"/>
    <m/>
    <n v="6"/>
    <n v="10064263248"/>
    <s v="[{'id_producto': 18676, 'codigo_producto': 871, 'nom_producto': 'COMISION PAGOS DIGITALES SEGUN CONTRATO ', 'categoria_producto': 'consu', 'cantidad': '1.0', 'valor_unitario': 53.56, 'precio_unitario': 63.2, 'descuento': 0.0, 'subtotal': 53.56, 'porcentaje_de_igv': '18.00', 'igv': 9.64, 'total': 63.2, 'moneda': '1', 'tipo_de_cambio': 1.0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76"/>
    <x v="39"/>
    <x v="35"/>
    <x v="0"/>
    <n v="1"/>
    <n v="53.56"/>
    <n v="63.2"/>
    <n v="0"/>
    <n v="53.56"/>
    <n v="18"/>
    <n v="9.64"/>
    <n v="63.2"/>
    <n v="1"/>
    <n v="1"/>
    <x v="2"/>
    <x v="2"/>
    <x v="1"/>
    <s v="SAMUEL CHUQUISTA"/>
    <x v="0"/>
    <s v="7012100 MercaderÃ­as-Venta Local-Terceros"/>
    <x v="12"/>
    <x v="32"/>
    <m/>
    <m/>
    <m/>
    <x v="106"/>
    <s v="MOGROVEJO RAMOS ERWIN KERMER"/>
    <s v="Empresa"/>
    <x v="475"/>
  </r>
  <r>
    <x v="3"/>
    <x v="329"/>
    <s v="COLABORATIVA S.A.C."/>
    <x v="25"/>
    <d v="2025-11-03T00:00:00"/>
    <x v="109"/>
    <m/>
    <n v="6"/>
    <n v="10064263248"/>
    <s v="[{'id_producto': 18675, 'codigo_producto': 878, 'nom_producto': 'COMISION VAOPE SEGUN CONTRATO ', 'categoria_producto': 'consu', 'cantidad': '1.0', 'valor_unitario': 34.75, 'precio_unitario': 41.0, 'descuento': 0.0, 'subtotal': 34.75, 'porcentaje_de_igv': '18.00', 'igv': 6.25, 'total': 41.0, 'moneda': '1', 'tipo_de_cambio': 1.0, 'id_estado': 'not_paid', 'nombre_estado': 'Sin pagar', 'evento': {'id_evento': '', 'nom_evento': '', 'fecha_hora_ini_event': '', 'fecha_hora_fin_event': '', 'id_organizador': 1138, 'nom_organizador': 'MOGROVEJO RAMOS ERWIN KERM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75"/>
    <x v="64"/>
    <x v="57"/>
    <x v="0"/>
    <n v="1"/>
    <n v="34.75"/>
    <n v="41"/>
    <n v="0"/>
    <n v="34.75"/>
    <n v="18"/>
    <n v="6.25"/>
    <n v="41"/>
    <n v="1"/>
    <n v="1"/>
    <x v="2"/>
    <x v="2"/>
    <x v="1"/>
    <s v="SAMUEL CHUQUISTA"/>
    <x v="0"/>
    <s v="7012100 MercaderÃ­as-Venta Local-Terceros"/>
    <x v="12"/>
    <x v="32"/>
    <m/>
    <m/>
    <m/>
    <x v="106"/>
    <s v="MOGROVEJO RAMOS ERWIN KERMER"/>
    <s v="Empresa"/>
    <x v="476"/>
  </r>
  <r>
    <x v="4"/>
    <x v="330"/>
    <s v="COLABORATIVA S.A.C."/>
    <x v="25"/>
    <d v="2025-11-03T00:00:00"/>
    <x v="110"/>
    <m/>
    <n v="1"/>
    <n v="48831337"/>
    <s v="[{'id_producto': 18674, 'codigo_producto': 949, 'nom_producto': 'COMISION CORTESIA - pauta publicitaria', 'categoria_producto': 'consu', 'cantidad': '1.0', 'valor_unitario': 483.73, 'precio_unitario': 570.8, 'descuento': 0.0, 'subtotal': 483.73, 'porcentaje_de_igv': '18.00', 'igv': 87.07, 'total': 570.8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74"/>
    <x v="65"/>
    <x v="58"/>
    <x v="0"/>
    <n v="1"/>
    <n v="483.73"/>
    <n v="570.79999999999995"/>
    <n v="0"/>
    <n v="483.73"/>
    <n v="18"/>
    <n v="87.07"/>
    <n v="570.79999999999995"/>
    <n v="1"/>
    <n v="1"/>
    <x v="2"/>
    <x v="2"/>
    <x v="1"/>
    <s v="SAMUEL CHUQUISTA"/>
    <x v="0"/>
    <s v="7012100 MercaderÃ­as-Venta Local-Terceros"/>
    <x v="12"/>
    <x v="32"/>
    <m/>
    <m/>
    <m/>
    <x v="107"/>
    <s v="MARIA ANTONELA GUERRERO GONZALES"/>
    <s v="Persona"/>
    <x v="477"/>
  </r>
  <r>
    <x v="4"/>
    <x v="331"/>
    <s v="COLABORATIVA S.A.C."/>
    <x v="25"/>
    <d v="2025-11-03T00:00:00"/>
    <x v="110"/>
    <m/>
    <n v="1"/>
    <n v="48831337"/>
    <s v="[{'id_producto': 18673, 'codigo_producto': 958, 'nom_producto': 'ENTRADAS IMPRESAS - ORDEN DE VENTA N563\n  2do Aniversario de Suu Rabanal con La Unica Tropical Tony Rosado y mas en la Explanada de Agua Dulce  4000 FULL COLOR GENERAL  2000 BRAZALETES VIP  500 BRAZALETES PLATINUM S365800', 'categoria_producto': 'consu', 'cantidad': '1.0', 'valor_unitario': 3100.0, 'precio_unitario': 3658.0, 'descuento': 0.0, 'subtotal': 3100.0, 'porcentaje_de_igv': '18.00', 'igv': 558.0, 'total': 3658.0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9T00:00:00"/>
    <m/>
    <m/>
    <m/>
    <m/>
    <m/>
    <n v="18673"/>
    <x v="66"/>
    <x v="59"/>
    <x v="0"/>
    <n v="1"/>
    <n v="3100"/>
    <n v="3658"/>
    <n v="0"/>
    <n v="3100"/>
    <n v="18"/>
    <n v="558"/>
    <n v="3658"/>
    <n v="1"/>
    <n v="1"/>
    <x v="2"/>
    <x v="2"/>
    <x v="1"/>
    <s v="SAMUEL CHUQUISTA"/>
    <x v="0"/>
    <s v="7012100 MercaderÃ­as-Venta Local-Terceros"/>
    <x v="11"/>
    <x v="32"/>
    <m/>
    <m/>
    <m/>
    <x v="107"/>
    <s v="MARIA ANTONELA GUERRERO GONZALES"/>
    <s v="Persona"/>
    <x v="478"/>
  </r>
  <r>
    <x v="4"/>
    <x v="332"/>
    <s v="COLABORATIVA S.A.C."/>
    <x v="25"/>
    <d v="2025-11-03T00:00:00"/>
    <x v="110"/>
    <m/>
    <n v="1"/>
    <n v="48831337"/>
    <s v="[{'id_producto': 18672, 'codigo_producto': 877, 'nom_producto': 'COMISION PAGOS DIGITALES SEGUN CONTRATO', 'categoria_producto': 'consu', 'cantidad': '1.0', 'valor_unitario': 5235.68, 'precio_unitario': 6178.1, 'descuento': 0.0, 'subtotal': 5235.68, 'porcentaje_de_igv': '18.00', 'igv': 942.42, 'total': 6178.1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72"/>
    <x v="26"/>
    <x v="6"/>
    <x v="0"/>
    <n v="1"/>
    <n v="5235.68"/>
    <n v="6178.1"/>
    <n v="0"/>
    <n v="5235.68"/>
    <n v="18"/>
    <n v="942.42"/>
    <n v="6178.1"/>
    <n v="1"/>
    <n v="1"/>
    <x v="2"/>
    <x v="2"/>
    <x v="1"/>
    <s v="SAMUEL CHUQUISTA"/>
    <x v="0"/>
    <s v="7012100 MercaderÃ­as-Venta Local-Terceros"/>
    <x v="12"/>
    <x v="32"/>
    <m/>
    <m/>
    <m/>
    <x v="107"/>
    <s v="MARIA ANTONELA GUERRERO GONZALES"/>
    <s v="Persona"/>
    <x v="479"/>
  </r>
  <r>
    <x v="4"/>
    <x v="333"/>
    <s v="COLABORATIVA S.A.C."/>
    <x v="25"/>
    <d v="2025-11-03T00:00:00"/>
    <x v="110"/>
    <m/>
    <n v="1"/>
    <n v="48831337"/>
    <s v="[{'id_producto': 18671, 'codigo_producto': 870, 'nom_producto': 'COMISION VAOPE SEGUN CONTRATO', 'categoria_producto': 'consu', 'cantidad': '1.0', 'valor_unitario': 4611.78, 'precio_unitario': 5441.9, 'descuento': 0.0, 'subtotal': 4611.78, 'porcentaje_de_igv': '18.00', 'igv': 830.12, 'total': 5441.9, 'moneda': '1', 'tipo_de_cambio': 1.0, 'id_estado': 'not_paid', 'nombre_estado': 'Sin pagar', 'evento': {'id_evento': '', 'nom_evento': '', 'fecha_hora_ini_event': '', 'fecha_hora_fin_event': '', 'id_organizador': 1171, 'nom_organizador': 'MARIA ANTONELA GUERRERO GONZAL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71"/>
    <x v="27"/>
    <x v="5"/>
    <x v="0"/>
    <n v="1"/>
    <n v="4611.78"/>
    <n v="5441.9"/>
    <n v="0"/>
    <n v="4611.78"/>
    <n v="18"/>
    <n v="830.12"/>
    <n v="5441.9"/>
    <n v="1"/>
    <n v="1"/>
    <x v="2"/>
    <x v="2"/>
    <x v="1"/>
    <s v="SAMUEL CHUQUISTA"/>
    <x v="0"/>
    <s v="7012100 MercaderÃ­as-Venta Local-Terceros"/>
    <x v="12"/>
    <x v="32"/>
    <m/>
    <m/>
    <m/>
    <x v="107"/>
    <s v="MARIA ANTONELA GUERRERO GONZALES"/>
    <s v="Persona"/>
    <x v="480"/>
  </r>
  <r>
    <x v="3"/>
    <x v="334"/>
    <s v="COLABORATIVA S.A.C."/>
    <x v="25"/>
    <d v="2025-11-03T00:00:00"/>
    <x v="111"/>
    <m/>
    <n v="6"/>
    <n v="20101214771"/>
    <s v="[{'id_producto': 18670, 'codigo_producto': 955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8670"/>
    <x v="67"/>
    <x v="60"/>
    <x v="0"/>
    <n v="1"/>
    <n v="423.73"/>
    <n v="500"/>
    <n v="0"/>
    <n v="423.73"/>
    <n v="18"/>
    <n v="76.27"/>
    <n v="500"/>
    <n v="1"/>
    <n v="1"/>
    <x v="2"/>
    <x v="2"/>
    <x v="1"/>
    <s v="SAMUEL CHUQUISTA"/>
    <x v="0"/>
    <s v="7012100 MercaderÃ­as-Venta Local-Terceros"/>
    <x v="2"/>
    <x v="32"/>
    <m/>
    <m/>
    <m/>
    <x v="108"/>
    <s v="RESTAURANTE RECEPCIONES CHEPITA ROYAL EMPRESA INDIVIDUAL DE RESPONSABILIDAD LIMITADA"/>
    <s v="Empresa"/>
    <x v="481"/>
  </r>
  <r>
    <x v="3"/>
    <x v="335"/>
    <s v="COLABORATIVA S.A.C."/>
    <x v="25"/>
    <d v="2025-11-03T00:00:00"/>
    <x v="111"/>
    <m/>
    <n v="6"/>
    <n v="20101214771"/>
    <s v="[{'id_producto': 18669, 'codigo_producto': 957, 'nom_producto': 'COMISION CORTESIA - punto de venta ', 'categoria_producto': 'consu', 'cantidad': '1.0', 'valor_unitario': 30.0, 'precio_unitario': 35.4, 'descuento': 0.0, 'subtotal': 30.0, 'porcentaje_de_igv': '18.00', 'igv': 5.4, 'total': 35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9"/>
    <x v="68"/>
    <x v="61"/>
    <x v="0"/>
    <n v="1"/>
    <n v="30"/>
    <n v="35.4"/>
    <n v="0"/>
    <n v="30"/>
    <n v="18"/>
    <n v="5.4"/>
    <n v="35.4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82"/>
  </r>
  <r>
    <x v="3"/>
    <x v="336"/>
    <s v="COLABORATIVA S.A.C."/>
    <x v="25"/>
    <d v="2025-11-03T00:00:00"/>
    <x v="111"/>
    <m/>
    <n v="6"/>
    <n v="20101214771"/>
    <s v="[{'id_producto': 18668, 'codigo_producto': 956, 'nom_producto': 'PERSONAL - Servicio de 01 validador Inc IGV', 'categoria_producto': 'consu', 'cantidad': '1.0', 'valor_unitario': 150.0, 'precio_unitario': 177.0, 'descuento': 0.0, 'subtotal': 150.0, 'porcentaje_de_igv': '18.00', 'igv': 27.0, 'total': 177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8668"/>
    <x v="69"/>
    <x v="62"/>
    <x v="0"/>
    <n v="1"/>
    <n v="150"/>
    <n v="177"/>
    <n v="0"/>
    <n v="150"/>
    <n v="18"/>
    <n v="27"/>
    <n v="177"/>
    <n v="1"/>
    <n v="1"/>
    <x v="2"/>
    <x v="2"/>
    <x v="1"/>
    <s v="SAMUEL CHUQUISTA"/>
    <x v="0"/>
    <s v="7012100 MercaderÃ­as-Venta Local-Terceros"/>
    <x v="5"/>
    <x v="32"/>
    <m/>
    <m/>
    <m/>
    <x v="108"/>
    <s v="RESTAURANTE RECEPCIONES CHEPITA ROYAL EMPRESA INDIVIDUAL DE RESPONSABILIDAD LIMITADA"/>
    <s v="Empresa"/>
    <x v="483"/>
  </r>
  <r>
    <x v="3"/>
    <x v="337"/>
    <s v="COLABORATIVA S.A.C."/>
    <x v="25"/>
    <d v="2025-11-03T00:00:00"/>
    <x v="111"/>
    <m/>
    <n v="6"/>
    <n v="20101214771"/>
    <s v="[{'id_producto': 18667, 'codigo_producto': 877, 'nom_producto': 'COMISION PAGOS DIGITALES SEGUN CONTRATO', 'categoria_producto': 'consu', 'cantidad': '1.0', 'valor_unitario': 1608.31, 'precio_unitario': 1897.8, 'descuento': 0.0, 'subtotal': 1608.31, 'porcentaje_de_igv': '18.00', 'igv': 289.49, 'total': 1897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7"/>
    <x v="26"/>
    <x v="6"/>
    <x v="0"/>
    <n v="1"/>
    <n v="1608.31"/>
    <n v="1897.8"/>
    <n v="0"/>
    <n v="1608.31"/>
    <n v="18"/>
    <n v="289.49"/>
    <n v="1897.8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84"/>
  </r>
  <r>
    <x v="3"/>
    <x v="338"/>
    <s v="COLABORATIVA S.A.C."/>
    <x v="25"/>
    <d v="2025-11-03T00:00:00"/>
    <x v="111"/>
    <m/>
    <n v="6"/>
    <n v="20101214771"/>
    <s v="[{'id_producto': 18666, 'codigo_producto': 870, 'nom_producto': 'COMISION VAOPE SEGUN CONTRATO', 'categoria_producto': 'consu', 'cantidad': '1.0', 'valor_unitario': 991.19, 'precio_unitario': 1169.6, 'descuento': 0.0, 'subtotal': 991.19, 'porcentaje_de_igv': '18.00', 'igv': 178.41, 'total': 1169.6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6"/>
    <x v="27"/>
    <x v="5"/>
    <x v="0"/>
    <n v="1"/>
    <n v="991.19"/>
    <n v="1169.5999999999999"/>
    <n v="0"/>
    <n v="991.19"/>
    <n v="18"/>
    <n v="178.41"/>
    <n v="1169.5999999999999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85"/>
  </r>
  <r>
    <x v="3"/>
    <x v="339"/>
    <s v="COLABORATIVA S.A.C."/>
    <x v="25"/>
    <d v="2025-11-03T00:00:00"/>
    <x v="111"/>
    <m/>
    <n v="6"/>
    <n v="20101214771"/>
    <s v="[{'id_producto': 18665, 'codigo_producto': 955, 'nom_producto': 'PERSONAL - PUBLICIDAD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8665"/>
    <x v="67"/>
    <x v="60"/>
    <x v="0"/>
    <n v="1"/>
    <n v="423.73"/>
    <n v="500"/>
    <n v="0"/>
    <n v="423.73"/>
    <n v="18"/>
    <n v="76.27"/>
    <n v="500"/>
    <n v="1"/>
    <n v="1"/>
    <x v="2"/>
    <x v="2"/>
    <x v="1"/>
    <s v="SAMUEL CHUQUISTA"/>
    <x v="0"/>
    <s v="7012100 MercaderÃ­as-Venta Local-Terceros"/>
    <x v="2"/>
    <x v="32"/>
    <m/>
    <m/>
    <m/>
    <x v="108"/>
    <s v="RESTAURANTE RECEPCIONES CHEPITA ROYAL EMPRESA INDIVIDUAL DE RESPONSABILIDAD LIMITADA"/>
    <s v="Empresa"/>
    <x v="486"/>
  </r>
  <r>
    <x v="3"/>
    <x v="340"/>
    <s v="COLABORATIVA S.A.C."/>
    <x v="25"/>
    <d v="2025-11-03T00:00:00"/>
    <x v="111"/>
    <m/>
    <n v="6"/>
    <n v="20101214771"/>
    <s v="[{'id_producto': 18664, 'codigo_producto': 877, 'nom_producto': 'COMISION PAGOS DIGITALES SEGUN CONTRATO', 'categoria_producto': 'consu', 'cantidad': '1.0', 'valor_unitario': 418.22, 'precio_unitario': 493.5, 'descuento': 0.0, 'subtotal': 418.22, 'porcentaje_de_igv': '18.00', 'igv': 75.28, 'total': 493.5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4"/>
    <x v="26"/>
    <x v="6"/>
    <x v="0"/>
    <n v="1"/>
    <n v="418.22"/>
    <n v="493.5"/>
    <n v="0"/>
    <n v="418.22"/>
    <n v="18"/>
    <n v="75.28"/>
    <n v="493.5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87"/>
  </r>
  <r>
    <x v="3"/>
    <x v="341"/>
    <s v="COLABORATIVA S.A.C."/>
    <x v="25"/>
    <d v="2025-11-03T00:00:00"/>
    <x v="111"/>
    <m/>
    <n v="6"/>
    <n v="20101214771"/>
    <s v="[{'id_producto': 18663, 'codigo_producto': 870, 'nom_producto': 'COMISION VAOPE SEGUN CONTRATO', 'categoria_producto': 'consu', 'cantidad': '1.0', 'valor_unitario': 250.51, 'precio_unitario': 295.6, 'descuento': 0.0, 'subtotal': 250.51, 'porcentaje_de_igv': '18.00', 'igv': 45.09, 'total': 295.6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3"/>
    <x v="27"/>
    <x v="5"/>
    <x v="0"/>
    <n v="1"/>
    <n v="250.51"/>
    <n v="295.60000000000002"/>
    <n v="0"/>
    <n v="250.51"/>
    <n v="18"/>
    <n v="45.09"/>
    <n v="295.60000000000002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88"/>
  </r>
  <r>
    <x v="3"/>
    <x v="342"/>
    <s v="COLABORATIVA S.A.C."/>
    <x v="25"/>
    <d v="2025-11-03T00:00:00"/>
    <x v="111"/>
    <m/>
    <n v="6"/>
    <n v="20101214771"/>
    <s v="[{'id_producto': 18662, 'codigo_producto': 954, 'nom_producto': 'PERSONAL - PAUTA PUBLICITARIA- CORTESIA', 'categoria_producto': 'consu', 'cantidad': '1.0', 'valor_unitario': 438.73, 'precio_unitario': 517.7, 'descuento': 0.0, 'subtotal': 438.73, 'porcentaje_de_igv': '18.00', 'igv': 78.97, 'total': 517.7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8662"/>
    <x v="70"/>
    <x v="63"/>
    <x v="0"/>
    <n v="1"/>
    <n v="438.73"/>
    <n v="517.70000000000005"/>
    <n v="0"/>
    <n v="438.73"/>
    <n v="18"/>
    <n v="78.97"/>
    <n v="517.70000000000005"/>
    <n v="1"/>
    <n v="1"/>
    <x v="2"/>
    <x v="2"/>
    <x v="1"/>
    <s v="SAMUEL CHUQUISTA"/>
    <x v="0"/>
    <s v="7012100 MercaderÃ­as-Venta Local-Terceros"/>
    <x v="2"/>
    <x v="32"/>
    <m/>
    <m/>
    <m/>
    <x v="108"/>
    <s v="RESTAURANTE RECEPCIONES CHEPITA ROYAL EMPRESA INDIVIDUAL DE RESPONSABILIDAD LIMITADA"/>
    <s v="Empresa"/>
    <x v="489"/>
  </r>
  <r>
    <x v="3"/>
    <x v="343"/>
    <s v="COLABORATIVA S.A.C."/>
    <x v="25"/>
    <d v="2025-11-03T00:00:00"/>
    <x v="111"/>
    <m/>
    <n v="6"/>
    <n v="20101214771"/>
    <s v="[{'id_producto': 18661, 'codigo_producto': 877, 'nom_producto': 'COMISION PAGOS DIGITALES SEGUN CONTRATO', 'categoria_producto': 'consu', 'cantidad': '1.0', 'valor_unitario': 139.75, 'precio_unitario': 164.9, 'descuento': 0.0, 'subtotal': 139.75, 'porcentaje_de_igv': '18.00', 'igv': 25.15, 'total': 164.9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1"/>
    <x v="26"/>
    <x v="6"/>
    <x v="0"/>
    <n v="1"/>
    <n v="139.75"/>
    <n v="164.9"/>
    <n v="0"/>
    <n v="139.75"/>
    <n v="18"/>
    <n v="25.15"/>
    <n v="164.9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0"/>
  </r>
  <r>
    <x v="3"/>
    <x v="344"/>
    <s v="COLABORATIVA S.A.C."/>
    <x v="25"/>
    <d v="2025-11-03T00:00:00"/>
    <x v="111"/>
    <m/>
    <n v="6"/>
    <n v="20101214771"/>
    <s v="[{'id_producto': 18660, 'codigo_producto': 870, 'nom_producto': 'COMISION VAOPE SEGUN CONTRATO', 'categoria_producto': 'consu', 'cantidad': '1.0', 'valor_unitario': 79.15, 'precio_unitario': 93.4, 'descuento': 0.0, 'subtotal': 79.15, 'porcentaje_de_igv': '18.00', 'igv': 14.25, 'total': 93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60"/>
    <x v="27"/>
    <x v="5"/>
    <x v="0"/>
    <n v="1"/>
    <n v="79.150000000000006"/>
    <n v="93.4"/>
    <n v="0"/>
    <n v="79.150000000000006"/>
    <n v="18"/>
    <n v="14.25"/>
    <n v="93.4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1"/>
  </r>
  <r>
    <x v="3"/>
    <x v="345"/>
    <s v="COLABORATIVA S.A.C."/>
    <x v="25"/>
    <d v="2025-11-03T00:00:00"/>
    <x v="111"/>
    <m/>
    <n v="6"/>
    <n v="20101214771"/>
    <s v="[{'id_producto': 18659, 'codigo_producto': 953, 'nom_producto': 'COMISION CORTESIA - PAUTA PUBLICITARIA- FACEBOOK- PUNTO VENTA ', 'categoria_producto': 'consu', 'cantidad': '1.0', 'valor_unitario': 447.73, 'precio_unitario': 528.32, 'descuento': 0.0, 'subtotal': 447.73, 'porcentaje_de_igv': '18.00', 'igv': 80.59, 'total': 528.32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9"/>
    <x v="71"/>
    <x v="64"/>
    <x v="0"/>
    <n v="1"/>
    <n v="447.73"/>
    <n v="528.32000000000005"/>
    <n v="0"/>
    <n v="447.73"/>
    <n v="18"/>
    <n v="80.59"/>
    <n v="528.32000000000005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2"/>
  </r>
  <r>
    <x v="3"/>
    <x v="346"/>
    <s v="COLABORATIVA S.A.C."/>
    <x v="25"/>
    <d v="2025-11-03T00:00:00"/>
    <x v="111"/>
    <m/>
    <n v="6"/>
    <n v="20101214771"/>
    <s v="[{'id_producto': 18658, 'codigo_producto': 952, 'nom_producto': 'PERSONAL - Servicio de 01 validador Inc IGV ', 'categoria_producto': 'consu', 'cantidad': '1.0', 'valor_unitario': 150.0, 'precio_unitario': 177.0, 'descuento': 0.0, 'subtotal': 150.0, 'porcentaje_de_igv': '18.00', 'igv': 27.0, 'total': 177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8658"/>
    <x v="72"/>
    <x v="65"/>
    <x v="0"/>
    <n v="1"/>
    <n v="150"/>
    <n v="177"/>
    <n v="0"/>
    <n v="150"/>
    <n v="18"/>
    <n v="27"/>
    <n v="177"/>
    <n v="1"/>
    <n v="1"/>
    <x v="2"/>
    <x v="2"/>
    <x v="1"/>
    <s v="SAMUEL CHUQUISTA"/>
    <x v="0"/>
    <s v="7012100 MercaderÃ­as-Venta Local-Terceros"/>
    <x v="5"/>
    <x v="32"/>
    <m/>
    <m/>
    <m/>
    <x v="108"/>
    <s v="RESTAURANTE RECEPCIONES CHEPITA ROYAL EMPRESA INDIVIDUAL DE RESPONSABILIDAD LIMITADA"/>
    <s v="Empresa"/>
    <x v="493"/>
  </r>
  <r>
    <x v="3"/>
    <x v="347"/>
    <s v="COLABORATIVA S.A.C."/>
    <x v="25"/>
    <d v="2025-11-03T00:00:00"/>
    <x v="111"/>
    <m/>
    <n v="6"/>
    <n v="20101214771"/>
    <s v="[{'id_producto': 18657, 'codigo_producto': 877, 'nom_producto': 'COMISION PAGOS DIGITALES SEGUN CONTRATO', 'categoria_producto': 'consu', 'cantidad': '1.0', 'valor_unitario': 2377.37, 'precio_unitario': 2805.3, 'descuento': 0.0, 'subtotal': 2377.37, 'porcentaje_de_igv': '18.00', 'igv': 427.93, 'total': 2805.3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7"/>
    <x v="26"/>
    <x v="6"/>
    <x v="0"/>
    <n v="1"/>
    <n v="2377.37"/>
    <n v="2805.3"/>
    <n v="0"/>
    <n v="2377.37"/>
    <n v="18"/>
    <n v="427.93"/>
    <n v="2805.3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4"/>
  </r>
  <r>
    <x v="3"/>
    <x v="348"/>
    <s v="COLABORATIVA S.A.C."/>
    <x v="25"/>
    <d v="2025-11-03T00:00:00"/>
    <x v="111"/>
    <m/>
    <n v="6"/>
    <n v="20101214771"/>
    <s v="[{'id_producto': 18656, 'codigo_producto': 870, 'nom_producto': 'COMISION VAOPE SEGUN CONTRATO', 'categoria_producto': 'consu', 'cantidad': '1.0', 'valor_unitario': 1467.71, 'precio_unitario': 1731.9, 'descuento': 0.0, 'subtotal': 1467.71, 'porcentaje_de_igv': '18.00', 'igv': 264.19, 'total': 1731.9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6"/>
    <x v="27"/>
    <x v="5"/>
    <x v="0"/>
    <n v="1"/>
    <n v="1467.71"/>
    <n v="1731.9"/>
    <n v="0"/>
    <n v="1467.71"/>
    <n v="18"/>
    <n v="264.19"/>
    <n v="1731.9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5"/>
  </r>
  <r>
    <x v="3"/>
    <x v="349"/>
    <s v="COLABORATIVA S.A.C."/>
    <x v="25"/>
    <d v="2025-11-03T00:00:00"/>
    <x v="111"/>
    <m/>
    <n v="6"/>
    <n v="20101214771"/>
    <s v="[{'id_producto': 18655, 'codigo_producto': 951, 'nom_producto': 'PERSONAL - PAUTA PUBLICITARIA - FACEBOOK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8655"/>
    <x v="73"/>
    <x v="66"/>
    <x v="0"/>
    <n v="1"/>
    <n v="423.73"/>
    <n v="500"/>
    <n v="0"/>
    <n v="423.73"/>
    <n v="18"/>
    <n v="76.27"/>
    <n v="500"/>
    <n v="1"/>
    <n v="1"/>
    <x v="2"/>
    <x v="2"/>
    <x v="1"/>
    <s v="SAMUEL CHUQUISTA"/>
    <x v="0"/>
    <s v="7012100 MercaderÃ­as-Venta Local-Terceros"/>
    <x v="2"/>
    <x v="32"/>
    <m/>
    <m/>
    <m/>
    <x v="108"/>
    <s v="RESTAURANTE RECEPCIONES CHEPITA ROYAL EMPRESA INDIVIDUAL DE RESPONSABILIDAD LIMITADA"/>
    <s v="Empresa"/>
    <x v="496"/>
  </r>
  <r>
    <x v="3"/>
    <x v="350"/>
    <s v="COLABORATIVA S.A.C."/>
    <x v="25"/>
    <d v="2025-11-03T00:00:00"/>
    <x v="111"/>
    <m/>
    <n v="6"/>
    <n v="20101214771"/>
    <s v="[{'id_producto': 18654, 'codigo_producto': 877, 'nom_producto': 'COMISION PAGOS DIGITALES SEGUN CONTRATO', 'categoria_producto': 'consu', 'cantidad': '1.0', 'valor_unitario': 526.1, 'precio_unitario': 620.8, 'descuento': 0.0, 'subtotal': 526.1, 'porcentaje_de_igv': '18.00', 'igv': 94.7, 'total': 620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4"/>
    <x v="26"/>
    <x v="6"/>
    <x v="0"/>
    <n v="1"/>
    <n v="526.1"/>
    <n v="620.79999999999995"/>
    <n v="0"/>
    <n v="526.1"/>
    <n v="18"/>
    <n v="94.7"/>
    <n v="620.79999999999995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7"/>
  </r>
  <r>
    <x v="3"/>
    <x v="351"/>
    <s v="COLABORATIVA S.A.C."/>
    <x v="25"/>
    <d v="2025-11-03T00:00:00"/>
    <x v="111"/>
    <m/>
    <n v="6"/>
    <n v="20101214771"/>
    <s v="[{'id_producto': 18653, 'codigo_producto': 870, 'nom_producto': 'COMISION VAOPE SEGUN CONTRATO', 'categoria_producto': 'consu', 'cantidad': '1.0', 'valor_unitario': 304.83, 'precio_unitario': 359.7, 'descuento': 0.0, 'subtotal': 304.83, 'porcentaje_de_igv': '18.00', 'igv': 54.87, 'total': 359.7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3"/>
    <x v="27"/>
    <x v="5"/>
    <x v="0"/>
    <n v="1"/>
    <n v="304.83"/>
    <n v="359.7"/>
    <n v="0"/>
    <n v="304.83"/>
    <n v="18"/>
    <n v="54.87"/>
    <n v="359.7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498"/>
  </r>
  <r>
    <x v="3"/>
    <x v="352"/>
    <s v="COLABORATIVA S.A.C."/>
    <x v="25"/>
    <d v="2025-11-03T00:00:00"/>
    <x v="111"/>
    <m/>
    <n v="6"/>
    <n v="20101214771"/>
    <s v="[{'id_producto': 18652, 'codigo_producto': 950, 'nom_producto': 'PERSONAL - PUBLICIDAD - FACEBOOK ', 'categoria_producto': 'consu', 'cantidad': '1.0', 'valor_unitario': 423.73, 'precio_unitario': 500.0, 'descuento': 0.0, 'subtotal': 423.73, 'porcentaje_de_igv': '18.00', 'igv': 76.27, 'total': 500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89, 'nom_distribucion': 'Marketing', 'sub_categoria': 'Pauta', 'porcentaje': '100.00'}]]}]"/>
    <d v="2025-01-29T00:00:00"/>
    <m/>
    <m/>
    <m/>
    <m/>
    <m/>
    <n v="18652"/>
    <x v="74"/>
    <x v="67"/>
    <x v="0"/>
    <n v="1"/>
    <n v="423.73"/>
    <n v="500"/>
    <n v="0"/>
    <n v="423.73"/>
    <n v="18"/>
    <n v="76.27"/>
    <n v="500"/>
    <n v="1"/>
    <n v="1"/>
    <x v="2"/>
    <x v="2"/>
    <x v="1"/>
    <s v="SAMUEL CHUQUISTA"/>
    <x v="0"/>
    <s v="7012100 MercaderÃ­as-Venta Local-Terceros"/>
    <x v="2"/>
    <x v="32"/>
    <m/>
    <m/>
    <m/>
    <x v="108"/>
    <s v="RESTAURANTE RECEPCIONES CHEPITA ROYAL EMPRESA INDIVIDUAL DE RESPONSABILIDAD LIMITADA"/>
    <s v="Empresa"/>
    <x v="499"/>
  </r>
  <r>
    <x v="3"/>
    <x v="353"/>
    <s v="COLABORATIVA S.A.C."/>
    <x v="25"/>
    <d v="2025-11-03T00:00:00"/>
    <x v="111"/>
    <m/>
    <n v="6"/>
    <n v="20101214771"/>
    <s v="[{'id_producto': 18651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51"/>
    <x v="40"/>
    <x v="19"/>
    <x v="0"/>
    <n v="1"/>
    <n v="10"/>
    <n v="11.8"/>
    <n v="0"/>
    <n v="10"/>
    <n v="18"/>
    <n v="1.8"/>
    <n v="11.8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500"/>
  </r>
  <r>
    <x v="3"/>
    <x v="354"/>
    <s v="COLABORATIVA S.A.C."/>
    <x v="25"/>
    <d v="2025-11-03T00:00:00"/>
    <x v="111"/>
    <m/>
    <n v="6"/>
    <n v="20101214771"/>
    <s v="[{'id_producto': 18650, 'codigo_producto': 913, 'nom_producto': 'PERSONAL - Servicio de 02 validadores Inc IGV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9T00:00:00"/>
    <m/>
    <m/>
    <m/>
    <m/>
    <m/>
    <n v="18650"/>
    <x v="75"/>
    <x v="68"/>
    <x v="0"/>
    <n v="1"/>
    <n v="300"/>
    <n v="354"/>
    <n v="0"/>
    <n v="300"/>
    <n v="18"/>
    <n v="54"/>
    <n v="354"/>
    <n v="1"/>
    <n v="1"/>
    <x v="2"/>
    <x v="2"/>
    <x v="1"/>
    <s v="SAMUEL CHUQUISTA"/>
    <x v="0"/>
    <s v="7012100 MercaderÃ­as-Venta Local-Terceros"/>
    <x v="5"/>
    <x v="32"/>
    <m/>
    <m/>
    <m/>
    <x v="108"/>
    <s v="RESTAURANTE RECEPCIONES CHEPITA ROYAL EMPRESA INDIVIDUAL DE RESPONSABILIDAD LIMITADA"/>
    <s v="Empresa"/>
    <x v="501"/>
  </r>
  <r>
    <x v="3"/>
    <x v="355"/>
    <s v="COLABORATIVA S.A.C."/>
    <x v="25"/>
    <d v="2025-11-03T00:00:00"/>
    <x v="111"/>
    <m/>
    <n v="6"/>
    <n v="20101214771"/>
    <s v="[{'id_producto': 18649, 'codigo_producto': 877, 'nom_producto': 'COMISION PAGOS DIGITALES SEGUN CONTRATO', 'categoria_producto': 'consu', 'cantidad': '1.0', 'valor_unitario': 3637.63, 'precio_unitario': 4292.4, 'descuento': 0.0, 'subtotal': 3637.63, 'porcentaje_de_igv': '18.00', 'igv': 654.77, 'total': 4292.4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49"/>
    <x v="26"/>
    <x v="6"/>
    <x v="0"/>
    <n v="1"/>
    <n v="3637.63"/>
    <n v="4292.3999999999996"/>
    <n v="0"/>
    <n v="3637.63"/>
    <n v="18"/>
    <n v="654.77"/>
    <n v="4292.3999999999996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502"/>
  </r>
  <r>
    <x v="3"/>
    <x v="356"/>
    <s v="COLABORATIVA S.A.C."/>
    <x v="25"/>
    <d v="2025-11-03T00:00:00"/>
    <x v="111"/>
    <m/>
    <n v="6"/>
    <n v="20101214771"/>
    <s v="[{'id_producto': 18648, 'codigo_producto': 870, 'nom_producto': 'COMISION VAOPE SEGUN CONTRATO', 'categoria_producto': 'consu', 'cantidad': '1.0', 'valor_unitario': 2347.03, 'precio_unitario': 2769.5, 'descuento': 0.0, 'subtotal': 2347.03, 'porcentaje_de_igv': '18.00', 'igv': 422.47, 'total': 2769.5, 'moneda': '1', 'tipo_de_cambio': 1.0, 'id_estado': 'not_paid', 'nombre_estado': 'Sin pagar', 'evento': {'id_evento': '', 'nom_evento': '', 'fecha_hora_ini_event': '', 'fecha_hora_fin_event': '', 'id_organizador': 1137, 'nom_organizador': 'RESTAURANTE RECEPCIONES CHEPITA ROYAL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9T00:00:00"/>
    <m/>
    <m/>
    <m/>
    <m/>
    <m/>
    <n v="18648"/>
    <x v="27"/>
    <x v="5"/>
    <x v="0"/>
    <n v="1"/>
    <n v="2347.0300000000002"/>
    <n v="2769.5"/>
    <n v="0"/>
    <n v="2347.0300000000002"/>
    <n v="18"/>
    <n v="422.47"/>
    <n v="2769.5"/>
    <n v="1"/>
    <n v="1"/>
    <x v="2"/>
    <x v="2"/>
    <x v="1"/>
    <s v="SAMUEL CHUQUISTA"/>
    <x v="0"/>
    <s v="7012100 MercaderÃ­as-Venta Local-Terceros"/>
    <x v="12"/>
    <x v="32"/>
    <m/>
    <m/>
    <m/>
    <x v="108"/>
    <s v="RESTAURANTE RECEPCIONES CHEPITA ROYAL EMPRESA INDIVIDUAL DE RESPONSABILIDAD LIMITADA"/>
    <s v="Empresa"/>
    <x v="503"/>
  </r>
  <r>
    <x v="3"/>
    <x v="357"/>
    <s v="COLABORATIVA S.A.C."/>
    <x v="26"/>
    <d v="2025-11-03T00:00:00"/>
    <x v="25"/>
    <m/>
    <n v="6"/>
    <n v="20611890746"/>
    <s v="[{'id_producto': 18647, 'codigo_producto': 949, 'nom_producto': 'COMISION CORTESIA - pauta publicitar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47"/>
    <x v="65"/>
    <x v="58"/>
    <x v="0"/>
    <n v="1"/>
    <n v="5"/>
    <n v="5.9"/>
    <n v="0"/>
    <n v="5"/>
    <n v="18"/>
    <n v="0.9"/>
    <n v="5.9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04"/>
  </r>
  <r>
    <x v="3"/>
    <x v="358"/>
    <s v="COLABORATIVA S.A.C."/>
    <x v="26"/>
    <d v="2025-11-03T00:00:00"/>
    <x v="25"/>
    <m/>
    <n v="6"/>
    <n v="20611890746"/>
    <s v="[{'id_producto': 18646, 'codigo_producto': 948, 'nom_producto': 'ENTRADAS IMPRESAS - ORDEN DE VENTA N564\n  La Unica Tropical en el Padrino Club de Jicamarca  1000 FULL COLOR GENERAL  1000 BRAZALETES VIP  500 FULL COLOR NINOS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8646"/>
    <x v="76"/>
    <x v="69"/>
    <x v="0"/>
    <n v="1"/>
    <n v="1200"/>
    <n v="1416"/>
    <n v="0"/>
    <n v="1200"/>
    <n v="18"/>
    <n v="216"/>
    <n v="141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05"/>
  </r>
  <r>
    <x v="3"/>
    <x v="359"/>
    <s v="COLABORATIVA S.A.C."/>
    <x v="26"/>
    <d v="2025-11-03T00:00:00"/>
    <x v="25"/>
    <m/>
    <n v="6"/>
    <n v="20611890746"/>
    <s v="[{'id_producto': 18645, 'codigo_producto': 877, 'nom_producto': 'COMISION PAGOS DIGITALES SEGUN CONTRATO', 'categoria_producto': 'consu', 'cantidad': '1.0', 'valor_unitario': 872.71, 'precio_unitario': 1029.8, 'descuento': 0.0, 'subtotal': 872.71, 'porcentaje_de_igv': '18.00', 'igv': 157.09, 'total': 1029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45"/>
    <x v="26"/>
    <x v="6"/>
    <x v="0"/>
    <n v="1"/>
    <n v="872.71"/>
    <n v="1029.8"/>
    <n v="0"/>
    <n v="872.71"/>
    <n v="18"/>
    <n v="157.09"/>
    <n v="1029.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06"/>
  </r>
  <r>
    <x v="3"/>
    <x v="360"/>
    <s v="COLABORATIVA S.A.C."/>
    <x v="26"/>
    <d v="2025-11-03T00:00:00"/>
    <x v="25"/>
    <m/>
    <n v="6"/>
    <n v="20611890746"/>
    <s v="[{'id_producto': 18644, 'codigo_producto': 870, 'nom_producto': 'COMISION VAOPE SEGUN CONTRATO', 'categoria_producto': 'consu', 'cantidad': '1.0', 'valor_unitario': 526.1, 'precio_unitario': 620.8, 'descuento': 0.0, 'subtotal': 526.1, 'porcentaje_de_igv': '18.00', 'igv': 94.7, 'total': 620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44"/>
    <x v="27"/>
    <x v="5"/>
    <x v="0"/>
    <n v="1"/>
    <n v="526.1"/>
    <n v="620.79999999999995"/>
    <n v="0"/>
    <n v="526.1"/>
    <n v="18"/>
    <n v="94.7"/>
    <n v="620.79999999999995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07"/>
  </r>
  <r>
    <x v="3"/>
    <x v="361"/>
    <s v="COLABORATIVA S.A.C."/>
    <x v="26"/>
    <d v="2025-11-03T00:00:00"/>
    <x v="21"/>
    <s v="Cliente"/>
    <n v="6"/>
    <n v="20296011356"/>
    <s v="[{'id_producto': 18643, 'codigo_producto': 874, 'nom_producto': 'COMISION CORTESIA', 'categoria_producto': 'consu', 'cantidad': '1.0', 'valor_unitario': 20.0, 'precio_unitario': 23.6, 'descuento': 0.0, 'subtotal': 20.0, 'porcentaje_de_igv': '18.00', 'igv': 3.6, 'total': 23.6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43"/>
    <x v="40"/>
    <x v="19"/>
    <x v="0"/>
    <n v="1"/>
    <n v="20"/>
    <n v="23.6"/>
    <n v="0"/>
    <n v="20"/>
    <n v="18"/>
    <n v="3.6"/>
    <n v="23.6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508"/>
  </r>
  <r>
    <x v="3"/>
    <x v="362"/>
    <s v="COLABORATIVA S.A.C."/>
    <x v="26"/>
    <d v="2025-11-03T00:00:00"/>
    <x v="21"/>
    <s v="Cliente"/>
    <n v="6"/>
    <n v="20296011356"/>
    <s v="[{'id_producto': 18642, 'codigo_producto': 882, 'nom_producto': 'PERSONAL - Servicio de 05 validadores Inc IGV', 'categoria_producto': 'consu', 'cantidad': '1.0', 'valor_unitario': 750.0, 'precio_unitario': 885.0, 'descuento': 0.0, 'subtotal': 750.0, 'porcentaje_de_igv': '18.00', 'igv': 135.0, 'total': 885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8T00:00:00"/>
    <m/>
    <m/>
    <m/>
    <m/>
    <m/>
    <n v="18642"/>
    <x v="77"/>
    <x v="70"/>
    <x v="0"/>
    <n v="1"/>
    <n v="750"/>
    <n v="885"/>
    <n v="0"/>
    <n v="750"/>
    <n v="18"/>
    <n v="135"/>
    <n v="885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509"/>
  </r>
  <r>
    <x v="3"/>
    <x v="363"/>
    <s v="COLABORATIVA S.A.C."/>
    <x v="26"/>
    <d v="2025-11-03T00:00:00"/>
    <x v="21"/>
    <s v="Cliente"/>
    <n v="6"/>
    <n v="20296011356"/>
    <s v="[{'id_producto': 18641, 'codigo_producto': 947, 'nom_producto': 'ENTRADAS IMPRESAS - ORDEN DE VENTA N557\n PRIMER PISCINAZO 2025 CON EL AGUA MAS RICA DEL PERU  3000 FULL COLOR GENERAL ADULTO  500 FULL COLOR GENERAL NINOS S185850', 'categoria_producto': 'consu', 'cantidad': '1.0', 'valor_unitario': 1575.0, 'precio_unitario': 1858.5, 'descuento': 0.0, 'subtotal': 1575.0, 'porcentaje_de_igv': '18.00', 'igv': 283.5, 'total': 1858.5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8641"/>
    <x v="78"/>
    <x v="71"/>
    <x v="0"/>
    <n v="1"/>
    <n v="1575"/>
    <n v="1858.5"/>
    <n v="0"/>
    <n v="1575"/>
    <n v="18"/>
    <n v="283.5"/>
    <n v="1858.5"/>
    <n v="1"/>
    <n v="1"/>
    <x v="2"/>
    <x v="2"/>
    <x v="1"/>
    <s v="SAMUEL CHUQUISTA"/>
    <x v="0"/>
    <s v="7012100 MercaderÃ­as-Venta Local-Terceros"/>
    <x v="11"/>
    <x v="32"/>
    <m/>
    <m/>
    <m/>
    <x v="21"/>
    <s v="COMPLEJO TURÃSTICO EL REMANSO SAC"/>
    <s v="Empresa"/>
    <x v="510"/>
  </r>
  <r>
    <x v="3"/>
    <x v="364"/>
    <s v="COLABORATIVA S.A.C."/>
    <x v="26"/>
    <d v="2025-11-03T00:00:00"/>
    <x v="21"/>
    <s v="Cliente"/>
    <n v="6"/>
    <n v="20296011356"/>
    <s v="[{'id_producto': 18640, 'codigo_producto': 877, 'nom_producto': 'COMISION PAGOS DIGITALES SEGUN CONTRATO', 'categoria_producto': 'consu', 'cantidad': '1.0', 'valor_unitario': 3585.68, 'precio_unitario': 4231.1, 'descuento': 0.0, 'subtotal': 3585.68, 'porcentaje_de_igv': '18.00', 'igv': 645.42, 'total': 4231.1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40"/>
    <x v="26"/>
    <x v="6"/>
    <x v="0"/>
    <n v="1"/>
    <n v="3585.68"/>
    <n v="4231.1000000000004"/>
    <n v="0"/>
    <n v="3585.68"/>
    <n v="18"/>
    <n v="645.41999999999996"/>
    <n v="4231.1000000000004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511"/>
  </r>
  <r>
    <x v="3"/>
    <x v="365"/>
    <s v="COLABORATIVA S.A.C."/>
    <x v="26"/>
    <d v="2025-11-03T00:00:00"/>
    <x v="21"/>
    <s v="Cliente"/>
    <n v="6"/>
    <n v="20296011356"/>
    <s v="[{'id_producto': 18639, 'codigo_producto': 878, 'nom_producto': 'COMISION VAOPE SEGUN CONTRATO ', 'categoria_producto': 'consu', 'cantidad': '1.0', 'valor_unitario': 2103.31, 'precio_unitario': 2481.9, 'descuento': 0.0, 'subtotal': 2103.31, 'porcentaje_de_igv': '18.00', 'igv': 378.59, 'total': 2481.9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9"/>
    <x v="64"/>
    <x v="57"/>
    <x v="0"/>
    <n v="1"/>
    <n v="2103.31"/>
    <n v="2481.9"/>
    <n v="0"/>
    <n v="2103.31"/>
    <n v="18"/>
    <n v="378.59"/>
    <n v="2481.9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512"/>
  </r>
  <r>
    <x v="3"/>
    <x v="366"/>
    <s v="COLABORATIVA S.A.C."/>
    <x v="26"/>
    <d v="2025-11-03T00:00:00"/>
    <x v="71"/>
    <m/>
    <n v="6"/>
    <n v="20609649039"/>
    <s v="[{'id_producto': 18638, 'codigo_producto': 877, 'nom_producto': 'COMISION PAGOS DIGITALES SEGUN CONTRATO', 'categoria_producto': 'consu', 'cantidad': '1.0', 'valor_unitario': 16.81, 'precio_unitario': 19.84, 'descuento': 0.0, 'subtotal': 16.81, 'porcentaje_de_igv': '18.00', 'igv': 3.03, 'total': 19.84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8"/>
    <x v="26"/>
    <x v="6"/>
    <x v="0"/>
    <n v="1"/>
    <n v="16.809999999999999"/>
    <n v="19.84"/>
    <n v="0"/>
    <n v="16.809999999999999"/>
    <n v="18"/>
    <n v="3.03"/>
    <n v="19.84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513"/>
  </r>
  <r>
    <x v="3"/>
    <x v="367"/>
    <s v="COLABORATIVA S.A.C."/>
    <x v="26"/>
    <d v="2025-11-03T00:00:00"/>
    <x v="71"/>
    <m/>
    <n v="6"/>
    <n v="20609649039"/>
    <s v="[{'id_producto': 18637, 'codigo_producto': 870, 'nom_producto': 'COMISION VAOPE SEGUN CONTRATO', 'categoria_producto': 'consu', 'cantidad': '1.0', 'valor_unitario': 16.0, 'precio_unitario': 18.88, 'descuento': 0.0, 'subtotal': 16.0, 'porcentaje_de_igv': '18.00', 'igv': 2.88, 'total': 18.88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7"/>
    <x v="27"/>
    <x v="5"/>
    <x v="0"/>
    <n v="1"/>
    <n v="16"/>
    <n v="18.88"/>
    <n v="0"/>
    <n v="16"/>
    <n v="18"/>
    <n v="2.88"/>
    <n v="18.88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514"/>
  </r>
  <r>
    <x v="3"/>
    <x v="368"/>
    <s v="COLABORATIVA S.A.C."/>
    <x v="26"/>
    <d v="2025-11-03T00:00:00"/>
    <x v="102"/>
    <m/>
    <n v="6"/>
    <n v="20611587741"/>
    <s v="[{'id_producto': 18636, 'codigo_producto': 877, 'nom_producto': 'COMISION PAGOS DIGITALES SEGUN CONTRATO', 'categoria_producto': 'consu', 'cantidad': '1.0', 'valor_unitario': 11.44, 'precio_unitario': 13.5, 'descuento': 0.0, 'subtotal': 11.44, 'porcentaje_de_igv': '18.00', 'igv': 2.06, 'total': 13.5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6"/>
    <x v="26"/>
    <x v="6"/>
    <x v="0"/>
    <n v="1"/>
    <n v="11.44"/>
    <n v="13.5"/>
    <n v="0"/>
    <n v="11.44"/>
    <n v="18"/>
    <n v="2.06"/>
    <n v="13.5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515"/>
  </r>
  <r>
    <x v="3"/>
    <x v="369"/>
    <s v="COLABORATIVA S.A.C."/>
    <x v="26"/>
    <d v="2025-11-03T00:00:00"/>
    <x v="102"/>
    <m/>
    <n v="6"/>
    <n v="20611587741"/>
    <s v="[{'id_producto': 18635, 'codigo_producto': 870, 'nom_producto': 'COMISION VAOPE SEGUN CONTRATO', 'categoria_producto': 'consu', 'cantidad': '1.0', 'valor_unitario': 6.36, 'precio_unitario': 7.5, 'descuento': 0.0, 'subtotal': 6.36, 'porcentaje_de_igv': '18.00', 'igv': 1.14, 'total': 7.5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5"/>
    <x v="27"/>
    <x v="5"/>
    <x v="0"/>
    <n v="1"/>
    <n v="6.36"/>
    <n v="7.5"/>
    <n v="0"/>
    <n v="6.36"/>
    <n v="18"/>
    <n v="1.1399999999999999"/>
    <n v="7.5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516"/>
  </r>
  <r>
    <x v="3"/>
    <x v="370"/>
    <s v="COLABORATIVA S.A.C."/>
    <x v="26"/>
    <d v="2025-11-03T00:00:00"/>
    <x v="100"/>
    <s v="Cliente"/>
    <n v="6"/>
    <n v="20608627422"/>
    <s v="[{'id_producto': 18634, 'codigo_producto': 877, 'nom_producto': 'COMISION PAGOS DIGITALES SEGUN CONTRATO', 'categoria_producto': 'consu', 'cantidad': '1.0', 'valor_unitario': 41.1, 'precio_unitario': 48.5, 'descuento': 0.0, 'subtotal': 41.1, 'porcentaje_de_igv': '18.00', 'igv': 7.4, 'total': 48.5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4"/>
    <x v="26"/>
    <x v="6"/>
    <x v="0"/>
    <n v="1"/>
    <n v="41.1"/>
    <n v="48.5"/>
    <n v="0"/>
    <n v="41.1"/>
    <n v="18"/>
    <n v="7.4"/>
    <n v="48.5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517"/>
  </r>
  <r>
    <x v="3"/>
    <x v="371"/>
    <s v="COLABORATIVA S.A.C."/>
    <x v="26"/>
    <d v="2025-11-03T00:00:00"/>
    <x v="100"/>
    <s v="Cliente"/>
    <n v="6"/>
    <n v="20608627422"/>
    <s v="[{'id_producto': 18633, 'codigo_producto': 870, 'nom_producto': 'COMISION VAOPE SEGUN CONTRATO', 'categoria_producto': 'consu', 'cantidad': '1.0', 'valor_unitario': 27.46, 'precio_unitario': 32.4, 'descuento': 0.0, 'subtotal': 27.46, 'porcentaje_de_igv': '18.00', 'igv': 4.94, 'total': 32.4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3"/>
    <x v="27"/>
    <x v="5"/>
    <x v="0"/>
    <n v="1"/>
    <n v="27.46"/>
    <n v="32.4"/>
    <n v="0"/>
    <n v="27.46"/>
    <n v="18"/>
    <n v="4.9400000000000004"/>
    <n v="32.4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518"/>
  </r>
  <r>
    <x v="4"/>
    <x v="372"/>
    <s v="COLABORATIVA S.A.C."/>
    <x v="26"/>
    <d v="2025-11-03T00:00:00"/>
    <x v="112"/>
    <m/>
    <n v="1"/>
    <n v="48129748"/>
    <s v="[{'id_producto': 18632, 'codigo_producto': 877, 'nom_producto': 'COMISION PAGOS DIGITALES SEGUN CONTRATO', 'categoria_producto': 'consu', 'cantidad': '1.0', 'valor_unitario': 34.32, 'precio_unitario': 40.5, 'descuento': 0.0, 'subtotal': 34.32, 'porcentaje_de_igv': '18.00', 'igv': 6.18, 'total': 40.5, 'moneda': '1', 'tipo_de_cambio': 1.0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2"/>
    <x v="26"/>
    <x v="6"/>
    <x v="0"/>
    <n v="1"/>
    <n v="34.32"/>
    <n v="40.5"/>
    <n v="0"/>
    <n v="34.32"/>
    <n v="18"/>
    <n v="6.18"/>
    <n v="40.5"/>
    <n v="1"/>
    <n v="1"/>
    <x v="2"/>
    <x v="2"/>
    <x v="1"/>
    <s v="SAMUEL CHUQUISTA"/>
    <x v="0"/>
    <s v="7012100 MercaderÃ­as-Venta Local-Terceros"/>
    <x v="12"/>
    <x v="32"/>
    <m/>
    <m/>
    <m/>
    <x v="109"/>
    <s v="MARIA ALICIA CORONADO MALUQUIS"/>
    <s v="Persona"/>
    <x v="519"/>
  </r>
  <r>
    <x v="4"/>
    <x v="373"/>
    <s v="COLABORATIVA S.A.C."/>
    <x v="26"/>
    <d v="2025-11-03T00:00:00"/>
    <x v="112"/>
    <m/>
    <n v="1"/>
    <n v="48129748"/>
    <s v="[{'id_producto': 18631, 'codigo_producto': 870, 'nom_producto': 'COMISION VAOPE SEGUN CONTRATO', 'categoria_producto': 'consu', 'cantidad': '1.0', 'valor_unitario': 19.07, 'precio_unitario': 22.5, 'descuento': 0.0, 'subtotal': 19.07, 'porcentaje_de_igv': '18.00', 'igv': 3.43, 'total': 22.5, 'moneda': '1', 'tipo_de_cambio': 1.0, 'id_estado': 'not_paid', 'nombre_estado': 'Sin pagar', 'evento': {'id_evento': '', 'nom_evento': '', 'fecha_hora_ini_event': '', 'fecha_hora_fin_event': '', 'id_organizador': 1170, 'nom_organizador': 'MARIA ALICIA CORONADO MALUQUI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1"/>
    <x v="27"/>
    <x v="5"/>
    <x v="0"/>
    <n v="1"/>
    <n v="19.07"/>
    <n v="22.5"/>
    <n v="0"/>
    <n v="19.07"/>
    <n v="18"/>
    <n v="3.43"/>
    <n v="22.5"/>
    <n v="1"/>
    <n v="1"/>
    <x v="2"/>
    <x v="2"/>
    <x v="1"/>
    <s v="SAMUEL CHUQUISTA"/>
    <x v="0"/>
    <s v="7012100 MercaderÃ­as-Venta Local-Terceros"/>
    <x v="12"/>
    <x v="32"/>
    <m/>
    <m/>
    <m/>
    <x v="109"/>
    <s v="MARIA ALICIA CORONADO MALUQUIS"/>
    <s v="Persona"/>
    <x v="520"/>
  </r>
  <r>
    <x v="4"/>
    <x v="374"/>
    <s v="COLABORATIVA S.A.C."/>
    <x v="26"/>
    <d v="2025-11-03T00:00:00"/>
    <x v="113"/>
    <m/>
    <n v="1"/>
    <n v="72459498"/>
    <s v="[{'id_producto': 18630, 'codigo_producto': 877, 'nom_producto': 'COMISION PAGOS DIGITALES SEGUN CONTRATO', 'categoria_producto': 'consu', 'cantidad': '1.0', 'valor_unitario': 240.25, 'precio_unitario': 283.5, 'descuento': 0.0, 'subtotal': 240.25, 'porcentaje_de_igv': '18.00', 'igv': 43.25, 'total': 283.5, 'moneda': '1', 'tipo_de_cambio': 1.0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30"/>
    <x v="26"/>
    <x v="6"/>
    <x v="0"/>
    <n v="1"/>
    <n v="240.25"/>
    <n v="283.5"/>
    <n v="0"/>
    <n v="240.25"/>
    <n v="18"/>
    <n v="43.25"/>
    <n v="283.5"/>
    <n v="1"/>
    <n v="1"/>
    <x v="2"/>
    <x v="2"/>
    <x v="1"/>
    <s v="SAMUEL CHUQUISTA"/>
    <x v="0"/>
    <s v="7012100 MercaderÃ­as-Venta Local-Terceros"/>
    <x v="12"/>
    <x v="32"/>
    <m/>
    <m/>
    <m/>
    <x v="110"/>
    <s v="ORLANDO ALDAIR POMACAJA CARVO"/>
    <s v="Persona"/>
    <x v="521"/>
  </r>
  <r>
    <x v="4"/>
    <x v="375"/>
    <s v="COLABORATIVA S.A.C."/>
    <x v="26"/>
    <d v="2025-11-03T00:00:00"/>
    <x v="113"/>
    <m/>
    <n v="1"/>
    <n v="72459498"/>
    <s v="[{'id_producto': 18629, 'codigo_producto': 870, 'nom_producto': 'COMISION VAOPE SEGUN CONTRATO', 'categoria_producto': 'consu', 'cantidad': '1.0', 'valor_unitario': 133.47, 'precio_unitario': 157.5, 'descuento': 0.0, 'subtotal': 133.47, 'porcentaje_de_igv': '18.00', 'igv': 24.03, 'total': 157.5, 'moneda': '1', 'tipo_de_cambio': 1.0, 'id_estado': 'not_paid', 'nombre_estado': 'Sin pagar', 'evento': {'id_evento': '', 'nom_evento': '', 'fecha_hora_ini_event': '', 'fecha_hora_fin_event': '', 'id_organizador': 1169, 'nom_organizador': 'ORLANDO ALDAIR POMACAJA CARV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9"/>
    <x v="27"/>
    <x v="5"/>
    <x v="0"/>
    <n v="1"/>
    <n v="133.47"/>
    <n v="157.5"/>
    <n v="0"/>
    <n v="133.47"/>
    <n v="18"/>
    <n v="24.03"/>
    <n v="157.5"/>
    <n v="1"/>
    <n v="1"/>
    <x v="2"/>
    <x v="2"/>
    <x v="1"/>
    <s v="SAMUEL CHUQUISTA"/>
    <x v="0"/>
    <s v="7012100 MercaderÃ­as-Venta Local-Terceros"/>
    <x v="12"/>
    <x v="32"/>
    <m/>
    <m/>
    <m/>
    <x v="110"/>
    <s v="ORLANDO ALDAIR POMACAJA CARVO"/>
    <s v="Persona"/>
    <x v="522"/>
  </r>
  <r>
    <x v="4"/>
    <x v="376"/>
    <s v="COLABORATIVA S.A.C."/>
    <x v="26"/>
    <d v="2025-11-03T00:00:00"/>
    <x v="11"/>
    <m/>
    <n v="1"/>
    <n v="74630652"/>
    <s v="[{'id_producto': 18628, 'codigo_producto': 877, 'nom_producto': 'COMISION PAGOS DIGITALES SEGUN CONTRATO', 'categoria_producto': 'consu', 'cantidad': '1.0', 'valor_unitario': 1346.2, 'precio_unitario': 1588.52, 'descuento': 0.0, 'subtotal': 1346.2, 'porcentaje_de_igv': '18.00', 'igv': 242.32, 'total': 1588.52, 'moneda': '1', 'tipo_de_cambio': 1.0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8"/>
    <x v="26"/>
    <x v="6"/>
    <x v="0"/>
    <n v="1"/>
    <n v="1346.2"/>
    <n v="1588.52"/>
    <n v="0"/>
    <n v="1346.2"/>
    <n v="18"/>
    <n v="242.32"/>
    <n v="1588.52"/>
    <n v="1"/>
    <n v="1"/>
    <x v="2"/>
    <x v="2"/>
    <x v="1"/>
    <s v="SAMUEL CHUQUISTA"/>
    <x v="0"/>
    <s v="7012100 MercaderÃ­as-Venta Local-Terceros"/>
    <x v="12"/>
    <x v="32"/>
    <m/>
    <m/>
    <m/>
    <x v="11"/>
    <s v="NAHOMY TRILCE CHAMORRO TORRES"/>
    <s v="Persona"/>
    <x v="523"/>
  </r>
  <r>
    <x v="4"/>
    <x v="377"/>
    <s v="COLABORATIVA S.A.C."/>
    <x v="26"/>
    <d v="2025-11-03T00:00:00"/>
    <x v="11"/>
    <m/>
    <n v="1"/>
    <n v="74630652"/>
    <s v="[{'id_producto': 18627, 'codigo_producto': 870, 'nom_producto': 'COMISION VAOPE SEGUN CONTRATO', 'categoria_producto': 'consu', 'cantidad': '1.0', 'valor_unitario': 824.87, 'precio_unitario': 973.35, 'descuento': 0.0, 'subtotal': 824.87, 'porcentaje_de_igv': '18.00', 'igv': 148.48, 'total': 973.35, 'moneda': '1', 'tipo_de_cambio': 1.0, 'id_estado': 'not_paid', 'nombre_estado': 'Sin pagar', 'evento': {'id_evento': '', 'nom_evento': '', 'fecha_hora_ini_event': '', 'fecha_hora_fin_event': '', 'id_organizador': 1168, 'nom_organizador': 'NAHOMY TRILCE CHAMORRO TOR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7"/>
    <x v="27"/>
    <x v="5"/>
    <x v="0"/>
    <n v="1"/>
    <n v="824.87"/>
    <n v="973.35"/>
    <n v="0"/>
    <n v="824.87"/>
    <n v="18"/>
    <n v="148.47999999999999"/>
    <n v="973.35"/>
    <n v="1"/>
    <n v="1"/>
    <x v="2"/>
    <x v="2"/>
    <x v="1"/>
    <s v="SAMUEL CHUQUISTA"/>
    <x v="0"/>
    <s v="7012100 MercaderÃ­as-Venta Local-Terceros"/>
    <x v="12"/>
    <x v="32"/>
    <m/>
    <m/>
    <m/>
    <x v="11"/>
    <s v="NAHOMY TRILCE CHAMORRO TORRES"/>
    <s v="Persona"/>
    <x v="524"/>
  </r>
  <r>
    <x v="3"/>
    <x v="378"/>
    <s v="COLABORATIVA S.A.C."/>
    <x v="26"/>
    <d v="2025-11-03T00:00:00"/>
    <x v="114"/>
    <m/>
    <n v="6"/>
    <n v="20600937988"/>
    <s v="[{'id_producto': 18626, 'codigo_producto': 877, 'nom_producto': 'COMISION PAGOS DIGITALES SEGUN CONTRATO', 'categoria_producto': 'consu', 'cantidad': '1.0', 'valor_unitario': 274.92, 'precio_unitario': 324.4, 'descuento': 0.0, 'subtotal': 274.92, 'porcentaje_de_igv': '18.00', 'igv': 49.48, 'total': 324.4, 'moneda': '1', 'tipo_de_cambio': 1.0, 'id_estado': 'not_paid', 'nombre_estado': 'Sin pagar', 'evento': {'id_evento': '', 'nom_evento': '', 'fecha_hora_ini_event': '', 'fecha_hora_fin_event': '', 'id_organizador': 1135, 'nom_organizador': 'Empresa Promotora de Eventos Magda PerÃº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6"/>
    <x v="26"/>
    <x v="6"/>
    <x v="0"/>
    <n v="1"/>
    <n v="274.92"/>
    <n v="324.39999999999998"/>
    <n v="0"/>
    <n v="274.92"/>
    <n v="18"/>
    <n v="49.48"/>
    <n v="324.39999999999998"/>
    <n v="1"/>
    <n v="1"/>
    <x v="2"/>
    <x v="2"/>
    <x v="1"/>
    <s v="SAMUEL CHUQUISTA"/>
    <x v="0"/>
    <s v="7012100 MercaderÃ­as-Venta Local-Terceros"/>
    <x v="12"/>
    <x v="32"/>
    <m/>
    <m/>
    <m/>
    <x v="111"/>
    <s v="Empresa Promotora de Eventos Magda PerÃº SAC"/>
    <s v="Empresa"/>
    <x v="525"/>
  </r>
  <r>
    <x v="3"/>
    <x v="379"/>
    <s v="COLABORATIVA S.A.C."/>
    <x v="26"/>
    <d v="2025-11-03T00:00:00"/>
    <x v="114"/>
    <m/>
    <n v="6"/>
    <n v="20600937988"/>
    <s v="[{'id_producto': 18625, 'codigo_producto': 870, 'nom_producto': 'COMISION VAOPE SEGUN CONTRATO', 'categoria_producto': 'consu', 'cantidad': '1.0', 'valor_unitario': 159.29, 'precio_unitario': 187.96, 'descuento': 0.0, 'subtotal': 159.29, 'porcentaje_de_igv': '18.00', 'igv': 28.67, 'total': 187.96, 'moneda': '1', 'tipo_de_cambio': 1.0, 'id_estado': 'not_paid', 'nombre_estado': 'Sin pagar', 'evento': {'id_evento': '', 'nom_evento': '', 'fecha_hora_ini_event': '', 'fecha_hora_fin_event': '', 'id_organizador': 1135, 'nom_organizador': 'Empresa Promotora de Eventos Magda PerÃº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5"/>
    <x v="27"/>
    <x v="5"/>
    <x v="0"/>
    <n v="1"/>
    <n v="159.29"/>
    <n v="187.96"/>
    <n v="0"/>
    <n v="159.29"/>
    <n v="18"/>
    <n v="28.67"/>
    <n v="187.96"/>
    <n v="1"/>
    <n v="1"/>
    <x v="2"/>
    <x v="2"/>
    <x v="1"/>
    <s v="SAMUEL CHUQUISTA"/>
    <x v="0"/>
    <s v="7012100 MercaderÃ­as-Venta Local-Terceros"/>
    <x v="12"/>
    <x v="32"/>
    <m/>
    <m/>
    <m/>
    <x v="111"/>
    <s v="Empresa Promotora de Eventos Magda PerÃº SAC"/>
    <s v="Empresa"/>
    <x v="526"/>
  </r>
  <r>
    <x v="4"/>
    <x v="380"/>
    <s v="COLABORATIVA S.A.C."/>
    <x v="26"/>
    <d v="2025-11-03T00:00:00"/>
    <x v="115"/>
    <m/>
    <n v="1"/>
    <n v="43374645"/>
    <s v="[{'id_producto': 18624, 'codigo_producto': 871, 'nom_producto': 'COMISION PAGOS DIGITALES SEGUN CONTRATO ', 'categoria_producto': 'consu', 'cantidad': '1.0', 'valor_unitario': 96.1, 'precio_unitario': 113.4, 'descuento': 0.0, 'subtotal': 96.1, 'porcentaje_de_igv': '18.00', 'igv': 17.3, 'total': 113.4, 'moneda': '1', 'tipo_de_cambio': 1.0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4"/>
    <x v="39"/>
    <x v="35"/>
    <x v="0"/>
    <n v="1"/>
    <n v="96.1"/>
    <n v="113.4"/>
    <n v="0"/>
    <n v="96.1"/>
    <n v="18"/>
    <n v="17.3"/>
    <n v="113.4"/>
    <n v="1"/>
    <n v="1"/>
    <x v="2"/>
    <x v="2"/>
    <x v="1"/>
    <s v="SAMUEL CHUQUISTA"/>
    <x v="0"/>
    <s v="7012100 MercaderÃ­as-Venta Local-Terceros"/>
    <x v="12"/>
    <x v="32"/>
    <m/>
    <m/>
    <m/>
    <x v="112"/>
    <s v="JOHEL EDWIN RICALDI ARIAS"/>
    <s v="Persona"/>
    <x v="527"/>
  </r>
  <r>
    <x v="4"/>
    <x v="381"/>
    <s v="COLABORATIVA S.A.C."/>
    <x v="26"/>
    <d v="2025-11-03T00:00:00"/>
    <x v="115"/>
    <m/>
    <n v="1"/>
    <n v="43374645"/>
    <s v="[{'id_producto': 18623, 'codigo_producto': 870, 'nom_producto': 'COMISION VAOPE SEGUN CONTRATO', 'categoria_producto': 'consu', 'cantidad': '1.0', 'valor_unitario': 95.97, 'precio_unitario': 113.24, 'descuento': 0.0, 'subtotal': 95.97, 'porcentaje_de_igv': '18.00', 'igv': 17.27, 'total': 113.24, 'moneda': '1', 'tipo_de_cambio': 1.0, 'id_estado': 'not_paid', 'nombre_estado': 'Sin pagar', 'evento': {'id_evento': '', 'nom_evento': '', 'fecha_hora_ini_event': '', 'fecha_hora_fin_event': '', 'id_organizador': 1167, 'nom_organizador': 'JOHEL EDWIN RICALDI ARI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3"/>
    <x v="27"/>
    <x v="5"/>
    <x v="0"/>
    <n v="1"/>
    <n v="95.97"/>
    <n v="113.24"/>
    <n v="0"/>
    <n v="95.97"/>
    <n v="18"/>
    <n v="17.27"/>
    <n v="113.24"/>
    <n v="1"/>
    <n v="1"/>
    <x v="2"/>
    <x v="2"/>
    <x v="1"/>
    <s v="SAMUEL CHUQUISTA"/>
    <x v="0"/>
    <s v="7012100 MercaderÃ­as-Venta Local-Terceros"/>
    <x v="12"/>
    <x v="32"/>
    <m/>
    <m/>
    <m/>
    <x v="112"/>
    <s v="JOHEL EDWIN RICALDI ARIAS"/>
    <s v="Persona"/>
    <x v="528"/>
  </r>
  <r>
    <x v="3"/>
    <x v="382"/>
    <s v="COLABORATIVA S.A.C."/>
    <x v="26"/>
    <d v="2025-11-03T00:00:00"/>
    <x v="116"/>
    <m/>
    <n v="6"/>
    <n v="20526252200"/>
    <s v="[{'id_producto': 18622, 'codigo_producto': 877, 'nom_producto': 'COMISION PAGOS DIGITALES SEGUN CONTRATO', 'categoria_producto': 'consu', 'cantidad': '1.0', 'valor_unitario': 967.12, 'precio_unitario': 1141.2, 'descuento': 0.0, 'subtotal': 967.12, 'porcentaje_de_igv': '18.00', 'igv': 174.08, 'total': 1141.2, 'moneda': '1', 'tipo_de_cambio': 1.0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2"/>
    <x v="26"/>
    <x v="6"/>
    <x v="0"/>
    <n v="1"/>
    <n v="967.12"/>
    <n v="1141.2"/>
    <n v="0"/>
    <n v="967.12"/>
    <n v="18"/>
    <n v="174.08"/>
    <n v="1141.2"/>
    <n v="1"/>
    <n v="1"/>
    <x v="2"/>
    <x v="2"/>
    <x v="1"/>
    <s v="SAMUEL CHUQUISTA"/>
    <x v="0"/>
    <s v="7012100 MercaderÃ­as-Venta Local-Terceros"/>
    <x v="12"/>
    <x v="32"/>
    <m/>
    <m/>
    <m/>
    <x v="113"/>
    <s v="3A BUSINESS EMPRESA INDIVIDUAL DE RESPONSABILIDAD LIMITADA"/>
    <s v="Empresa"/>
    <x v="529"/>
  </r>
  <r>
    <x v="3"/>
    <x v="383"/>
    <s v="COLABORATIVA S.A.C."/>
    <x v="26"/>
    <d v="2025-11-03T00:00:00"/>
    <x v="116"/>
    <m/>
    <n v="6"/>
    <n v="20526252200"/>
    <s v="[{'id_producto': 18621, 'codigo_producto': 870, 'nom_producto': 'COMISION VAOPE SEGUN CONTRATO', 'categoria_producto': 'consu', 'cantidad': '1.0', 'valor_unitario': 777.2, 'precio_unitario': 917.1, 'descuento': 0.0, 'subtotal': 777.2, 'porcentaje_de_igv': '18.00', 'igv': 139.9, 'total': 917.1, 'moneda': '1', 'tipo_de_cambio': 1.0, 'id_estado': 'not_paid', 'nombre_estado': 'Sin pagar', 'evento': {'id_evento': '', 'nom_evento': '', 'fecha_hora_ini_event': '', 'fecha_hora_fin_event': '', 'id_organizador': 1134, 'nom_organizador': '3A BUSINESS EMPRESA INDIVIDUAL DE RESPONSABILIDAD LIMIT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1"/>
    <x v="27"/>
    <x v="5"/>
    <x v="0"/>
    <n v="1"/>
    <n v="777.2"/>
    <n v="917.1"/>
    <n v="0"/>
    <n v="777.2"/>
    <n v="18"/>
    <n v="139.9"/>
    <n v="917.1"/>
    <n v="1"/>
    <n v="1"/>
    <x v="2"/>
    <x v="2"/>
    <x v="1"/>
    <s v="SAMUEL CHUQUISTA"/>
    <x v="0"/>
    <s v="7012100 MercaderÃ­as-Venta Local-Terceros"/>
    <x v="12"/>
    <x v="32"/>
    <m/>
    <m/>
    <m/>
    <x v="113"/>
    <s v="3A BUSINESS EMPRESA INDIVIDUAL DE RESPONSABILIDAD LIMITADA"/>
    <s v="Empresa"/>
    <x v="530"/>
  </r>
  <r>
    <x v="3"/>
    <x v="384"/>
    <s v="COLABORATIVA S.A.C."/>
    <x v="26"/>
    <d v="2025-11-03T00:00:00"/>
    <x v="117"/>
    <m/>
    <n v="6"/>
    <n v="20611616261"/>
    <s v="[{'id_producto': 18620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20"/>
    <x v="40"/>
    <x v="19"/>
    <x v="0"/>
    <n v="1"/>
    <n v="2"/>
    <n v="2.36"/>
    <n v="0"/>
    <n v="2"/>
    <n v="18"/>
    <n v="0.36"/>
    <n v="2.36"/>
    <n v="1"/>
    <n v="1"/>
    <x v="2"/>
    <x v="2"/>
    <x v="1"/>
    <s v="SAMUEL CHUQUISTA"/>
    <x v="0"/>
    <s v="7012100 MercaderÃ­as-Venta Local-Terceros"/>
    <x v="12"/>
    <x v="32"/>
    <m/>
    <m/>
    <m/>
    <x v="114"/>
    <s v="JC SAN MARTIN EN SU SALSA E.I.R.L."/>
    <s v="Empresa"/>
    <x v="531"/>
  </r>
  <r>
    <x v="3"/>
    <x v="385"/>
    <s v="COLABORATIVA S.A.C."/>
    <x v="26"/>
    <d v="2025-11-03T00:00:00"/>
    <x v="117"/>
    <m/>
    <n v="6"/>
    <n v="20611616261"/>
    <s v="[{'id_producto': 18619, 'codigo_producto': 877, 'nom_producto': 'COMISION PAGOS DIGITALES SEGUN CONTRATO', 'categoria_producto': 'consu', 'cantidad': '1.0', 'valor_unitario': 276.53, 'precio_unitario': 326.3, 'descuento': 0.0, 'subtotal': 276.53, 'porcentaje_de_igv': '18.00', 'igv': 49.77, 'total': 326.3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19"/>
    <x v="26"/>
    <x v="6"/>
    <x v="0"/>
    <n v="1"/>
    <n v="276.52999999999997"/>
    <n v="326.3"/>
    <n v="0"/>
    <n v="276.52999999999997"/>
    <n v="18"/>
    <n v="49.77"/>
    <n v="326.3"/>
    <n v="1"/>
    <n v="1"/>
    <x v="2"/>
    <x v="2"/>
    <x v="1"/>
    <s v="SAMUEL CHUQUISTA"/>
    <x v="0"/>
    <s v="7012100 MercaderÃ­as-Venta Local-Terceros"/>
    <x v="12"/>
    <x v="32"/>
    <m/>
    <m/>
    <m/>
    <x v="114"/>
    <s v="JC SAN MARTIN EN SU SALSA E.I.R.L."/>
    <s v="Empresa"/>
    <x v="532"/>
  </r>
  <r>
    <x v="3"/>
    <x v="386"/>
    <s v="COLABORATIVA S.A.C."/>
    <x v="26"/>
    <d v="2025-11-03T00:00:00"/>
    <x v="117"/>
    <m/>
    <n v="6"/>
    <n v="20611616261"/>
    <s v="[{'id_producto': 18618, 'codigo_producto': 870, 'nom_producto': 'COMISION VAOPE SEGUN CONTRATO', 'categoria_producto': 'consu', 'cantidad': '1.0', 'valor_unitario': 177.63, 'precio_unitario': 209.6, 'descuento': 0.0, 'subtotal': 177.63, 'porcentaje_de_igv': '18.00', 'igv': 31.97, 'total': 209.6, 'moneda': '1', 'tipo_de_cambio': 1.0, 'id_estado': 'not_paid', 'nombre_estado': 'Sin pagar', 'evento': {'id_evento': '', 'nom_evento': '', 'fecha_hora_ini_event': '', 'fecha_hora_fin_event': '', 'id_organizador': 1133, 'nom_organizador': 'JC SAN MARTIN EN SU SALSA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8T00:00:00"/>
    <m/>
    <m/>
    <m/>
    <m/>
    <m/>
    <n v="18618"/>
    <x v="27"/>
    <x v="5"/>
    <x v="0"/>
    <n v="1"/>
    <n v="177.63"/>
    <n v="209.6"/>
    <n v="0"/>
    <n v="177.63"/>
    <n v="18"/>
    <n v="31.97"/>
    <n v="209.6"/>
    <n v="1"/>
    <n v="1"/>
    <x v="2"/>
    <x v="2"/>
    <x v="1"/>
    <s v="SAMUEL CHUQUISTA"/>
    <x v="0"/>
    <s v="7012100 MercaderÃ­as-Venta Local-Terceros"/>
    <x v="12"/>
    <x v="32"/>
    <m/>
    <m/>
    <m/>
    <x v="114"/>
    <s v="JC SAN MARTIN EN SU SALSA E.I.R.L."/>
    <s v="Empresa"/>
    <x v="533"/>
  </r>
  <r>
    <x v="2"/>
    <x v="387"/>
    <s v="COLABORATIVA S.A.C."/>
    <x v="26"/>
    <d v="2025-11-03T00:00:00"/>
    <x v="84"/>
    <m/>
    <n v="6"/>
    <n v="20611066971"/>
    <s v="[{'id_producto': 18617, 'codigo_producto': 946, 'nom_producto': 'ENTRADAS IMPRESAS FULL COLOR GENERALARMONIA 10 EN YAPATERA 22 DE ENE Y HUAMACHUCO 25 DE ENE BRAZALETES VIP Y PERSONAL DELIVERY', 'categoria_producto': 'consu', 'cantidad': '1.0', 'valor_unitario': 2080.0, 'precio_unitario': 2454.4, 'descuento': 0.0, 'subtotal': 2080.0, 'porcentaje_de_igv': '18.00', 'igv': 374.4, 'total': 2454.4, 'moneda': '1', 'tipo_de_cambio': 1.0, 'id_estado': 'not_paid', 'nombre_estado': 'Sin pagar', 'evento': {'id_evento': '', 'nom_evento': '', 'fecha_hora_ini_event': '', 'fecha_hora_fin_event': '', 'id_organizador': 1151, 'nom_organizador': 'PERUVIAN PRODUCTIONS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8T00:00:00"/>
    <m/>
    <m/>
    <m/>
    <m/>
    <m/>
    <n v="18617"/>
    <x v="79"/>
    <x v="72"/>
    <x v="0"/>
    <n v="1"/>
    <n v="2080"/>
    <n v="2454.4"/>
    <n v="0"/>
    <n v="2080"/>
    <n v="18"/>
    <n v="374.4"/>
    <n v="2454.4"/>
    <n v="1"/>
    <n v="1"/>
    <x v="2"/>
    <x v="2"/>
    <x v="1"/>
    <s v="SAMUEL CHUQUISTA"/>
    <x v="0"/>
    <s v="7012100 MercaderÃ­as-Venta Local-Terceros"/>
    <x v="11"/>
    <x v="32"/>
    <m/>
    <m/>
    <m/>
    <x v="79"/>
    <s v="PERUVIAN PRODUCTIONS SOCIEDAD ANONIMA CERRADA"/>
    <s v="Empresa"/>
    <x v="534"/>
  </r>
  <r>
    <x v="2"/>
    <x v="388"/>
    <s v="COLABORATIVA S.A.C."/>
    <x v="27"/>
    <d v="2025-11-03T00:00:00"/>
    <x v="0"/>
    <m/>
    <n v="6"/>
    <n v="20611018925"/>
    <s v="[{'id_producto': 18616, 'codigo_producto': 945, 'nom_producto': 'ENTRADAS IMPRESAS FULL COLOR GENERAL -CORAZON SERRANO CHANCAY - 2601 BRAZALETES VIP Y PERSONAL DELIVERY 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7T00:00:00"/>
    <m/>
    <m/>
    <m/>
    <m/>
    <m/>
    <n v="18616"/>
    <x v="80"/>
    <x v="73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535"/>
  </r>
  <r>
    <x v="2"/>
    <x v="389"/>
    <s v="COLABORATIVA S.A.C."/>
    <x v="28"/>
    <d v="2025-11-03T00:00:00"/>
    <x v="0"/>
    <m/>
    <n v="6"/>
    <n v="20611018925"/>
    <s v="[{'id_producto': 18615, 'codigo_producto': 944, 'nom_producto': 'ENTRADAS IMPRESAS FULL COLOR GENERAL -CORAZON SERRANO YAPATERA - 2401 Y PERSONAL DELIVERY', 'categoria_producto': 'consu', 'cantidad': '1.0', 'valor_unitario': 910.0, 'precio_unitario': 1073.8, 'descuento': 0.0, 'subtotal': 910.0, 'porcentaje_de_igv': '18.00', 'igv': 163.8, 'total': 1073.8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8615"/>
    <x v="81"/>
    <x v="74"/>
    <x v="0"/>
    <n v="1"/>
    <n v="910"/>
    <n v="1073.8"/>
    <n v="0"/>
    <n v="910"/>
    <n v="18"/>
    <n v="163.80000000000001"/>
    <n v="1073.8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536"/>
  </r>
  <r>
    <x v="4"/>
    <x v="390"/>
    <s v="COLABORATIVA S.A.C."/>
    <x v="28"/>
    <d v="2025-11-03T00:00:00"/>
    <x v="29"/>
    <m/>
    <n v="1"/>
    <n v="19941551"/>
    <s v="[{'id_producto': 18614, 'codigo_producto': 940, 'nom_producto': 'COMISION PAGOS DIGITALES SEGUN CONTRATO - EULALIA PEREZ', 'categoria_producto': 'consu', 'cantidad': '1.0', 'valor_unitario': 1181.29, 'precio_unitario': 1393.92, 'descuento': 0.0, 'subtotal': 1181.29, 'porcentaje_de_igv': '18.00', 'igv': 212.63, 'total': 1393.92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14"/>
    <x v="30"/>
    <x v="26"/>
    <x v="0"/>
    <n v="1"/>
    <n v="1181.29"/>
    <n v="1393.92"/>
    <n v="0"/>
    <n v="1181.29"/>
    <n v="18"/>
    <n v="212.63"/>
    <n v="1393.92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37"/>
  </r>
  <r>
    <x v="4"/>
    <x v="391"/>
    <s v="COLABORATIVA S.A.C."/>
    <x v="28"/>
    <d v="2025-11-03T00:00:00"/>
    <x v="29"/>
    <m/>
    <n v="1"/>
    <n v="19941551"/>
    <s v="[{'id_producto': 18613, 'codigo_producto': 939, 'nom_producto': 'COMISION VAOPE SEGUN CONTRATO - EULALIA PEREZ', 'categoria_producto': 'consu', 'cantidad': '1.0', 'valor_unitario': 1028.46, 'precio_unitario': 1213.58, 'descuento': 0.0, 'subtotal': 1028.46, 'porcentaje_de_igv': '18.00', 'igv': 185.12, 'total': 1213.58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13"/>
    <x v="82"/>
    <x v="75"/>
    <x v="0"/>
    <n v="1"/>
    <n v="1028.46"/>
    <n v="1213.58"/>
    <n v="0"/>
    <n v="1028.46"/>
    <n v="18"/>
    <n v="185.12"/>
    <n v="1213.58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38"/>
  </r>
  <r>
    <x v="4"/>
    <x v="392"/>
    <s v="COLABORATIVA S.A.C."/>
    <x v="28"/>
    <d v="2025-11-03T00:00:00"/>
    <x v="28"/>
    <m/>
    <n v="1"/>
    <n v="19889371"/>
    <s v="[{'id_producto': 18612, 'codigo_producto': 942, 'nom_producto': 'COMISION PAGOS DIGITALES SEGUN CONTRATO - JULIO MACHA', 'categoria_producto': 'consu', 'cantidad': '1.0', 'valor_unitario': 602.7, 'precio_unitario': 711.19, 'descuento': 0.0, 'subtotal': 602.7, 'porcentaje_de_igv': '18.00', 'igv': 108.49, 'total': 711.19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12"/>
    <x v="83"/>
    <x v="76"/>
    <x v="0"/>
    <n v="1"/>
    <n v="602.70000000000005"/>
    <n v="711.19"/>
    <n v="0"/>
    <n v="602.70000000000005"/>
    <n v="18"/>
    <n v="108.49"/>
    <n v="711.19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39"/>
  </r>
  <r>
    <x v="4"/>
    <x v="393"/>
    <s v="COLABORATIVA S.A.C."/>
    <x v="28"/>
    <d v="2025-11-03T00:00:00"/>
    <x v="28"/>
    <m/>
    <n v="1"/>
    <n v="19889371"/>
    <s v="[{'id_producto': 18611, 'codigo_producto': 937, 'nom_producto': 'COMISION VAOPE SEGUN CONTRATO - JULIO MACHA', 'categoria_producto': 'consu', 'cantidad': '1.0', 'valor_unitario': 524.72, 'precio_unitario': 619.17, 'descuento': 0.0, 'subtotal': 524.72, 'porcentaje_de_igv': '18.00', 'igv': 94.45, 'total': 619.17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11"/>
    <x v="34"/>
    <x v="30"/>
    <x v="0"/>
    <n v="1"/>
    <n v="524.72"/>
    <n v="619.16999999999996"/>
    <n v="0"/>
    <n v="524.72"/>
    <n v="18"/>
    <n v="94.45"/>
    <n v="619.16999999999996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40"/>
  </r>
  <r>
    <x v="4"/>
    <x v="394"/>
    <s v="COLABORATIVA S.A.C."/>
    <x v="28"/>
    <d v="2025-11-03T00:00:00"/>
    <x v="89"/>
    <m/>
    <n v="1"/>
    <n v="76561182"/>
    <s v="[{'id_producto': 18610, 'codigo_producto': 936, 'nom_producto': 'COMISION PAGOS DIGITALES SEGUN CONTRATO - YARIT ALANYA', 'categoria_producto': 'consu', 'cantidad': '1.0', 'valor_unitario': 602.7, 'precio_unitario': 711.19, 'descuento': 0.0, 'subtotal': 602.7, 'porcentaje_de_igv': '18.00', 'igv': 108.49, 'total': 711.19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10"/>
    <x v="36"/>
    <x v="32"/>
    <x v="0"/>
    <n v="1"/>
    <n v="602.70000000000005"/>
    <n v="711.19"/>
    <n v="0"/>
    <n v="602.70000000000005"/>
    <n v="18"/>
    <n v="108.49"/>
    <n v="711.19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41"/>
  </r>
  <r>
    <x v="4"/>
    <x v="395"/>
    <s v="COLABORATIVA S.A.C."/>
    <x v="28"/>
    <d v="2025-11-03T00:00:00"/>
    <x v="89"/>
    <m/>
    <n v="1"/>
    <n v="76561182"/>
    <s v="[{'id_producto': 18609, 'codigo_producto': 935, 'nom_producto': 'COMISION VAOPE SEGUN CONTRATO - YARIT ALANYA', 'categoria_producto': 'consu', 'cantidad': '1.0', 'valor_unitario': 524.72, 'precio_unitario': 619.17, 'descuento': 0.0, 'subtotal': 524.72, 'porcentaje_de_igv': '18.00', 'igv': 94.45, 'total': 619.17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9"/>
    <x v="37"/>
    <x v="33"/>
    <x v="0"/>
    <n v="1"/>
    <n v="524.72"/>
    <n v="619.16999999999996"/>
    <n v="0"/>
    <n v="524.72"/>
    <n v="18"/>
    <n v="94.45"/>
    <n v="619.16999999999996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42"/>
  </r>
  <r>
    <x v="4"/>
    <x v="396"/>
    <s v="COLABORATIVA S.A.C."/>
    <x v="28"/>
    <d v="2025-11-03T00:00:00"/>
    <x v="30"/>
    <s v="Cliente"/>
    <n v="1"/>
    <n v="73241854"/>
    <s v="[{'id_producto': 18608, 'codigo_producto': 934, 'nom_producto': 'COMISION PAGOS DIGITALES SEGUN CONTRATO - PIERO MACHA', 'categoria_producto': 'consu', 'cantidad': '1.0', 'valor_unitario': 24.11, 'precio_unitario': 28.45, 'descuento': 0.0, 'subtotal': 24.11, 'porcentaje_de_igv': '18.00', 'igv': 4.34, 'total': 28.45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8"/>
    <x v="43"/>
    <x v="38"/>
    <x v="0"/>
    <n v="1"/>
    <n v="24.11"/>
    <n v="28.45"/>
    <n v="0"/>
    <n v="24.11"/>
    <n v="18"/>
    <n v="4.34"/>
    <n v="28.45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43"/>
  </r>
  <r>
    <x v="4"/>
    <x v="397"/>
    <s v="COLABORATIVA S.A.C."/>
    <x v="28"/>
    <d v="2025-11-03T00:00:00"/>
    <x v="30"/>
    <s v="Cliente"/>
    <n v="1"/>
    <n v="73241854"/>
    <s v="[{'id_producto': 18607, 'codigo_producto': 943, 'nom_producto': 'COMISION VAOPE SEGUN CONTRATO - PIERO MACHA ', 'categoria_producto': 'consu', 'cantidad': '1.0', 'valor_unitario': 20.99, 'precio_unitario': 24.77, 'descuento': 0.0, 'subtotal': 20.99, 'porcentaje_de_igv': '18.00', 'igv': 3.78, 'total': 24.77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7"/>
    <x v="84"/>
    <x v="77"/>
    <x v="0"/>
    <n v="1"/>
    <n v="20.99"/>
    <n v="24.77"/>
    <n v="0"/>
    <n v="20.99"/>
    <n v="18"/>
    <n v="3.78"/>
    <n v="24.77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44"/>
  </r>
  <r>
    <x v="4"/>
    <x v="398"/>
    <s v="COLABORATIVA S.A.C."/>
    <x v="28"/>
    <d v="2025-11-03T00:00:00"/>
    <x v="29"/>
    <m/>
    <n v="1"/>
    <n v="19941551"/>
    <s v="[{'id_producto': 18606, 'codigo_producto': 940, 'nom_producto': 'COMISION PAGOS DIGITALES SEGUN CONTRATO - EULALIA PEREZ', 'categoria_producto': 'consu', 'cantidad': '1.0', 'valor_unitario': 1029.36, 'precio_unitario': 1214.64, 'descuento': 0.0, 'subtotal': 1029.36, 'porcentaje_de_igv': '18.00', 'igv': 185.28, 'total': 1214.64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6"/>
    <x v="30"/>
    <x v="26"/>
    <x v="0"/>
    <n v="1"/>
    <n v="1029.3599999999999"/>
    <n v="1214.6400000000001"/>
    <n v="0"/>
    <n v="1029.3599999999999"/>
    <n v="18"/>
    <n v="185.28"/>
    <n v="1214.6400000000001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45"/>
  </r>
  <r>
    <x v="4"/>
    <x v="399"/>
    <s v="COLABORATIVA S.A.C."/>
    <x v="28"/>
    <d v="2025-11-03T00:00:00"/>
    <x v="29"/>
    <m/>
    <n v="1"/>
    <n v="19941551"/>
    <s v="[{'id_producto': 18605, 'codigo_producto': 939, 'nom_producto': 'COMISION VAOPE SEGUN CONTRATO - EULALIA PEREZ', 'categoria_producto': 'consu', 'cantidad': '1.0', 'valor_unitario': 886.52, 'precio_unitario': 1046.09, 'descuento': 0.0, 'subtotal': 886.52, 'porcentaje_de_igv': '18.00', 'igv': 159.57, 'total': 1046.09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5"/>
    <x v="82"/>
    <x v="75"/>
    <x v="0"/>
    <n v="1"/>
    <n v="886.52"/>
    <n v="1046.0899999999999"/>
    <n v="0"/>
    <n v="886.52"/>
    <n v="18"/>
    <n v="159.57"/>
    <n v="1046.0899999999999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46"/>
  </r>
  <r>
    <x v="4"/>
    <x v="400"/>
    <s v="COLABORATIVA S.A.C."/>
    <x v="28"/>
    <d v="2025-11-03T00:00:00"/>
    <x v="28"/>
    <m/>
    <n v="1"/>
    <n v="19889371"/>
    <s v="[{'id_producto': 18604, 'codigo_producto': 942, 'nom_producto': 'COMISION PAGOS DIGITALES SEGUN CONTRATO - JULIO MACHA', 'categoria_producto': 'consu', 'cantidad': '1.0', 'valor_unitario': 525.18, 'precio_unitario': 619.71, 'descuento': 0.0, 'subtotal': 525.18, 'porcentaje_de_igv': '18.00', 'igv': 94.53, 'total': 619.71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4"/>
    <x v="83"/>
    <x v="76"/>
    <x v="0"/>
    <n v="1"/>
    <n v="525.17999999999995"/>
    <n v="619.71"/>
    <n v="0"/>
    <n v="525.17999999999995"/>
    <n v="18"/>
    <n v="94.53"/>
    <n v="619.71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47"/>
  </r>
  <r>
    <x v="4"/>
    <x v="401"/>
    <s v="COLABORATIVA S.A.C."/>
    <x v="28"/>
    <d v="2025-11-03T00:00:00"/>
    <x v="28"/>
    <m/>
    <n v="1"/>
    <n v="19889371"/>
    <s v="[{'id_producto': 18603, 'codigo_producto': 937, 'nom_producto': 'COMISION VAOPE SEGUN CONTRATO - JULIO MACHA', 'categoria_producto': 'consu', 'cantidad': '1.0', 'valor_unitario': 452.31, 'precio_unitario': 533.72, 'descuento': 0.0, 'subtotal': 452.31, 'porcentaje_de_igv': '18.00', 'igv': 81.41, 'total': 533.72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3"/>
    <x v="34"/>
    <x v="30"/>
    <x v="0"/>
    <n v="1"/>
    <n v="452.31"/>
    <n v="533.72"/>
    <n v="0"/>
    <n v="452.31"/>
    <n v="18"/>
    <n v="81.41"/>
    <n v="533.72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48"/>
  </r>
  <r>
    <x v="4"/>
    <x v="402"/>
    <s v="COLABORATIVA S.A.C."/>
    <x v="28"/>
    <d v="2025-11-03T00:00:00"/>
    <x v="89"/>
    <m/>
    <n v="1"/>
    <n v="76561182"/>
    <s v="[{'id_producto': 18602, 'codigo_producto': 941, 'nom_producto': 'COMISION PAGOS DIGITALES SEGUN CONTRATO - YARIT ALANYA ', 'categoria_producto': 'consu', 'cantidad': '1.0', 'valor_unitario': 525.18, 'precio_unitario': 619.71, 'descuento': 0.0, 'subtotal': 525.18, 'porcentaje_de_igv': '18.00', 'igv': 94.53, 'total': 619.71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2"/>
    <x v="85"/>
    <x v="78"/>
    <x v="0"/>
    <n v="1"/>
    <n v="525.17999999999995"/>
    <n v="619.71"/>
    <n v="0"/>
    <n v="525.17999999999995"/>
    <n v="18"/>
    <n v="94.53"/>
    <n v="619.71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49"/>
  </r>
  <r>
    <x v="4"/>
    <x v="403"/>
    <s v="COLABORATIVA S.A.C."/>
    <x v="28"/>
    <d v="2025-11-03T00:00:00"/>
    <x v="89"/>
    <m/>
    <n v="1"/>
    <n v="76561182"/>
    <s v="[{'id_producto': 18601, 'codigo_producto': 935, 'nom_producto': 'COMISION VAOPE SEGUN CONTRATO - YARIT ALANYA', 'categoria_producto': 'consu', 'cantidad': '1.0', 'valor_unitario': 452.31, 'precio_unitario': 533.72, 'descuento': 0.0, 'subtotal': 452.31, 'porcentaje_de_igv': '18.00', 'igv': 81.41, 'total': 533.72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8601"/>
    <x v="37"/>
    <x v="33"/>
    <x v="0"/>
    <n v="1"/>
    <n v="452.31"/>
    <n v="533.72"/>
    <n v="0"/>
    <n v="452.31"/>
    <n v="18"/>
    <n v="81.41"/>
    <n v="533.72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50"/>
  </r>
  <r>
    <x v="4"/>
    <x v="404"/>
    <s v="COLABORATIVA S.A.C."/>
    <x v="28"/>
    <d v="2025-11-03T00:00:00"/>
    <x v="30"/>
    <s v="Cliente"/>
    <n v="1"/>
    <n v="73241854"/>
    <s v="[{'id_producto': 17844, 'codigo_producto': 934, 'nom_producto': 'COMISION PAGOS DIGITALES SEGUN CONTRATO - PIERO MACHA', 'categoria_producto': 'consu', 'cantidad': '1.0', 'valor_unitario': 21.01, 'precio_unitario': 24.79, 'descuento': 0.0, 'subtotal': 21.01, 'porcentaje_de_igv': '18.00', 'igv': 3.78, 'total': 24.79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44"/>
    <x v="43"/>
    <x v="38"/>
    <x v="0"/>
    <n v="1"/>
    <n v="21.01"/>
    <n v="24.79"/>
    <n v="0"/>
    <n v="21.01"/>
    <n v="18"/>
    <n v="3.78"/>
    <n v="24.79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51"/>
  </r>
  <r>
    <x v="4"/>
    <x v="405"/>
    <s v="COLABORATIVA S.A.C."/>
    <x v="28"/>
    <d v="2025-11-03T00:00:00"/>
    <x v="30"/>
    <s v="Cliente"/>
    <n v="1"/>
    <n v="73241854"/>
    <s v="[{'id_producto': 17843, 'codigo_producto': 933, 'nom_producto': 'COMISION VAOPE SEGUN CONTRATO - PIERO MACHA', 'categoria_producto': 'consu', 'cantidad': '1.0', 'valor_unitario': 18.09, 'precio_unitario': 21.35, 'descuento': 0.0, 'subtotal': 18.09, 'porcentaje_de_igv': '18.00', 'igv': 3.26, 'total': 21.35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43"/>
    <x v="44"/>
    <x v="39"/>
    <x v="0"/>
    <n v="1"/>
    <n v="18.09"/>
    <n v="21.35"/>
    <n v="0"/>
    <n v="18.09"/>
    <n v="18"/>
    <n v="3.26"/>
    <n v="21.35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52"/>
  </r>
  <r>
    <x v="4"/>
    <x v="406"/>
    <s v="COLABORATIVA S.A.C."/>
    <x v="28"/>
    <d v="2025-11-03T00:00:00"/>
    <x v="29"/>
    <m/>
    <n v="1"/>
    <n v="19941551"/>
    <s v="[{'id_producto': 17842, 'codigo_producto': 940, 'nom_producto': 'COMISION PAGOS DIGITALES SEGUN CONTRATO - EULALIA PEREZ', 'categoria_producto': 'consu', 'cantidad': '1.0', 'valor_unitario': 293.38, 'precio_unitario': 346.19, 'descuento': 0.0, 'subtotal': 293.38, 'porcentaje_de_igv': '18.00', 'igv': 52.81, 'total': 346.19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42"/>
    <x v="30"/>
    <x v="26"/>
    <x v="0"/>
    <n v="1"/>
    <n v="293.38"/>
    <n v="346.19"/>
    <n v="0"/>
    <n v="293.38"/>
    <n v="18"/>
    <n v="52.81"/>
    <n v="346.19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53"/>
  </r>
  <r>
    <x v="4"/>
    <x v="407"/>
    <s v="COLABORATIVA S.A.C."/>
    <x v="28"/>
    <d v="2025-11-03T00:00:00"/>
    <x v="29"/>
    <m/>
    <n v="1"/>
    <n v="19941551"/>
    <s v="[{'id_producto': 17841, 'codigo_producto': 939, 'nom_producto': 'COMISION VAOPE SEGUN CONTRATO - EULALIA PEREZ', 'categoria_producto': 'consu', 'cantidad': '1.0', 'valor_unitario': 248.53, 'precio_unitario': 293.26, 'descuento': 0.0, 'subtotal': 248.53, 'porcentaje_de_igv': '18.00', 'igv': 44.73, 'total': 293.26, 'moneda': '1', 'tipo_de_cambio': 1.0, 'id_estado': 'not_paid', 'nombre_estado': 'Sin pagar', 'evento': {'id_evento': '', 'nom_evento': '', 'fecha_hora_ini_event': '', 'fecha_hora_fin_event': '', 'id_organizador': 1166, 'nom_organizador': 'EULALIA GAUDENCIA PEREZ CARHUAMAC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41"/>
    <x v="82"/>
    <x v="75"/>
    <x v="0"/>
    <n v="1"/>
    <n v="248.53"/>
    <n v="293.26"/>
    <n v="0"/>
    <n v="248.53"/>
    <n v="18"/>
    <n v="44.73"/>
    <n v="293.26"/>
    <n v="1"/>
    <n v="1"/>
    <x v="2"/>
    <x v="2"/>
    <x v="1"/>
    <s v="SAMUEL CHUQUISTA"/>
    <x v="0"/>
    <s v="7012100 MercaderÃ­as-Venta Local-Terceros"/>
    <x v="12"/>
    <x v="32"/>
    <m/>
    <m/>
    <m/>
    <x v="84"/>
    <s v="EULALIA GAUDENCIA PEREZ CARHUAMACA"/>
    <s v="Persona"/>
    <x v="554"/>
  </r>
  <r>
    <x v="4"/>
    <x v="408"/>
    <s v="COLABORATIVA S.A.C."/>
    <x v="28"/>
    <d v="2025-11-03T00:00:00"/>
    <x v="28"/>
    <m/>
    <n v="1"/>
    <n v="19889371"/>
    <s v="[{'id_producto': 17840, 'codigo_producto': 938, 'nom_producto': 'COMISION PAGOS DIGITALES SEGUN CONTRATO - JULIO MACHA ', 'categoria_producto': 'consu', 'cantidad': '1.0', 'valor_unitario': 149.69, 'precio_unitario': 176.63, 'descuento': 0.0, 'subtotal': 149.69, 'porcentaje_de_igv': '18.00', 'igv': 26.94, 'total': 176.63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40"/>
    <x v="33"/>
    <x v="29"/>
    <x v="0"/>
    <n v="1"/>
    <n v="149.69"/>
    <n v="176.63"/>
    <n v="0"/>
    <n v="149.69"/>
    <n v="18"/>
    <n v="26.94"/>
    <n v="176.63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55"/>
  </r>
  <r>
    <x v="4"/>
    <x v="409"/>
    <s v="COLABORATIVA S.A.C."/>
    <x v="28"/>
    <d v="2025-11-03T00:00:00"/>
    <x v="28"/>
    <m/>
    <n v="1"/>
    <n v="19889371"/>
    <s v="[{'id_producto': 17839, 'codigo_producto': 937, 'nom_producto': 'COMISION VAOPE SEGUN CONTRATO - JULIO MACHA', 'categoria_producto': 'consu', 'cantidad': '1.0', 'valor_unitario': 126.8, 'precio_unitario': 149.62, 'descuento': 0.0, 'subtotal': 126.8, 'porcentaje_de_igv': '18.00', 'igv': 22.82, 'total': 149.62, 'moneda': '1', 'tipo_de_cambio': 1.0, 'id_estado': 'not_paid', 'nombre_estado': 'Sin pagar', 'evento': {'id_evento': '', 'nom_evento': '', 'fecha_hora_ini_event': '', 'fecha_hora_fin_event': '', 'id_organizador': 1165, 'nom_organizador': 'JULIO MACHA MUNIV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9"/>
    <x v="34"/>
    <x v="30"/>
    <x v="0"/>
    <n v="1"/>
    <n v="126.8"/>
    <n v="149.62"/>
    <n v="0"/>
    <n v="126.8"/>
    <n v="18"/>
    <n v="22.82"/>
    <n v="149.62"/>
    <n v="1"/>
    <n v="1"/>
    <x v="2"/>
    <x v="2"/>
    <x v="1"/>
    <s v="SAMUEL CHUQUISTA"/>
    <x v="0"/>
    <s v="7012100 MercaderÃ­as-Venta Local-Terceros"/>
    <x v="12"/>
    <x v="32"/>
    <m/>
    <m/>
    <m/>
    <x v="85"/>
    <s v="JULIO MACHA MUNIVE"/>
    <s v="Persona"/>
    <x v="556"/>
  </r>
  <r>
    <x v="4"/>
    <x v="410"/>
    <s v="COLABORATIVA S.A.C."/>
    <x v="28"/>
    <d v="2025-11-03T00:00:00"/>
    <x v="89"/>
    <m/>
    <n v="1"/>
    <n v="76561182"/>
    <s v="[{'id_producto': 17838, 'codigo_producto': 936, 'nom_producto': 'COMISION PAGOS DIGITALES SEGUN CONTRATO - YARIT ALANYA', 'categoria_producto': 'consu', 'cantidad': '1.0', 'valor_unitario': 149.69, 'precio_unitario': 176.63, 'descuento': 0.0, 'subtotal': 149.69, 'porcentaje_de_igv': '18.00', 'igv': 26.94, 'total': 176.63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8"/>
    <x v="36"/>
    <x v="32"/>
    <x v="0"/>
    <n v="1"/>
    <n v="149.69"/>
    <n v="176.63"/>
    <n v="0"/>
    <n v="149.69"/>
    <n v="18"/>
    <n v="26.94"/>
    <n v="176.63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57"/>
  </r>
  <r>
    <x v="4"/>
    <x v="411"/>
    <s v="COLABORATIVA S.A.C."/>
    <x v="28"/>
    <d v="2025-11-03T00:00:00"/>
    <x v="89"/>
    <m/>
    <n v="1"/>
    <n v="76561182"/>
    <s v="[{'id_producto': 17837, 'codigo_producto': 935, 'nom_producto': 'COMISION VAOPE SEGUN CONTRATO - YARIT ALANYA', 'categoria_producto': 'consu', 'cantidad': '1.0', 'valor_unitario': 126.8, 'precio_unitario': 149.62, 'descuento': 0.0, 'subtotal': 126.8, 'porcentaje_de_igv': '18.00', 'igv': 22.82, 'total': 149.62, 'moneda': '1', 'tipo_de_cambio': 1.0, 'id_estado': 'not_paid', 'nombre_estado': 'Sin pagar', 'evento': {'id_evento': '', 'nom_evento': '', 'fecha_hora_ini_event': '', 'fecha_hora_fin_event': '', 'id_organizador': 1164, 'nom_organizador': 'YARIT ZARI ALANYA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7"/>
    <x v="37"/>
    <x v="33"/>
    <x v="0"/>
    <n v="1"/>
    <n v="126.8"/>
    <n v="149.62"/>
    <n v="0"/>
    <n v="126.8"/>
    <n v="18"/>
    <n v="22.82"/>
    <n v="149.62"/>
    <n v="1"/>
    <n v="1"/>
    <x v="2"/>
    <x v="2"/>
    <x v="1"/>
    <s v="SAMUEL CHUQUISTA"/>
    <x v="0"/>
    <s v="7012100 MercaderÃ­as-Venta Local-Terceros"/>
    <x v="12"/>
    <x v="32"/>
    <m/>
    <m/>
    <m/>
    <x v="86"/>
    <s v="YARIT ZARI ALANYA PEREZ"/>
    <s v="Persona"/>
    <x v="558"/>
  </r>
  <r>
    <x v="4"/>
    <x v="412"/>
    <s v="COLABORATIVA S.A.C."/>
    <x v="28"/>
    <d v="2025-11-03T00:00:00"/>
    <x v="30"/>
    <s v="Cliente"/>
    <n v="1"/>
    <n v="73241854"/>
    <s v="[{'id_producto': 17836, 'codigo_producto': 934, 'nom_producto': 'COMISION PAGOS DIGITALES SEGUN CONTRATO - PIERO MACHA', 'categoria_producto': 'consu', 'cantidad': '1.0', 'valor_unitario': 5.99, 'precio_unitario': 7.07, 'descuento': 0.0, 'subtotal': 5.99, 'porcentaje_de_igv': '18.00', 'igv': 1.08, 'total': 7.07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6"/>
    <x v="43"/>
    <x v="38"/>
    <x v="0"/>
    <n v="1"/>
    <n v="5.99"/>
    <n v="7.07"/>
    <n v="0"/>
    <n v="5.99"/>
    <n v="18"/>
    <n v="1.08"/>
    <n v="7.07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59"/>
  </r>
  <r>
    <x v="4"/>
    <x v="413"/>
    <s v="COLABORATIVA S.A.C."/>
    <x v="28"/>
    <d v="2025-11-03T00:00:00"/>
    <x v="30"/>
    <s v="Cliente"/>
    <n v="1"/>
    <n v="73241854"/>
    <s v="[{'id_producto': 17835, 'codigo_producto': 933, 'nom_producto': 'COMISION VAOPE SEGUN CONTRATO - PIERO MACHA', 'categoria_producto': 'consu', 'cantidad': '1.0', 'valor_unitario': 5.07, 'precio_unitario': 5.98, 'descuento': 0.0, 'subtotal': 5.07, 'porcentaje_de_igv': '18.00', 'igv': 0.91, 'total': 5.98, 'moneda': '1', 'tipo_de_cambio': 1.0, 'id_estado': 'not_paid', 'nombre_estado': 'Sin pagar', 'evento': {'id_evento': '', 'nom_evento': '', 'fecha_hora_ini_event': '', 'fecha_hora_fin_event': '', 'id_organizador': 418, 'nom_organizador': 'Piero Macha PÃ©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5"/>
    <x v="44"/>
    <x v="39"/>
    <x v="0"/>
    <n v="1"/>
    <n v="5.07"/>
    <n v="5.98"/>
    <n v="0"/>
    <n v="5.07"/>
    <n v="18"/>
    <n v="0.91"/>
    <n v="5.98"/>
    <n v="1"/>
    <n v="1"/>
    <x v="2"/>
    <x v="2"/>
    <x v="1"/>
    <s v="SAMUEL CHUQUISTA"/>
    <x v="0"/>
    <s v="7012100 MercaderÃ­as-Venta Local-Terceros"/>
    <x v="12"/>
    <x v="32"/>
    <m/>
    <m/>
    <m/>
    <x v="29"/>
    <s v="Piero Macha PÃ©rez"/>
    <s v="Persona"/>
    <x v="560"/>
  </r>
  <r>
    <x v="3"/>
    <x v="414"/>
    <s v="COLABORATIVA S.A.C."/>
    <x v="28"/>
    <d v="2025-11-03T00:00:00"/>
    <x v="118"/>
    <m/>
    <n v="6"/>
    <n v="20612849251"/>
    <s v="[{'id_producto': 17834, 'codigo_producto': 874, 'nom_producto': 'COMISION CORTESIA', 'categoria_producto': 'consu', 'cantidad': '1.0', 'valor_unitario': 25.35, 'precio_unitario': 29.91, 'descuento': 0.0, 'subtotal': 25.35, 'porcentaje_de_igv': '18.00', 'igv': 4.56, 'total': 29.91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4"/>
    <x v="40"/>
    <x v="19"/>
    <x v="0"/>
    <n v="1"/>
    <n v="25.35"/>
    <n v="29.91"/>
    <n v="0"/>
    <n v="25.35"/>
    <n v="18"/>
    <n v="4.5599999999999996"/>
    <n v="29.91"/>
    <n v="1"/>
    <n v="1"/>
    <x v="2"/>
    <x v="2"/>
    <x v="1"/>
    <s v="SAMUEL CHUQUISTA"/>
    <x v="0"/>
    <s v="7012100 MercaderÃ­as-Venta Local-Terceros"/>
    <x v="12"/>
    <x v="32"/>
    <m/>
    <m/>
    <m/>
    <x v="115"/>
    <s v="JESSMIR PRODUCCIONES S.A.C."/>
    <s v="Empresa"/>
    <x v="561"/>
  </r>
  <r>
    <x v="3"/>
    <x v="415"/>
    <s v="COLABORATIVA S.A.C."/>
    <x v="28"/>
    <d v="2025-11-03T00:00:00"/>
    <x v="118"/>
    <m/>
    <n v="6"/>
    <n v="20612849251"/>
    <s v="[{'id_producto': 17833, 'codigo_producto': 932, 'nom_producto': 'FEE ADMINISTRATIVO - Fee por adelanto a agua marina 2 Inc IGV 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7833"/>
    <x v="86"/>
    <x v="79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115"/>
    <s v="JESSMIR PRODUCCIONES S.A.C."/>
    <s v="Empresa"/>
    <x v="562"/>
  </r>
  <r>
    <x v="3"/>
    <x v="416"/>
    <s v="COLABORATIVA S.A.C."/>
    <x v="28"/>
    <d v="2025-11-03T00:00:00"/>
    <x v="118"/>
    <m/>
    <n v="6"/>
    <n v="20612849251"/>
    <s v="[{'id_producto': 17832, 'codigo_producto': 931, 'nom_producto': 'FEE ADMINISTRATIVO - Fee por adelanto a agua marina Inc IGV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23T00:00:00"/>
    <m/>
    <m/>
    <m/>
    <m/>
    <m/>
    <n v="17832"/>
    <x v="87"/>
    <x v="80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115"/>
    <s v="JESSMIR PRODUCCIONES S.A.C."/>
    <s v="Empresa"/>
    <x v="563"/>
  </r>
  <r>
    <x v="3"/>
    <x v="417"/>
    <s v="COLABORATIVA S.A.C."/>
    <x v="28"/>
    <d v="2025-11-03T00:00:00"/>
    <x v="118"/>
    <m/>
    <n v="6"/>
    <n v="20612849251"/>
    <s v="[{'id_producto': 17831, 'codigo_producto': 877, 'nom_producto': 'COMISION PAGOS DIGITALES SEGUN CONTRATO', 'categoria_producto': 'consu', 'cantidad': '1.0', 'valor_unitario': 6508.39, 'precio_unitario': 7679.9, 'descuento': 0.0, 'subtotal': 6508.39, 'porcentaje_de_igv': '18.00', 'igv': 1171.51, 'total': 7679.9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1"/>
    <x v="26"/>
    <x v="6"/>
    <x v="0"/>
    <n v="1"/>
    <n v="6508.39"/>
    <n v="7679.9"/>
    <n v="0"/>
    <n v="6508.39"/>
    <n v="18"/>
    <n v="1171.51"/>
    <n v="7679.9"/>
    <n v="1"/>
    <n v="1"/>
    <x v="2"/>
    <x v="2"/>
    <x v="1"/>
    <s v="SAMUEL CHUQUISTA"/>
    <x v="0"/>
    <s v="7012100 MercaderÃ­as-Venta Local-Terceros"/>
    <x v="12"/>
    <x v="32"/>
    <m/>
    <m/>
    <m/>
    <x v="115"/>
    <s v="JESSMIR PRODUCCIONES S.A.C."/>
    <s v="Empresa"/>
    <x v="564"/>
  </r>
  <r>
    <x v="3"/>
    <x v="418"/>
    <s v="COLABORATIVA S.A.C."/>
    <x v="28"/>
    <d v="2025-11-03T00:00:00"/>
    <x v="118"/>
    <m/>
    <n v="6"/>
    <n v="20612849251"/>
    <s v="[{'id_producto': 17830, 'codigo_producto': 870, 'nom_producto': 'COMISION VAOPE SEGUN CONTRATO', 'categoria_producto': 'consu', 'cantidad': '1.0', 'valor_unitario': 5640.85, 'precio_unitario': 6656.2, 'descuento': 0.0, 'subtotal': 5640.85, 'porcentaje_de_igv': '18.00', 'igv': 1015.35, 'total': 6656.2, 'moneda': '1', 'tipo_de_cambio': 1.0, 'id_estado': 'not_paid', 'nombre_estado': 'Sin pagar', 'evento': {'id_evento': '', 'nom_evento': '', 'fecha_hora_ini_event': '', 'fecha_hora_fin_event': '', 'id_organizador': 1132, 'nom_organizador': 'JESSMIR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30"/>
    <x v="27"/>
    <x v="5"/>
    <x v="0"/>
    <n v="1"/>
    <n v="5640.85"/>
    <n v="6656.2"/>
    <n v="0"/>
    <n v="5640.85"/>
    <n v="18"/>
    <n v="1015.35"/>
    <n v="6656.2"/>
    <n v="1"/>
    <n v="1"/>
    <x v="2"/>
    <x v="2"/>
    <x v="1"/>
    <s v="SAMUEL CHUQUISTA"/>
    <x v="0"/>
    <s v="7012100 MercaderÃ­as-Venta Local-Terceros"/>
    <x v="12"/>
    <x v="32"/>
    <m/>
    <m/>
    <m/>
    <x v="115"/>
    <s v="JESSMIR PRODUCCIONES S.A.C."/>
    <s v="Empresa"/>
    <x v="565"/>
  </r>
  <r>
    <x v="3"/>
    <x v="419"/>
    <s v="COLABORATIVA S.A.C."/>
    <x v="28"/>
    <d v="2025-11-03T00:00:00"/>
    <x v="88"/>
    <s v="Cliente"/>
    <n v="6"/>
    <n v="20602855733"/>
    <s v="[{'id_producto': 17829, 'codigo_producto': 877, 'nom_producto': 'COMISION PAGOS DIGITALES SEGUN CONTRATO', 'categoria_producto': 'consu', 'cantidad': '1.0', 'valor_unitario': 170.0, 'precio_unitario': 200.6, 'descuento': 0.0, 'subtotal': 170.0, 'porcentaje_de_igv': '18.00', 'igv': 30.6, 'total': 200.6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9"/>
    <x v="26"/>
    <x v="6"/>
    <x v="0"/>
    <n v="1"/>
    <n v="170"/>
    <n v="200.6"/>
    <n v="0"/>
    <n v="170"/>
    <n v="18"/>
    <n v="30.6"/>
    <n v="200.6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566"/>
  </r>
  <r>
    <x v="3"/>
    <x v="420"/>
    <s v="COLABORATIVA S.A.C."/>
    <x v="28"/>
    <d v="2025-11-03T00:00:00"/>
    <x v="88"/>
    <s v="Cliente"/>
    <n v="6"/>
    <n v="20602855733"/>
    <s v="[{'id_producto': 17828, 'codigo_producto': 870, 'nom_producto': 'COMISION VAOPE SEGUN CONTRATO', 'categoria_producto': 'consu', 'cantidad': '1.0', 'valor_unitario': 187.63, 'precio_unitario': 221.4, 'descuento': 0.0, 'subtotal': 187.63, 'porcentaje_de_igv': '18.00', 'igv': 33.77, 'total': 221.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8"/>
    <x v="27"/>
    <x v="5"/>
    <x v="0"/>
    <n v="1"/>
    <n v="187.63"/>
    <n v="221.4"/>
    <n v="0"/>
    <n v="187.63"/>
    <n v="18"/>
    <n v="33.770000000000003"/>
    <n v="221.4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567"/>
  </r>
  <r>
    <x v="3"/>
    <x v="421"/>
    <s v="COLABORATIVA S.A.C."/>
    <x v="28"/>
    <d v="2025-11-03T00:00:00"/>
    <x v="100"/>
    <s v="Cliente"/>
    <n v="6"/>
    <n v="20608627422"/>
    <s v="[{'id_producto': 17827, 'codigo_producto': 874, 'nom_producto': 'COMISION CORTESIA', 'categoria_producto': 'consu', 'cantidad': '1.0', 'valor_unitario': 5.0, 'precio_unitario': 5.9, 'descuento': 0.0, 'subtotal': 5.0, 'porcentaje_de_igv': '18.00', 'igv': 0.9, 'total': 5.9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7"/>
    <x v="40"/>
    <x v="19"/>
    <x v="0"/>
    <n v="1"/>
    <n v="5"/>
    <n v="5.9"/>
    <n v="0"/>
    <n v="5"/>
    <n v="18"/>
    <n v="0.9"/>
    <n v="5.9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568"/>
  </r>
  <r>
    <x v="3"/>
    <x v="422"/>
    <s v="COLABORATIVA S.A.C."/>
    <x v="28"/>
    <d v="2025-11-03T00:00:00"/>
    <x v="100"/>
    <s v="Cliente"/>
    <n v="6"/>
    <n v="20608627422"/>
    <s v="[{'id_producto': 17826, 'codigo_producto': 877, 'nom_producto': 'COMISION PAGOS DIGITALES SEGUN CONTRATO', 'categoria_producto': 'consu', 'cantidad': '1.0', 'valor_unitario': 400.93, 'precio_unitario': 473.1, 'descuento': 0.0, 'subtotal': 400.93, 'porcentaje_de_igv': '18.00', 'igv': 72.17, 'total': 473.1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6"/>
    <x v="26"/>
    <x v="6"/>
    <x v="0"/>
    <n v="1"/>
    <n v="400.93"/>
    <n v="473.1"/>
    <n v="0"/>
    <n v="400.93"/>
    <n v="18"/>
    <n v="72.17"/>
    <n v="473.1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569"/>
  </r>
  <r>
    <x v="3"/>
    <x v="423"/>
    <s v="COLABORATIVA S.A.C."/>
    <x v="28"/>
    <d v="2025-11-03T00:00:00"/>
    <x v="100"/>
    <s v="Cliente"/>
    <n v="6"/>
    <n v="20608627422"/>
    <s v="[{'id_producto': 17825, 'codigo_producto': 870, 'nom_producto': 'COMISION VAOPE SEGUN CONTRATO', 'categoria_producto': 'consu', 'cantidad': '1.0', 'valor_unitario': 289.32, 'precio_unitario': 341.4, 'descuento': 0.0, 'subtotal': 289.32, 'porcentaje_de_igv': '18.00', 'igv': 52.08, 'total': 341.4, 'moneda': '1', 'tipo_de_cambio': 1.0, 'id_estado': 'not_paid', 'nombre_estado': 'Sin pagar', 'evento': {'id_evento': '', 'nom_evento': '', 'fecha_hora_ini_event': '', 'fecha_hora_fin_event': '', 'id_organizador': 396, 'nom_organizador': 'NEGOCIACIONES Y PRODUCCIONES VEGA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5"/>
    <x v="27"/>
    <x v="5"/>
    <x v="0"/>
    <n v="1"/>
    <n v="289.32"/>
    <n v="341.4"/>
    <n v="0"/>
    <n v="289.32"/>
    <n v="18"/>
    <n v="52.08"/>
    <n v="341.4"/>
    <n v="1"/>
    <n v="1"/>
    <x v="2"/>
    <x v="2"/>
    <x v="1"/>
    <s v="SAMUEL CHUQUISTA"/>
    <x v="0"/>
    <s v="7012100 MercaderÃ­as-Venta Local-Terceros"/>
    <x v="12"/>
    <x v="32"/>
    <m/>
    <m/>
    <m/>
    <x v="97"/>
    <s v="NEGOCIACIONES Y PRODUCCIONES VEGA S.A.C"/>
    <s v="Empresa"/>
    <x v="570"/>
  </r>
  <r>
    <x v="3"/>
    <x v="424"/>
    <s v="COLABORATIVA S.A.C."/>
    <x v="28"/>
    <d v="2025-11-03T00:00:00"/>
    <x v="96"/>
    <m/>
    <n v="6"/>
    <n v="20609584719"/>
    <s v="[{'id_producto': 17824, 'codigo_producto': 877, 'nom_producto': 'COMISION PAGOS DIGITALES SEGUN CONTRATO', 'categoria_producto': 'consu', 'cantidad': '1.0', 'valor_unitario': 106.95, 'precio_unitario': 126.2, 'descuento': 0.0, 'subtotal': 106.95, 'porcentaje_de_igv': '18.00', 'igv': 19.25, 'total': 126.2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4"/>
    <x v="26"/>
    <x v="6"/>
    <x v="0"/>
    <n v="1"/>
    <n v="106.95"/>
    <n v="126.2"/>
    <n v="0"/>
    <n v="106.95"/>
    <n v="18"/>
    <n v="19.25"/>
    <n v="126.2"/>
    <n v="1"/>
    <n v="1"/>
    <x v="2"/>
    <x v="2"/>
    <x v="1"/>
    <s v="SAMUEL CHUQUISTA"/>
    <x v="0"/>
    <s v="7012100 MercaderÃ­as-Venta Local-Terceros"/>
    <x v="12"/>
    <x v="32"/>
    <m/>
    <m/>
    <m/>
    <x v="93"/>
    <s v="SEVAFRA SAC"/>
    <s v="Empresa"/>
    <x v="571"/>
  </r>
  <r>
    <x v="3"/>
    <x v="425"/>
    <s v="COLABORATIVA S.A.C."/>
    <x v="28"/>
    <d v="2025-11-03T00:00:00"/>
    <x v="96"/>
    <m/>
    <n v="6"/>
    <n v="20609584719"/>
    <s v="[{'id_producto': 17823, 'codigo_producto': 870, 'nom_producto': 'COMISION VAOPE SEGUN CONTRATO', 'categoria_producto': 'consu', 'cantidad': '1.0', 'valor_unitario': 66.69, 'precio_unitario': 78.7, 'descuento': 0.0, 'subtotal': 66.69, 'porcentaje_de_igv': '18.00', 'igv': 12.01, 'total': 78.7, 'moneda': '1', 'tipo_de_cambio': 1.0, 'id_estado': 'not_paid', 'nombre_estado': 'Sin pagar', 'evento': {'id_evento': '', 'nom_evento': '', 'fecha_hora_ini_event': '', 'fecha_hora_fin_event': '', 'id_organizador': 1145, 'nom_organizador': 'SEVAFRA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3"/>
    <x v="27"/>
    <x v="5"/>
    <x v="0"/>
    <n v="1"/>
    <n v="66.69"/>
    <n v="78.7"/>
    <n v="0"/>
    <n v="66.69"/>
    <n v="18"/>
    <n v="12.01"/>
    <n v="78.7"/>
    <n v="1"/>
    <n v="1"/>
    <x v="2"/>
    <x v="2"/>
    <x v="1"/>
    <s v="SAMUEL CHUQUISTA"/>
    <x v="0"/>
    <s v="7012100 MercaderÃ­as-Venta Local-Terceros"/>
    <x v="12"/>
    <x v="32"/>
    <m/>
    <m/>
    <m/>
    <x v="93"/>
    <s v="SEVAFRA SAC"/>
    <s v="Empresa"/>
    <x v="572"/>
  </r>
  <r>
    <x v="3"/>
    <x v="426"/>
    <s v="COLABORATIVA S.A.C."/>
    <x v="28"/>
    <d v="2025-11-03T00:00:00"/>
    <x v="98"/>
    <m/>
    <n v="6"/>
    <n v="20516587874"/>
    <s v="[{'id_producto': 17822, 'codigo_producto': 877, 'nom_producto': 'COMISION PAGOS DIGITALES SEGUN CONTRATO', 'categoria_producto': 'consu', 'cantidad': '1.0', 'valor_unitario': 54.75, 'precio_unitario': 64.6, 'descuento': 0.0, 'subtotal': 54.75, 'porcentaje_de_igv': '18.00', 'igv': 9.85, 'total': 64.6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2"/>
    <x v="26"/>
    <x v="6"/>
    <x v="0"/>
    <n v="1"/>
    <n v="54.75"/>
    <n v="64.599999999999994"/>
    <n v="0"/>
    <n v="54.75"/>
    <n v="18"/>
    <n v="9.85"/>
    <n v="64.599999999999994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573"/>
  </r>
  <r>
    <x v="3"/>
    <x v="427"/>
    <s v="COLABORATIVA S.A.C."/>
    <x v="28"/>
    <d v="2025-11-03T00:00:00"/>
    <x v="98"/>
    <m/>
    <n v="6"/>
    <n v="20516587874"/>
    <s v="[{'id_producto': 17821, 'codigo_producto': 870, 'nom_producto': 'COMISION VAOPE SEGUN CONTRATO', 'categoria_producto': 'consu', 'cantidad': '1.0', 'valor_unitario': 33.22, 'precio_unitario': 39.2, 'descuento': 0.0, 'subtotal': 33.22, 'porcentaje_de_igv': '18.00', 'igv': 5.98, 'total': 39.2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1"/>
    <x v="27"/>
    <x v="5"/>
    <x v="0"/>
    <n v="1"/>
    <n v="33.22"/>
    <n v="39.200000000000003"/>
    <n v="0"/>
    <n v="33.22"/>
    <n v="18"/>
    <n v="5.98"/>
    <n v="39.200000000000003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574"/>
  </r>
  <r>
    <x v="3"/>
    <x v="428"/>
    <s v="COLABORATIVA S.A.C."/>
    <x v="28"/>
    <d v="2025-11-03T00:00:00"/>
    <x v="119"/>
    <m/>
    <n v="6"/>
    <n v="10165565784"/>
    <s v="[{'id_producto': 17820, 'codigo_producto': 877, 'nom_producto': 'COMISION PAGOS DIGITALES SEGUN CONTRATO', 'categoria_producto': 'consu', 'cantidad': '1.0', 'valor_unitario': 97.37, 'precio_unitario': 114.9, 'descuento': 0.0, 'subtotal': 97.37, 'porcentaje_de_igv': '18.00', 'igv': 17.53, 'total': 114.9, 'moneda': '1', 'tipo_de_cambio': 1.0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20"/>
    <x v="26"/>
    <x v="6"/>
    <x v="0"/>
    <n v="1"/>
    <n v="97.37"/>
    <n v="114.9"/>
    <n v="0"/>
    <n v="97.37"/>
    <n v="18"/>
    <n v="17.53"/>
    <n v="114.9"/>
    <n v="1"/>
    <n v="1"/>
    <x v="2"/>
    <x v="2"/>
    <x v="1"/>
    <s v="SAMUEL CHUQUISTA"/>
    <x v="0"/>
    <s v="7012100 MercaderÃ­as-Venta Local-Terceros"/>
    <x v="12"/>
    <x v="32"/>
    <m/>
    <m/>
    <m/>
    <x v="116"/>
    <s v="FENCO GORDILLO MAXIMO"/>
    <s v="Empresa"/>
    <x v="575"/>
  </r>
  <r>
    <x v="3"/>
    <x v="429"/>
    <s v="COLABORATIVA S.A.C."/>
    <x v="28"/>
    <d v="2025-11-03T00:00:00"/>
    <x v="119"/>
    <m/>
    <n v="6"/>
    <n v="10165565784"/>
    <s v="[{'id_producto': 17819, 'codigo_producto': 870, 'nom_producto': 'COMISION VAOPE SEGUN CONTRATO', 'categoria_producto': 'consu', 'cantidad': '1.0', 'valor_unitario': 59.07, 'precio_unitario': 69.7, 'descuento': 0.0, 'subtotal': 59.07, 'porcentaje_de_igv': '18.00', 'igv': 10.63, 'total': 69.7, 'moneda': '1', 'tipo_de_cambio': 1.0, 'id_estado': 'not_paid', 'nombre_estado': 'Sin pagar', 'evento': {'id_evento': '', 'nom_evento': '', 'fecha_hora_ini_event': '', 'fecha_hora_fin_event': '', 'id_organizador': 1131, 'nom_organizador': 'FENCO GORDILLO MAXIM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19"/>
    <x v="27"/>
    <x v="5"/>
    <x v="0"/>
    <n v="1"/>
    <n v="59.07"/>
    <n v="69.7"/>
    <n v="0"/>
    <n v="59.07"/>
    <n v="18"/>
    <n v="10.63"/>
    <n v="69.7"/>
    <n v="1"/>
    <n v="1"/>
    <x v="2"/>
    <x v="2"/>
    <x v="1"/>
    <s v="SAMUEL CHUQUISTA"/>
    <x v="0"/>
    <s v="7012100 MercaderÃ­as-Venta Local-Terceros"/>
    <x v="12"/>
    <x v="32"/>
    <m/>
    <m/>
    <m/>
    <x v="116"/>
    <s v="FENCO GORDILLO MAXIMO"/>
    <s v="Empresa"/>
    <x v="576"/>
  </r>
  <r>
    <x v="3"/>
    <x v="430"/>
    <s v="COLABORATIVA S.A.C."/>
    <x v="28"/>
    <d v="2025-11-03T00:00:00"/>
    <x v="25"/>
    <m/>
    <n v="6"/>
    <n v="20611890746"/>
    <s v="[{'id_producto': 17818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18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77"/>
  </r>
  <r>
    <x v="3"/>
    <x v="431"/>
    <s v="COLABORATIVA S.A.C."/>
    <x v="28"/>
    <d v="2025-11-03T00:00:00"/>
    <x v="25"/>
    <m/>
    <n v="6"/>
    <n v="20611890746"/>
    <s v="[{'id_producto': 17817, 'codigo_producto': 930, 'nom_producto': 'ENTRADAS IMPRESAS - ORDEN DE VENTA N541\n  LA UNICA TROPICAL EN CHEPEN - 20 DE ENERO - I - P  2000 FULL COLOR GENERAL  1000 BRAZALETES VIP S165200\n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17"/>
    <x v="88"/>
    <x v="81"/>
    <x v="0"/>
    <n v="1"/>
    <n v="1400"/>
    <n v="1652"/>
    <n v="0"/>
    <n v="1400"/>
    <n v="18"/>
    <n v="252"/>
    <n v="1652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78"/>
  </r>
  <r>
    <x v="3"/>
    <x v="432"/>
    <s v="COLABORATIVA S.A.C."/>
    <x v="28"/>
    <d v="2025-11-03T00:00:00"/>
    <x v="25"/>
    <m/>
    <n v="6"/>
    <n v="20611890746"/>
    <s v="[{'id_producto': 17816, 'codigo_producto': 929, 'nom_producto': 'ENTRADAS IMPRESAS - ORDEN DE VENTA N537\n  La Unica Tropical en Ilo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16"/>
    <x v="89"/>
    <x v="82"/>
    <x v="0"/>
    <n v="1"/>
    <n v="1400"/>
    <n v="1652"/>
    <n v="0"/>
    <n v="1400"/>
    <n v="18"/>
    <n v="252"/>
    <n v="1652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79"/>
  </r>
  <r>
    <x v="3"/>
    <x v="433"/>
    <s v="COLABORATIVA S.A.C."/>
    <x v="28"/>
    <d v="2025-11-03T00:00:00"/>
    <x v="25"/>
    <m/>
    <n v="6"/>
    <n v="20611890746"/>
    <s v="[{'id_producto': 17815, 'codigo_producto': 877, 'nom_producto': 'COMISION PAGOS DIGITALES SEGUN CONTRATO', 'categoria_producto': 'consu', 'cantidad': '1.0', 'valor_unitario': 3754.15, 'precio_unitario': 4429.9, 'descuento': 0.0, 'subtotal': 3754.15, 'porcentaje_de_igv': '18.00', 'igv': 675.75, 'total': 4429.9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15"/>
    <x v="26"/>
    <x v="6"/>
    <x v="0"/>
    <n v="1"/>
    <n v="3754.15"/>
    <n v="4429.8999999999996"/>
    <n v="0"/>
    <n v="3754.15"/>
    <n v="18"/>
    <n v="675.75"/>
    <n v="4429.8999999999996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80"/>
  </r>
  <r>
    <x v="3"/>
    <x v="434"/>
    <s v="COLABORATIVA S.A.C."/>
    <x v="28"/>
    <d v="2025-11-03T00:00:00"/>
    <x v="25"/>
    <m/>
    <n v="6"/>
    <n v="20611890746"/>
    <s v="[{'id_producto': 17814, 'codigo_producto': 870, 'nom_producto': 'COMISION VAOPE SEGUN CONTRATO', 'categoria_producto': 'consu', 'cantidad': '1.0', 'valor_unitario': 288.14, 'precio_unitario': 340.0, 'descuento': 0.0, 'subtotal': 288.14, 'porcentaje_de_igv': '18.00', 'igv': 51.86, 'total': 340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14"/>
    <x v="27"/>
    <x v="5"/>
    <x v="0"/>
    <n v="1"/>
    <n v="288.14"/>
    <n v="340"/>
    <n v="0"/>
    <n v="288.14"/>
    <n v="18"/>
    <n v="51.86"/>
    <n v="340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81"/>
  </r>
  <r>
    <x v="3"/>
    <x v="435"/>
    <s v="COLABORATIVA S.A.C."/>
    <x v="28"/>
    <d v="2025-11-03T00:00:00"/>
    <x v="25"/>
    <m/>
    <n v="6"/>
    <n v="20611890746"/>
    <s v="[{'id_producto': 17813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13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82"/>
  </r>
  <r>
    <x v="3"/>
    <x v="436"/>
    <s v="COLABORATIVA S.A.C."/>
    <x v="28"/>
    <d v="2025-11-03T00:00:00"/>
    <x v="25"/>
    <m/>
    <n v="6"/>
    <n v="20611890746"/>
    <s v="[{'id_producto': 17812, 'codigo_producto': 928, 'nom_producto': 'ENTRADAS IMPRESAS - ORDEN DE VENTA N538\n  La Unica Tropical en Tacna  3000 FULL COLOR GENERAL  2000 BRAZALETES VIP S283200', 'categoria_producto': 'consu', 'cantidad': '1.0', 'valor_unitario': 2400.0, 'precio_unitario': 2832.0, 'descuento': 0.0, 'subtotal': 2400.0, 'porcentaje_de_igv': '18.00', 'igv': 432.0, 'total': 283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12"/>
    <x v="90"/>
    <x v="83"/>
    <x v="0"/>
    <n v="1"/>
    <n v="2400"/>
    <n v="2832"/>
    <n v="0"/>
    <n v="2400"/>
    <n v="18"/>
    <n v="432"/>
    <n v="2832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83"/>
  </r>
  <r>
    <x v="3"/>
    <x v="437"/>
    <s v="COLABORATIVA S.A.C."/>
    <x v="28"/>
    <d v="2025-11-03T00:00:00"/>
    <x v="25"/>
    <m/>
    <n v="6"/>
    <n v="20611890746"/>
    <s v="[{'id_producto': 17811, 'codigo_producto': 927, 'nom_producto': 'ENTRADAS IMPRESAS - ORDEN DE VENTA N517\n  LA UNICA TROPICAL - CIUDAD DE DIOS - 06 DE ENERO - I - P 2000 FULL COLOR GENERAL S94400\n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11"/>
    <x v="91"/>
    <x v="84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84"/>
  </r>
  <r>
    <x v="3"/>
    <x v="438"/>
    <s v="COLABORATIVA S.A.C."/>
    <x v="28"/>
    <d v="2025-11-03T00:00:00"/>
    <x v="25"/>
    <m/>
    <n v="6"/>
    <n v="20611890746"/>
    <s v="[{'id_producto': 17810, 'codigo_producto': 926, 'nom_producto': 'ENTRADAS IMPRESAS - ORDEN DE VENTA N516\n  LA UNICA TROPICAL CARTAVIO - 03 DE ENERO - I - P  2000 FULL COLOR GENERAL S94400\n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10"/>
    <x v="92"/>
    <x v="85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85"/>
  </r>
  <r>
    <x v="3"/>
    <x v="439"/>
    <s v="COLABORATIVA S.A.C."/>
    <x v="28"/>
    <d v="2025-11-03T00:00:00"/>
    <x v="25"/>
    <m/>
    <n v="6"/>
    <n v="20611890746"/>
    <s v="[{'id_producto': 17809, 'codigo_producto': 925, 'nom_producto': 'ENTRADAS IMPRESAS - ORDEN DE VENTA N515\n  La Unica Tropical en Talara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09"/>
    <x v="93"/>
    <x v="86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86"/>
  </r>
  <r>
    <x v="3"/>
    <x v="440"/>
    <s v="COLABORATIVA S.A.C."/>
    <x v="28"/>
    <d v="2025-11-03T00:00:00"/>
    <x v="25"/>
    <m/>
    <n v="6"/>
    <n v="20611890746"/>
    <s v="[{'id_producto': 17808, 'codigo_producto': 924, 'nom_producto': 'ENTRADAS IMPRESAS - ORDEN DE VENTA N513\n  LA UNICA TROPICAL COLAN - 05 DE ENERO - I - P  5000 FULL COLOR GENERAL  1000 BRAZALETES VIP S259600\n', 'categoria_producto': 'consu', 'cantidad': '1.0', 'valor_unitario': 2200.0, 'precio_unitario': 2596.0, 'descuento': 0.0, 'subtotal': 2200.0, 'porcentaje_de_igv': '18.00', 'igv': 396.0, 'total': 259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08"/>
    <x v="94"/>
    <x v="87"/>
    <x v="0"/>
    <n v="1"/>
    <n v="2200"/>
    <n v="2596"/>
    <n v="0"/>
    <n v="2200"/>
    <n v="18"/>
    <n v="396"/>
    <n v="259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587"/>
  </r>
  <r>
    <x v="3"/>
    <x v="441"/>
    <s v="COLABORATIVA S.A.C."/>
    <x v="28"/>
    <d v="2025-11-03T00:00:00"/>
    <x v="25"/>
    <m/>
    <n v="6"/>
    <n v="20611890746"/>
    <s v="[{'id_producto': 17807, 'codigo_producto': 871, 'nom_producto': 'COMISION PAGOS DIGITALES SEGUN CONTRATO ', 'categoria_producto': 'consu', 'cantidad': '1.0', 'valor_unitario': 5158.56, 'precio_unitario': 6087.1, 'descuento': 0.0, 'subtotal': 5158.56, 'porcentaje_de_igv': '18.00', 'igv': 928.54, 'total': 6087.1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7"/>
    <x v="39"/>
    <x v="35"/>
    <x v="0"/>
    <n v="1"/>
    <n v="5158.5600000000004"/>
    <n v="6087.1"/>
    <n v="0"/>
    <n v="5158.5600000000004"/>
    <n v="18"/>
    <n v="928.54"/>
    <n v="6087.1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88"/>
  </r>
  <r>
    <x v="3"/>
    <x v="442"/>
    <s v="COLABORATIVA S.A.C."/>
    <x v="28"/>
    <d v="2025-11-03T00:00:00"/>
    <x v="25"/>
    <m/>
    <n v="6"/>
    <n v="20611890746"/>
    <s v="[{'id_producto': 17806, 'codigo_producto': 870, 'nom_producto': 'COMISION VAOPE SEGUN CONTRATO', 'categoria_producto': 'consu', 'cantidad': '1.0', 'valor_unitario': 3246.44, 'precio_unitario': 3830.8, 'descuento': 0.0, 'subtotal': 3246.44, 'porcentaje_de_igv': '18.00', 'igv': 584.36, 'total': 3830.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6"/>
    <x v="27"/>
    <x v="5"/>
    <x v="0"/>
    <n v="1"/>
    <n v="3246.44"/>
    <n v="3830.8"/>
    <n v="0"/>
    <n v="3246.44"/>
    <n v="18"/>
    <n v="584.36"/>
    <n v="3830.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589"/>
  </r>
  <r>
    <x v="3"/>
    <x v="443"/>
    <s v="COLABORATIVA S.A.C."/>
    <x v="28"/>
    <d v="2025-11-03T00:00:00"/>
    <x v="102"/>
    <m/>
    <n v="6"/>
    <n v="20611587741"/>
    <s v="[{'id_producto': 17805, 'codigo_producto': 877, 'nom_producto': 'COMISION PAGOS DIGITALES SEGUN CONTRATO', 'categoria_producto': 'consu', 'cantidad': '1.0', 'valor_unitario': 25.34, 'precio_unitario': 29.9, 'descuento': 0.0, 'subtotal': 25.34, 'porcentaje_de_igv': '18.00', 'igv': 4.56, 'total': 29.9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5"/>
    <x v="26"/>
    <x v="6"/>
    <x v="0"/>
    <n v="1"/>
    <n v="25.34"/>
    <n v="29.9"/>
    <n v="0"/>
    <n v="25.34"/>
    <n v="18"/>
    <n v="4.5599999999999996"/>
    <n v="29.9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590"/>
  </r>
  <r>
    <x v="3"/>
    <x v="444"/>
    <s v="COLABORATIVA S.A.C."/>
    <x v="28"/>
    <d v="2025-11-03T00:00:00"/>
    <x v="102"/>
    <m/>
    <n v="6"/>
    <n v="20611587741"/>
    <s v="[{'id_producto': 17804, 'codigo_producto': 870, 'nom_producto': 'COMISION VAOPE SEGUN CONTRATO', 'categoria_producto': 'consu', 'cantidad': '1.0', 'valor_unitario': 18.05, 'precio_unitario': 21.3, 'descuento': 0.0, 'subtotal': 18.05, 'porcentaje_de_igv': '18.00', 'igv': 3.25, 'total': 21.3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4"/>
    <x v="27"/>
    <x v="5"/>
    <x v="0"/>
    <n v="1"/>
    <n v="18.05"/>
    <n v="21.3"/>
    <n v="0"/>
    <n v="18.05"/>
    <n v="18"/>
    <n v="3.25"/>
    <n v="21.3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591"/>
  </r>
  <r>
    <x v="4"/>
    <x v="445"/>
    <s v="COLABORATIVA S.A.C."/>
    <x v="28"/>
    <d v="2025-11-03T00:00:00"/>
    <x v="80"/>
    <s v="Cliente"/>
    <n v="1"/>
    <n v="43908595"/>
    <s v="[{'id_producto': 17803, 'codigo_producto': 992, 'nom_producto': 'COMISION CORTESIA - DELIVERY', 'categoria_producto': 'consu', 'cantidad': '1.0', 'valor_unitario': 65.0, 'precio_unitario': 76.7, 'descuento': 0.0, 'subtotal': 65.0, 'porcentaje_de_igv': '18.00', 'igv': 11.7, 'total': 76.7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3"/>
    <x v="54"/>
    <x v="48"/>
    <x v="0"/>
    <n v="1"/>
    <n v="65"/>
    <n v="76.7"/>
    <n v="0"/>
    <n v="65"/>
    <n v="18"/>
    <n v="11.7"/>
    <n v="76.7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592"/>
  </r>
  <r>
    <x v="4"/>
    <x v="446"/>
    <s v="COLABORATIVA S.A.C."/>
    <x v="28"/>
    <d v="2025-11-03T00:00:00"/>
    <x v="120"/>
    <m/>
    <n v="1"/>
    <n v="76443681"/>
    <s v="[{'id_producto': 17802, 'codigo_producto': 877, 'nom_producto': 'COMISION PAGOS DIGITALES SEGUN CONTRATO', 'categoria_producto': 'consu', 'cantidad': '1.0', 'valor_unitario': 46.78, 'precio_unitario': 55.2, 'descuento': 0.0, 'subtotal': 46.78, 'porcentaje_de_igv': '18.00', 'igv': 8.42, 'total': 55.2, 'moneda': '1', 'tipo_de_cambio': 1.0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2"/>
    <x v="26"/>
    <x v="6"/>
    <x v="0"/>
    <n v="1"/>
    <n v="46.78"/>
    <n v="55.2"/>
    <n v="0"/>
    <n v="46.78"/>
    <n v="18"/>
    <n v="8.42"/>
    <n v="55.2"/>
    <n v="1"/>
    <n v="1"/>
    <x v="2"/>
    <x v="2"/>
    <x v="1"/>
    <s v="SAMUEL CHUQUISTA"/>
    <x v="0"/>
    <s v="7012100 MercaderÃ­as-Venta Local-Terceros"/>
    <x v="12"/>
    <x v="32"/>
    <m/>
    <m/>
    <m/>
    <x v="117"/>
    <s v="JHONATHAN CALDERON QUISPE"/>
    <s v="Persona"/>
    <x v="593"/>
  </r>
  <r>
    <x v="4"/>
    <x v="447"/>
    <s v="COLABORATIVA S.A.C."/>
    <x v="28"/>
    <d v="2025-11-03T00:00:00"/>
    <x v="120"/>
    <m/>
    <n v="1"/>
    <n v="76443681"/>
    <s v="[{'id_producto': 17801, 'codigo_producto': 870, 'nom_producto': 'COMISION VAOPE SEGUN CONTRATO', 'categoria_producto': 'consu', 'cantidad': '1.0', 'valor_unitario': 32.88, 'precio_unitario': 38.8, 'descuento': 0.0, 'subtotal': 32.88, 'porcentaje_de_igv': '18.00', 'igv': 5.92, 'total': 38.8, 'moneda': '1', 'tipo_de_cambio': 1.0, 'id_estado': 'not_paid', 'nombre_estado': 'Sin pagar', 'evento': {'id_evento': '', 'nom_evento': '', 'fecha_hora_ini_event': '', 'fecha_hora_fin_event': '', 'id_organizador': 1163, 'nom_organizador': 'JHONATHAN CALDERON QUISPE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801"/>
    <x v="27"/>
    <x v="5"/>
    <x v="0"/>
    <n v="1"/>
    <n v="32.880000000000003"/>
    <n v="38.799999999999997"/>
    <n v="0"/>
    <n v="32.880000000000003"/>
    <n v="18"/>
    <n v="5.92"/>
    <n v="38.799999999999997"/>
    <n v="1"/>
    <n v="1"/>
    <x v="2"/>
    <x v="2"/>
    <x v="1"/>
    <s v="SAMUEL CHUQUISTA"/>
    <x v="0"/>
    <s v="7012100 MercaderÃ­as-Venta Local-Terceros"/>
    <x v="12"/>
    <x v="32"/>
    <m/>
    <m/>
    <m/>
    <x v="117"/>
    <s v="JHONATHAN CALDERON QUISPE"/>
    <s v="Persona"/>
    <x v="594"/>
  </r>
  <r>
    <x v="4"/>
    <x v="448"/>
    <s v="COLABORATIVA S.A.C."/>
    <x v="28"/>
    <d v="2025-11-03T00:00:00"/>
    <x v="80"/>
    <s v="Cliente"/>
    <n v="1"/>
    <n v="43908595"/>
    <s v="[{'id_producto': 17800, 'codigo_producto': 923, 'nom_producto': 'ENTRADAS IMPRESAS - ORDEN DE VENTA N550\n  FIESTA BLANCA HUACHO - ZAPEROKO 31 DE DICIEMBRE - I - P 500 BRAZALETES VIP 500 BRAZALETES PLATINUM S70800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800"/>
    <x v="95"/>
    <x v="88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11"/>
    <x v="32"/>
    <m/>
    <m/>
    <m/>
    <x v="75"/>
    <s v="JESUS MANUEL COTRINA CORPUS"/>
    <s v="Persona"/>
    <x v="595"/>
  </r>
  <r>
    <x v="4"/>
    <x v="449"/>
    <s v="COLABORATIVA S.A.C."/>
    <x v="28"/>
    <d v="2025-11-03T00:00:00"/>
    <x v="80"/>
    <s v="Cliente"/>
    <n v="1"/>
    <n v="43908595"/>
    <s v="[{'id_producto': 17799, 'codigo_producto': 922, 'nom_producto': 'ENTRADAS IMPRESAS - ORDEN DE VENTA N528\n  Marama en Explanada Bahua en Barranca 500 BRAZALETES VIP 200 BRAZALETES GENERAL  300 BRAZALETES BOX S77880', 'categoria_producto': 'consu', 'cantidad': '1.0', 'valor_unitario': 660.0, 'precio_unitario': 778.8, 'descuento': 0.0, 'subtotal': 660.0, 'porcentaje_de_igv': '18.00', 'igv': 118.8, 'total': 778.8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799"/>
    <x v="96"/>
    <x v="89"/>
    <x v="0"/>
    <n v="1"/>
    <n v="660"/>
    <n v="778.8"/>
    <n v="0"/>
    <n v="660"/>
    <n v="18"/>
    <n v="118.8"/>
    <n v="778.8"/>
    <n v="1"/>
    <n v="1"/>
    <x v="2"/>
    <x v="2"/>
    <x v="1"/>
    <s v="SAMUEL CHUQUISTA"/>
    <x v="0"/>
    <s v="7012100 MercaderÃ­as-Venta Local-Terceros"/>
    <x v="11"/>
    <x v="32"/>
    <m/>
    <m/>
    <m/>
    <x v="75"/>
    <s v="JESUS MANUEL COTRINA CORPUS"/>
    <s v="Persona"/>
    <x v="596"/>
  </r>
  <r>
    <x v="4"/>
    <x v="450"/>
    <s v="COLABORATIVA S.A.C."/>
    <x v="28"/>
    <d v="2025-11-03T00:00:00"/>
    <x v="80"/>
    <s v="Cliente"/>
    <n v="1"/>
    <n v="43908595"/>
    <s v="[{'id_producto': 17798, 'codigo_producto': 877, 'nom_producto': 'COMISION PAGOS DIGITALES SEGUN CONTRATO', 'categoria_producto': 'consu', 'cantidad': '1.0', 'valor_unitario': 281.61, 'precio_unitario': 332.3, 'descuento': 0.0, 'subtotal': 281.61, 'porcentaje_de_igv': '18.00', 'igv': 50.69, 'total': 332.3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8"/>
    <x v="26"/>
    <x v="6"/>
    <x v="0"/>
    <n v="1"/>
    <n v="281.61"/>
    <n v="332.3"/>
    <n v="0"/>
    <n v="281.61"/>
    <n v="18"/>
    <n v="50.69"/>
    <n v="332.3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597"/>
  </r>
  <r>
    <x v="4"/>
    <x v="451"/>
    <s v="COLABORATIVA S.A.C."/>
    <x v="28"/>
    <d v="2025-11-03T00:00:00"/>
    <x v="80"/>
    <s v="Cliente"/>
    <n v="1"/>
    <n v="43908595"/>
    <s v="[{'id_producto': 17797, 'codigo_producto': 870, 'nom_producto': 'COMISION VAOPE SEGUN CONTRATO', 'categoria_producto': 'consu', 'cantidad': '1.0', 'valor_unitario': 238.98, 'precio_unitario': 282.0, 'descuento': 0.0, 'subtotal': 238.98, 'porcentaje_de_igv': '18.00', 'igv': 43.02, 'total': 282.0, 'moneda': '1', 'tipo_de_cambio': 1.0, 'id_estado': 'not_paid', 'nombre_estado': 'Sin pagar', 'evento': {'id_evento': '', 'nom_evento': '', 'fecha_hora_ini_event': '', 'fecha_hora_fin_event': '', 'id_organizador': 393, 'nom_organizador': 'JESUS MANUEL COTRINA CORPU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7"/>
    <x v="27"/>
    <x v="5"/>
    <x v="0"/>
    <n v="1"/>
    <n v="238.98"/>
    <n v="282"/>
    <n v="0"/>
    <n v="238.98"/>
    <n v="18"/>
    <n v="43.02"/>
    <n v="282"/>
    <n v="1"/>
    <n v="1"/>
    <x v="2"/>
    <x v="2"/>
    <x v="1"/>
    <s v="SAMUEL CHUQUISTA"/>
    <x v="0"/>
    <s v="7012100 MercaderÃ­as-Venta Local-Terceros"/>
    <x v="12"/>
    <x v="32"/>
    <m/>
    <m/>
    <m/>
    <x v="75"/>
    <s v="JESUS MANUEL COTRINA CORPUS"/>
    <s v="Persona"/>
    <x v="598"/>
  </r>
  <r>
    <x v="3"/>
    <x v="452"/>
    <s v="COLABORATIVA S.A.C."/>
    <x v="28"/>
    <d v="2025-11-03T00:00:00"/>
    <x v="21"/>
    <s v="Cliente"/>
    <n v="6"/>
    <n v="20296011356"/>
    <s v="[{'id_producto': 17796, 'codigo_producto': 921, 'nom_producto': 'PERSONAL - Servicio de 04 validadores Inc IGV', 'categoria_producto': 'consu', 'cantidad': '1.0', 'valor_unitario': 600.0, 'precio_unitario': 708.0, 'descuento': 0.0, 'subtotal': 600.0, 'porcentaje_de_igv': '18.00', 'igv': 108.0, 'total': 708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23T00:00:00"/>
    <m/>
    <m/>
    <m/>
    <m/>
    <m/>
    <n v="17796"/>
    <x v="45"/>
    <x v="40"/>
    <x v="0"/>
    <n v="1"/>
    <n v="600"/>
    <n v="708"/>
    <n v="0"/>
    <n v="600"/>
    <n v="18"/>
    <n v="108"/>
    <n v="708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599"/>
  </r>
  <r>
    <x v="3"/>
    <x v="453"/>
    <s v="COLABORATIVA S.A.C."/>
    <x v="28"/>
    <d v="2025-11-03T00:00:00"/>
    <x v="21"/>
    <s v="Cliente"/>
    <n v="6"/>
    <n v="20296011356"/>
    <s v="[{'id_producto': 17795, 'codigo_producto': 920, 'nom_producto': 'ENTRADAS IMPRESAS -  Duelo de Divas con Pamela Franco Marisol y Brunella Torpoco en El Remanso de Comas  2000 FULL COLOR GENERAL ADULTO  500 FULL COLOR GENERAL NINOS S118000', 'categoria_producto': 'consu', 'cantidad': '1.0', 'valor_unitario': 1000.0, 'precio_unitario': 1180.0, 'descuento': 0.0, 'subtotal': 1000.0, 'porcentaje_de_igv': '18.00', 'igv': 180.0, 'total': 118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795"/>
    <x v="97"/>
    <x v="90"/>
    <x v="0"/>
    <n v="1"/>
    <n v="1000"/>
    <n v="1180"/>
    <n v="0"/>
    <n v="1000"/>
    <n v="18"/>
    <n v="180"/>
    <n v="1180"/>
    <n v="1"/>
    <n v="1"/>
    <x v="2"/>
    <x v="2"/>
    <x v="1"/>
    <s v="SAMUEL CHUQUISTA"/>
    <x v="0"/>
    <s v="7012100 MercaderÃ­as-Venta Local-Terceros"/>
    <x v="11"/>
    <x v="32"/>
    <m/>
    <m/>
    <m/>
    <x v="21"/>
    <s v="COMPLEJO TURÃSTICO EL REMANSO SAC"/>
    <s v="Empresa"/>
    <x v="600"/>
  </r>
  <r>
    <x v="3"/>
    <x v="454"/>
    <s v="COLABORATIVA S.A.C."/>
    <x v="28"/>
    <d v="2025-11-03T00:00:00"/>
    <x v="21"/>
    <s v="Cliente"/>
    <n v="6"/>
    <n v="20296011356"/>
    <s v="[{'id_producto': 17794, 'codigo_producto': 877, 'nom_producto': 'COMISION PAGOS DIGITALES SEGUN CONTRATO', 'categoria_producto': 'consu', 'cantidad': '1.0', 'valor_unitario': 3384.15, 'precio_unitario': 3993.3, 'descuento': 0.0, 'subtotal': 3384.15, 'porcentaje_de_igv': '18.00', 'igv': 609.15, 'total': 3993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4"/>
    <x v="26"/>
    <x v="6"/>
    <x v="0"/>
    <n v="1"/>
    <n v="3384.15"/>
    <n v="3993.3"/>
    <n v="0"/>
    <n v="3384.15"/>
    <n v="18"/>
    <n v="609.15"/>
    <n v="3993.3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01"/>
  </r>
  <r>
    <x v="3"/>
    <x v="455"/>
    <s v="COLABORATIVA S.A.C."/>
    <x v="28"/>
    <d v="2025-11-03T00:00:00"/>
    <x v="21"/>
    <s v="Cliente"/>
    <n v="6"/>
    <n v="20296011356"/>
    <s v="[{'id_producto': 17793, 'codigo_producto': 870, 'nom_producto': 'COMISION VAOPE SEGUN CONTRATO', 'categoria_producto': 'consu', 'cantidad': '1.0', 'valor_unitario': 1669.75, 'precio_unitario': 1970.3, 'descuento': 0.0, 'subtotal': 1669.75, 'porcentaje_de_igv': '18.00', 'igv': 300.55, 'total': 1970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3"/>
    <x v="27"/>
    <x v="5"/>
    <x v="0"/>
    <n v="1"/>
    <n v="1669.75"/>
    <n v="1970.3"/>
    <n v="0"/>
    <n v="1669.75"/>
    <n v="18"/>
    <n v="300.55"/>
    <n v="1970.3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02"/>
  </r>
  <r>
    <x v="4"/>
    <x v="456"/>
    <s v="COLABORATIVA S.A.C."/>
    <x v="28"/>
    <d v="2025-11-03T00:00:00"/>
    <x v="121"/>
    <m/>
    <n v="1"/>
    <n v="17850400"/>
    <s v="[{'id_producto': 17792, 'codigo_producto': 871, 'nom_producto': 'COMISION PAGOS DIGITALES SEGUN CONTRATO ', 'categoria_producto': 'consu', 'cantidad': '1.0', 'valor_unitario': 19.41, 'precio_unitario': 22.9, 'descuento': 0.0, 'subtotal': 19.41, 'porcentaje_de_igv': '18.00', 'igv': 3.49, 'total': 22.9, 'moneda': '1', 'tipo_de_cambio': 1.0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2"/>
    <x v="39"/>
    <x v="35"/>
    <x v="0"/>
    <n v="1"/>
    <n v="19.41"/>
    <n v="22.9"/>
    <n v="0"/>
    <n v="19.41"/>
    <n v="18"/>
    <n v="3.49"/>
    <n v="22.9"/>
    <n v="1"/>
    <n v="1"/>
    <x v="2"/>
    <x v="2"/>
    <x v="1"/>
    <s v="SAMUEL CHUQUISTA"/>
    <x v="0"/>
    <s v="7012100 MercaderÃ­as-Venta Local-Terceros"/>
    <x v="12"/>
    <x v="32"/>
    <m/>
    <m/>
    <m/>
    <x v="118"/>
    <s v="JORGE NIKITA GALLO PEREZ"/>
    <s v="Persona"/>
    <x v="603"/>
  </r>
  <r>
    <x v="4"/>
    <x v="457"/>
    <s v="COLABORATIVA S.A.C."/>
    <x v="28"/>
    <d v="2025-11-03T00:00:00"/>
    <x v="121"/>
    <m/>
    <n v="1"/>
    <n v="17850400"/>
    <s v="[{'id_producto': 17791, 'codigo_producto': 870, 'nom_producto': 'COMISION VAOPE SEGUN CONTRATO', 'categoria_producto': 'consu', 'cantidad': '1.0', 'valor_unitario': 12.2, 'precio_unitario': 14.4, 'descuento': 0.0, 'subtotal': 12.2, 'porcentaje_de_igv': '18.00', 'igv': 2.2, 'total': 14.4, 'moneda': '1', 'tipo_de_cambio': 1.0, 'id_estado': 'not_paid', 'nombre_estado': 'Sin pagar', 'evento': {'id_evento': '', 'nom_evento': '', 'fecha_hora_ini_event': '', 'fecha_hora_fin_event': '', 'id_organizador': 1162, 'nom_organizador': 'JORGE NIKITA GALLO PERE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1"/>
    <x v="27"/>
    <x v="5"/>
    <x v="0"/>
    <n v="1"/>
    <n v="12.2"/>
    <n v="14.4"/>
    <n v="0"/>
    <n v="12.2"/>
    <n v="18"/>
    <n v="2.2000000000000002"/>
    <n v="14.4"/>
    <n v="1"/>
    <n v="1"/>
    <x v="2"/>
    <x v="2"/>
    <x v="1"/>
    <s v="SAMUEL CHUQUISTA"/>
    <x v="0"/>
    <s v="7012100 MercaderÃ­as-Venta Local-Terceros"/>
    <x v="12"/>
    <x v="32"/>
    <m/>
    <m/>
    <m/>
    <x v="118"/>
    <s v="JORGE NIKITA GALLO PEREZ"/>
    <s v="Persona"/>
    <x v="604"/>
  </r>
  <r>
    <x v="3"/>
    <x v="458"/>
    <s v="COLABORATIVA S.A.C."/>
    <x v="28"/>
    <d v="2025-11-03T00:00:00"/>
    <x v="25"/>
    <m/>
    <n v="6"/>
    <n v="20611890746"/>
    <s v="[{'id_producto': 17790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90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05"/>
  </r>
  <r>
    <x v="3"/>
    <x v="459"/>
    <s v="COLABORATIVA S.A.C."/>
    <x v="28"/>
    <d v="2025-11-03T00:00:00"/>
    <x v="25"/>
    <m/>
    <n v="6"/>
    <n v="20611890746"/>
    <s v="[{'id_producto': 17789, 'codigo_producto': 919, 'nom_producto': 'ENTRADAS IMPRESAS - ORDEN DE VENTA N540\n  La Unica Tropical en Mejia Arequipa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789"/>
    <x v="98"/>
    <x v="91"/>
    <x v="0"/>
    <n v="1"/>
    <n v="1400"/>
    <n v="1652"/>
    <n v="0"/>
    <n v="1400"/>
    <n v="18"/>
    <n v="252"/>
    <n v="1652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06"/>
  </r>
  <r>
    <x v="3"/>
    <x v="460"/>
    <s v="COLABORATIVA S.A.C."/>
    <x v="28"/>
    <d v="2025-11-03T00:00:00"/>
    <x v="25"/>
    <m/>
    <n v="6"/>
    <n v="20611890746"/>
    <s v="[{'id_producto': 17788, 'codigo_producto': 877, 'nom_producto': 'COMISION PAGOS DIGITALES SEGUN CONTRATO', 'categoria_producto': 'consu', 'cantidad': '1.0', 'valor_unitario': 2372.24, 'precio_unitario': 2799.24, 'descuento': 0.0, 'subtotal': 2372.24, 'porcentaje_de_igv': '18.00', 'igv': 427.0, 'total': 2799.2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8"/>
    <x v="26"/>
    <x v="6"/>
    <x v="0"/>
    <n v="1"/>
    <n v="2372.2399999999998"/>
    <n v="2799.24"/>
    <n v="0"/>
    <n v="2372.2399999999998"/>
    <n v="18"/>
    <n v="427"/>
    <n v="2799.24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07"/>
  </r>
  <r>
    <x v="3"/>
    <x v="461"/>
    <s v="COLABORATIVA S.A.C."/>
    <x v="28"/>
    <d v="2025-11-03T00:00:00"/>
    <x v="25"/>
    <m/>
    <n v="6"/>
    <n v="20611890746"/>
    <s v="[{'id_producto': 17787, 'codigo_producto': 870, 'nom_producto': 'COMISION VAOPE SEGUN CONTRATO', 'categoria_producto': 'consu', 'cantidad': '1.0', 'valor_unitario': 1467.44, 'precio_unitario': 1731.58, 'descuento': 0.0, 'subtotal': 1467.44, 'porcentaje_de_igv': '18.00', 'igv': 264.14, 'total': 1731.5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7"/>
    <x v="27"/>
    <x v="5"/>
    <x v="0"/>
    <n v="1"/>
    <n v="1467.44"/>
    <n v="1731.58"/>
    <n v="0"/>
    <n v="1467.44"/>
    <n v="18"/>
    <n v="264.14"/>
    <n v="1731.5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08"/>
  </r>
  <r>
    <x v="3"/>
    <x v="462"/>
    <s v="COLABORATIVA S.A.C."/>
    <x v="28"/>
    <d v="2025-11-03T00:00:00"/>
    <x v="25"/>
    <m/>
    <n v="6"/>
    <n v="20611890746"/>
    <s v="[{'id_producto': 17786, 'codigo_producto': 874, 'nom_producto': 'COMISION CORTESIA', 'categoria_producto': 'consu', 'cantidad': '1.0', 'valor_unitario': 1.0, 'precio_unitario': 1.18, 'descuento': 0.0, 'subtotal': 1.0, 'porcentaje_de_igv': '18.00', 'igv': 0.18, 'total': 1.18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6"/>
    <x v="40"/>
    <x v="19"/>
    <x v="0"/>
    <n v="1"/>
    <n v="1"/>
    <n v="1.18"/>
    <n v="0"/>
    <n v="1"/>
    <n v="18"/>
    <n v="0.18"/>
    <n v="1.1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09"/>
  </r>
  <r>
    <x v="3"/>
    <x v="463"/>
    <s v="COLABORATIVA S.A.C."/>
    <x v="28"/>
    <d v="2025-11-03T00:00:00"/>
    <x v="25"/>
    <m/>
    <n v="6"/>
    <n v="20611890746"/>
    <s v="[{'id_producto': 17785, 'codigo_producto': 918, 'nom_producto': 'ENTRADAS IMPRESAS - ORDEN DE VENTA N539\n  La Unica Tropical en Camana Arequipa  2000 FULL COLOR GENERAL  1000 BRAZALETES VIP S165200', 'categoria_producto': 'consu', 'cantidad': '1.0', 'valor_unitario': 1400.0, 'precio_unitario': 1652.0, 'descuento': 0.0, 'subtotal': 1400.0, 'porcentaje_de_igv': '18.00', 'igv': 252.0, 'total': 1652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23T00:00:00"/>
    <m/>
    <m/>
    <m/>
    <m/>
    <m/>
    <n v="17785"/>
    <x v="99"/>
    <x v="92"/>
    <x v="0"/>
    <n v="1"/>
    <n v="1400"/>
    <n v="1652"/>
    <n v="0"/>
    <n v="1400"/>
    <n v="18"/>
    <n v="252"/>
    <n v="1652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10"/>
  </r>
  <r>
    <x v="3"/>
    <x v="464"/>
    <s v="COLABORATIVA S.A.C."/>
    <x v="28"/>
    <d v="2025-11-03T00:00:00"/>
    <x v="25"/>
    <m/>
    <n v="6"/>
    <n v="20611890746"/>
    <s v="[{'id_producto': 17784, 'codigo_producto': 877, 'nom_producto': 'COMISION PAGOS DIGITALES SEGUN CONTRATO', 'categoria_producto': 'consu', 'cantidad': '1.0', 'valor_unitario': 2382.31, 'precio_unitario': 2811.12, 'descuento': 0.0, 'subtotal': 2382.31, 'porcentaje_de_igv': '18.00', 'igv': 428.81, 'total': 2811.12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4"/>
    <x v="26"/>
    <x v="6"/>
    <x v="0"/>
    <n v="1"/>
    <n v="2382.31"/>
    <n v="2811.12"/>
    <n v="0"/>
    <n v="2382.31"/>
    <n v="18"/>
    <n v="428.81"/>
    <n v="2811.12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11"/>
  </r>
  <r>
    <x v="3"/>
    <x v="465"/>
    <s v="COLABORATIVA S.A.C."/>
    <x v="28"/>
    <d v="2025-11-03T00:00:00"/>
    <x v="25"/>
    <m/>
    <n v="6"/>
    <n v="20611890746"/>
    <s v="[{'id_producto': 17783, 'codigo_producto': 870, 'nom_producto': 'COMISION VAOPE SEGUN CONTRATO', 'categoria_producto': 'consu', 'cantidad': '1.0', 'valor_unitario': 1468.68, 'precio_unitario': 1733.04, 'descuento': 0.0, 'subtotal': 1468.68, 'porcentaje_de_igv': '18.00', 'igv': 264.36, 'total': 1733.04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3"/>
    <x v="27"/>
    <x v="5"/>
    <x v="0"/>
    <n v="1"/>
    <n v="1468.68"/>
    <n v="1733.04"/>
    <n v="0"/>
    <n v="1468.68"/>
    <n v="18"/>
    <n v="264.36"/>
    <n v="1733.04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12"/>
  </r>
  <r>
    <x v="3"/>
    <x v="466"/>
    <s v="COLABORATIVA S.A.C."/>
    <x v="28"/>
    <d v="2025-11-03T00:00:00"/>
    <x v="71"/>
    <m/>
    <n v="6"/>
    <n v="20609649039"/>
    <s v="[{'id_producto': 17782, 'codigo_producto': 877, 'nom_producto': 'COMISION PAGOS DIGITALES SEGUN CONTRATO', 'categoria_producto': 'consu', 'cantidad': '1.0', 'valor_unitario': 22.0, 'precio_unitario': 25.96, 'descuento': 0.0, 'subtotal': 22.0, 'porcentaje_de_igv': '18.00', 'igv': 3.96, 'total': 25.96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2"/>
    <x v="26"/>
    <x v="6"/>
    <x v="0"/>
    <n v="1"/>
    <n v="22"/>
    <n v="25.96"/>
    <n v="0"/>
    <n v="22"/>
    <n v="18"/>
    <n v="3.96"/>
    <n v="25.96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613"/>
  </r>
  <r>
    <x v="3"/>
    <x v="467"/>
    <s v="COLABORATIVA S.A.C."/>
    <x v="28"/>
    <d v="2025-11-03T00:00:00"/>
    <x v="71"/>
    <m/>
    <n v="6"/>
    <n v="20609649039"/>
    <s v="[{'id_producto': 17781, 'codigo_producto': 870, 'nom_producto': 'COMISION VAOPE SEGUN CONTRATO', 'categoria_producto': 'consu', 'cantidad': '1.0', 'valor_unitario': 20.5, 'precio_unitario': 24.19, 'descuento': 0.0, 'subtotal': 20.5, 'porcentaje_de_igv': '18.00', 'igv': 3.69, 'total': 24.19, 'moneda': '1', 'tipo_de_cambio': 1.0, 'id_estado': 'not_paid', 'nombre_estado': 'Sin pagar', 'evento': {'id_evento': '', 'nom_evento': '', 'fecha_hora_ini_event': '', 'fecha_hora_fin_event': '', 'id_organizador': 1142, 'nom_organizador': 'CARDANO PRODUCCIONE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1"/>
    <x v="27"/>
    <x v="5"/>
    <x v="0"/>
    <n v="1"/>
    <n v="20.5"/>
    <n v="24.19"/>
    <n v="0"/>
    <n v="20.5"/>
    <n v="18"/>
    <n v="3.69"/>
    <n v="24.19"/>
    <n v="1"/>
    <n v="1"/>
    <x v="2"/>
    <x v="2"/>
    <x v="1"/>
    <s v="SAMUEL CHUQUISTA"/>
    <x v="0"/>
    <s v="7012100 MercaderÃ­as-Venta Local-Terceros"/>
    <x v="12"/>
    <x v="32"/>
    <m/>
    <m/>
    <m/>
    <x v="66"/>
    <s v="CARDANO PRODUCCIONES S.A.C."/>
    <s v="Empresa"/>
    <x v="614"/>
  </r>
  <r>
    <x v="3"/>
    <x v="468"/>
    <s v="COLABORATIVA S.A.C."/>
    <x v="28"/>
    <d v="2025-11-03T00:00:00"/>
    <x v="122"/>
    <m/>
    <n v="6"/>
    <n v="20606865199"/>
    <s v="[{'id_producto': 17780, 'codigo_producto': 871, 'nom_producto': 'COMISION PAGOS DIGITALES SEGUN CONTRATO ', 'categoria_producto': 'consu', 'cantidad': '1.0', 'valor_unitario': 52.29, 'precio_unitario': 61.7, 'descuento': 0.0, 'subtotal': 52.29, 'porcentaje_de_igv': '18.00', 'igv': 9.41, 'total': 61.7, 'moneda': '1', 'tipo_de_cambio': 1.0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80"/>
    <x v="39"/>
    <x v="35"/>
    <x v="0"/>
    <n v="1"/>
    <n v="52.29"/>
    <n v="61.7"/>
    <n v="0"/>
    <n v="52.29"/>
    <n v="18"/>
    <n v="9.41"/>
    <n v="61.7"/>
    <n v="1"/>
    <n v="1"/>
    <x v="2"/>
    <x v="2"/>
    <x v="1"/>
    <s v="SAMUEL CHUQUISTA"/>
    <x v="0"/>
    <s v="7012100 MercaderÃ­as-Venta Local-Terceros"/>
    <x v="12"/>
    <x v="32"/>
    <m/>
    <m/>
    <m/>
    <x v="119"/>
    <s v="M.C.A. SERVICIOS INDUSTRIALES E.I.R.L."/>
    <s v="Empresa"/>
    <x v="615"/>
  </r>
  <r>
    <x v="3"/>
    <x v="469"/>
    <s v="COLABORATIVA S.A.C."/>
    <x v="28"/>
    <d v="2025-11-03T00:00:00"/>
    <x v="122"/>
    <m/>
    <n v="6"/>
    <n v="20606865199"/>
    <s v="[{'id_producto': 17779, 'codigo_producto': 870, 'nom_producto': 'COMISION VAOPE SEGUN CONTRATO', 'categoria_producto': 'consu', 'cantidad': '1.0', 'valor_unitario': 32.2, 'precio_unitario': 38.0, 'descuento': 0.0, 'subtotal': 32.2, 'porcentaje_de_igv': '18.00', 'igv': 5.8, 'total': 38.0, 'moneda': '1', 'tipo_de_cambio': 1.0, 'id_estado': 'not_paid', 'nombre_estado': 'Sin pagar', 'evento': {'id_evento': '', 'nom_evento': '', 'fecha_hora_ini_event': '', 'fecha_hora_fin_event': '', 'id_organizador': 1129, 'nom_organizador': 'M.C.A. SERVICIOS INDUSTRIALES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23T00:00:00"/>
    <m/>
    <m/>
    <m/>
    <m/>
    <m/>
    <n v="17779"/>
    <x v="27"/>
    <x v="5"/>
    <x v="0"/>
    <n v="1"/>
    <n v="32.200000000000003"/>
    <n v="38"/>
    <n v="0"/>
    <n v="32.200000000000003"/>
    <n v="18"/>
    <n v="5.8"/>
    <n v="38"/>
    <n v="1"/>
    <n v="1"/>
    <x v="2"/>
    <x v="2"/>
    <x v="1"/>
    <s v="SAMUEL CHUQUISTA"/>
    <x v="0"/>
    <s v="7012100 MercaderÃ­as-Venta Local-Terceros"/>
    <x v="12"/>
    <x v="32"/>
    <m/>
    <m/>
    <m/>
    <x v="119"/>
    <s v="M.C.A. SERVICIOS INDUSTRIALES E.I.R.L."/>
    <s v="Empresa"/>
    <x v="616"/>
  </r>
  <r>
    <x v="2"/>
    <x v="470"/>
    <s v="COLABORATIVA S.A.C."/>
    <x v="29"/>
    <d v="2025-11-03T00:00:00"/>
    <x v="123"/>
    <m/>
    <n v="6"/>
    <n v="20609670518"/>
    <s v="[{'id_producto': 17778, 'codigo_producto': 917, 'nom_producto': 'BRAZALETES STICKERS SIN ZONA - CARNABRAVAZO - 09 DE MARZO - I - P Y  PERSONAL DELIVERY', 'categoria_producto': 'consu', 'cantidad': '1.0', 'valor_unitario': 1230.0, 'precio_unitario': 1451.4, 'descuento': 0.0, 'subtotal': 1230.0, 'porcentaje_de_igv': '18.00', 'igv': 221.4, 'total': 1451.4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7778"/>
    <x v="100"/>
    <x v="93"/>
    <x v="0"/>
    <n v="1"/>
    <n v="1230"/>
    <n v="1451.4"/>
    <n v="0"/>
    <n v="1230"/>
    <n v="18"/>
    <n v="221.4"/>
    <n v="1451.4"/>
    <n v="1"/>
    <n v="1"/>
    <x v="2"/>
    <x v="2"/>
    <x v="1"/>
    <s v="SAMUEL CHUQUISTA"/>
    <x v="0"/>
    <s v="7012100 MercaderÃ­as-Venta Local-Terceros"/>
    <x v="11"/>
    <x v="32"/>
    <m/>
    <m/>
    <m/>
    <x v="120"/>
    <s v="FIESTAS BRAVAS GROUP S.A.C."/>
    <s v="Empresa"/>
    <x v="617"/>
  </r>
  <r>
    <x v="2"/>
    <x v="471"/>
    <s v="COLABORATIVA S.A.C."/>
    <x v="29"/>
    <d v="2025-11-03T00:00:00"/>
    <x v="0"/>
    <m/>
    <n v="6"/>
    <n v="20611018925"/>
    <s v="[{'id_producto': 17777, 'codigo_producto': 916, 'nom_producto': 'ENTRADAS IMPRESAS FULL COLOR -CORAZON SERRANO PAITA- 2001 ', 'categoria_producto': 'consu', 'cantidad': '1.0', 'valor_unitario': 720.0, 'precio_unitario': 849.6, 'descuento': 0.0, 'subtotal': 720.0, 'porcentaje_de_igv': '18.00', 'igv': 129.6, 'total': 849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7777"/>
    <x v="101"/>
    <x v="94"/>
    <x v="0"/>
    <n v="1"/>
    <n v="720"/>
    <n v="849.6"/>
    <n v="0"/>
    <n v="720"/>
    <n v="18"/>
    <n v="129.6"/>
    <n v="849.6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618"/>
  </r>
  <r>
    <x v="2"/>
    <x v="472"/>
    <s v="COLABORATIVA S.A.C."/>
    <x v="29"/>
    <d v="2025-11-03T00:00:00"/>
    <x v="0"/>
    <m/>
    <n v="6"/>
    <n v="20611018925"/>
    <s v="[{'id_producto': 17776, 'codigo_producto': 915, 'nom_producto': 'ENTRADAS IMPRESAS FULL COLOR - CORAZON SERRANO VICE- 1901', 'categoria_producto': 'consu', 'cantidad': '1.0', 'valor_unitario': 720.0, 'precio_unitario': 849.6, 'descuento': 0.0, 'subtotal': 720.0, 'porcentaje_de_igv': '18.00', 'igv': 129.6, 'total': 849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7776"/>
    <x v="102"/>
    <x v="95"/>
    <x v="0"/>
    <n v="1"/>
    <n v="720"/>
    <n v="849.6"/>
    <n v="0"/>
    <n v="720"/>
    <n v="18"/>
    <n v="129.6"/>
    <n v="849.6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619"/>
  </r>
  <r>
    <x v="2"/>
    <x v="473"/>
    <s v="COLABORATIVA S.A.C."/>
    <x v="29"/>
    <d v="2025-11-03T00:00:00"/>
    <x v="0"/>
    <m/>
    <n v="6"/>
    <n v="20611018925"/>
    <s v="[{'id_producto': 17775, 'codigo_producto': 914, 'nom_producto': 'ENTRADAS IMPRESAS FULL COLOR -CORAZON SERRANO PARACHIQUE- 1701 Y PERSONAL DELIVERY', 'categoria_producto': 'consu', 'cantidad': '1.0', 'valor_unitario': 209.66, 'precio_unitario': 247.4, 'descuento': 0.0, 'subtotal': 209.66, 'porcentaje_de_igv': '18.00', 'igv': 37.74, 'total': 247.4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16T00:00:00"/>
    <m/>
    <m/>
    <m/>
    <m/>
    <m/>
    <n v="17775"/>
    <x v="103"/>
    <x v="96"/>
    <x v="0"/>
    <n v="1"/>
    <n v="209.66"/>
    <n v="247.4"/>
    <n v="0"/>
    <n v="209.66"/>
    <n v="18"/>
    <n v="37.74"/>
    <n v="247.4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620"/>
  </r>
  <r>
    <x v="4"/>
    <x v="474"/>
    <s v="COLABORATIVA S.A.C."/>
    <x v="30"/>
    <d v="2025-11-03T00:00:00"/>
    <x v="124"/>
    <m/>
    <n v="1"/>
    <n v="47929429"/>
    <s v="[{'id_producto': 18786, 'codigo_producto': 877, 'nom_producto': 'COMISION PAGOS DIGITALES SEGUN CONTRATO', 'categoria_producto': 'consu', 'cantidad': '1.0', 'valor_unitario': 109.83, 'precio_unitario': 129.6, 'descuento': 0.0, 'subtotal': 109.83, 'porcentaje_de_igv': '18.00', 'igv': 19.77, 'total': 129.6, 'moneda': '1', 'tipo_de_cambio': 1.0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8786"/>
    <x v="26"/>
    <x v="6"/>
    <x v="0"/>
    <n v="1"/>
    <n v="109.83"/>
    <n v="129.6"/>
    <n v="0"/>
    <n v="109.83"/>
    <n v="18"/>
    <n v="19.77"/>
    <n v="129.6"/>
    <n v="1"/>
    <n v="1"/>
    <x v="2"/>
    <x v="2"/>
    <x v="1"/>
    <s v="SAMUEL CHUQUISTA"/>
    <x v="0"/>
    <s v="7012100 MercaderÃ­as-Venta Local-Terceros"/>
    <x v="12"/>
    <x v="32"/>
    <m/>
    <m/>
    <m/>
    <x v="121"/>
    <s v="GEINER DAVID QUIROZ GIL_x000a_"/>
    <s v="Persona"/>
    <x v="621"/>
  </r>
  <r>
    <x v="4"/>
    <x v="475"/>
    <s v="COLABORATIVA S.A.C."/>
    <x v="30"/>
    <d v="2025-11-03T00:00:00"/>
    <x v="124"/>
    <m/>
    <n v="1"/>
    <n v="47929429"/>
    <s v="[{'id_producto': 18785, 'codigo_producto': 878, 'nom_producto': 'COMISION VAOPE SEGUN CONTRATO ', 'categoria_producto': 'consu', 'cantidad': '1.0', 'valor_unitario': 61.02, 'precio_unitario': 72.0, 'descuento': 0.0, 'subtotal': 61.02, 'porcentaje_de_igv': '18.00', 'igv': 10.98, 'total': 72.0, 'moneda': '1', 'tipo_de_cambio': 1.0, 'id_estado': 'not_paid', 'nombre_estado': 'Sin pagar', 'evento': {'id_evento': '', 'nom_evento': '', 'fecha_hora_ini_event': '', 'fecha_hora_fin_event': '', 'id_organizador': 1161, 'nom_organizador': 'GEINER DAVID QUIROZ GIL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8785"/>
    <x v="64"/>
    <x v="57"/>
    <x v="0"/>
    <n v="1"/>
    <n v="61.02"/>
    <n v="72"/>
    <n v="0"/>
    <n v="61.02"/>
    <n v="18"/>
    <n v="10.98"/>
    <n v="72"/>
    <n v="1"/>
    <n v="1"/>
    <x v="2"/>
    <x v="2"/>
    <x v="1"/>
    <s v="SAMUEL CHUQUISTA"/>
    <x v="0"/>
    <s v="7012100 MercaderÃ­as-Venta Local-Terceros"/>
    <x v="12"/>
    <x v="32"/>
    <m/>
    <m/>
    <m/>
    <x v="121"/>
    <s v="GEINER DAVID QUIROZ GIL_x000a_"/>
    <s v="Persona"/>
    <x v="622"/>
  </r>
  <r>
    <x v="3"/>
    <x v="476"/>
    <s v="COLABORATIVA S.A.C."/>
    <x v="30"/>
    <d v="2025-11-03T00:00:00"/>
    <x v="21"/>
    <s v="Cliente"/>
    <n v="6"/>
    <n v="20296011356"/>
    <s v="[{'id_producto': 17774, 'codigo_producto': 913, 'nom_producto': 'PERSONAL - Servicio de 02 validadores Inc IGV', 'categoria_producto': 'consu', 'cantidad': '1.0', 'valor_unitario': 300.0, 'precio_unitario': 354.0, 'descuento': 0.0, 'subtotal': 300.0, 'porcentaje_de_igv': '18.00', 'igv': 54.0, 'total': 354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15T00:00:00"/>
    <m/>
    <m/>
    <m/>
    <m/>
    <m/>
    <n v="17774"/>
    <x v="75"/>
    <x v="68"/>
    <x v="0"/>
    <n v="1"/>
    <n v="300"/>
    <n v="354"/>
    <n v="0"/>
    <n v="300"/>
    <n v="18"/>
    <n v="54"/>
    <n v="354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623"/>
  </r>
  <r>
    <x v="3"/>
    <x v="477"/>
    <s v="COLABORATIVA S.A.C."/>
    <x v="30"/>
    <d v="2025-11-03T00:00:00"/>
    <x v="21"/>
    <s v="Cliente"/>
    <n v="6"/>
    <n v="20296011356"/>
    <s v="[{'id_producto': 17773, 'codigo_producto': 877, 'nom_producto': 'COMISION PAGOS DIGITALES SEGUN CONTRATO', 'categoria_producto': 'consu', 'cantidad': '1.0', 'valor_unitario': 933.64, 'precio_unitario': 1101.7, 'descuento': 0.0, 'subtotal': 933.64, 'porcentaje_de_igv': '18.00', 'igv': 168.06, 'total': 1101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73"/>
    <x v="26"/>
    <x v="6"/>
    <x v="0"/>
    <n v="1"/>
    <n v="933.64"/>
    <n v="1101.7"/>
    <n v="0"/>
    <n v="933.64"/>
    <n v="18"/>
    <n v="168.06"/>
    <n v="1101.7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24"/>
  </r>
  <r>
    <x v="3"/>
    <x v="478"/>
    <s v="COLABORATIVA S.A.C."/>
    <x v="30"/>
    <d v="2025-11-03T00:00:00"/>
    <x v="21"/>
    <s v="Cliente"/>
    <n v="6"/>
    <n v="20296011356"/>
    <s v="[{'id_producto': 17772, 'codigo_producto': 870, 'nom_producto': 'COMISION VAOPE SEGUN CONTRATO', 'categoria_producto': 'consu', 'cantidad': '1.0', 'valor_unitario': 364.66, 'precio_unitario': 430.3, 'descuento': 0.0, 'subtotal': 364.66, 'porcentaje_de_igv': '18.00', 'igv': 65.64, 'total': 430.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72"/>
    <x v="27"/>
    <x v="5"/>
    <x v="0"/>
    <n v="1"/>
    <n v="364.66"/>
    <n v="430.3"/>
    <n v="0"/>
    <n v="364.66"/>
    <n v="18"/>
    <n v="65.64"/>
    <n v="430.3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25"/>
  </r>
  <r>
    <x v="3"/>
    <x v="479"/>
    <s v="COLABORATIVA S.A.C."/>
    <x v="30"/>
    <d v="2025-11-03T00:00:00"/>
    <x v="98"/>
    <m/>
    <n v="6"/>
    <n v="20516587874"/>
    <s v="[{'id_producto': 17771, 'codigo_producto': 874, 'nom_producto': 'COMISION CORTESIA', 'categoria_producto': 'consu', 'cantidad': '1.0', 'valor_unitario': 7.5, 'precio_unitario': 8.85, 'descuento': 0.0, 'subtotal': 7.5, 'porcentaje_de_igv': '18.00', 'igv': 1.35, 'total': 8.85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71"/>
    <x v="40"/>
    <x v="19"/>
    <x v="0"/>
    <n v="1"/>
    <n v="7.5"/>
    <n v="8.85"/>
    <n v="0"/>
    <n v="7.5"/>
    <n v="18"/>
    <n v="1.35"/>
    <n v="8.85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626"/>
  </r>
  <r>
    <x v="3"/>
    <x v="480"/>
    <s v="COLABORATIVA S.A.C."/>
    <x v="30"/>
    <d v="2025-11-03T00:00:00"/>
    <x v="98"/>
    <m/>
    <n v="6"/>
    <n v="20516587874"/>
    <s v="[{'id_producto': 17770, 'codigo_producto': 877, 'nom_producto': 'COMISION PAGOS DIGITALES SEGUN CONTRATO', 'categoria_producto': 'consu', 'cantidad': '1.0', 'valor_unitario': 95.0, 'precio_unitario': 112.1, 'descuento': 0.0, 'subtotal': 95.0, 'porcentaje_de_igv': '18.00', 'igv': 17.1, 'total': 112.1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70"/>
    <x v="26"/>
    <x v="6"/>
    <x v="0"/>
    <n v="1"/>
    <n v="95"/>
    <n v="112.1"/>
    <n v="0"/>
    <n v="95"/>
    <n v="18"/>
    <n v="17.100000000000001"/>
    <n v="112.1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627"/>
  </r>
  <r>
    <x v="3"/>
    <x v="481"/>
    <s v="COLABORATIVA S.A.C."/>
    <x v="30"/>
    <d v="2025-11-03T00:00:00"/>
    <x v="98"/>
    <m/>
    <n v="6"/>
    <n v="20516587874"/>
    <s v="[{'id_producto': 17769, 'codigo_producto': 870, 'nom_producto': 'COMISION VAOPE SEGUN CONTRATO', 'categoria_producto': 'consu', 'cantidad': '1.0', 'valor_unitario': 56.69, 'precio_unitario': 66.9, 'descuento': 0.0, 'subtotal': 56.69, 'porcentaje_de_igv': '18.00', 'igv': 10.21, 'total': 66.9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69"/>
    <x v="27"/>
    <x v="5"/>
    <x v="0"/>
    <n v="1"/>
    <n v="56.69"/>
    <n v="66.900000000000006"/>
    <n v="0"/>
    <n v="56.69"/>
    <n v="18"/>
    <n v="10.210000000000001"/>
    <n v="66.900000000000006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628"/>
  </r>
  <r>
    <x v="4"/>
    <x v="482"/>
    <s v="COLABORATIVA S.A.C."/>
    <x v="30"/>
    <d v="2025-11-03T00:00:00"/>
    <x v="101"/>
    <m/>
    <n v="1"/>
    <n v="45273802"/>
    <s v="[{'id_producto': 17768, 'codigo_producto': 877, 'nom_producto': 'COMISION PAGOS DIGITALES SEGUN CONTRATO', 'categoria_producto': 'consu', 'cantidad': '1.0', 'valor_unitario': 518.81, 'precio_unitario': 612.2, 'descuento': 0.0, 'subtotal': 518.81, 'porcentaje_de_igv': '18.00', 'igv': 93.39, 'total': 612.2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68"/>
    <x v="26"/>
    <x v="6"/>
    <x v="0"/>
    <n v="1"/>
    <n v="518.80999999999995"/>
    <n v="612.20000000000005"/>
    <n v="0"/>
    <n v="518.80999999999995"/>
    <n v="18"/>
    <n v="93.39"/>
    <n v="612.20000000000005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629"/>
  </r>
  <r>
    <x v="4"/>
    <x v="483"/>
    <s v="COLABORATIVA S.A.C."/>
    <x v="30"/>
    <d v="2025-11-03T00:00:00"/>
    <x v="101"/>
    <m/>
    <n v="1"/>
    <n v="45273802"/>
    <s v="[{'id_producto': 17767, 'codigo_producto': 870, 'nom_producto': 'COMISION VAOPE SEGUN CONTRATO', 'categoria_producto': 'consu', 'cantidad': '1.0', 'valor_unitario': 511.53, 'precio_unitario': 603.6, 'descuento': 0.0, 'subtotal': 511.53, 'porcentaje_de_igv': '18.00', 'igv': 92.07, 'total': 603.6, 'moneda': '1', 'tipo_de_cambio': 1.0, 'id_estado': 'not_paid', 'nombre_estado': 'Sin pagar', 'evento': {'id_evento': '', 'nom_evento': '', 'fecha_hora_ini_event': '', 'fecha_hora_fin_event': '', 'id_organizador': 1174, 'nom_organizador': 'JAVIER ABEL SANCHEZ NUNTO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15T00:00:00"/>
    <m/>
    <m/>
    <m/>
    <m/>
    <m/>
    <n v="17767"/>
    <x v="27"/>
    <x v="5"/>
    <x v="0"/>
    <n v="1"/>
    <n v="511.53"/>
    <n v="603.6"/>
    <n v="0"/>
    <n v="511.53"/>
    <n v="18"/>
    <n v="92.07"/>
    <n v="603.6"/>
    <n v="1"/>
    <n v="1"/>
    <x v="2"/>
    <x v="2"/>
    <x v="1"/>
    <s v="SAMUEL CHUQUISTA"/>
    <x v="0"/>
    <s v="7012100 MercaderÃ­as-Venta Local-Terceros"/>
    <x v="12"/>
    <x v="32"/>
    <m/>
    <m/>
    <m/>
    <x v="98"/>
    <s v="JAVIER ABEL SANCHEZ NUNTON"/>
    <s v="Persona"/>
    <x v="630"/>
  </r>
  <r>
    <x v="2"/>
    <x v="484"/>
    <s v="COLABORATIVA S.A.C."/>
    <x v="31"/>
    <d v="2025-11-03T00:00:00"/>
    <x v="0"/>
    <m/>
    <n v="6"/>
    <n v="20611018925"/>
    <s v="[{'id_producto': 17766, 'codigo_producto': 912, 'nom_producto': 'BRAZALETES VIP-CORAZON SERRANO SAN JUAN DE BIGOTE- 1101 ENTRADAS IMPRESAS FULL COLOR PERSONAL DELIVERY', 'categoria_producto': 'consu', 'cantidad': '1.0', 'valor_unitario': 976.5, 'precio_unitario': 1152.27, 'descuento': 0.0, 'subtotal': 976.5, 'porcentaje_de_igv': '18.00', 'igv': 175.77, 'total': 1152.27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7766"/>
    <x v="104"/>
    <x v="97"/>
    <x v="0"/>
    <n v="1"/>
    <n v="976.5"/>
    <n v="1152.27"/>
    <n v="0"/>
    <n v="976.5"/>
    <n v="18"/>
    <n v="175.77"/>
    <n v="1152.27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631"/>
  </r>
  <r>
    <x v="2"/>
    <x v="485"/>
    <s v="COLABORATIVA S.A.C."/>
    <x v="31"/>
    <d v="2025-11-03T00:00:00"/>
    <x v="0"/>
    <m/>
    <n v="6"/>
    <n v="20611018925"/>
    <s v="[{'id_producto': 17765, 'codigo_producto': 911, 'nom_producto': 'BRAZALETES vip- CORAZON SERRANO CRUCETA - 1001 Y ENTRADAS IMPRESAS FULL COLOR', 'categoria_producto': 'consu', 'cantidad': '1.0', 'valor_unitario': 970.0, 'precio_unitario': 1144.6, 'descuento': 0.0, 'subtotal': 970.0, 'porcentaje_de_igv': '18.00', 'igv': 174.6, 'total': 1144.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9T00:00:00"/>
    <m/>
    <m/>
    <m/>
    <m/>
    <m/>
    <n v="17765"/>
    <x v="105"/>
    <x v="98"/>
    <x v="0"/>
    <n v="1"/>
    <n v="970"/>
    <n v="1144.5999999999999"/>
    <n v="0"/>
    <n v="970"/>
    <n v="18"/>
    <n v="174.6"/>
    <n v="1144.5999999999999"/>
    <n v="1"/>
    <n v="1"/>
    <x v="2"/>
    <x v="2"/>
    <x v="1"/>
    <s v="SAMUEL CHUQUISTA"/>
    <x v="0"/>
    <s v="7012100 MercaderÃ­as-Venta Local-Terceros"/>
    <x v="11"/>
    <x v="32"/>
    <m/>
    <m/>
    <m/>
    <x v="0"/>
    <s v="G &amp; N MUSIC S.A.C."/>
    <s v="Empresa"/>
    <x v="632"/>
  </r>
  <r>
    <x v="3"/>
    <x v="486"/>
    <s v="COLABORATIVA S.A.C."/>
    <x v="32"/>
    <d v="2025-11-03T00:00:00"/>
    <x v="67"/>
    <s v="Cliente"/>
    <n v="6"/>
    <n v="20608361074"/>
    <s v="[{'id_producto': 17764, 'codigo_producto': 910, 'nom_producto': 'COMISION CORTESIA - JP PRODUCCIONES GENERALES SAC', 'categoria_producto': 'consu', 'cantidad': '1.0', 'valor_unitario': 44.97, 'precio_unitario': 53.07, 'descuento': 0.0, 'subtotal': 44.97, 'porcentaje_de_igv': '18.00', 'igv': 8.1, 'total': 53.07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64"/>
    <x v="106"/>
    <x v="99"/>
    <x v="0"/>
    <n v="1"/>
    <n v="44.97"/>
    <n v="53.07"/>
    <n v="0"/>
    <n v="44.97"/>
    <n v="18"/>
    <n v="8.1"/>
    <n v="53.07"/>
    <n v="1"/>
    <n v="1"/>
    <x v="2"/>
    <x v="2"/>
    <x v="1"/>
    <s v="SAMUEL CHUQUISTA"/>
    <x v="0"/>
    <s v="7012100 MercaderÃ­as-Venta Local-Terceros"/>
    <x v="12"/>
    <x v="32"/>
    <m/>
    <m/>
    <m/>
    <x v="63"/>
    <s v="JP Producciones Generales EIRL"/>
    <s v="Empresa"/>
    <x v="633"/>
  </r>
  <r>
    <x v="3"/>
    <x v="487"/>
    <s v="COLABORATIVA S.A.C."/>
    <x v="32"/>
    <d v="2025-11-03T00:00:00"/>
    <x v="67"/>
    <s v="Cliente"/>
    <n v="6"/>
    <n v="20608361074"/>
    <s v="[{'id_producto': 17763, 'codigo_producto': 909, 'nom_producto': 'PERSONAL - VALIDADORES- JP PRODUCCIONES GENERALES SAC', 'categoria_producto': 'consu', 'cantidad': '1.0', 'valor_unitario': 210.0, 'precio_unitario': 247.8, 'descuento': 0.0, 'subtotal': 210.0, 'porcentaje_de_igv': '18.00', 'igv': 37.8, 'total': 247.8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7763"/>
    <x v="107"/>
    <x v="100"/>
    <x v="0"/>
    <n v="1"/>
    <n v="210"/>
    <n v="247.8"/>
    <n v="0"/>
    <n v="210"/>
    <n v="18"/>
    <n v="37.799999999999997"/>
    <n v="247.8"/>
    <n v="1"/>
    <n v="1"/>
    <x v="2"/>
    <x v="2"/>
    <x v="1"/>
    <s v="SAMUEL CHUQUISTA"/>
    <x v="0"/>
    <s v="7012100 MercaderÃ­as-Venta Local-Terceros"/>
    <x v="5"/>
    <x v="32"/>
    <m/>
    <m/>
    <m/>
    <x v="63"/>
    <s v="JP Producciones Generales EIRL"/>
    <s v="Empresa"/>
    <x v="634"/>
  </r>
  <r>
    <x v="3"/>
    <x v="488"/>
    <s v="COLABORATIVA S.A.C."/>
    <x v="32"/>
    <d v="2025-11-03T00:00:00"/>
    <x v="67"/>
    <s v="Cliente"/>
    <n v="6"/>
    <n v="20608361074"/>
    <s v="[{'id_producto': 17762, 'codigo_producto': 908, 'nom_producto': 'COMISION PAGOS DIGITALES SEGUN CONTRATO - JP PRODUCCIONES GENERALES SAC', 'categoria_producto': 'consu', 'cantidad': '1.0', 'valor_unitario': 2551.03, 'precio_unitario': 3010.21, 'descuento': 0.0, 'subtotal': 2551.03, 'porcentaje_de_igv': '18.00', 'igv': 459.18, 'total': 3010.21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62"/>
    <x v="108"/>
    <x v="101"/>
    <x v="0"/>
    <n v="1"/>
    <n v="2551.0300000000002"/>
    <n v="3010.21"/>
    <n v="0"/>
    <n v="2551.0300000000002"/>
    <n v="18"/>
    <n v="459.18"/>
    <n v="3010.21"/>
    <n v="1"/>
    <n v="1"/>
    <x v="2"/>
    <x v="2"/>
    <x v="1"/>
    <s v="SAMUEL CHUQUISTA"/>
    <x v="0"/>
    <s v="7012100 MercaderÃ­as-Venta Local-Terceros"/>
    <x v="12"/>
    <x v="32"/>
    <m/>
    <m/>
    <m/>
    <x v="63"/>
    <s v="JP Producciones Generales EIRL"/>
    <s v="Empresa"/>
    <x v="635"/>
  </r>
  <r>
    <x v="3"/>
    <x v="489"/>
    <s v="COLABORATIVA S.A.C."/>
    <x v="32"/>
    <d v="2025-11-03T00:00:00"/>
    <x v="67"/>
    <s v="Cliente"/>
    <n v="6"/>
    <n v="20608361074"/>
    <s v="[{'id_producto': 17761, 'codigo_producto': 907, 'nom_producto': 'COMISION VAOPE SEGUN CONTRATO - JP PRODUCCIONES GENERALES SAC', 'categoria_producto': 'consu', 'cantidad': '1.0', 'valor_unitario': 1594.55, 'precio_unitario': 1881.57, 'descuento': 0.0, 'subtotal': 1594.55, 'porcentaje_de_igv': '18.00', 'igv': 287.02, 'total': 1881.57, 'moneda': '1', 'tipo_de_cambio': 1.0, 'id_estado': 'not_paid', 'nombre_estado': 'Sin pagar', 'evento': {'id_evento': '', 'nom_evento': '', 'fecha_hora_ini_event': '', 'fecha_hora_fin_event': '', 'id_organizador': 397, 'nom_organizador': 'JP Producciones Generales EIRL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61"/>
    <x v="109"/>
    <x v="102"/>
    <x v="0"/>
    <n v="1"/>
    <n v="1594.55"/>
    <n v="1881.57"/>
    <n v="0"/>
    <n v="1594.55"/>
    <n v="18"/>
    <n v="287.02"/>
    <n v="1881.57"/>
    <n v="1"/>
    <n v="1"/>
    <x v="2"/>
    <x v="2"/>
    <x v="1"/>
    <s v="SAMUEL CHUQUISTA"/>
    <x v="0"/>
    <s v="7012100 MercaderÃ­as-Venta Local-Terceros"/>
    <x v="12"/>
    <x v="32"/>
    <m/>
    <m/>
    <m/>
    <x v="63"/>
    <s v="JP Producciones Generales EIRL"/>
    <s v="Empresa"/>
    <x v="636"/>
  </r>
  <r>
    <x v="3"/>
    <x v="490"/>
    <s v="COLABORATIVA S.A.C."/>
    <x v="32"/>
    <d v="2025-11-03T00:00:00"/>
    <x v="0"/>
    <m/>
    <n v="6"/>
    <n v="20611018925"/>
    <s v="[{'id_producto': 17760, 'codigo_producto': 906, 'nom_producto': 'COMISION CORTESIA - GN MUSIC SAC', 'categoria_producto': 'consu', 'cantidad': '1.0', 'valor_unitario': 83.53, 'precio_unitario': 98.56, 'descuento': 0.0, 'subtotal': 83.53, 'porcentaje_de_igv': '18.00', 'igv': 15.03, 'total': 98.56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60"/>
    <x v="110"/>
    <x v="103"/>
    <x v="0"/>
    <n v="1"/>
    <n v="83.53"/>
    <n v="98.56"/>
    <n v="0"/>
    <n v="83.53"/>
    <n v="18"/>
    <n v="15.03"/>
    <n v="98.56"/>
    <n v="1"/>
    <n v="1"/>
    <x v="2"/>
    <x v="2"/>
    <x v="1"/>
    <s v="SAMUEL CHUQUISTA"/>
    <x v="0"/>
    <s v="7012100 MercaderÃ­as-Venta Local-Terceros"/>
    <x v="12"/>
    <x v="32"/>
    <m/>
    <m/>
    <m/>
    <x v="0"/>
    <s v="G &amp; N MUSIC S.A.C."/>
    <s v="Empresa"/>
    <x v="637"/>
  </r>
  <r>
    <x v="3"/>
    <x v="491"/>
    <s v="COLABORATIVA S.A.C."/>
    <x v="32"/>
    <d v="2025-11-03T00:00:00"/>
    <x v="0"/>
    <m/>
    <n v="6"/>
    <n v="20611018925"/>
    <s v="[{'id_producto': 17759, 'codigo_producto': 905, 'nom_producto': 'COMISION PAGOS DIGITALES SEGUN CONTRATO - GN MUSIC SAC ', 'categoria_producto': 'consu', 'cantidad': '1.0', 'valor_unitario': 4737.62, 'precio_unitario': 5590.39, 'descuento': 0.0, 'subtotal': 4737.62, 'porcentaje_de_igv': '18.00', 'igv': 852.77, 'total': 5590.39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9"/>
    <x v="111"/>
    <x v="104"/>
    <x v="0"/>
    <n v="1"/>
    <n v="4737.62"/>
    <n v="5590.39"/>
    <n v="0"/>
    <n v="4737.62"/>
    <n v="18"/>
    <n v="852.77"/>
    <n v="5590.39"/>
    <n v="1"/>
    <n v="1"/>
    <x v="2"/>
    <x v="2"/>
    <x v="1"/>
    <s v="SAMUEL CHUQUISTA"/>
    <x v="0"/>
    <s v="7012100 MercaderÃ­as-Venta Local-Terceros"/>
    <x v="12"/>
    <x v="32"/>
    <m/>
    <m/>
    <m/>
    <x v="0"/>
    <s v="G &amp; N MUSIC S.A.C."/>
    <s v="Empresa"/>
    <x v="638"/>
  </r>
  <r>
    <x v="3"/>
    <x v="492"/>
    <s v="COLABORATIVA S.A.C."/>
    <x v="32"/>
    <d v="2025-11-03T00:00:00"/>
    <x v="0"/>
    <m/>
    <n v="6"/>
    <n v="20611018925"/>
    <s v="[{'id_producto': 17758, 'codigo_producto': 904, 'nom_producto': 'COMISION VAOPE SEGUN CONTRATO - GN MUSIC SAC', 'categoria_producto': 'consu', 'cantidad': '1.0', 'valor_unitario': 2961.31, 'precio_unitario': 3494.34, 'descuento': 0.0, 'subtotal': 2961.31, 'porcentaje_de_igv': '18.00', 'igv': 533.03, 'total': 3494.34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8"/>
    <x v="112"/>
    <x v="105"/>
    <x v="0"/>
    <n v="1"/>
    <n v="2961.31"/>
    <n v="3494.34"/>
    <n v="0"/>
    <n v="2961.31"/>
    <n v="18"/>
    <n v="533.03"/>
    <n v="3494.34"/>
    <n v="1"/>
    <n v="1"/>
    <x v="2"/>
    <x v="2"/>
    <x v="1"/>
    <s v="SAMUEL CHUQUISTA"/>
    <x v="0"/>
    <s v="7012100 MercaderÃ­as-Venta Local-Terceros"/>
    <x v="12"/>
    <x v="32"/>
    <m/>
    <m/>
    <m/>
    <x v="0"/>
    <s v="G &amp; N MUSIC S.A.C."/>
    <s v="Empresa"/>
    <x v="639"/>
  </r>
  <r>
    <x v="3"/>
    <x v="493"/>
    <s v="COLABORATIVA S.A.C."/>
    <x v="32"/>
    <d v="2025-11-03T00:00:00"/>
    <x v="0"/>
    <m/>
    <n v="6"/>
    <n v="20611018925"/>
    <s v="[{'id_producto': 17757, 'codigo_producto': 903, 'nom_producto': 'PERSONAL - Servicio de 04 validadores Inc IGV ', 'categoria_producto': 'consu', 'cantidad': '1.0', 'valor_unitario': 390.0, 'precio_unitario': 460.2, 'descuento': 0.0, 'subtotal': 390.0, 'porcentaje_de_igv': '18.00', 'igv': 70.2, 'total': 460.2, 'moneda': '1', 'tipo_de_cambio': 1.0, 'id_estado': 'not_paid', 'nombre_estado': 'Sin pagar', 'evento': {'id_evento': '', 'nom_evento': '', 'fecha_hora_ini_event': '', 'fecha_hora_fin_event': '', 'id_organizador': 1128, 'nom_organizador': 'G &amp; N MUSIC S.A.C.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7757"/>
    <x v="113"/>
    <x v="106"/>
    <x v="0"/>
    <n v="1"/>
    <n v="390"/>
    <n v="460.2"/>
    <n v="0"/>
    <n v="390"/>
    <n v="18"/>
    <n v="70.2"/>
    <n v="460.2"/>
    <n v="1"/>
    <n v="1"/>
    <x v="2"/>
    <x v="2"/>
    <x v="1"/>
    <s v="SAMUEL CHUQUISTA"/>
    <x v="0"/>
    <s v="7012100 MercaderÃ­as-Venta Local-Terceros"/>
    <x v="5"/>
    <x v="32"/>
    <m/>
    <m/>
    <m/>
    <x v="0"/>
    <s v="G &amp; N MUSIC S.A.C."/>
    <s v="Empresa"/>
    <x v="640"/>
  </r>
  <r>
    <x v="3"/>
    <x v="494"/>
    <s v="COLABORATIVA S.A.C."/>
    <x v="32"/>
    <d v="2025-11-03T00:00:00"/>
    <x v="23"/>
    <m/>
    <n v="6"/>
    <n v="20604570451"/>
    <s v="[{'id_producto': 17756, 'codigo_producto': 877, 'nom_producto': 'COMISION PAGOS DIGITALES SEGUN CONTRATO', 'categoria_producto': 'consu', 'cantidad': '1.0', 'valor_unitario': 788.9, 'precio_unitario': 930.9, 'descuento': 0.0, 'subtotal': 788.9, 'porcentaje_de_igv': '18.00', 'igv': 142.0, 'total': 930.9, 'moneda': '1', 'tipo_de_cambio': 1.0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6"/>
    <x v="26"/>
    <x v="6"/>
    <x v="0"/>
    <n v="1"/>
    <n v="788.9"/>
    <n v="930.9"/>
    <n v="0"/>
    <n v="788.9"/>
    <n v="18"/>
    <n v="142"/>
    <n v="930.9"/>
    <n v="1"/>
    <n v="1"/>
    <x v="2"/>
    <x v="2"/>
    <x v="1"/>
    <s v="SAMUEL CHUQUISTA"/>
    <x v="0"/>
    <s v="7012100 MercaderÃ­as-Venta Local-Terceros"/>
    <x v="12"/>
    <x v="32"/>
    <m/>
    <m/>
    <m/>
    <x v="23"/>
    <s v="PROMOTORA Y SONIDO MUSICAL WC E.I.R.L."/>
    <s v="Empresa"/>
    <x v="641"/>
  </r>
  <r>
    <x v="3"/>
    <x v="495"/>
    <s v="COLABORATIVA S.A.C."/>
    <x v="32"/>
    <d v="2025-11-03T00:00:00"/>
    <x v="23"/>
    <m/>
    <n v="6"/>
    <n v="20604570451"/>
    <s v="[{'id_producto': 17755, 'codigo_producto': 870, 'nom_producto': 'COMISION VAOPE SEGUN CONTRATO', 'categoria_producto': 'consu', 'cantidad': '1.0', 'valor_unitario': 461.61, 'precio_unitario': 544.7, 'descuento': 0.0, 'subtotal': 461.61, 'porcentaje_de_igv': '18.00', 'igv': 83.09, 'total': 544.7, 'moneda': '1', 'tipo_de_cambio': 1.0, 'id_estado': 'not_paid', 'nombre_estado': 'Sin pagar', 'evento': {'id_evento': '', 'nom_evento': '', 'fecha_hora_ini_event': '', 'fecha_hora_fin_event': '', 'id_organizador': 1127, 'nom_organizador': 'PROMOTORA Y SONIDO MUSICAL WC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5"/>
    <x v="27"/>
    <x v="5"/>
    <x v="0"/>
    <n v="1"/>
    <n v="461.61"/>
    <n v="544.70000000000005"/>
    <n v="0"/>
    <n v="461.61"/>
    <n v="18"/>
    <n v="83.09"/>
    <n v="544.70000000000005"/>
    <n v="1"/>
    <n v="1"/>
    <x v="2"/>
    <x v="2"/>
    <x v="1"/>
    <s v="SAMUEL CHUQUISTA"/>
    <x v="0"/>
    <s v="7012100 MercaderÃ­as-Venta Local-Terceros"/>
    <x v="12"/>
    <x v="32"/>
    <m/>
    <m/>
    <m/>
    <x v="23"/>
    <s v="PROMOTORA Y SONIDO MUSICAL WC E.I.R.L."/>
    <s v="Empresa"/>
    <x v="642"/>
  </r>
  <r>
    <x v="4"/>
    <x v="496"/>
    <s v="COLABORATIVA S.A.C."/>
    <x v="32"/>
    <d v="2025-11-03T00:00:00"/>
    <x v="1"/>
    <s v="Cliente"/>
    <n v="1"/>
    <n v="9059888"/>
    <s v="[{'id_producto': 17754, 'codigo_producto': 877, 'nom_producto': 'COMISION PAGOS DIGITALES SEGUN CONTRATO', 'categoria_producto': 'consu', 'cantidad': '1.0', 'valor_unitario': 1599.66, 'precio_unitario': 1887.6, 'descuento': 0.0, 'subtotal': 1599.66, 'porcentaje_de_igv': '18.00', 'igv': 287.94, 'total': 1887.6, 'moneda': '1', 'tipo_de_cambio': 1.0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4"/>
    <x v="26"/>
    <x v="6"/>
    <x v="0"/>
    <n v="1"/>
    <n v="1599.66"/>
    <n v="1887.6"/>
    <n v="0"/>
    <n v="1599.66"/>
    <n v="18"/>
    <n v="287.94"/>
    <n v="1887.6"/>
    <n v="1"/>
    <n v="1"/>
    <x v="2"/>
    <x v="2"/>
    <x v="1"/>
    <s v="SAMUEL CHUQUISTA"/>
    <x v="0"/>
    <s v="7012100 MercaderÃ­as-Venta Local-Terceros"/>
    <x v="12"/>
    <x v="32"/>
    <m/>
    <m/>
    <m/>
    <x v="122"/>
    <s v="ALFREDO CALDERON MEDINA"/>
    <s v="Persona"/>
    <x v="643"/>
  </r>
  <r>
    <x v="4"/>
    <x v="497"/>
    <s v="COLABORATIVA S.A.C."/>
    <x v="32"/>
    <d v="2025-11-03T00:00:00"/>
    <x v="1"/>
    <s v="Cliente"/>
    <n v="1"/>
    <n v="9059888"/>
    <s v="[{'id_producto': 17753, 'codigo_producto': 870, 'nom_producto': 'COMISION VAOPE SEGUN CONTRATO', 'categoria_producto': 'consu', 'cantidad': '1.0', 'valor_unitario': 947.12, 'precio_unitario': 1117.6, 'descuento': 0.0, 'subtotal': 947.12, 'porcentaje_de_igv': '18.00', 'igv': 170.48, 'total': 1117.6, 'moneda': '1', 'tipo_de_cambio': 1.0, 'id_estado': 'not_paid', 'nombre_estado': 'Sin pagar', 'evento': {'id_evento': '', 'nom_evento': '', 'fecha_hora_ini_event': '', 'fecha_hora_fin_event': '', 'id_organizador': 449, 'nom_organizador': 'ALFREDO CALDERON MEDIN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3"/>
    <x v="27"/>
    <x v="5"/>
    <x v="0"/>
    <n v="1"/>
    <n v="947.12"/>
    <n v="1117.5999999999999"/>
    <n v="0"/>
    <n v="947.12"/>
    <n v="18"/>
    <n v="170.48"/>
    <n v="1117.5999999999999"/>
    <n v="1"/>
    <n v="1"/>
    <x v="2"/>
    <x v="2"/>
    <x v="1"/>
    <s v="SAMUEL CHUQUISTA"/>
    <x v="0"/>
    <s v="7012100 MercaderÃ­as-Venta Local-Terceros"/>
    <x v="12"/>
    <x v="32"/>
    <m/>
    <m/>
    <m/>
    <x v="122"/>
    <s v="ALFREDO CALDERON MEDINA"/>
    <s v="Persona"/>
    <x v="644"/>
  </r>
  <r>
    <x v="3"/>
    <x v="498"/>
    <s v="COLABORATIVA S.A.C."/>
    <x v="32"/>
    <d v="2025-11-03T00:00:00"/>
    <x v="98"/>
    <m/>
    <n v="6"/>
    <n v="20516587874"/>
    <s v="[{'id_producto': 17752, 'codigo_producto': 877, 'nom_producto': 'COMISION PAGOS DIGITALES SEGUN CONTRATO', 'categoria_producto': 'consu', 'cantidad': '1.0', 'valor_unitario': 92.54, 'precio_unitario': 109.2, 'descuento': 0.0, 'subtotal': 92.54, 'porcentaje_de_igv': '18.00', 'igv': 16.66, 'total': 109.2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2"/>
    <x v="26"/>
    <x v="6"/>
    <x v="0"/>
    <n v="1"/>
    <n v="92.54"/>
    <n v="109.2"/>
    <n v="0"/>
    <n v="92.54"/>
    <n v="18"/>
    <n v="16.66"/>
    <n v="109.2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645"/>
  </r>
  <r>
    <x v="3"/>
    <x v="499"/>
    <s v="COLABORATIVA S.A.C."/>
    <x v="32"/>
    <d v="2025-11-03T00:00:00"/>
    <x v="98"/>
    <m/>
    <n v="6"/>
    <n v="20516587874"/>
    <s v="[{'id_producto': 17751, 'codigo_producto': 870, 'nom_producto': 'COMISION VAOPE SEGUN CONTRATO', 'categoria_producto': 'consu', 'cantidad': '1.0', 'valor_unitario': 54.75, 'precio_unitario': 64.6, 'descuento': 0.0, 'subtotal': 54.75, 'porcentaje_de_igv': '18.00', 'igv': 9.85, 'total': 64.6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1"/>
    <x v="27"/>
    <x v="5"/>
    <x v="0"/>
    <n v="1"/>
    <n v="54.75"/>
    <n v="64.599999999999994"/>
    <n v="0"/>
    <n v="54.75"/>
    <n v="18"/>
    <n v="9.85"/>
    <n v="64.599999999999994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646"/>
  </r>
  <r>
    <x v="4"/>
    <x v="500"/>
    <s v="COLABORATIVA S.A.C."/>
    <x v="32"/>
    <d v="2025-11-03T00:00:00"/>
    <x v="125"/>
    <m/>
    <n v="1"/>
    <n v="43200314"/>
    <s v="[{'id_producto': 17750, 'codigo_producto': 874, 'nom_producto': 'COMISION CORTESIA', 'categoria_producto': 'consu', 'cantidad': '1.0', 'valor_unitario': 15.0, 'precio_unitario': 17.7, 'descuento': 0.0, 'subtotal': 15.0, 'porcentaje_de_igv': '18.00', 'igv': 2.7, 'total': 17.7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50"/>
    <x v="40"/>
    <x v="19"/>
    <x v="0"/>
    <n v="1"/>
    <n v="15"/>
    <n v="17.7"/>
    <n v="0"/>
    <n v="15"/>
    <n v="18"/>
    <n v="2.7"/>
    <n v="17.7"/>
    <n v="1"/>
    <n v="1"/>
    <x v="2"/>
    <x v="2"/>
    <x v="1"/>
    <s v="SAMUEL CHUQUISTA"/>
    <x v="0"/>
    <s v="7012100 MercaderÃ­as-Venta Local-Terceros"/>
    <x v="12"/>
    <x v="32"/>
    <m/>
    <m/>
    <m/>
    <x v="123"/>
    <s v="ALAN GUILLERMO PAUCAR GARRO"/>
    <s v="Persona"/>
    <x v="647"/>
  </r>
  <r>
    <x v="4"/>
    <x v="501"/>
    <s v="COLABORATIVA S.A.C."/>
    <x v="32"/>
    <d v="2025-11-03T00:00:00"/>
    <x v="125"/>
    <m/>
    <n v="1"/>
    <n v="43200314"/>
    <s v="[{'id_producto': 17749, 'codigo_producto': 877, 'nom_producto': 'COMISION PAGOS DIGITALES SEGUN CONTRATO', 'categoria_producto': 'consu', 'cantidad': '1.0', 'valor_unitario': 530.17, 'precio_unitario': 625.6, 'descuento': 0.0, 'subtotal': 530.17, 'porcentaje_de_igv': '18.00', 'igv': 95.43, 'total': 625.6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49"/>
    <x v="26"/>
    <x v="6"/>
    <x v="0"/>
    <n v="1"/>
    <n v="530.16999999999996"/>
    <n v="625.6"/>
    <n v="0"/>
    <n v="530.16999999999996"/>
    <n v="18"/>
    <n v="95.43"/>
    <n v="625.6"/>
    <n v="1"/>
    <n v="1"/>
    <x v="2"/>
    <x v="2"/>
    <x v="1"/>
    <s v="SAMUEL CHUQUISTA"/>
    <x v="0"/>
    <s v="7012100 MercaderÃ­as-Venta Local-Terceros"/>
    <x v="12"/>
    <x v="32"/>
    <m/>
    <m/>
    <m/>
    <x v="123"/>
    <s v="ALAN GUILLERMO PAUCAR GARRO"/>
    <s v="Persona"/>
    <x v="648"/>
  </r>
  <r>
    <x v="4"/>
    <x v="502"/>
    <s v="COLABORATIVA S.A.C."/>
    <x v="32"/>
    <d v="2025-11-03T00:00:00"/>
    <x v="125"/>
    <m/>
    <n v="1"/>
    <n v="43200314"/>
    <s v="[{'id_producto': 17748, 'codigo_producto': 870, 'nom_producto': 'COMISION VAOPE SEGUN CONTRATO', 'categoria_producto': 'consu', 'cantidad': '1.0', 'valor_unitario': 338.9, 'precio_unitario': 399.9, 'descuento': 0.0, 'subtotal': 338.9, 'porcentaje_de_igv': '18.00', 'igv': 61.0, 'total': 399.9, 'moneda': '1', 'tipo_de_cambio': 1.0, 'id_estado': 'not_paid', 'nombre_estado': 'Sin pagar', 'evento': {'id_evento': '', 'nom_evento': '', 'fecha_hora_ini_event': '', 'fecha_hora_fin_event': '', 'id_organizador': 1159, 'nom_organizador': 'ALAN GUILLERMO PAUCAR GARR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48"/>
    <x v="27"/>
    <x v="5"/>
    <x v="0"/>
    <n v="1"/>
    <n v="338.9"/>
    <n v="399.9"/>
    <n v="0"/>
    <n v="338.9"/>
    <n v="18"/>
    <n v="61"/>
    <n v="399.9"/>
    <n v="1"/>
    <n v="1"/>
    <x v="2"/>
    <x v="2"/>
    <x v="1"/>
    <s v="SAMUEL CHUQUISTA"/>
    <x v="0"/>
    <s v="7012100 MercaderÃ­as-Venta Local-Terceros"/>
    <x v="12"/>
    <x v="32"/>
    <m/>
    <m/>
    <m/>
    <x v="123"/>
    <s v="ALAN GUILLERMO PAUCAR GARRO"/>
    <s v="Persona"/>
    <x v="649"/>
  </r>
  <r>
    <x v="4"/>
    <x v="503"/>
    <s v="COLABORATIVA S.A.C."/>
    <x v="32"/>
    <d v="2025-11-03T00:00:00"/>
    <x v="126"/>
    <m/>
    <n v="1"/>
    <n v="46851196"/>
    <s v="[{'id_producto': 17747, 'codigo_producto': 877, 'nom_producto': 'COMISION PAGOS DIGITALES SEGUN CONTRATO', 'categoria_producto': 'consu', 'cantidad': '1.0', 'valor_unitario': 1.44, 'precio_unitario': 1.7, 'descuento': 0.0, 'subtotal': 1.44, 'porcentaje_de_igv': '18.00', 'igv': 0.26, 'total': 1.7, 'moneda': '1', 'tipo_de_cambio': 1.0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47"/>
    <x v="26"/>
    <x v="6"/>
    <x v="0"/>
    <n v="1"/>
    <n v="1.44"/>
    <n v="1.7"/>
    <n v="0"/>
    <n v="1.44"/>
    <n v="18"/>
    <n v="0.26"/>
    <n v="1.7"/>
    <n v="1"/>
    <n v="1"/>
    <x v="2"/>
    <x v="2"/>
    <x v="1"/>
    <s v="SAMUEL CHUQUISTA"/>
    <x v="0"/>
    <s v="7012100 MercaderÃ­as-Venta Local-Terceros"/>
    <x v="12"/>
    <x v="32"/>
    <m/>
    <m/>
    <m/>
    <x v="124"/>
    <s v="EMILIANO MINCHOLA RIVEROS"/>
    <s v="Persona"/>
    <x v="650"/>
  </r>
  <r>
    <x v="4"/>
    <x v="504"/>
    <s v="COLABORATIVA S.A.C."/>
    <x v="32"/>
    <d v="2025-11-03T00:00:00"/>
    <x v="126"/>
    <m/>
    <n v="1"/>
    <n v="46851196"/>
    <s v="[{'id_producto': 17746, 'codigo_producto': 870, 'nom_producto': 'COMISION VAOPE SEGUN CONTRATO', 'categoria_producto': 'consu', 'cantidad': '1.0', 'valor_unitario': 1.02, 'precio_unitario': 1.2, 'descuento': 0.0, 'subtotal': 1.02, 'porcentaje_de_igv': '18.00', 'igv': 0.18, 'total': 1.2, 'moneda': '1', 'tipo_de_cambio': 1.0, 'id_estado': 'not_paid', 'nombre_estado': 'Sin pagar', 'evento': {'id_evento': '', 'nom_evento': '', 'fecha_hora_ini_event': '', 'fecha_hora_fin_event': '', 'id_organizador': 1158, 'nom_organizador': 'EMILIANO MINCHOLA RIVER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746"/>
    <x v="27"/>
    <x v="5"/>
    <x v="0"/>
    <n v="1"/>
    <n v="1.02"/>
    <n v="1.2"/>
    <n v="0"/>
    <n v="1.02"/>
    <n v="18"/>
    <n v="0.18"/>
    <n v="1.2"/>
    <n v="1"/>
    <n v="1"/>
    <x v="2"/>
    <x v="2"/>
    <x v="1"/>
    <s v="SAMUEL CHUQUISTA"/>
    <x v="0"/>
    <s v="7012100 MercaderÃ­as-Venta Local-Terceros"/>
    <x v="12"/>
    <x v="32"/>
    <m/>
    <m/>
    <m/>
    <x v="124"/>
    <s v="EMILIANO MINCHOLA RIVEROS"/>
    <s v="Persona"/>
    <x v="651"/>
  </r>
  <r>
    <x v="3"/>
    <x v="505"/>
    <s v="COLABORATIVA S.A.C."/>
    <x v="32"/>
    <d v="2025-11-03T00:00:00"/>
    <x v="21"/>
    <s v="Cliente"/>
    <n v="6"/>
    <n v="20296011356"/>
    <s v="[{'id_producto': 17250, 'codigo_producto': 902, 'nom_producto': 'PERSONAL - SERVICIO DE 03 VALIDADORES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7250"/>
    <x v="114"/>
    <x v="107"/>
    <x v="0"/>
    <n v="1"/>
    <n v="450"/>
    <n v="531"/>
    <n v="0"/>
    <n v="450"/>
    <n v="18"/>
    <n v="81"/>
    <n v="531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652"/>
  </r>
  <r>
    <x v="3"/>
    <x v="506"/>
    <s v="COLABORATIVA S.A.C."/>
    <x v="32"/>
    <d v="2025-11-03T00:00:00"/>
    <x v="21"/>
    <s v="Cliente"/>
    <n v="6"/>
    <n v="20296011356"/>
    <s v="[{'id_producto': 17249, 'codigo_producto': 901, 'nom_producto': 'ENTRADAS IMPRESAS - ORDEN DE VENTA N518   Caribepiscinazo con Caribenos en El Remanso de Comas  2000 FULL COLOR GENERAL ADULTOS  300 FULL COLOR GENERAL NINOS S108560 ', 'categoria_producto': 'consu', 'cantidad': '1.0', 'valor_unitario': 920.0, 'precio_unitario': 1085.6, 'descuento': 0.0, 'subtotal': 920.0, 'porcentaje_de_igv': '18.00', 'igv': 165.6, 'total': 1085.6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49"/>
    <x v="115"/>
    <x v="108"/>
    <x v="0"/>
    <n v="1"/>
    <n v="920"/>
    <n v="1085.5999999999999"/>
    <n v="0"/>
    <n v="920"/>
    <n v="18"/>
    <n v="165.6"/>
    <n v="1085.5999999999999"/>
    <n v="1"/>
    <n v="1"/>
    <x v="2"/>
    <x v="2"/>
    <x v="1"/>
    <s v="SAMUEL CHUQUISTA"/>
    <x v="0"/>
    <s v="7012100 MercaderÃ­as-Venta Local-Terceros"/>
    <x v="11"/>
    <x v="32"/>
    <m/>
    <m/>
    <m/>
    <x v="21"/>
    <s v="COMPLEJO TURÃSTICO EL REMANSO SAC"/>
    <s v="Empresa"/>
    <x v="653"/>
  </r>
  <r>
    <x v="3"/>
    <x v="507"/>
    <s v="COLABORATIVA S.A.C."/>
    <x v="32"/>
    <d v="2025-11-03T00:00:00"/>
    <x v="21"/>
    <s v="Cliente"/>
    <n v="6"/>
    <n v="20296011356"/>
    <s v="[{'id_producto': 17248, 'codigo_producto': 877, 'nom_producto': 'COMISION PAGOS DIGITALES SEGUN CONTRATO', 'categoria_producto': 'consu', 'cantidad': '1.0', 'valor_unitario': 1200.42, 'precio_unitario': 1416.5, 'descuento': 0.0, 'subtotal': 1200.42, 'porcentaje_de_igv': '18.00', 'igv': 216.08, 'total': 1416.5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48"/>
    <x v="26"/>
    <x v="6"/>
    <x v="0"/>
    <n v="1"/>
    <n v="1200.42"/>
    <n v="1416.5"/>
    <n v="0"/>
    <n v="1200.42"/>
    <n v="18"/>
    <n v="216.08"/>
    <n v="1416.5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54"/>
  </r>
  <r>
    <x v="3"/>
    <x v="508"/>
    <s v="COLABORATIVA S.A.C."/>
    <x v="32"/>
    <d v="2025-11-03T00:00:00"/>
    <x v="21"/>
    <s v="Cliente"/>
    <n v="6"/>
    <n v="20296011356"/>
    <s v="[{'id_producto': 17247, 'codigo_producto': 878, 'nom_producto': 'COMISION VAOPE SEGUN CONTRATO ', 'categoria_producto': 'consu', 'cantidad': '1.0', 'valor_unitario': 586.36, 'precio_unitario': 691.9, 'descuento': 0.0, 'subtotal': 586.36, 'porcentaje_de_igv': '18.00', 'igv': 105.54, 'total': 691.9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47"/>
    <x v="64"/>
    <x v="57"/>
    <x v="0"/>
    <n v="1"/>
    <n v="586.36"/>
    <n v="691.9"/>
    <n v="0"/>
    <n v="586.36"/>
    <n v="18"/>
    <n v="105.54"/>
    <n v="691.9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655"/>
  </r>
  <r>
    <x v="3"/>
    <x v="509"/>
    <s v="COLABORATIVA S.A.C."/>
    <x v="32"/>
    <d v="2025-11-03T00:00:00"/>
    <x v="102"/>
    <m/>
    <n v="6"/>
    <n v="20611587741"/>
    <s v="[{'id_producto': 17246, 'codigo_producto': 877, 'nom_producto': 'COMISION PAGOS DIGITALES SEGUN CONTRATO', 'categoria_producto': 'consu', 'cantidad': '1.0', 'valor_unitario': 52.54, 'precio_unitario': 62.0, 'descuento': 0.0, 'subtotal': 52.54, 'porcentaje_de_igv': '18.00', 'igv': 9.46, 'total': 62.0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46"/>
    <x v="26"/>
    <x v="6"/>
    <x v="0"/>
    <n v="1"/>
    <n v="52.54"/>
    <n v="62"/>
    <n v="0"/>
    <n v="52.54"/>
    <n v="18"/>
    <n v="9.4600000000000009"/>
    <n v="62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656"/>
  </r>
  <r>
    <x v="3"/>
    <x v="510"/>
    <s v="COLABORATIVA S.A.C."/>
    <x v="32"/>
    <d v="2025-11-03T00:00:00"/>
    <x v="102"/>
    <m/>
    <n v="6"/>
    <n v="20611587741"/>
    <s v="[{'id_producto': 17245, 'codigo_producto': 870, 'nom_producto': 'COMISION VAOPE SEGUN CONTRATO', 'categoria_producto': 'consu', 'cantidad': '1.0', 'valor_unitario': 36.61, 'precio_unitario': 43.2, 'descuento': 0.0, 'subtotal': 36.61, 'porcentaje_de_igv': '18.00', 'igv': 6.59, 'total': 43.2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45"/>
    <x v="27"/>
    <x v="5"/>
    <x v="0"/>
    <n v="1"/>
    <n v="36.61"/>
    <n v="43.2"/>
    <n v="0"/>
    <n v="36.61"/>
    <n v="18"/>
    <n v="6.59"/>
    <n v="43.2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657"/>
  </r>
  <r>
    <x v="3"/>
    <x v="511"/>
    <s v="COLABORATIVA S.A.C."/>
    <x v="32"/>
    <d v="2025-11-03T00:00:00"/>
    <x v="25"/>
    <m/>
    <n v="6"/>
    <n v="20611890746"/>
    <s v="[{'id_producto': 17244, 'codigo_producto': 900, 'nom_producto': 'PERSONAL - gasto envi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8T00:00:00"/>
    <m/>
    <m/>
    <m/>
    <m/>
    <m/>
    <n v="17244"/>
    <x v="116"/>
    <x v="109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4"/>
    <x v="32"/>
    <m/>
    <m/>
    <m/>
    <x v="25"/>
    <s v="CONSORCIO CHUNGA &amp; ASOCIADOS S.A.C."/>
    <s v="Empresa"/>
    <x v="658"/>
  </r>
  <r>
    <x v="3"/>
    <x v="512"/>
    <s v="COLABORATIVA S.A.C."/>
    <x v="32"/>
    <d v="2025-11-03T00:00:00"/>
    <x v="25"/>
    <m/>
    <n v="6"/>
    <n v="20611890746"/>
    <s v="[{'id_producto': 17243, 'codigo_producto': 899, 'nom_producto': 'ENTRADAS IMPRESAS - ORDEN DE VENTA N505\n  La Unica Tropical en Casa Cub Sullana  3000 FULL COLOR GENERAL  1000 BRAZALETES VIP S212400', 'categoria_producto': 'consu', 'cantidad': '1.0', 'valor_unitario': 1800.0, 'precio_unitario': 2124.0, 'descuento': 0.0, 'subtotal': 1800.0, 'porcentaje_de_igv': '18.00', 'igv': 324.0, 'total': 212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43"/>
    <x v="117"/>
    <x v="110"/>
    <x v="0"/>
    <n v="1"/>
    <n v="1800"/>
    <n v="2124"/>
    <n v="0"/>
    <n v="1800"/>
    <n v="18"/>
    <n v="324"/>
    <n v="212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59"/>
  </r>
  <r>
    <x v="3"/>
    <x v="513"/>
    <s v="COLABORATIVA S.A.C."/>
    <x v="32"/>
    <d v="2025-11-03T00:00:00"/>
    <x v="25"/>
    <m/>
    <n v="6"/>
    <n v="20611890746"/>
    <s v="[{'id_producto': 17242, 'codigo_producto': 898, 'nom_producto': 'ENTRADAS IMPRESAS - ORDEN DE VENTA N493\n  FELIZ NAVIDAD SECHURA - I - P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42"/>
    <x v="118"/>
    <x v="111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0"/>
  </r>
  <r>
    <x v="3"/>
    <x v="514"/>
    <s v="COLABORATIVA S.A.C."/>
    <x v="32"/>
    <d v="2025-11-03T00:00:00"/>
    <x v="25"/>
    <m/>
    <n v="6"/>
    <n v="20611890746"/>
    <s v="[{'id_producto': 17241, 'codigo_producto': 897, 'nom_producto': 'ENTRADAS IMPRESAS - ORDEN DE VENTA N500\n  LA UNICA TROPICAL - EL ALTO - PIURA - 30 DE DIC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41"/>
    <x v="119"/>
    <x v="112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1"/>
  </r>
  <r>
    <x v="3"/>
    <x v="515"/>
    <s v="COLABORATIVA S.A.C."/>
    <x v="32"/>
    <d v="2025-11-03T00:00:00"/>
    <x v="25"/>
    <m/>
    <n v="6"/>
    <n v="20611890746"/>
    <s v="[{'id_producto': 17240, 'codigo_producto': 896, 'nom_producto': 'ENTRADAS IMPRESAS - ORDEN DE VENTA N501\n  LA UNICA TROPICAL - LA UNION - BAJO PIURA - 28 DE DIC  2000 FULL COLOR GENERAL S94400', 'categoria_producto': 'consu', 'cantidad': '1.0', 'valor_unitario': 800.0, 'precio_unitario': 944.0, 'descuento': 0.0, 'subtotal': 800.0, 'porcentaje_de_igv': '18.00', 'igv': 144.0, 'total': 944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40"/>
    <x v="120"/>
    <x v="113"/>
    <x v="0"/>
    <n v="1"/>
    <n v="800"/>
    <n v="944"/>
    <n v="0"/>
    <n v="800"/>
    <n v="18"/>
    <n v="144"/>
    <n v="944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2"/>
  </r>
  <r>
    <x v="3"/>
    <x v="516"/>
    <s v="COLABORATIVA S.A.C."/>
    <x v="32"/>
    <d v="2025-11-03T00:00:00"/>
    <x v="25"/>
    <m/>
    <n v="6"/>
    <n v="20611890746"/>
    <s v="[{'id_producto': 17239, 'codigo_producto': 895, 'nom_producto': 'ENTRADAS IMPRESAS - ORDEN DE VENTA N514\n  LA UNICA TROPICAL EN PLAZA NORTE - I - P  2000 FULL COLOR  2000 BRAZALETES VIP S236000', 'categoria_producto': 'consu', 'cantidad': '1.0', 'valor_unitario': 2000.0, 'precio_unitario': 2360.0, 'descuento': 0.0, 'subtotal': 2000.0, 'porcentaje_de_igv': '18.00', 'igv': 360.0, 'total': 2360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39"/>
    <x v="121"/>
    <x v="114"/>
    <x v="0"/>
    <n v="1"/>
    <n v="2000"/>
    <n v="2360"/>
    <n v="0"/>
    <n v="2000"/>
    <n v="18"/>
    <n v="360"/>
    <n v="2360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3"/>
  </r>
  <r>
    <x v="3"/>
    <x v="517"/>
    <s v="COLABORATIVA S.A.C."/>
    <x v="32"/>
    <d v="2025-11-03T00:00:00"/>
    <x v="25"/>
    <m/>
    <n v="6"/>
    <n v="20611890746"/>
    <s v="[{'id_producto': 17238, 'codigo_producto': 894, 'nom_producto': 'ENTRADAS IMPRESAS - ORDEN DE VENTA N512\n  La Unica Tropical en Aqualandia de Piura - 2DO PEDIDO - 3112 - I - P 2000 BRAZALETES VIP S141600\n', 'categoria_producto': 'consu', 'cantidad': '1.0', 'valor_unitario': 1200.0, 'precio_unitario': 1416.0, 'descuento': 0.0, 'subtotal': 1200.0, 'porcentaje_de_igv': '18.00', 'igv': 216.0, 'total': 141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38"/>
    <x v="122"/>
    <x v="115"/>
    <x v="0"/>
    <n v="1"/>
    <n v="1200"/>
    <n v="1416"/>
    <n v="0"/>
    <n v="1200"/>
    <n v="18"/>
    <n v="216"/>
    <n v="141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4"/>
  </r>
  <r>
    <x v="3"/>
    <x v="518"/>
    <s v="COLABORATIVA S.A.C."/>
    <x v="32"/>
    <d v="2025-11-03T00:00:00"/>
    <x v="25"/>
    <m/>
    <n v="6"/>
    <n v="20611890746"/>
    <s v="[{'id_producto': 17237, 'codigo_producto': 893, 'nom_producto': 'ENTRADAS IMPRESAS - ORDEN DE VENTA N502 La Unica Tropical en Aqualandia de Piura  10000 FULL COLOR GENERAL  3000 FULL COLOR NINOS S613600', 'categoria_producto': 'consu', 'cantidad': '1.0', 'valor_unitario': 5200.0, 'precio_unitario': 6136.0, 'descuento': 0.0, 'subtotal': 5200.0, 'porcentaje_de_igv': '18.00', 'igv': 936.0, 'total': 6136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37"/>
    <x v="123"/>
    <x v="116"/>
    <x v="0"/>
    <n v="1"/>
    <n v="5200"/>
    <n v="6136"/>
    <n v="0"/>
    <n v="5200"/>
    <n v="18"/>
    <n v="936"/>
    <n v="6136"/>
    <n v="1"/>
    <n v="1"/>
    <x v="2"/>
    <x v="2"/>
    <x v="1"/>
    <s v="SAMUEL CHUQUISTA"/>
    <x v="0"/>
    <s v="7012100 MercaderÃ­as-Venta Local-Terceros"/>
    <x v="11"/>
    <x v="32"/>
    <m/>
    <m/>
    <m/>
    <x v="25"/>
    <s v="CONSORCIO CHUNGA &amp; ASOCIADOS S.A.C."/>
    <s v="Empresa"/>
    <x v="665"/>
  </r>
  <r>
    <x v="3"/>
    <x v="519"/>
    <s v="COLABORATIVA S.A.C."/>
    <x v="32"/>
    <d v="2025-11-03T00:00:00"/>
    <x v="25"/>
    <m/>
    <n v="6"/>
    <n v="20611890746"/>
    <s v="[{'id_producto': 17236, 'codigo_producto': 877, 'nom_producto': 'COMISION PAGOS DIGITALES SEGUN CONTRATO', 'categoria_producto': 'consu', 'cantidad': '1.0', 'valor_unitario': 3942.12, 'precio_unitario': 4651.7, 'descuento': 0.0, 'subtotal': 3942.12, 'porcentaje_de_igv': '18.00', 'igv': 709.58, 'total': 4651.7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36"/>
    <x v="26"/>
    <x v="6"/>
    <x v="0"/>
    <n v="1"/>
    <n v="3942.12"/>
    <n v="4651.7"/>
    <n v="0"/>
    <n v="3942.12"/>
    <n v="18"/>
    <n v="709.58"/>
    <n v="4651.7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66"/>
  </r>
  <r>
    <x v="3"/>
    <x v="520"/>
    <s v="COLABORATIVA S.A.C."/>
    <x v="32"/>
    <d v="2025-11-03T00:00:00"/>
    <x v="25"/>
    <m/>
    <n v="6"/>
    <n v="20611890746"/>
    <s v="[{'id_producto': 17235, 'codigo_producto': 870, 'nom_producto': 'COMISION VAOPE SEGUN CONTRATO', 'categoria_producto': 'consu', 'cantidad': '1.0', 'valor_unitario': 2244.07, 'precio_unitario': 2648.0, 'descuento': 0.0, 'subtotal': 2244.07, 'porcentaje_de_igv': '18.00', 'igv': 403.93, 'total': 2648.0, 'moneda': '1', 'tipo_de_cambio': 1.0, 'id_estado': 'not_paid', 'nombre_estado': 'Sin pagar', 'evento': {'id_evento': '', 'nom_evento': '', 'fecha_hora_ini_event': '', 'fecha_hora_fin_event': '', 'id_organizador': 1136, 'nom_organizador': 'CONSORCIO CHUNGA &amp; ASOCIADOS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35"/>
    <x v="27"/>
    <x v="5"/>
    <x v="0"/>
    <n v="1"/>
    <n v="2244.0700000000002"/>
    <n v="2648"/>
    <n v="0"/>
    <n v="2244.0700000000002"/>
    <n v="18"/>
    <n v="403.93"/>
    <n v="2648"/>
    <n v="1"/>
    <n v="1"/>
    <x v="2"/>
    <x v="2"/>
    <x v="1"/>
    <s v="SAMUEL CHUQUISTA"/>
    <x v="0"/>
    <s v="7012100 MercaderÃ­as-Venta Local-Terceros"/>
    <x v="12"/>
    <x v="32"/>
    <m/>
    <m/>
    <m/>
    <x v="25"/>
    <s v="CONSORCIO CHUNGA &amp; ASOCIADOS S.A.C."/>
    <s v="Empresa"/>
    <x v="667"/>
  </r>
  <r>
    <x v="3"/>
    <x v="521"/>
    <s v="COLABORATIVA S.A.C."/>
    <x v="32"/>
    <d v="2025-11-03T00:00:00"/>
    <x v="88"/>
    <s v="Cliente"/>
    <n v="6"/>
    <n v="20602855733"/>
    <s v="[{'id_producto': 17234, 'codigo_producto': 874, 'nom_producto': 'COMISION CORTESIA', 'categoria_producto': 'consu', 'cantidad': '1.0', 'valor_unitario': 202.5, 'precio_unitario': 238.95, 'descuento': 0.0, 'subtotal': 202.5, 'porcentaje_de_igv': '18.00', 'igv': 36.45, 'total': 238.9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34"/>
    <x v="40"/>
    <x v="19"/>
    <x v="0"/>
    <n v="1"/>
    <n v="202.5"/>
    <n v="238.95"/>
    <n v="0"/>
    <n v="202.5"/>
    <n v="18"/>
    <n v="36.450000000000003"/>
    <n v="238.95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668"/>
  </r>
  <r>
    <x v="3"/>
    <x v="522"/>
    <s v="COLABORATIVA S.A.C."/>
    <x v="32"/>
    <d v="2025-11-03T00:00:00"/>
    <x v="88"/>
    <s v="Cliente"/>
    <n v="6"/>
    <n v="20602855733"/>
    <s v="[{'id_producto': 17233, 'codigo_producto': 892, 'nom_producto': 'PERSONAL - Servicio de 03 validadores inc IGV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8T00:00:00"/>
    <m/>
    <m/>
    <m/>
    <m/>
    <m/>
    <n v="17233"/>
    <x v="124"/>
    <x v="117"/>
    <x v="0"/>
    <n v="1"/>
    <n v="450"/>
    <n v="531"/>
    <n v="0"/>
    <n v="450"/>
    <n v="18"/>
    <n v="81"/>
    <n v="531"/>
    <n v="1"/>
    <n v="1"/>
    <x v="2"/>
    <x v="2"/>
    <x v="1"/>
    <s v="SAMUEL CHUQUISTA"/>
    <x v="0"/>
    <s v="7012100 MercaderÃ­as-Venta Local-Terceros"/>
    <x v="5"/>
    <x v="32"/>
    <m/>
    <m/>
    <m/>
    <x v="83"/>
    <s v="FIESTA KARIBEÃ‘A SOCIEDAD ANONIMA CERRADA"/>
    <s v="Empresa"/>
    <x v="669"/>
  </r>
  <r>
    <x v="3"/>
    <x v="523"/>
    <s v="COLABORATIVA S.A.C."/>
    <x v="32"/>
    <d v="2025-11-03T00:00:00"/>
    <x v="88"/>
    <s v="Cliente"/>
    <n v="6"/>
    <n v="20602855733"/>
    <s v="[{'id_producto': 17232, 'codigo_producto': 891, 'nom_producto': 'ENTRADAS IMPRESAS - ORDEN DE VENTA N509\n  Fieston de Ano Nuevo en Lima Sur con Armonia 10 Pamela Franco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32"/>
    <x v="125"/>
    <x v="118"/>
    <x v="0"/>
    <n v="1"/>
    <n v="3400"/>
    <n v="4012"/>
    <n v="0"/>
    <n v="3400"/>
    <n v="18"/>
    <n v="612"/>
    <n v="4012"/>
    <n v="1"/>
    <n v="1"/>
    <x v="2"/>
    <x v="2"/>
    <x v="1"/>
    <s v="SAMUEL CHUQUISTA"/>
    <x v="0"/>
    <s v="7012100 MercaderÃ­as-Venta Local-Terceros"/>
    <x v="11"/>
    <x v="32"/>
    <m/>
    <m/>
    <m/>
    <x v="83"/>
    <s v="FIESTA KARIBEÃ‘A SOCIEDAD ANONIMA CERRADA"/>
    <s v="Empresa"/>
    <x v="670"/>
  </r>
  <r>
    <x v="3"/>
    <x v="524"/>
    <s v="COLABORATIVA S.A.C."/>
    <x v="32"/>
    <d v="2025-11-03T00:00:00"/>
    <x v="88"/>
    <s v="Cliente"/>
    <n v="6"/>
    <n v="20602855733"/>
    <s v="[{'id_producto': 17231, 'codigo_producto': 871, 'nom_producto': 'COMISION PAGOS DIGITALES SEGUN CONTRATO ', 'categoria_producto': 'consu', 'cantidad': '1.0', 'valor_unitario': 2862.29, 'precio_unitario': 3377.5, 'descuento': 0.0, 'subtotal': 2862.29, 'porcentaje_de_igv': '18.00', 'igv': 515.21, 'total': 3377.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31"/>
    <x v="39"/>
    <x v="35"/>
    <x v="0"/>
    <n v="1"/>
    <n v="2862.29"/>
    <n v="3377.5"/>
    <n v="0"/>
    <n v="2862.29"/>
    <n v="18"/>
    <n v="515.21"/>
    <n v="3377.5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671"/>
  </r>
  <r>
    <x v="3"/>
    <x v="525"/>
    <s v="COLABORATIVA S.A.C."/>
    <x v="32"/>
    <d v="2025-11-03T00:00:00"/>
    <x v="88"/>
    <s v="Cliente"/>
    <n v="6"/>
    <n v="20602855733"/>
    <s v="[{'id_producto': 17230, 'codigo_producto': 878, 'nom_producto': 'COMISION VAOPE SEGUN CONTRATO ', 'categoria_producto': 'consu', 'cantidad': '1.0', 'valor_unitario': 4262.2, 'precio_unitario': 5029.4, 'descuento': 0.0, 'subtotal': 4262.2, 'porcentaje_de_igv': '18.00', 'igv': 767.2, 'total': 5029.4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30"/>
    <x v="64"/>
    <x v="57"/>
    <x v="0"/>
    <n v="1"/>
    <n v="4262.2"/>
    <n v="5029.3999999999996"/>
    <n v="0"/>
    <n v="4262.2"/>
    <n v="18"/>
    <n v="767.2"/>
    <n v="5029.3999999999996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672"/>
  </r>
  <r>
    <x v="3"/>
    <x v="526"/>
    <s v="COLABORATIVA S.A.C."/>
    <x v="32"/>
    <d v="2025-11-03T00:00:00"/>
    <x v="127"/>
    <m/>
    <n v="6"/>
    <n v="20611545399"/>
    <s v="[{'id_producto': 17229, 'codigo_producto': 877, 'nom_producto': 'COMISION PAGOS DIGITALES SEGUN CONTRATO', 'categoria_producto': 'consu', 'cantidad': '1.0', 'valor_unitario': 17.1, 'precio_unitario': 20.18, 'descuento': 0.0, 'subtotal': 17.1, 'porcentaje_de_igv': '18.00', 'igv': 3.08, 'total': 20.1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29"/>
    <x v="26"/>
    <x v="6"/>
    <x v="0"/>
    <n v="1"/>
    <n v="17.100000000000001"/>
    <n v="20.18"/>
    <n v="0"/>
    <n v="17.100000000000001"/>
    <n v="18"/>
    <n v="3.08"/>
    <n v="20.18"/>
    <n v="1"/>
    <n v="1"/>
    <x v="2"/>
    <x v="2"/>
    <x v="1"/>
    <s v="SAMUEL CHUQUISTA"/>
    <x v="0"/>
    <s v="7012100 MercaderÃ­as-Venta Local-Terceros"/>
    <x v="12"/>
    <x v="32"/>
    <m/>
    <m/>
    <m/>
    <x v="125"/>
    <s v="LIMA VIAJES Y TURISMO S.A.C."/>
    <s v="Empresa"/>
    <x v="673"/>
  </r>
  <r>
    <x v="3"/>
    <x v="527"/>
    <s v="COLABORATIVA S.A.C."/>
    <x v="32"/>
    <d v="2025-11-03T00:00:00"/>
    <x v="127"/>
    <m/>
    <n v="6"/>
    <n v="20611545399"/>
    <s v="[{'id_producto': 17228, 'codigo_producto': 890, 'nom_producto': 'ENTRADAS IMPRESAS - ORDEN DE VENTA N509  Fieston de Ano Nuevo en Lima Sur con Armonia 10 Pamela Franco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8T00:00:00"/>
    <m/>
    <m/>
    <m/>
    <m/>
    <m/>
    <n v="17228"/>
    <x v="126"/>
    <x v="119"/>
    <x v="0"/>
    <n v="1"/>
    <n v="3400"/>
    <n v="4012"/>
    <n v="0"/>
    <n v="3400"/>
    <n v="18"/>
    <n v="612"/>
    <n v="4012"/>
    <n v="1"/>
    <n v="1"/>
    <x v="2"/>
    <x v="2"/>
    <x v="1"/>
    <s v="SAMUEL CHUQUISTA"/>
    <x v="0"/>
    <s v="7012100 MercaderÃ­as-Venta Local-Terceros"/>
    <x v="11"/>
    <x v="32"/>
    <m/>
    <m/>
    <m/>
    <x v="125"/>
    <s v="LIMA VIAJES Y TURISMO S.A.C."/>
    <s v="Empresa"/>
    <x v="674"/>
  </r>
  <r>
    <x v="3"/>
    <x v="528"/>
    <s v="COLABORATIVA S.A.C."/>
    <x v="32"/>
    <d v="2025-11-03T00:00:00"/>
    <x v="127"/>
    <m/>
    <n v="6"/>
    <n v="20611545399"/>
    <s v="[{'id_producto': 17227, 'codigo_producto': 877, 'nom_producto': 'COMISION PAGOS DIGITALES SEGUN CONTRATO', 'categoria_producto': 'consu', 'cantidad': '1.0', 'valor_unitario': 9.9, 'precio_unitario': 11.68, 'descuento': 0.0, 'subtotal': 9.9, 'porcentaje_de_igv': '18.00', 'igv': 1.78, 'total': 11.6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27"/>
    <x v="26"/>
    <x v="6"/>
    <x v="0"/>
    <n v="1"/>
    <n v="9.9"/>
    <n v="11.68"/>
    <n v="0"/>
    <n v="9.9"/>
    <n v="18"/>
    <n v="1.78"/>
    <n v="11.68"/>
    <n v="1"/>
    <n v="1"/>
    <x v="2"/>
    <x v="2"/>
    <x v="1"/>
    <s v="SAMUEL CHUQUISTA"/>
    <x v="0"/>
    <s v="7012100 MercaderÃ­as-Venta Local-Terceros"/>
    <x v="12"/>
    <x v="32"/>
    <m/>
    <m/>
    <m/>
    <x v="125"/>
    <s v="LIMA VIAJES Y TURISMO S.A.C."/>
    <s v="Empresa"/>
    <x v="675"/>
  </r>
  <r>
    <x v="3"/>
    <x v="529"/>
    <s v="COLABORATIVA S.A.C."/>
    <x v="32"/>
    <d v="2025-11-03T00:00:00"/>
    <x v="127"/>
    <m/>
    <n v="6"/>
    <n v="20611545399"/>
    <s v="[{'id_producto': 17226, 'codigo_producto': 870, 'nom_producto': 'COMISION VAOPE SEGUN CONTRATO', 'categoria_producto': 'consu', 'cantidad': '1.0', 'valor_unitario': 6.0, 'precio_unitario': 7.08, 'descuento': 0.0, 'subtotal': 6.0, 'porcentaje_de_igv': '18.00', 'igv': 1.08, 'total': 7.08, 'moneda': '1', 'tipo_de_cambio': 1.0, 'id_estado': 'not_paid', 'nombre_estado': 'Sin pagar', 'evento': {'id_evento': '', 'nom_evento': '', 'fecha_hora_ini_event': '', 'fecha_hora_fin_event': '', 'id_organizador': 1126, 'nom_organizador': 'LIMA VIAJES Y TURISM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8T00:00:00"/>
    <m/>
    <m/>
    <m/>
    <m/>
    <m/>
    <n v="17226"/>
    <x v="27"/>
    <x v="5"/>
    <x v="0"/>
    <n v="1"/>
    <n v="6"/>
    <n v="7.08"/>
    <n v="0"/>
    <n v="6"/>
    <n v="18"/>
    <n v="1.08"/>
    <n v="7.08"/>
    <n v="1"/>
    <n v="1"/>
    <x v="2"/>
    <x v="2"/>
    <x v="1"/>
    <s v="SAMUEL CHUQUISTA"/>
    <x v="0"/>
    <s v="7012100 MercaderÃ­as-Venta Local-Terceros"/>
    <x v="12"/>
    <x v="32"/>
    <m/>
    <m/>
    <m/>
    <x v="125"/>
    <s v="LIMA VIAJES Y TURISMO S.A.C."/>
    <s v="Empresa"/>
    <x v="676"/>
  </r>
  <r>
    <x v="3"/>
    <x v="530"/>
    <s v="COLABORATIVA S.A.C."/>
    <x v="33"/>
    <d v="2025-11-03T00:00:00"/>
    <x v="128"/>
    <m/>
    <n v="6"/>
    <n v="20541708406"/>
    <s v="[{'id_producto': 17225, 'codigo_producto': 889, 'nom_producto': 'PERSONAL - delivery - entradas cortesia ', 'categoria_producto': 'consu', 'cantidad': '1.0', 'valor_unitario': 32.5, 'precio_unitario': 38.35, 'descuento': 0.0, 'subtotal': 32.5, 'porcentaje_de_igv': '18.00', 'igv': 5.85, 'total': 38.35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81, 'nom_distribucion': 'Impresos', 'sub_categoria': 'Otros', 'porcentaje': '100.00'}]]}]"/>
    <d v="2025-01-06T00:00:00"/>
    <m/>
    <m/>
    <m/>
    <m/>
    <m/>
    <n v="17225"/>
    <x v="127"/>
    <x v="120"/>
    <x v="0"/>
    <n v="1"/>
    <n v="32.5"/>
    <n v="38.35"/>
    <n v="0"/>
    <n v="32.5"/>
    <n v="18"/>
    <n v="5.85"/>
    <n v="38.35"/>
    <n v="1"/>
    <n v="1"/>
    <x v="2"/>
    <x v="2"/>
    <x v="1"/>
    <s v="SAMUEL CHUQUISTA"/>
    <x v="0"/>
    <s v="7012100 MercaderÃ­as-Venta Local-Terceros"/>
    <x v="14"/>
    <x v="32"/>
    <m/>
    <m/>
    <m/>
    <x v="126"/>
    <s v="EMPRESA OK MEDIOS PERU SAC"/>
    <s v="Empresa"/>
    <x v="677"/>
  </r>
  <r>
    <x v="3"/>
    <x v="531"/>
    <s v="COLABORATIVA S.A.C."/>
    <x v="33"/>
    <d v="2025-11-03T00:00:00"/>
    <x v="128"/>
    <m/>
    <n v="6"/>
    <n v="20541708406"/>
    <s v="[{'id_producto': 17224, 'codigo_producto': 877, 'nom_producto': 'COMISION PAGOS DIGITALES SEGUN CONTRATO', 'categoria_producto': 'consu', 'cantidad': '1.0', 'valor_unitario': 1978.14, 'precio_unitario': 2334.2, 'descuento': 0.0, 'subtotal': 1978.14, 'porcentaje_de_igv': '18.00', 'igv': 356.06, 'total': 2334.2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24"/>
    <x v="26"/>
    <x v="6"/>
    <x v="0"/>
    <n v="1"/>
    <n v="1978.14"/>
    <n v="2334.1999999999998"/>
    <n v="0"/>
    <n v="1978.14"/>
    <n v="18"/>
    <n v="356.06"/>
    <n v="2334.1999999999998"/>
    <n v="1"/>
    <n v="1"/>
    <x v="2"/>
    <x v="2"/>
    <x v="1"/>
    <s v="SAMUEL CHUQUISTA"/>
    <x v="0"/>
    <s v="7012100 MercaderÃ­as-Venta Local-Terceros"/>
    <x v="12"/>
    <x v="32"/>
    <m/>
    <m/>
    <m/>
    <x v="126"/>
    <s v="EMPRESA OK MEDIOS PERU SAC"/>
    <s v="Empresa"/>
    <x v="678"/>
  </r>
  <r>
    <x v="3"/>
    <x v="532"/>
    <s v="COLABORATIVA S.A.C."/>
    <x v="33"/>
    <d v="2025-11-03T00:00:00"/>
    <x v="128"/>
    <m/>
    <n v="6"/>
    <n v="20541708406"/>
    <s v="[{'id_producto': 17223, 'codigo_producto': 878, 'nom_producto': 'COMISION VAOPE SEGUN CONTRATO ', 'categoria_producto': 'consu', 'cantidad': '1.0', 'valor_unitario': 1085.76, 'precio_unitario': 1281.2, 'descuento': 0.0, 'subtotal': 1085.76, 'porcentaje_de_igv': '18.00', 'igv': 195.44, 'total': 1281.2, 'moneda': '1', 'tipo_de_cambio': 1.0, 'id_estado': 'not_paid', 'nombre_estado': 'Sin pagar', 'evento': {'id_evento': '', 'nom_evento': '', 'fecha_hora_ini_event': '', 'fecha_hora_fin_event': '', 'id_organizador': 1125, 'nom_organizador': 'EMPRESA OK MEDIOS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23"/>
    <x v="64"/>
    <x v="57"/>
    <x v="0"/>
    <n v="1"/>
    <n v="1085.76"/>
    <n v="1281.2"/>
    <n v="0"/>
    <n v="1085.76"/>
    <n v="18"/>
    <n v="195.44"/>
    <n v="1281.2"/>
    <n v="1"/>
    <n v="1"/>
    <x v="2"/>
    <x v="2"/>
    <x v="1"/>
    <s v="SAMUEL CHUQUISTA"/>
    <x v="0"/>
    <s v="7012100 MercaderÃ­as-Venta Local-Terceros"/>
    <x v="12"/>
    <x v="32"/>
    <m/>
    <m/>
    <m/>
    <x v="126"/>
    <s v="EMPRESA OK MEDIOS PERU SAC"/>
    <s v="Empresa"/>
    <x v="679"/>
  </r>
  <r>
    <x v="3"/>
    <x v="533"/>
    <s v="COLABORATIVA S.A.C."/>
    <x v="33"/>
    <d v="2025-11-03T00:00:00"/>
    <x v="82"/>
    <m/>
    <n v="6"/>
    <n v="20613294814"/>
    <s v="[{'id_producto': 17222, 'codigo_producto': 874, 'nom_producto': 'COMISION CORTESIA', 'categoria_producto': 'consu', 'cantidad': '1.0', 'valor_unitario': 50.0, 'precio_unitario': 59.0, 'descuento': 0.0, 'subtotal': 50.0, 'porcentaje_de_igv': '18.00', 'igv': 9.0, 'total': 59.0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22"/>
    <x v="40"/>
    <x v="19"/>
    <x v="0"/>
    <n v="1"/>
    <n v="50"/>
    <n v="59"/>
    <n v="0"/>
    <n v="50"/>
    <n v="18"/>
    <n v="9"/>
    <n v="59"/>
    <n v="1"/>
    <n v="1"/>
    <x v="2"/>
    <x v="2"/>
    <x v="1"/>
    <s v="SAMUEL CHUQUISTA"/>
    <x v="0"/>
    <s v="7012100 MercaderÃ­as-Venta Local-Terceros"/>
    <x v="12"/>
    <x v="32"/>
    <m/>
    <m/>
    <m/>
    <x v="77"/>
    <s v="ESPECTACULOS MARCABALITO S.A.C."/>
    <s v="Empresa"/>
    <x v="680"/>
  </r>
  <r>
    <x v="3"/>
    <x v="534"/>
    <s v="COLABORATIVA S.A.C."/>
    <x v="33"/>
    <d v="2025-11-03T00:00:00"/>
    <x v="82"/>
    <m/>
    <n v="6"/>
    <n v="20613294814"/>
    <s v="[{'id_producto': 17221, 'codigo_producto': 877, 'nom_producto': 'COMISION PAGOS DIGITALES SEGUN CONTRATO', 'categoria_producto': 'consu', 'cantidad': '1.0', 'valor_unitario': 227.88, 'precio_unitario': 268.9, 'descuento': 0.0, 'subtotal': 227.88, 'porcentaje_de_igv': '18.00', 'igv': 41.02, 'total': 268.9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21"/>
    <x v="26"/>
    <x v="6"/>
    <x v="0"/>
    <n v="1"/>
    <n v="227.88"/>
    <n v="268.89999999999998"/>
    <n v="0"/>
    <n v="227.88"/>
    <n v="18"/>
    <n v="41.02"/>
    <n v="268.89999999999998"/>
    <n v="1"/>
    <n v="1"/>
    <x v="2"/>
    <x v="2"/>
    <x v="1"/>
    <s v="SAMUEL CHUQUISTA"/>
    <x v="0"/>
    <s v="7012100 MercaderÃ­as-Venta Local-Terceros"/>
    <x v="12"/>
    <x v="32"/>
    <m/>
    <m/>
    <m/>
    <x v="77"/>
    <s v="ESPECTACULOS MARCABALITO S.A.C."/>
    <s v="Empresa"/>
    <x v="681"/>
  </r>
  <r>
    <x v="3"/>
    <x v="535"/>
    <s v="COLABORATIVA S.A.C."/>
    <x v="33"/>
    <d v="2025-11-03T00:00:00"/>
    <x v="82"/>
    <m/>
    <n v="6"/>
    <n v="20613294814"/>
    <s v="[{'id_producto': 17220, 'codigo_producto': 870, 'nom_producto': 'COMISION VAOPE SEGUN CONTRATO', 'categoria_producto': 'consu', 'cantidad': '1.0', 'valor_unitario': 126.36, 'precio_unitario': 149.1, 'descuento': 0.0, 'subtotal': 126.36, 'porcentaje_de_igv': '18.00', 'igv': 22.74, 'total': 149.1, 'moneda': '1', 'tipo_de_cambio': 1.0, 'id_estado': 'not_paid', 'nombre_estado': 'Sin pagar', 'evento': {'id_evento': '', 'nom_evento': '', 'fecha_hora_ini_event': '', 'fecha_hora_fin_event': '', 'id_organizador': 1124, 'nom_organizador': 'ESPECTACULOS MARCABALIT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20"/>
    <x v="27"/>
    <x v="5"/>
    <x v="0"/>
    <n v="1"/>
    <n v="126.36"/>
    <n v="149.1"/>
    <n v="0"/>
    <n v="126.36"/>
    <n v="18"/>
    <n v="22.74"/>
    <n v="149.1"/>
    <n v="1"/>
    <n v="1"/>
    <x v="2"/>
    <x v="2"/>
    <x v="1"/>
    <s v="SAMUEL CHUQUISTA"/>
    <x v="0"/>
    <s v="7012100 MercaderÃ­as-Venta Local-Terceros"/>
    <x v="12"/>
    <x v="32"/>
    <m/>
    <m/>
    <m/>
    <x v="77"/>
    <s v="ESPECTACULOS MARCABALITO S.A.C."/>
    <s v="Empresa"/>
    <x v="682"/>
  </r>
  <r>
    <x v="4"/>
    <x v="536"/>
    <s v="COLABORATIVA S.A.C."/>
    <x v="33"/>
    <d v="2025-11-03T00:00:00"/>
    <x v="61"/>
    <m/>
    <n v="1"/>
    <n v="10690613"/>
    <s v="[{'id_producto': 17219, 'codigo_producto': 877, 'nom_producto': 'COMISION PAGOS DIGITALES SEGUN CONTRATO', 'categoria_producto': 'consu', 'cantidad': '1.0', 'valor_unitario': 113.39, 'precio_unitario': 133.8, 'descuento': 0.0, 'subtotal': 113.39, 'porcentaje_de_igv': '18.00', 'igv': 20.41, 'total': 133.8, 'moneda': '1', 'tipo_de_cambio': 1.0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9"/>
    <x v="26"/>
    <x v="6"/>
    <x v="0"/>
    <n v="1"/>
    <n v="113.39"/>
    <n v="133.80000000000001"/>
    <n v="0"/>
    <n v="113.39"/>
    <n v="18"/>
    <n v="20.41"/>
    <n v="133.80000000000001"/>
    <n v="1"/>
    <n v="1"/>
    <x v="2"/>
    <x v="2"/>
    <x v="1"/>
    <s v="SAMUEL CHUQUISTA"/>
    <x v="0"/>
    <s v="7012100 MercaderÃ­as-Venta Local-Terceros"/>
    <x v="12"/>
    <x v="32"/>
    <m/>
    <m/>
    <m/>
    <x v="56"/>
    <s v="Adrian Dolores Flores"/>
    <s v="Persona"/>
    <x v="683"/>
  </r>
  <r>
    <x v="4"/>
    <x v="537"/>
    <s v="COLABORATIVA S.A.C."/>
    <x v="33"/>
    <d v="2025-11-03T00:00:00"/>
    <x v="61"/>
    <m/>
    <n v="1"/>
    <n v="10690613"/>
    <s v="[{'id_producto': 17218, 'codigo_producto': 870, 'nom_producto': 'COMISION VAOPE SEGUN CONTRATO', 'categoria_producto': 'consu', 'cantidad': '1.0', 'valor_unitario': 59.15, 'precio_unitario': 69.8, 'descuento': 0.0, 'subtotal': 59.15, 'porcentaje_de_igv': '18.00', 'igv': 10.65, 'total': 69.8, 'moneda': '1', 'tipo_de_cambio': 1.0, 'id_estado': 'not_paid', 'nombre_estado': 'Sin pagar', 'evento': {'id_evento': '', 'nom_evento': '', 'fecha_hora_ini_event': '', 'fecha_hora_fin_event': '', 'id_organizador': 1157, 'nom_organizador': 'Adrian Dolores Flore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8"/>
    <x v="27"/>
    <x v="5"/>
    <x v="0"/>
    <n v="1"/>
    <n v="59.15"/>
    <n v="69.8"/>
    <n v="0"/>
    <n v="59.15"/>
    <n v="18"/>
    <n v="10.65"/>
    <n v="69.8"/>
    <n v="1"/>
    <n v="1"/>
    <x v="2"/>
    <x v="2"/>
    <x v="1"/>
    <s v="SAMUEL CHUQUISTA"/>
    <x v="0"/>
    <s v="7012100 MercaderÃ­as-Venta Local-Terceros"/>
    <x v="12"/>
    <x v="32"/>
    <m/>
    <m/>
    <m/>
    <x v="56"/>
    <s v="Adrian Dolores Flores"/>
    <s v="Persona"/>
    <x v="684"/>
  </r>
  <r>
    <x v="3"/>
    <x v="538"/>
    <s v="COLABORATIVA S.A.C."/>
    <x v="33"/>
    <d v="2025-11-03T00:00:00"/>
    <x v="123"/>
    <m/>
    <n v="6"/>
    <n v="20609670518"/>
    <s v="[{'id_producto': 17217, 'codigo_producto': 871, 'nom_producto': 'COMISION PAGOS DIGITALES SEGUN CONTRATO ', 'categoria_producto': 'consu', 'cantidad': '1.0', 'valor_unitario': 283.79, 'precio_unitario': 334.87, 'descuento': 0.0, 'subtotal': 283.79, 'porcentaje_de_igv': '18.00', 'igv': 51.08, 'total': 334.87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7"/>
    <x v="39"/>
    <x v="35"/>
    <x v="0"/>
    <n v="1"/>
    <n v="283.79000000000002"/>
    <n v="334.87"/>
    <n v="0"/>
    <n v="283.79000000000002"/>
    <n v="18"/>
    <n v="51.08"/>
    <n v="334.87"/>
    <n v="1"/>
    <n v="1"/>
    <x v="2"/>
    <x v="2"/>
    <x v="1"/>
    <s v="SAMUEL CHUQUISTA"/>
    <x v="0"/>
    <s v="7012100 MercaderÃ­as-Venta Local-Terceros"/>
    <x v="12"/>
    <x v="32"/>
    <m/>
    <m/>
    <m/>
    <x v="120"/>
    <s v="FIESTAS BRAVAS GROUP S.A.C."/>
    <s v="Empresa"/>
    <x v="685"/>
  </r>
  <r>
    <x v="3"/>
    <x v="539"/>
    <s v="COLABORATIVA S.A.C."/>
    <x v="33"/>
    <d v="2025-11-03T00:00:00"/>
    <x v="123"/>
    <m/>
    <n v="6"/>
    <n v="20609670518"/>
    <s v="[{'id_producto': 17216, 'codigo_producto': 878, 'nom_producto': 'COMISION VAOPE SEGUN CONTRATO ', 'categoria_producto': 'consu', 'cantidad': '1.0', 'valor_unitario': 208.23, 'precio_unitario': 245.71, 'descuento': 0.0, 'subtotal': 208.23, 'porcentaje_de_igv': '18.00', 'igv': 37.48, 'total': 245.71, 'moneda': '1', 'tipo_de_cambio': 1.0, 'id_estado': 'not_paid', 'nombre_estado': 'Sin pagar', 'evento': {'id_evento': '', 'nom_evento': '', 'fecha_hora_ini_event': '', 'fecha_hora_fin_event': '', 'id_organizador': 1123, 'nom_organizador': 'FIESTAS BRAVAS GROUP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6"/>
    <x v="64"/>
    <x v="57"/>
    <x v="0"/>
    <n v="1"/>
    <n v="208.23"/>
    <n v="245.71"/>
    <n v="0"/>
    <n v="208.23"/>
    <n v="18"/>
    <n v="37.479999999999997"/>
    <n v="245.71"/>
    <n v="1"/>
    <n v="1"/>
    <x v="2"/>
    <x v="2"/>
    <x v="1"/>
    <s v="SAMUEL CHUQUISTA"/>
    <x v="0"/>
    <s v="7012100 MercaderÃ­as-Venta Local-Terceros"/>
    <x v="12"/>
    <x v="32"/>
    <m/>
    <m/>
    <m/>
    <x v="120"/>
    <s v="FIESTAS BRAVAS GROUP S.A.C."/>
    <s v="Empresa"/>
    <x v="686"/>
  </r>
  <r>
    <x v="3"/>
    <x v="540"/>
    <s v="COLABORATIVA S.A.C."/>
    <x v="33"/>
    <d v="2025-11-03T00:00:00"/>
    <x v="129"/>
    <m/>
    <n v="6"/>
    <n v="20601651531"/>
    <s v="[{'id_producto': 17215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5"/>
    <x v="40"/>
    <x v="19"/>
    <x v="0"/>
    <n v="1"/>
    <n v="2"/>
    <n v="2.36"/>
    <n v="0"/>
    <n v="2"/>
    <n v="18"/>
    <n v="0.36"/>
    <n v="2.36"/>
    <n v="1"/>
    <n v="1"/>
    <x v="2"/>
    <x v="2"/>
    <x v="1"/>
    <s v="SAMUEL CHUQUISTA"/>
    <x v="0"/>
    <s v="7012100 MercaderÃ­as-Venta Local-Terceros"/>
    <x v="12"/>
    <x v="32"/>
    <m/>
    <m/>
    <m/>
    <x v="127"/>
    <s v="LA PLAZA GASTRONOMICA S.A.C."/>
    <s v="Empresa"/>
    <x v="687"/>
  </r>
  <r>
    <x v="3"/>
    <x v="541"/>
    <s v="COLABORATIVA S.A.C."/>
    <x v="33"/>
    <d v="2025-11-03T00:00:00"/>
    <x v="129"/>
    <m/>
    <n v="6"/>
    <n v="20601651531"/>
    <s v="[{'id_producto': 17214, 'codigo_producto': 877, 'nom_producto': 'COMISION PAGOS DIGITALES SEGUN CONTRATO', 'categoria_producto': 'consu', 'cantidad': '1.0', 'valor_unitario': 218.69, 'precio_unitario': 258.06, 'descuento': 0.0, 'subtotal': 218.69, 'porcentaje_de_igv': '18.00', 'igv': 39.37, 'total': 258.06, 'moneda': '1', 'tipo_de_cambio': 1.0, 'id_estado': 'not_paid', 'nombre_estado': 'Sin pagar', 'evento': {'id_evento': '', 'nom_evento': '', 'fecha_hora_ini_event': '', 'fecha_hora_fin_event': '', 'id_organizador': 1122, 'nom_organizador': 'LA PLAZA GASTRONOMICA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4"/>
    <x v="26"/>
    <x v="6"/>
    <x v="0"/>
    <n v="1"/>
    <n v="218.69"/>
    <n v="258.06"/>
    <n v="0"/>
    <n v="218.69"/>
    <n v="18"/>
    <n v="39.369999999999997"/>
    <n v="258.06"/>
    <n v="1"/>
    <n v="1"/>
    <x v="2"/>
    <x v="2"/>
    <x v="1"/>
    <s v="SAMUEL CHUQUISTA"/>
    <x v="0"/>
    <s v="7012100 MercaderÃ­as-Venta Local-Terceros"/>
    <x v="12"/>
    <x v="32"/>
    <m/>
    <m/>
    <m/>
    <x v="127"/>
    <s v="LA PLAZA GASTRONOMICA S.A.C."/>
    <s v="Empresa"/>
    <x v="688"/>
  </r>
  <r>
    <x v="3"/>
    <x v="542"/>
    <s v="COLABORATIVA S.A.C."/>
    <x v="33"/>
    <d v="2025-11-03T00:00:00"/>
    <x v="130"/>
    <m/>
    <n v="6"/>
    <n v="20603064578"/>
    <s v="[{'id_producto': 17213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3"/>
    <x v="40"/>
    <x v="19"/>
    <x v="0"/>
    <n v="1"/>
    <n v="2"/>
    <n v="2.36"/>
    <n v="0"/>
    <n v="2"/>
    <n v="18"/>
    <n v="0.36"/>
    <n v="2.36"/>
    <n v="1"/>
    <n v="1"/>
    <x v="2"/>
    <x v="2"/>
    <x v="1"/>
    <s v="SAMUEL CHUQUISTA"/>
    <x v="0"/>
    <s v="7012100 MercaderÃ­as-Venta Local-Terceros"/>
    <x v="12"/>
    <x v="32"/>
    <m/>
    <m/>
    <m/>
    <x v="128"/>
    <s v="ECO CABAÃ‘AS DEL ESTE S.A.C."/>
    <s v="Empresa"/>
    <x v="689"/>
  </r>
  <r>
    <x v="3"/>
    <x v="543"/>
    <s v="COLABORATIVA S.A.C."/>
    <x v="33"/>
    <d v="2025-11-03T00:00:00"/>
    <x v="130"/>
    <m/>
    <n v="6"/>
    <n v="20603064578"/>
    <s v="[{'id_producto': 17212, 'codigo_producto': 877, 'nom_producto': 'COMISION PAGOS DIGITALES SEGUN CONTRATO', 'categoria_producto': 'consu', 'cantidad': '1.0', 'valor_unitario': 311.91, 'precio_unitario': 368.05, 'descuento': 0.0, 'subtotal': 311.91, 'porcentaje_de_igv': '18.00', 'igv': 56.14, 'total': 368.05, 'moneda': '1', 'tipo_de_cambio': 1.0, 'id_estado': 'not_paid', 'nombre_estado': 'Sin pagar', 'evento': {'id_evento': '', 'nom_evento': '', 'fecha_hora_ini_event': '', 'fecha_hora_fin_event': '', 'id_organizador': 1121, 'nom_organizador': 'ECO CABAÃ‘AS DEL ESTE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2"/>
    <x v="26"/>
    <x v="6"/>
    <x v="0"/>
    <n v="1"/>
    <n v="311.91000000000003"/>
    <n v="368.05"/>
    <n v="0"/>
    <n v="311.91000000000003"/>
    <n v="18"/>
    <n v="56.14"/>
    <n v="368.05"/>
    <n v="1"/>
    <n v="1"/>
    <x v="2"/>
    <x v="2"/>
    <x v="1"/>
    <s v="SAMUEL CHUQUISTA"/>
    <x v="0"/>
    <s v="7012100 MercaderÃ­as-Venta Local-Terceros"/>
    <x v="12"/>
    <x v="32"/>
    <m/>
    <m/>
    <m/>
    <x v="128"/>
    <s v="ECO CABAÃ‘AS DEL ESTE S.A.C."/>
    <s v="Empresa"/>
    <x v="690"/>
  </r>
  <r>
    <x v="3"/>
    <x v="544"/>
    <s v="COLABORATIVA S.A.C."/>
    <x v="33"/>
    <d v="2025-11-03T00:00:00"/>
    <x v="131"/>
    <m/>
    <n v="6"/>
    <n v="20601149371"/>
    <s v="[{'id_producto': 17211, 'codigo_producto': 874, 'nom_producto': 'COMISION CORTESIA', 'categoria_producto': 'consu', 'cantidad': '1.0', 'valor_unitario': 2.0, 'precio_unitario': 2.36, 'descuento': 0.0, 'subtotal': 2.0, 'porcentaje_de_igv': '18.00', 'igv': 0.36, 'total': 2.36, 'moneda': '1', 'tipo_de_cambio': 1.0, 'id_estado': 'not_paid', 'nombre_estado': 'Sin pagar', 'evento': {'id_evento': '', 'nom_evento': '', 'fecha_hora_ini_event': '', 'fecha_hora_fin_event': '', 'id_organizador': 1120, 'nom_organizador': 'SABORES CRIOLLOS DEL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1"/>
    <x v="40"/>
    <x v="19"/>
    <x v="0"/>
    <n v="1"/>
    <n v="2"/>
    <n v="2.36"/>
    <n v="0"/>
    <n v="2"/>
    <n v="18"/>
    <n v="0.36"/>
    <n v="2.36"/>
    <n v="1"/>
    <n v="1"/>
    <x v="2"/>
    <x v="2"/>
    <x v="1"/>
    <s v="SAMUEL CHUQUISTA"/>
    <x v="0"/>
    <s v="7012100 MercaderÃ­as-Venta Local-Terceros"/>
    <x v="12"/>
    <x v="32"/>
    <m/>
    <m/>
    <m/>
    <x v="129"/>
    <s v="SABORES CRIOLLOS DEL PERU SAC"/>
    <s v="Empresa"/>
    <x v="691"/>
  </r>
  <r>
    <x v="3"/>
    <x v="545"/>
    <s v="COLABORATIVA S.A.C."/>
    <x v="33"/>
    <d v="2025-11-03T00:00:00"/>
    <x v="131"/>
    <m/>
    <n v="6"/>
    <n v="20601149371"/>
    <s v="[{'id_producto': 17210, 'codigo_producto': 871, 'nom_producto': 'COMISION PAGOS DIGITALES SEGUN CONTRATO ', 'categoria_producto': 'consu', 'cantidad': '1.0', 'valor_unitario': 678.25, 'precio_unitario': 800.33, 'descuento': 0.0, 'subtotal': 678.25, 'porcentaje_de_igv': '18.00', 'igv': 122.08, 'total': 800.33, 'moneda': '1', 'tipo_de_cambio': 1.0, 'id_estado': 'not_paid', 'nombre_estado': 'Sin pagar', 'evento': {'id_evento': '', 'nom_evento': '', 'fecha_hora_ini_event': '', 'fecha_hora_fin_event': '', 'id_organizador': 1120, 'nom_organizador': 'SABORES CRIOLLOS DEL PERU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10"/>
    <x v="39"/>
    <x v="35"/>
    <x v="0"/>
    <n v="1"/>
    <n v="678.25"/>
    <n v="800.33"/>
    <n v="0"/>
    <n v="678.25"/>
    <n v="18"/>
    <n v="122.08"/>
    <n v="800.33"/>
    <n v="1"/>
    <n v="1"/>
    <x v="2"/>
    <x v="2"/>
    <x v="1"/>
    <s v="SAMUEL CHUQUISTA"/>
    <x v="0"/>
    <s v="7012100 MercaderÃ­as-Venta Local-Terceros"/>
    <x v="12"/>
    <x v="32"/>
    <m/>
    <m/>
    <m/>
    <x v="129"/>
    <s v="SABORES CRIOLLOS DEL PERU SAC"/>
    <s v="Empresa"/>
    <x v="692"/>
  </r>
  <r>
    <x v="3"/>
    <x v="546"/>
    <s v="COLABORATIVA S.A.C."/>
    <x v="33"/>
    <d v="2025-11-03T00:00:00"/>
    <x v="132"/>
    <m/>
    <n v="6"/>
    <n v="20611454300"/>
    <s v="[{'id_producto': 17209, 'codigo_producto': 888, 'nom_producto': 'FEE ADMINISTRATIVO - Fee administrativo adelanto de recaudacion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6T00:00:00"/>
    <m/>
    <m/>
    <m/>
    <m/>
    <m/>
    <n v="17209"/>
    <x v="128"/>
    <x v="121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130"/>
    <s v="SAOCO FR E.I.R.L."/>
    <s v="Empresa"/>
    <x v="693"/>
  </r>
  <r>
    <x v="3"/>
    <x v="547"/>
    <s v="COLABORATIVA S.A.C."/>
    <x v="33"/>
    <d v="2025-11-03T00:00:00"/>
    <x v="132"/>
    <m/>
    <n v="6"/>
    <n v="20611454300"/>
    <s v="[{'id_producto': 17208, 'codigo_producto': 877, 'nom_producto': 'COMISION PAGOS DIGITALES SEGUN CONTRATO', 'categoria_producto': 'consu', 'cantidad': '1.0', 'valor_unitario': 2836.25, 'precio_unitario': 3346.77, 'descuento': 0.0, 'subtotal': 2836.25, 'porcentaje_de_igv': '18.00', 'igv': 510.52, 'total': 3346.77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8"/>
    <x v="26"/>
    <x v="6"/>
    <x v="0"/>
    <n v="1"/>
    <n v="2836.25"/>
    <n v="3346.77"/>
    <n v="0"/>
    <n v="2836.25"/>
    <n v="18"/>
    <n v="510.52"/>
    <n v="3346.77"/>
    <n v="1"/>
    <n v="1"/>
    <x v="2"/>
    <x v="2"/>
    <x v="1"/>
    <s v="SAMUEL CHUQUISTA"/>
    <x v="0"/>
    <s v="7012100 MercaderÃ­as-Venta Local-Terceros"/>
    <x v="12"/>
    <x v="32"/>
    <m/>
    <m/>
    <m/>
    <x v="130"/>
    <s v="SAOCO FR E.I.R.L."/>
    <s v="Empresa"/>
    <x v="694"/>
  </r>
  <r>
    <x v="3"/>
    <x v="548"/>
    <s v="COLABORATIVA S.A.C."/>
    <x v="33"/>
    <d v="2025-11-03T00:00:00"/>
    <x v="132"/>
    <m/>
    <n v="6"/>
    <n v="20611454300"/>
    <s v="[{'id_producto': 17207, 'codigo_producto': 870, 'nom_producto': 'COMISION VAOPE SEGUN CONTRATO', 'categoria_producto': 'consu', 'cantidad': '1.0', 'valor_unitario': 2033.08, 'precio_unitario': 2399.04, 'descuento': 0.0, 'subtotal': 2033.08, 'porcentaje_de_igv': '18.00', 'igv': 365.96, 'total': 2399.04, 'moneda': '1', 'tipo_de_cambio': 1.0, 'id_estado': 'not_paid', 'nombre_estado': 'Sin pagar', 'evento': {'id_evento': '', 'nom_evento': '', 'fecha_hora_ini_event': '', 'fecha_hora_fin_event': '', 'id_organizador': 1119, 'nom_organizador': 'SAOCO FR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7"/>
    <x v="27"/>
    <x v="5"/>
    <x v="0"/>
    <n v="1"/>
    <n v="2033.08"/>
    <n v="2399.04"/>
    <n v="0"/>
    <n v="2033.08"/>
    <n v="18"/>
    <n v="365.96"/>
    <n v="2399.04"/>
    <n v="1"/>
    <n v="1"/>
    <x v="2"/>
    <x v="2"/>
    <x v="1"/>
    <s v="SAMUEL CHUQUISTA"/>
    <x v="0"/>
    <s v="7012100 MercaderÃ­as-Venta Local-Terceros"/>
    <x v="12"/>
    <x v="32"/>
    <m/>
    <m/>
    <m/>
    <x v="130"/>
    <s v="SAOCO FR E.I.R.L."/>
    <s v="Empresa"/>
    <x v="695"/>
  </r>
  <r>
    <x v="4"/>
    <x v="549"/>
    <s v="COLABORATIVA S.A.C."/>
    <x v="33"/>
    <d v="2025-11-03T00:00:00"/>
    <x v="133"/>
    <m/>
    <n v="1"/>
    <n v="44835970"/>
    <s v="[{'id_producto': 17206, 'codigo_producto': 877, 'nom_producto': 'COMISION PAGOS DIGITALES SEGUN CONTRATO', 'categoria_producto': 'consu', 'cantidad': '1.0', 'valor_unitario': 59.66, 'precio_unitario': 70.4, 'descuento': 0.0, 'subtotal': 59.66, 'porcentaje_de_igv': '18.00', 'igv': 10.74, 'total': 70.4, 'moneda': '1', 'tipo_de_cambio': 1.0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6"/>
    <x v="26"/>
    <x v="6"/>
    <x v="0"/>
    <n v="1"/>
    <n v="59.66"/>
    <n v="70.400000000000006"/>
    <n v="0"/>
    <n v="59.66"/>
    <n v="18"/>
    <n v="10.74"/>
    <n v="70.400000000000006"/>
    <n v="1"/>
    <n v="1"/>
    <x v="2"/>
    <x v="2"/>
    <x v="1"/>
    <s v="SAMUEL CHUQUISTA"/>
    <x v="0"/>
    <s v="7012100 MercaderÃ­as-Venta Local-Terceros"/>
    <x v="12"/>
    <x v="32"/>
    <m/>
    <m/>
    <m/>
    <x v="131"/>
    <s v="ALEX DARWIN MUERAS PORRAS"/>
    <s v="Persona"/>
    <x v="696"/>
  </r>
  <r>
    <x v="4"/>
    <x v="550"/>
    <s v="COLABORATIVA S.A.C."/>
    <x v="33"/>
    <d v="2025-11-03T00:00:00"/>
    <x v="133"/>
    <m/>
    <n v="1"/>
    <n v="44835970"/>
    <s v="[{'id_producto': 17205, 'codigo_producto': 878, 'nom_producto': 'COMISION VAOPE SEGUN CONTRATO ', 'categoria_producto': 'consu', 'cantidad': '1.0', 'valor_unitario': 43.0, 'precio_unitario': 50.74, 'descuento': 0.0, 'subtotal': 43.0, 'porcentaje_de_igv': '18.00', 'igv': 7.74, 'total': 50.74, 'moneda': '1', 'tipo_de_cambio': 1.0, 'id_estado': 'not_paid', 'nombre_estado': 'Sin pagar', 'evento': {'id_evento': '', 'nom_evento': '', 'fecha_hora_ini_event': '', 'fecha_hora_fin_event': '', 'id_organizador': 1156, 'nom_organizador': 'ALEX DARWIN MUERAS PORRA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5"/>
    <x v="64"/>
    <x v="57"/>
    <x v="0"/>
    <n v="1"/>
    <n v="43"/>
    <n v="50.74"/>
    <n v="0"/>
    <n v="43"/>
    <n v="18"/>
    <n v="7.74"/>
    <n v="50.74"/>
    <n v="1"/>
    <n v="1"/>
    <x v="2"/>
    <x v="2"/>
    <x v="1"/>
    <s v="SAMUEL CHUQUISTA"/>
    <x v="0"/>
    <s v="7012100 MercaderÃ­as-Venta Local-Terceros"/>
    <x v="12"/>
    <x v="32"/>
    <m/>
    <m/>
    <m/>
    <x v="131"/>
    <s v="ALEX DARWIN MUERAS PORRAS"/>
    <s v="Persona"/>
    <x v="697"/>
  </r>
  <r>
    <x v="4"/>
    <x v="551"/>
    <s v="COLABORATIVA S.A.C."/>
    <x v="33"/>
    <d v="2025-11-03T00:00:00"/>
    <x v="134"/>
    <s v="Cliente"/>
    <n v="1"/>
    <n v="10482943"/>
    <s v="[{'id_producto': 17204, 'codigo_producto': 877, 'nom_producto': 'COMISION PAGOS DIGITALES SEGUN CONTRATO', 'categoria_producto': 'consu', 'cantidad': '1.0', 'valor_unitario': 66.45, 'precio_unitario': 78.41, 'descuento': 0.0, 'subtotal': 66.45, 'porcentaje_de_igv': '18.00', 'igv': 11.96, 'total': 78.41, 'moneda': '1', 'tipo_de_cambio': 1.0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4"/>
    <x v="26"/>
    <x v="6"/>
    <x v="0"/>
    <n v="1"/>
    <n v="66.45"/>
    <n v="78.41"/>
    <n v="0"/>
    <n v="66.45"/>
    <n v="18"/>
    <n v="11.96"/>
    <n v="78.41"/>
    <n v="1"/>
    <n v="1"/>
    <x v="2"/>
    <x v="2"/>
    <x v="1"/>
    <s v="SAMUEL CHUQUISTA"/>
    <x v="0"/>
    <s v="7012100 MercaderÃ­as-Venta Local-Terceros"/>
    <x v="12"/>
    <x v="32"/>
    <m/>
    <m/>
    <m/>
    <x v="132"/>
    <s v="Dilbert Aguilar"/>
    <s v="Persona"/>
    <x v="698"/>
  </r>
  <r>
    <x v="4"/>
    <x v="552"/>
    <s v="COLABORATIVA S.A.C."/>
    <x v="33"/>
    <d v="2025-11-03T00:00:00"/>
    <x v="134"/>
    <s v="Cliente"/>
    <n v="1"/>
    <n v="10482943"/>
    <s v="[{'id_producto': 17203, 'codigo_producto': 878, 'nom_producto': 'COMISION VAOPE SEGUN CONTRATO ', 'categoria_producto': 'consu', 'cantidad': '1.0', 'valor_unitario': 41.47, 'precio_unitario': 48.94, 'descuento': 0.0, 'subtotal': 41.47, 'porcentaje_de_igv': '18.00', 'igv': 7.47, 'total': 48.94, 'moneda': '1', 'tipo_de_cambio': 1.0, 'id_estado': 'not_paid', 'nombre_estado': 'Sin pagar', 'evento': {'id_evento': '', 'nom_evento': '', 'fecha_hora_ini_event': '', 'fecha_hora_fin_event': '', 'id_organizador': 411, 'nom_organizador': 'Dilbert Aguilar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3"/>
    <x v="64"/>
    <x v="57"/>
    <x v="0"/>
    <n v="1"/>
    <n v="41.47"/>
    <n v="48.94"/>
    <n v="0"/>
    <n v="41.47"/>
    <n v="18"/>
    <n v="7.47"/>
    <n v="48.94"/>
    <n v="1"/>
    <n v="1"/>
    <x v="2"/>
    <x v="2"/>
    <x v="1"/>
    <s v="SAMUEL CHUQUISTA"/>
    <x v="0"/>
    <s v="7012100 MercaderÃ­as-Venta Local-Terceros"/>
    <x v="12"/>
    <x v="32"/>
    <m/>
    <m/>
    <m/>
    <x v="132"/>
    <s v="Dilbert Aguilar"/>
    <s v="Persona"/>
    <x v="699"/>
  </r>
  <r>
    <x v="3"/>
    <x v="553"/>
    <s v="COLABORATIVA S.A.C."/>
    <x v="33"/>
    <d v="2025-11-03T00:00:00"/>
    <x v="104"/>
    <m/>
    <n v="6"/>
    <n v="10473186603"/>
    <s v="[{'id_producto': 17202, 'codigo_producto': 877, 'nom_producto': 'COMISION PAGOS DIGITALES SEGUN CONTRATO', 'categoria_producto': 'consu', 'cantidad': '1.0', 'valor_unitario': 222.31, 'precio_unitario': 262.32, 'descuento': 0.0, 'subtotal': 222.31, 'porcentaje_de_igv': '18.00', 'igv': 40.01, 'total': 262.32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2"/>
    <x v="26"/>
    <x v="6"/>
    <x v="0"/>
    <n v="1"/>
    <n v="222.31"/>
    <n v="262.32"/>
    <n v="0"/>
    <n v="222.31"/>
    <n v="18"/>
    <n v="40.01"/>
    <n v="262.32"/>
    <n v="1"/>
    <n v="1"/>
    <x v="2"/>
    <x v="2"/>
    <x v="1"/>
    <s v="SAMUEL CHUQUISTA"/>
    <x v="0"/>
    <s v="7012100 MercaderÃ­as-Venta Local-Terceros"/>
    <x v="12"/>
    <x v="32"/>
    <m/>
    <m/>
    <m/>
    <x v="101"/>
    <s v="TORRES TOVAR WILDER"/>
    <s v="Empresa"/>
    <x v="700"/>
  </r>
  <r>
    <x v="3"/>
    <x v="554"/>
    <s v="COLABORATIVA S.A.C."/>
    <x v="33"/>
    <d v="2025-11-03T00:00:00"/>
    <x v="104"/>
    <m/>
    <n v="6"/>
    <n v="10473186603"/>
    <s v="[{'id_producto': 17201, 'codigo_producto': 870, 'nom_producto': 'COMISION VAOPE SEGUN CONTRATO', 'categoria_producto': 'consu', 'cantidad': '1.0', 'valor_unitario': 133.42, 'precio_unitario': 157.44, 'descuento': 0.0, 'subtotal': 133.42, 'porcentaje_de_igv': '18.00', 'igv': 24.02, 'total': 157.44, 'moneda': '1', 'tipo_de_cambio': 1.0, 'id_estado': 'not_paid', 'nombre_estado': 'Sin pagar', 'evento': {'id_evento': '', 'nom_evento': '', 'fecha_hora_ini_event': '', 'fecha_hora_fin_event': '', 'id_organizador': 1140, 'nom_organizador': 'TORRES TOVAR WILDER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1"/>
    <x v="27"/>
    <x v="5"/>
    <x v="0"/>
    <n v="1"/>
    <n v="133.41999999999999"/>
    <n v="157.44"/>
    <n v="0"/>
    <n v="133.41999999999999"/>
    <n v="18"/>
    <n v="24.02"/>
    <n v="157.44"/>
    <n v="1"/>
    <n v="1"/>
    <x v="2"/>
    <x v="2"/>
    <x v="1"/>
    <s v="SAMUEL CHUQUISTA"/>
    <x v="0"/>
    <s v="7012100 MercaderÃ­as-Venta Local-Terceros"/>
    <x v="12"/>
    <x v="32"/>
    <m/>
    <m/>
    <m/>
    <x v="101"/>
    <s v="TORRES TOVAR WILDER"/>
    <s v="Empresa"/>
    <x v="701"/>
  </r>
  <r>
    <x v="3"/>
    <x v="555"/>
    <s v="COLABORATIVA S.A.C."/>
    <x v="33"/>
    <d v="2025-11-03T00:00:00"/>
    <x v="41"/>
    <m/>
    <n v="6"/>
    <n v="20609225107"/>
    <s v="[{'id_producto': 17200, 'codigo_producto': 877, 'nom_producto': 'COMISION PAGOS DIGITALES SEGUN CONTRATO', 'categoria_producto': 'consu', 'cantidad': '1.0', 'valor_unitario': 21.61, 'precio_unitario': 25.5, 'descuento': 0.0, 'subtotal': 21.61, 'porcentaje_de_igv': '18.00', 'igv': 3.89, 'total': 25.5, 'moneda': '1', 'tipo_de_cambio': 1.0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200"/>
    <x v="26"/>
    <x v="6"/>
    <x v="0"/>
    <n v="1"/>
    <n v="21.61"/>
    <n v="25.5"/>
    <n v="0"/>
    <n v="21.61"/>
    <n v="18"/>
    <n v="3.89"/>
    <n v="25.5"/>
    <n v="1"/>
    <n v="1"/>
    <x v="2"/>
    <x v="2"/>
    <x v="1"/>
    <s v="SAMUEL CHUQUISTA"/>
    <x v="0"/>
    <s v="7012100 MercaderÃ­as-Venta Local-Terceros"/>
    <x v="12"/>
    <x v="32"/>
    <m/>
    <m/>
    <m/>
    <x v="38"/>
    <s v="PROMOTORA SR. DE MURUHUAY E.I.R.L."/>
    <s v="Empresa"/>
    <x v="702"/>
  </r>
  <r>
    <x v="3"/>
    <x v="556"/>
    <s v="COLABORATIVA S.A.C."/>
    <x v="33"/>
    <d v="2025-11-03T00:00:00"/>
    <x v="41"/>
    <m/>
    <n v="6"/>
    <n v="20609225107"/>
    <s v="[{'id_producto': 17199, 'codigo_producto': 870, 'nom_producto': 'COMISION VAOPE SEGUN CONTRATO', 'categoria_producto': 'consu', 'cantidad': '1.0', 'valor_unitario': 15.25, 'precio_unitario': 18.0, 'descuento': 0.0, 'subtotal': 15.25, 'porcentaje_de_igv': '18.00', 'igv': 2.75, 'total': 18.0, 'moneda': '1', 'tipo_de_cambio': 1.0, 'id_estado': 'not_paid', 'nombre_estado': 'Sin pagar', 'evento': {'id_evento': '', 'nom_evento': '', 'fecha_hora_ini_event': '', 'fecha_hora_fin_event': '', 'id_organizador': 1118, 'nom_organizador': 'PROMOTORA SR. DE MURUHUAY E.I.R.L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9"/>
    <x v="27"/>
    <x v="5"/>
    <x v="0"/>
    <n v="1"/>
    <n v="15.25"/>
    <n v="18"/>
    <n v="0"/>
    <n v="15.25"/>
    <n v="18"/>
    <n v="2.75"/>
    <n v="18"/>
    <n v="1"/>
    <n v="1"/>
    <x v="2"/>
    <x v="2"/>
    <x v="1"/>
    <s v="SAMUEL CHUQUISTA"/>
    <x v="0"/>
    <s v="7012100 MercaderÃ­as-Venta Local-Terceros"/>
    <x v="12"/>
    <x v="32"/>
    <m/>
    <m/>
    <m/>
    <x v="38"/>
    <s v="PROMOTORA SR. DE MURUHUAY E.I.R.L."/>
    <s v="Empresa"/>
    <x v="703"/>
  </r>
  <r>
    <x v="4"/>
    <x v="557"/>
    <s v="COLABORATIVA S.A.C."/>
    <x v="33"/>
    <d v="2025-11-03T00:00:00"/>
    <x v="135"/>
    <m/>
    <n v="1"/>
    <s v="08312410"/>
    <s v="[{'id_producto': 17198, 'codigo_producto': 887, 'nom_producto': 'COMISION VAOPE SEGUN CONTRATO - MARGARITA ARROYO ', 'categoria_producto': 'consu', 'cantidad': '1.0', 'valor_unitario': 109.06, 'precio_unitario': 128.69, 'descuento': 0.0, 'subtotal': 109.06, 'porcentaje_de_igv': '18.00', 'igv': 19.63, 'total': 128.69, 'moneda': '1', 'tipo_de_cambio': 1.0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8"/>
    <x v="129"/>
    <x v="122"/>
    <x v="0"/>
    <n v="1"/>
    <n v="109.06"/>
    <n v="128.69"/>
    <n v="0"/>
    <n v="109.06"/>
    <n v="18"/>
    <n v="19.63"/>
    <n v="128.69"/>
    <n v="1"/>
    <n v="1"/>
    <x v="2"/>
    <x v="2"/>
    <x v="1"/>
    <s v="SAMUEL CHUQUISTA"/>
    <x v="0"/>
    <s v="7012100 MercaderÃ­as-Venta Local-Terceros"/>
    <x v="12"/>
    <x v="32"/>
    <m/>
    <m/>
    <m/>
    <x v="133"/>
    <s v="MARGARITA ARROYO FLORES_x000a_"/>
    <s v="Persona"/>
    <x v="704"/>
  </r>
  <r>
    <x v="4"/>
    <x v="558"/>
    <s v="COLABORATIVA S.A.C."/>
    <x v="33"/>
    <d v="2025-11-03T00:00:00"/>
    <x v="135"/>
    <m/>
    <n v="1"/>
    <s v="08312410"/>
    <s v="[{'id_producto': 17197, 'codigo_producto': 886, 'nom_producto': 'COMISION PAGOS DIGITALES SEGUN CONTRATO - MARGARITA ARROYO ', 'categoria_producto': 'consu', 'cantidad': '1.0', 'valor_unitario': 182.75, 'precio_unitario': 215.64, 'descuento': 0.0, 'subtotal': 182.75, 'porcentaje_de_igv': '18.00', 'igv': 32.89, 'total': 215.64, 'moneda': '1', 'tipo_de_cambio': 1.0, 'id_estado': 'not_paid', 'nombre_estado': 'Sin pagar', 'evento': {'id_evento': '', 'nom_evento': '', 'fecha_hora_ini_event': '', 'fecha_hora_fin_event': '', 'id_organizador': 1155, 'nom_organizador': 'MARGARITA ARROYO FLORES\n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7"/>
    <x v="130"/>
    <x v="123"/>
    <x v="0"/>
    <n v="1"/>
    <n v="182.75"/>
    <n v="215.64"/>
    <n v="0"/>
    <n v="182.75"/>
    <n v="18"/>
    <n v="32.89"/>
    <n v="215.64"/>
    <n v="1"/>
    <n v="1"/>
    <x v="2"/>
    <x v="2"/>
    <x v="1"/>
    <s v="SAMUEL CHUQUISTA"/>
    <x v="0"/>
    <s v="7012100 MercaderÃ­as-Venta Local-Terceros"/>
    <x v="12"/>
    <x v="32"/>
    <m/>
    <m/>
    <m/>
    <x v="133"/>
    <s v="MARGARITA ARROYO FLORES_x000a_"/>
    <s v="Persona"/>
    <x v="705"/>
  </r>
  <r>
    <x v="3"/>
    <x v="559"/>
    <s v="COLABORATIVA S.A.C."/>
    <x v="33"/>
    <d v="2025-11-03T00:00:00"/>
    <x v="136"/>
    <m/>
    <n v="6"/>
    <n v="10082794838"/>
    <s v="[{'id_producto': 17196, 'codigo_producto': 885, 'nom_producto': 'COMISION VAOPE SEGUN CONTRATO', 'categoria_producto': 'consu', 'cantidad': '1.0', 'valor_unitario': 109.06, 'precio_unitario': 128.69, 'descuento': 0.0, 'subtotal': 109.06, 'porcentaje_de_igv': '18.00', 'igv': 19.63, 'total': 128.69, 'moneda': '1', 'tipo_de_cambio': 1.0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6"/>
    <x v="53"/>
    <x v="5"/>
    <x v="0"/>
    <n v="1"/>
    <n v="109.06"/>
    <n v="128.69"/>
    <n v="0"/>
    <n v="109.06"/>
    <n v="18"/>
    <n v="19.63"/>
    <n v="128.69"/>
    <n v="1"/>
    <n v="1"/>
    <x v="2"/>
    <x v="2"/>
    <x v="1"/>
    <s v="SAMUEL CHUQUISTA"/>
    <x v="0"/>
    <s v="7012100 MercaderÃ­as-Venta Local-Terceros"/>
    <x v="12"/>
    <x v="32"/>
    <m/>
    <m/>
    <m/>
    <x v="134"/>
    <s v="COJAL ARROYO JAVIER MARCIANO"/>
    <s v="Empresa"/>
    <x v="706"/>
  </r>
  <r>
    <x v="3"/>
    <x v="560"/>
    <s v="COLABORATIVA S.A.C."/>
    <x v="33"/>
    <d v="2025-11-03T00:00:00"/>
    <x v="136"/>
    <m/>
    <n v="6"/>
    <n v="10082794838"/>
    <s v="[{'id_producto': 17195, 'codigo_producto': 216, 'nom_producto': 'COMISION PAGOS DIGITALES SEGUN CONTRATO', 'categoria_producto': 'service', 'cantidad': '1.0', 'valor_unitario': 182.75, 'precio_unitario': 215.64, 'descuento': 0.0, 'subtotal': 182.75, 'porcentaje_de_igv': '18.00', 'igv': 32.89, 'total': 215.64, 'moneda': '1', 'tipo_de_cambio': 1.0, 'id_estado': 'not_paid', 'nombre_estado': 'Sin pagar', 'evento': {'id_evento': '', 'nom_evento': '', 'fecha_hora_ini_event': '', 'fecha_hora_fin_event': '', 'id_organizador': 1117, 'nom_organizador': 'COJAL ARROYO JAVIER MARCIANO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5"/>
    <x v="6"/>
    <x v="6"/>
    <x v="1"/>
    <n v="1"/>
    <n v="182.75"/>
    <n v="215.64"/>
    <n v="0"/>
    <n v="182.75"/>
    <n v="18"/>
    <n v="32.89"/>
    <n v="215.64"/>
    <n v="1"/>
    <n v="1"/>
    <x v="2"/>
    <x v="2"/>
    <x v="1"/>
    <s v="SAMUEL CHUQUISTA"/>
    <x v="0"/>
    <s v="7012100 MercaderÃ­as-Venta Local-Terceros"/>
    <x v="12"/>
    <x v="32"/>
    <m/>
    <m/>
    <m/>
    <x v="134"/>
    <s v="COJAL ARROYO JAVIER MARCIANO"/>
    <s v="Empresa"/>
    <x v="707"/>
  </r>
  <r>
    <x v="4"/>
    <x v="561"/>
    <s v="COLABORATIVA S.A.C."/>
    <x v="33"/>
    <d v="2025-11-03T00:00:00"/>
    <x v="16"/>
    <s v="Cliente"/>
    <n v="1"/>
    <n v="44413438"/>
    <s v="[{'id_producto': 17194, 'codigo_producto': 216, 'nom_producto': 'COMISION PAGOS DIGITALES SEGUN CONTRATO', 'categoria_producto': 'service', 'cantidad': '1.0', 'valor_unitario': 757.54, 'precio_unitario': 893.9, 'descuento': 0.0, 'subtotal': 757.54, 'porcentaje_de_igv': '18.00', 'igv': 136.36, 'total': 893.9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4"/>
    <x v="6"/>
    <x v="6"/>
    <x v="1"/>
    <n v="1"/>
    <n v="757.54"/>
    <n v="893.9"/>
    <n v="0"/>
    <n v="757.54"/>
    <n v="18"/>
    <n v="136.36000000000001"/>
    <n v="893.9"/>
    <n v="1"/>
    <n v="1"/>
    <x v="2"/>
    <x v="2"/>
    <x v="1"/>
    <s v="SAMUEL CHUQUISTA"/>
    <x v="0"/>
    <s v="7012100 MercaderÃ­as-Venta Local-Terceros"/>
    <x v="12"/>
    <x v="32"/>
    <m/>
    <m/>
    <m/>
    <x v="16"/>
    <s v="HERMOGENES HUAMAN ESPINOZA"/>
    <s v="Persona"/>
    <x v="708"/>
  </r>
  <r>
    <x v="4"/>
    <x v="562"/>
    <s v="COLABORATIVA S.A.C."/>
    <x v="33"/>
    <d v="2025-11-03T00:00:00"/>
    <x v="16"/>
    <s v="Cliente"/>
    <n v="1"/>
    <n v="44413438"/>
    <s v="[{'id_producto': 17193, 'codigo_producto': 878, 'nom_producto': 'COMISION VAOPE SEGUN CONTRATO ', 'categoria_producto': 'consu', 'cantidad': '1.0', 'valor_unitario': 460.17, 'precio_unitario': 543.0, 'descuento': 0.0, 'subtotal': 460.17, 'porcentaje_de_igv': '18.00', 'igv': 82.83, 'total': 543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3"/>
    <x v="64"/>
    <x v="57"/>
    <x v="0"/>
    <n v="1"/>
    <n v="460.17"/>
    <n v="543"/>
    <n v="0"/>
    <n v="460.17"/>
    <n v="18"/>
    <n v="82.83"/>
    <n v="543"/>
    <n v="1"/>
    <n v="1"/>
    <x v="2"/>
    <x v="2"/>
    <x v="1"/>
    <s v="SAMUEL CHUQUISTA"/>
    <x v="0"/>
    <s v="7012100 MercaderÃ­as-Venta Local-Terceros"/>
    <x v="12"/>
    <x v="32"/>
    <m/>
    <m/>
    <m/>
    <x v="16"/>
    <s v="HERMOGENES HUAMAN ESPINOZA"/>
    <s v="Persona"/>
    <x v="709"/>
  </r>
  <r>
    <x v="3"/>
    <x v="563"/>
    <s v="COLABORATIVA S.A.C."/>
    <x v="33"/>
    <d v="2025-11-03T00:00:00"/>
    <x v="21"/>
    <s v="Cliente"/>
    <n v="6"/>
    <n v="20296011356"/>
    <s v="[{'id_producto': 17192, 'codigo_producto': 874, 'nom_producto': 'COMISION CORTESIA', 'categoria_producto': 'consu', 'cantidad': '1.0', 'valor_unitario': 8.5, 'precio_unitario': 10.03, 'descuento': 0.0, 'subtotal': 8.5, 'porcentaje_de_igv': '18.00', 'igv': 1.53, 'total': 10.03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92"/>
    <x v="40"/>
    <x v="19"/>
    <x v="0"/>
    <n v="1"/>
    <n v="8.5"/>
    <n v="10.029999999999999"/>
    <n v="0"/>
    <n v="8.5"/>
    <n v="18"/>
    <n v="1.53"/>
    <n v="10.029999999999999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710"/>
  </r>
  <r>
    <x v="3"/>
    <x v="564"/>
    <s v="COLABORATIVA S.A.C."/>
    <x v="33"/>
    <d v="2025-11-03T00:00:00"/>
    <x v="21"/>
    <s v="Cliente"/>
    <n v="6"/>
    <n v="20296011356"/>
    <s v="[{'id_producto': 17191, 'codigo_producto': 883, 'nom_producto': 'PERSONAL - CREACION CONTENIDO- PROMOCIONAR EVENTO ', 'categoria_producto': 'consu', 'cantidad': '1.0', 'valor_unitario': 1000.0, 'precio_unitario': 1180.0, 'descuento': 0.0, 'subtotal': 1000.0, 'porcentaje_de_igv': '18.00', 'igv': 180.0, 'total': 118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73, 'nom_distribucion': 'Contenido', 'sub_categoria': 'Personal temporal', 'porcentaje': '100.00'}]]}]"/>
    <d v="2025-01-06T00:00:00"/>
    <m/>
    <m/>
    <m/>
    <m/>
    <m/>
    <n v="17191"/>
    <x v="131"/>
    <x v="124"/>
    <x v="0"/>
    <n v="1"/>
    <n v="1000"/>
    <n v="1180"/>
    <n v="0"/>
    <n v="1000"/>
    <n v="18"/>
    <n v="180"/>
    <n v="1180"/>
    <n v="1"/>
    <n v="1"/>
    <x v="2"/>
    <x v="2"/>
    <x v="1"/>
    <s v="SAMUEL CHUQUISTA"/>
    <x v="0"/>
    <s v="7012100 MercaderÃ­as-Venta Local-Terceros"/>
    <x v="16"/>
    <x v="32"/>
    <m/>
    <m/>
    <m/>
    <x v="21"/>
    <s v="COMPLEJO TURÃSTICO EL REMANSO SAC"/>
    <s v="Empresa"/>
    <x v="711"/>
  </r>
  <r>
    <x v="3"/>
    <x v="565"/>
    <s v="COLABORATIVA S.A.C."/>
    <x v="33"/>
    <d v="2025-11-03T00:00:00"/>
    <x v="21"/>
    <s v="Cliente"/>
    <n v="6"/>
    <n v="20296011356"/>
    <s v="[{'id_producto': 17190, 'codigo_producto': 882, 'nom_producto': 'PERSONAL - Servicio de 05 validadores Inc IGV', 'categoria_producto': 'consu', 'cantidad': '1.0', 'valor_unitario': 750.0, 'precio_unitario': 885.0, 'descuento': 0.0, 'subtotal': 750.0, 'porcentaje_de_igv': '18.00', 'igv': 135.0, 'total': 885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6T00:00:00"/>
    <m/>
    <m/>
    <m/>
    <m/>
    <m/>
    <n v="17190"/>
    <x v="77"/>
    <x v="70"/>
    <x v="0"/>
    <n v="1"/>
    <n v="750"/>
    <n v="885"/>
    <n v="0"/>
    <n v="750"/>
    <n v="18"/>
    <n v="135"/>
    <n v="885"/>
    <n v="1"/>
    <n v="1"/>
    <x v="2"/>
    <x v="2"/>
    <x v="1"/>
    <s v="SAMUEL CHUQUISTA"/>
    <x v="0"/>
    <s v="7012100 MercaderÃ­as-Venta Local-Terceros"/>
    <x v="5"/>
    <x v="32"/>
    <m/>
    <m/>
    <m/>
    <x v="21"/>
    <s v="COMPLEJO TURÃSTICO EL REMANSO SAC"/>
    <s v="Empresa"/>
    <x v="712"/>
  </r>
  <r>
    <x v="3"/>
    <x v="566"/>
    <s v="COLABORATIVA S.A.C."/>
    <x v="33"/>
    <d v="2025-11-03T00:00:00"/>
    <x v="21"/>
    <s v="Cliente"/>
    <n v="6"/>
    <n v="20296011356"/>
    <s v="[{'id_producto': 17189, 'codigo_producto': 881, 'nom_producto': 'ENTRADAS IMPRESAS - ORDEN DE VENTA N506\n  Alberto Barros en El Remanso de Comas 1200 BRAZALETES VIP  2250 FULL COLOR GENERAL S177000\n', 'categoria_producto': 'consu', 'cantidad': '1.0', 'valor_unitario': 1500.0, 'precio_unitario': 1770.0, 'descuento': 0.0, 'subtotal': 1500.0, 'porcentaje_de_igv': '18.00', 'igv': 270.0, 'total': 1770.0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6T00:00:00"/>
    <m/>
    <m/>
    <m/>
    <m/>
    <m/>
    <n v="17189"/>
    <x v="132"/>
    <x v="125"/>
    <x v="0"/>
    <n v="1"/>
    <n v="1500"/>
    <n v="1770"/>
    <n v="0"/>
    <n v="1500"/>
    <n v="18"/>
    <n v="270"/>
    <n v="1770"/>
    <n v="1"/>
    <n v="1"/>
    <x v="2"/>
    <x v="2"/>
    <x v="1"/>
    <s v="SAMUEL CHUQUISTA"/>
    <x v="0"/>
    <s v="7012100 MercaderÃ­as-Venta Local-Terceros"/>
    <x v="11"/>
    <x v="32"/>
    <m/>
    <m/>
    <m/>
    <x v="21"/>
    <s v="COMPLEJO TURÃSTICO EL REMANSO SAC"/>
    <s v="Empresa"/>
    <x v="713"/>
  </r>
  <r>
    <x v="3"/>
    <x v="567"/>
    <s v="COLABORATIVA S.A.C."/>
    <x v="33"/>
    <d v="2025-11-03T00:00:00"/>
    <x v="21"/>
    <s v="Cliente"/>
    <n v="6"/>
    <n v="20296011356"/>
    <s v="[{'id_producto': 17188, 'codigo_producto': 877, 'nom_producto': 'COMISION PAGOS DIGITALES SEGUN CONTRATO', 'categoria_producto': 'consu', 'cantidad': '1.0', 'valor_unitario': 2915.0, 'precio_unitario': 3439.7, 'descuento': 0.0, 'subtotal': 2915.0, 'porcentaje_de_igv': '18.00', 'igv': 524.7, 'total': 3439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8"/>
    <x v="26"/>
    <x v="6"/>
    <x v="0"/>
    <n v="1"/>
    <n v="2915"/>
    <n v="3439.7"/>
    <n v="0"/>
    <n v="2915"/>
    <n v="18"/>
    <n v="524.70000000000005"/>
    <n v="3439.7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714"/>
  </r>
  <r>
    <x v="3"/>
    <x v="568"/>
    <s v="COLABORATIVA S.A.C."/>
    <x v="33"/>
    <d v="2025-11-03T00:00:00"/>
    <x v="21"/>
    <s v="Cliente"/>
    <n v="6"/>
    <n v="20296011356"/>
    <s v="[{'id_producto': 17187, 'codigo_producto': 870, 'nom_producto': 'COMISION VAOPE SEGUN CONTRATO', 'categoria_producto': 'consu', 'cantidad': '1.0', 'valor_unitario': 1759.92, 'precio_unitario': 2076.7, 'descuento': 0.0, 'subtotal': 1759.92, 'porcentaje_de_igv': '18.00', 'igv': 316.78, 'total': 2076.7, 'moneda': '1', 'tipo_de_cambio': 1.0, 'id_estado': 'not_paid', 'nombre_estado': 'Sin pagar', 'evento': {'id_evento': '', 'nom_evento': '', 'fecha_hora_ini_event': '', 'fecha_hora_fin_event': '', 'id_organizador': 390, 'nom_organizador': 'COMPLEJO TURÃSTICO EL REMANS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7"/>
    <x v="27"/>
    <x v="5"/>
    <x v="0"/>
    <n v="1"/>
    <n v="1759.92"/>
    <n v="2076.6999999999998"/>
    <n v="0"/>
    <n v="1759.92"/>
    <n v="18"/>
    <n v="316.77999999999997"/>
    <n v="2076.6999999999998"/>
    <n v="1"/>
    <n v="1"/>
    <x v="2"/>
    <x v="2"/>
    <x v="1"/>
    <s v="SAMUEL CHUQUISTA"/>
    <x v="0"/>
    <s v="7012100 MercaderÃ­as-Venta Local-Terceros"/>
    <x v="12"/>
    <x v="32"/>
    <m/>
    <m/>
    <m/>
    <x v="21"/>
    <s v="COMPLEJO TURÃSTICO EL REMANSO SAC"/>
    <s v="Empresa"/>
    <x v="715"/>
  </r>
  <r>
    <x v="3"/>
    <x v="569"/>
    <s v="COLABORATIVA S.A.C."/>
    <x v="33"/>
    <d v="2025-11-03T00:00:00"/>
    <x v="98"/>
    <m/>
    <n v="6"/>
    <n v="20516587874"/>
    <s v="[{'id_producto': 17186, 'codigo_producto': 877, 'nom_producto': 'COMISION PAGOS DIGITALES SEGUN CONTRATO', 'categoria_producto': 'consu', 'cantidad': '1.0', 'valor_unitario': 170.76, 'precio_unitario': 201.5, 'descuento': 0.0, 'subtotal': 170.76, 'porcentaje_de_igv': '18.00', 'igv': 30.74, 'total': 201.5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6"/>
    <x v="26"/>
    <x v="6"/>
    <x v="0"/>
    <n v="1"/>
    <n v="170.76"/>
    <n v="201.5"/>
    <n v="0"/>
    <n v="170.76"/>
    <n v="18"/>
    <n v="30.74"/>
    <n v="201.5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716"/>
  </r>
  <r>
    <x v="3"/>
    <x v="570"/>
    <s v="COLABORATIVA S.A.C."/>
    <x v="33"/>
    <d v="2025-11-03T00:00:00"/>
    <x v="98"/>
    <m/>
    <n v="6"/>
    <n v="20516587874"/>
    <s v="[{'id_producto': 17185, 'codigo_producto': 870, 'nom_producto': 'COMISION VAOPE SEGUN CONTRATO', 'categoria_producto': 'consu', 'cantidad': '1.0', 'valor_unitario': 102.29, 'precio_unitario': 120.7, 'descuento': 0.0, 'subtotal': 102.29, 'porcentaje_de_igv': '18.00', 'igv': 18.41, 'total': 120.7, 'moneda': '1', 'tipo_de_cambio': 1.0, 'id_estado': 'not_paid', 'nombre_estado': 'Sin pagar', 'evento': {'id_evento': '', 'nom_evento': '', 'fecha_hora_ini_event': '', 'fecha_hora_fin_event': '', 'id_organizador': 1116, 'nom_organizador': 'EL PADRINO DIVERSIONES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5"/>
    <x v="27"/>
    <x v="5"/>
    <x v="0"/>
    <n v="1"/>
    <n v="102.29"/>
    <n v="120.7"/>
    <n v="0"/>
    <n v="102.29"/>
    <n v="18"/>
    <n v="18.41"/>
    <n v="120.7"/>
    <n v="1"/>
    <n v="1"/>
    <x v="2"/>
    <x v="2"/>
    <x v="1"/>
    <s v="SAMUEL CHUQUISTA"/>
    <x v="0"/>
    <s v="7012100 MercaderÃ­as-Venta Local-Terceros"/>
    <x v="12"/>
    <x v="32"/>
    <m/>
    <m/>
    <m/>
    <x v="95"/>
    <s v="EL PADRINO DIVERSIONES SAC"/>
    <s v="Empresa"/>
    <x v="717"/>
  </r>
  <r>
    <x v="3"/>
    <x v="571"/>
    <s v="COLABORATIVA S.A.C."/>
    <x v="33"/>
    <d v="2025-11-03T00:00:00"/>
    <x v="137"/>
    <m/>
    <n v="6"/>
    <n v="20555933020"/>
    <s v="[{'id_producto': 17184, 'codigo_producto': 877, 'nom_producto': 'COMISION PAGOS DIGITALES SEGUN CONTRATO', 'categoria_producto': 'consu', 'cantidad': '1.0', 'valor_unitario': 75.68, 'precio_unitario': 89.3, 'descuento': 0.0, 'subtotal': 75.68, 'porcentaje_de_igv': '18.00', 'igv': 13.62, 'total': 89.3, 'moneda': '1', 'tipo_de_cambio': 1.0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4"/>
    <x v="26"/>
    <x v="6"/>
    <x v="0"/>
    <n v="1"/>
    <n v="75.680000000000007"/>
    <n v="89.3"/>
    <n v="0"/>
    <n v="75.680000000000007"/>
    <n v="18"/>
    <n v="13.62"/>
    <n v="89.3"/>
    <n v="1"/>
    <n v="1"/>
    <x v="2"/>
    <x v="2"/>
    <x v="1"/>
    <s v="SAMUEL CHUQUISTA"/>
    <x v="0"/>
    <s v="7012100 MercaderÃ­as-Venta Local-Terceros"/>
    <x v="12"/>
    <x v="32"/>
    <m/>
    <m/>
    <m/>
    <x v="135"/>
    <s v="SUPER LEO SAC"/>
    <s v="Empresa"/>
    <x v="718"/>
  </r>
  <r>
    <x v="3"/>
    <x v="572"/>
    <s v="COLABORATIVA S.A.C."/>
    <x v="33"/>
    <d v="2025-11-03T00:00:00"/>
    <x v="137"/>
    <m/>
    <n v="6"/>
    <n v="20555933020"/>
    <s v="[{'id_producto': 17183, 'codigo_producto': 870, 'nom_producto': 'COMISION VAOPE SEGUN CONTRATO', 'categoria_producto': 'consu', 'cantidad': '1.0', 'valor_unitario': 43.22, 'precio_unitario': 51.0, 'descuento': 0.0, 'subtotal': 43.22, 'porcentaje_de_igv': '18.00', 'igv': 7.78, 'total': 51.0, 'moneda': '1', 'tipo_de_cambio': 1.0, 'id_estado': 'not_paid', 'nombre_estado': 'Sin pagar', 'evento': {'id_evento': '', 'nom_evento': '', 'fecha_hora_ini_event': '', 'fecha_hora_fin_event': '', 'id_organizador': 1115, 'nom_organizador': 'SUPER LEO SA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3"/>
    <x v="27"/>
    <x v="5"/>
    <x v="0"/>
    <n v="1"/>
    <n v="43.22"/>
    <n v="51"/>
    <n v="0"/>
    <n v="43.22"/>
    <n v="18"/>
    <n v="7.78"/>
    <n v="51"/>
    <n v="1"/>
    <n v="1"/>
    <x v="2"/>
    <x v="2"/>
    <x v="1"/>
    <s v="SAMUEL CHUQUISTA"/>
    <x v="0"/>
    <s v="7012100 MercaderÃ­as-Venta Local-Terceros"/>
    <x v="12"/>
    <x v="32"/>
    <m/>
    <m/>
    <m/>
    <x v="135"/>
    <s v="SUPER LEO SAC"/>
    <s v="Empresa"/>
    <x v="719"/>
  </r>
  <r>
    <x v="4"/>
    <x v="573"/>
    <s v="COLABORATIVA S.A.C."/>
    <x v="33"/>
    <d v="2025-11-03T00:00:00"/>
    <x v="106"/>
    <s v="Cliente"/>
    <n v="1"/>
    <n v="47633477"/>
    <s v="[{'id_producto': 17182, 'codigo_producto': 877, 'nom_producto': 'COMISION PAGOS DIGITALES SEGUN CONTRATO', 'categoria_producto': 'consu', 'cantidad': '1.0', 'valor_unitario': 889.65, 'precio_unitario': 1049.79, 'descuento': 0.0, 'subtotal': 889.65, 'porcentaje_de_igv': '18.00', 'igv': 160.14, 'total': 1049.79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2"/>
    <x v="26"/>
    <x v="6"/>
    <x v="0"/>
    <n v="1"/>
    <n v="889.65"/>
    <n v="1049.79"/>
    <n v="0"/>
    <n v="889.65"/>
    <n v="18"/>
    <n v="160.13999999999999"/>
    <n v="1049.79"/>
    <n v="1"/>
    <n v="1"/>
    <x v="2"/>
    <x v="2"/>
    <x v="1"/>
    <s v="SAMUEL CHUQUISTA"/>
    <x v="0"/>
    <s v="7012100 MercaderÃ­as-Venta Local-Terceros"/>
    <x v="12"/>
    <x v="32"/>
    <m/>
    <m/>
    <m/>
    <x v="103"/>
    <s v="SILVIA SEMIRA SANCHEZ SANGAMA"/>
    <s v="Persona"/>
    <x v="720"/>
  </r>
  <r>
    <x v="4"/>
    <x v="574"/>
    <s v="COLABORATIVA S.A.C."/>
    <x v="33"/>
    <d v="2025-11-03T00:00:00"/>
    <x v="106"/>
    <s v="Cliente"/>
    <n v="1"/>
    <n v="47633477"/>
    <s v="[{'id_producto': 17181, 'codigo_producto': 870, 'nom_producto': 'COMISION VAOPE SEGUN CONTRATO', 'categoria_producto': 'consu', 'cantidad': '1.0', 'valor_unitario': 545.08, 'precio_unitario': 643.2, 'descuento': 0.0, 'subtotal': 545.08, 'porcentaje_de_igv': '18.00', 'igv': 98.12, 'total': 643.2, 'moneda': '1', 'tipo_de_cambio': 1.0, 'id_estado': 'not_paid', 'nombre_estado': 'Sin pagar', 'evento': {'id_evento': '', 'nom_evento': '', 'fecha_hora_ini_event': '', 'fecha_hora_fin_event': '', 'id_organizador': 421, 'nom_organizador': 'SILVIA SEMIRA SANCHEZ SANGAM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1"/>
    <x v="27"/>
    <x v="5"/>
    <x v="0"/>
    <n v="1"/>
    <n v="545.08000000000004"/>
    <n v="643.20000000000005"/>
    <n v="0"/>
    <n v="545.08000000000004"/>
    <n v="18"/>
    <n v="98.12"/>
    <n v="643.20000000000005"/>
    <n v="1"/>
    <n v="1"/>
    <x v="2"/>
    <x v="2"/>
    <x v="1"/>
    <s v="SAMUEL CHUQUISTA"/>
    <x v="0"/>
    <s v="7012100 MercaderÃ­as-Venta Local-Terceros"/>
    <x v="12"/>
    <x v="32"/>
    <m/>
    <m/>
    <m/>
    <x v="103"/>
    <s v="SILVIA SEMIRA SANCHEZ SANGAMA"/>
    <s v="Persona"/>
    <x v="721"/>
  </r>
  <r>
    <x v="4"/>
    <x v="575"/>
    <s v="COLABORATIVA S.A.C."/>
    <x v="33"/>
    <d v="2025-11-03T00:00:00"/>
    <x v="138"/>
    <m/>
    <n v="1"/>
    <n v="40384386"/>
    <s v="[{'id_producto': 17180, 'codigo_producto': 871, 'nom_producto': 'COMISION PAGOS DIGITALES SEGUN CONTRATO ', 'categoria_producto': 'consu', 'cantidad': '1.0', 'valor_unitario': 39.73, 'precio_unitario': 46.88, 'descuento': 0.0, 'subtotal': 39.73, 'porcentaje_de_igv': '18.00', 'igv': 7.15, 'total': 46.88, 'moneda': '1', 'tipo_de_cambio': 1.0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80"/>
    <x v="39"/>
    <x v="35"/>
    <x v="0"/>
    <n v="1"/>
    <n v="39.729999999999997"/>
    <n v="46.88"/>
    <n v="0"/>
    <n v="39.729999999999997"/>
    <n v="18"/>
    <n v="7.15"/>
    <n v="46.88"/>
    <n v="1"/>
    <n v="1"/>
    <x v="2"/>
    <x v="2"/>
    <x v="1"/>
    <s v="SAMUEL CHUQUISTA"/>
    <x v="0"/>
    <s v="7012100 MercaderÃ­as-Venta Local-Terceros"/>
    <x v="12"/>
    <x v="32"/>
    <m/>
    <m/>
    <m/>
    <x v="136"/>
    <s v="JOSE CORPUS CERDAN DIAZ"/>
    <s v="Persona"/>
    <x v="722"/>
  </r>
  <r>
    <x v="4"/>
    <x v="576"/>
    <s v="COLABORATIVA S.A.C."/>
    <x v="33"/>
    <d v="2025-11-03T00:00:00"/>
    <x v="138"/>
    <m/>
    <n v="1"/>
    <n v="40384386"/>
    <s v="[{'id_producto': 17179, 'codigo_producto': 878, 'nom_producto': 'COMISION VAOPE SEGUN CONTRATO ', 'categoria_producto': 'consu', 'cantidad': '1.0', 'valor_unitario': 24.58, 'precio_unitario': 29.0, 'descuento': 0.0, 'subtotal': 24.58, 'porcentaje_de_igv': '18.00', 'igv': 4.42, 'total': 29.0, 'moneda': '1', 'tipo_de_cambio': 1.0, 'id_estado': 'not_paid', 'nombre_estado': 'Sin pagar', 'evento': {'id_evento': '', 'nom_evento': '', 'fecha_hora_ini_event': '', 'fecha_hora_fin_event': '', 'id_organizador': 1154, 'nom_organizador': 'JOSE CORPUS CERDAN DIAZ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79"/>
    <x v="64"/>
    <x v="57"/>
    <x v="0"/>
    <n v="1"/>
    <n v="24.58"/>
    <n v="29"/>
    <n v="0"/>
    <n v="24.58"/>
    <n v="18"/>
    <n v="4.42"/>
    <n v="29"/>
    <n v="1"/>
    <n v="1"/>
    <x v="2"/>
    <x v="2"/>
    <x v="1"/>
    <s v="SAMUEL CHUQUISTA"/>
    <x v="0"/>
    <s v="7012100 MercaderÃ­as-Venta Local-Terceros"/>
    <x v="12"/>
    <x v="32"/>
    <m/>
    <m/>
    <m/>
    <x v="136"/>
    <s v="JOSE CORPUS CERDAN DIAZ"/>
    <s v="Persona"/>
    <x v="723"/>
  </r>
  <r>
    <x v="3"/>
    <x v="577"/>
    <s v="COLABORATIVA S.A.C."/>
    <x v="33"/>
    <d v="2025-11-03T00:00:00"/>
    <x v="102"/>
    <m/>
    <n v="6"/>
    <n v="20611587741"/>
    <s v="[{'id_producto': 17178, 'codigo_producto': 870, 'nom_producto': 'COMISION VAOPE SEGUN CONTRATO', 'categoria_producto': 'consu', 'cantidad': '1.0', 'valor_unitario': 58.39, 'precio_unitario': 68.9, 'descuento': 0.0, 'subtotal': 58.39, 'porcentaje_de_igv': '18.00', 'igv': 10.51, 'total': 68.9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78"/>
    <x v="27"/>
    <x v="5"/>
    <x v="0"/>
    <n v="1"/>
    <n v="58.39"/>
    <n v="68.900000000000006"/>
    <n v="0"/>
    <n v="58.39"/>
    <n v="18"/>
    <n v="10.51"/>
    <n v="68.900000000000006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724"/>
  </r>
  <r>
    <x v="3"/>
    <x v="578"/>
    <s v="COLABORATIVA S.A.C."/>
    <x v="33"/>
    <d v="2025-11-03T00:00:00"/>
    <x v="102"/>
    <m/>
    <n v="6"/>
    <n v="20611587741"/>
    <s v="[{'id_producto': 17177, 'codigo_producto': 870, 'nom_producto': 'COMISION VAOPE SEGUN CONTRATO', 'categoria_producto': 'consu', 'cantidad': '1.0', 'valor_unitario': 38.81, 'precio_unitario': 45.8, 'descuento': 0.0, 'subtotal': 38.81, 'porcentaje_de_igv': '18.00', 'igv': 6.99, 'total': 45.8, 'moneda': '1', 'tipo_de_cambio': 1.0, 'id_estado': 'not_paid', 'nombre_estado': 'Sin pagar', 'evento': {'id_evento': '', 'nom_evento': '', 'fecha_hora_ini_event': '', 'fecha_hora_fin_event': '', 'id_organizador': 1130, 'nom_organizador': 'JDA BUSINESS PERU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77"/>
    <x v="27"/>
    <x v="5"/>
    <x v="0"/>
    <n v="1"/>
    <n v="38.81"/>
    <n v="45.8"/>
    <n v="0"/>
    <n v="38.81"/>
    <n v="18"/>
    <n v="6.99"/>
    <n v="45.8"/>
    <n v="1"/>
    <n v="1"/>
    <x v="2"/>
    <x v="2"/>
    <x v="1"/>
    <s v="SAMUEL CHUQUISTA"/>
    <x v="0"/>
    <s v="7012100 MercaderÃ­as-Venta Local-Terceros"/>
    <x v="12"/>
    <x v="32"/>
    <m/>
    <m/>
    <m/>
    <x v="99"/>
    <s v="JDA BUSINESS PERU S.A.C."/>
    <s v="Empresa"/>
    <x v="725"/>
  </r>
  <r>
    <x v="3"/>
    <x v="579"/>
    <s v="COLABORATIVA S.A.C."/>
    <x v="33"/>
    <d v="2025-11-03T00:00:00"/>
    <x v="139"/>
    <m/>
    <n v="6"/>
    <n v="20611183110"/>
    <s v="[{'id_producto': 17176, 'codigo_producto': 871, 'nom_producto': 'COMISION PAGOS DIGITALES SEGUN CONTRATO ', 'categoria_producto': 'consu', 'cantidad': '1.0', 'valor_unitario': 11.53, 'precio_unitario': 13.6, 'descuento': 0.0, 'subtotal': 11.53, 'porcentaje_de_igv': '18.00', 'igv': 2.07, 'total': 13.6, 'moneda': '1', 'tipo_de_cambio': 1.0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76"/>
    <x v="39"/>
    <x v="35"/>
    <x v="0"/>
    <n v="1"/>
    <n v="11.53"/>
    <n v="13.6"/>
    <n v="0"/>
    <n v="11.53"/>
    <n v="18"/>
    <n v="2.0699999999999998"/>
    <n v="13.6"/>
    <n v="1"/>
    <n v="1"/>
    <x v="2"/>
    <x v="2"/>
    <x v="1"/>
    <s v="SAMUEL CHUQUISTA"/>
    <x v="0"/>
    <s v="7012100 MercaderÃ­as-Venta Local-Terceros"/>
    <x v="12"/>
    <x v="32"/>
    <m/>
    <m/>
    <m/>
    <x v="137"/>
    <s v="MAQUINA DEL TIEMPO S.A.C."/>
    <s v="Empresa"/>
    <x v="726"/>
  </r>
  <r>
    <x v="3"/>
    <x v="580"/>
    <s v="COLABORATIVA S.A.C."/>
    <x v="33"/>
    <d v="2025-11-03T00:00:00"/>
    <x v="139"/>
    <m/>
    <n v="6"/>
    <n v="20611183110"/>
    <s v="[{'id_producto': 17175, 'codigo_producto': 878, 'nom_producto': 'COMISION VAOPE SEGUN CONTRATO ', 'categoria_producto': 'consu', 'cantidad': '1.0', 'valor_unitario': 8.14, 'precio_unitario': 9.6, 'descuento': 0.0, 'subtotal': 8.14, 'porcentaje_de_igv': '18.00', 'igv': 1.46, 'total': 9.6, 'moneda': '1', 'tipo_de_cambio': 1.0, 'id_estado': 'not_paid', 'nombre_estado': 'Sin pagar', 'evento': {'id_evento': '', 'nom_evento': '', 'fecha_hora_ini_event': '', 'fecha_hora_fin_event': '', 'id_organizador': 1114, 'nom_organizador': 'MAQUINA DEL TIEMPO S.A.C.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6T00:00:00"/>
    <m/>
    <m/>
    <m/>
    <m/>
    <m/>
    <n v="17175"/>
    <x v="64"/>
    <x v="57"/>
    <x v="0"/>
    <n v="1"/>
    <n v="8.14"/>
    <n v="9.6"/>
    <n v="0"/>
    <n v="8.14"/>
    <n v="18"/>
    <n v="1.46"/>
    <n v="9.6"/>
    <n v="1"/>
    <n v="1"/>
    <x v="2"/>
    <x v="2"/>
    <x v="1"/>
    <s v="SAMUEL CHUQUISTA"/>
    <x v="0"/>
    <s v="7012100 MercaderÃ­as-Venta Local-Terceros"/>
    <x v="12"/>
    <x v="32"/>
    <m/>
    <m/>
    <m/>
    <x v="137"/>
    <s v="MAQUINA DEL TIEMPO S.A.C."/>
    <s v="Empresa"/>
    <x v="727"/>
  </r>
  <r>
    <x v="4"/>
    <x v="581"/>
    <s v="COLABORATIVA S.A.C."/>
    <x v="34"/>
    <d v="2025-11-03T00:00:00"/>
    <x v="140"/>
    <s v="Cliente"/>
    <n v="1"/>
    <n v="43852005"/>
    <s v="[{'id_producto': 17174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74"/>
    <x v="40"/>
    <x v="19"/>
    <x v="0"/>
    <n v="1"/>
    <n v="10"/>
    <n v="11.8"/>
    <n v="0"/>
    <n v="10"/>
    <n v="18"/>
    <n v="1.8"/>
    <n v="11.8"/>
    <n v="1"/>
    <n v="1"/>
    <x v="2"/>
    <x v="2"/>
    <x v="1"/>
    <s v="SAMUEL CHUQUISTA"/>
    <x v="0"/>
    <s v="7012100 MercaderÃ­as-Venta Local-Terceros"/>
    <x v="12"/>
    <x v="32"/>
    <m/>
    <m/>
    <m/>
    <x v="138"/>
    <s v="JENNER ROBERTO CRISANTA RIOS"/>
    <s v="Persona"/>
    <x v="728"/>
  </r>
  <r>
    <x v="4"/>
    <x v="582"/>
    <s v="COLABORATIVA S.A.C."/>
    <x v="34"/>
    <d v="2025-11-03T00:00:00"/>
    <x v="140"/>
    <s v="Cliente"/>
    <n v="1"/>
    <n v="43852005"/>
    <s v="[{'id_producto': 17173, 'codigo_producto': 877, 'nom_producto': 'COMISION PAGOS DIGITALES SEGUN CONTRATO', 'categoria_producto': 'consu', 'cantidad': '1.0', 'valor_unitario': 598.73, 'precio_unitario': 706.5, 'descuento': 0.0, 'subtotal': 598.73, 'porcentaje_de_igv': '18.00', 'igv': 107.77, 'total': 706.5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73"/>
    <x v="26"/>
    <x v="6"/>
    <x v="0"/>
    <n v="1"/>
    <n v="598.73"/>
    <n v="706.5"/>
    <n v="0"/>
    <n v="598.73"/>
    <n v="18"/>
    <n v="107.77"/>
    <n v="706.5"/>
    <n v="1"/>
    <n v="1"/>
    <x v="2"/>
    <x v="2"/>
    <x v="1"/>
    <s v="SAMUEL CHUQUISTA"/>
    <x v="0"/>
    <s v="7012100 MercaderÃ­as-Venta Local-Terceros"/>
    <x v="12"/>
    <x v="32"/>
    <m/>
    <m/>
    <m/>
    <x v="138"/>
    <s v="JENNER ROBERTO CRISANTA RIOS"/>
    <s v="Persona"/>
    <x v="729"/>
  </r>
  <r>
    <x v="4"/>
    <x v="583"/>
    <s v="COLABORATIVA S.A.C."/>
    <x v="34"/>
    <d v="2025-11-03T00:00:00"/>
    <x v="140"/>
    <s v="Cliente"/>
    <n v="1"/>
    <n v="43852005"/>
    <s v="[{'id_producto': 17172, 'codigo_producto': 878, 'nom_producto': 'COMISION VAOPE SEGUN CONTRATO ', 'categoria_producto': 'consu', 'cantidad': '1.0', 'valor_unitario': 343.47, 'precio_unitario': 405.3, 'descuento': 0.0, 'subtotal': 343.47, 'porcentaje_de_igv': '18.00', 'igv': 61.83, 'total': 405.3, 'moneda': '1', 'tipo_de_cambio': 1.0, 'id_estado': 'not_paid', 'nombre_estado': 'Sin pagar', 'evento': {'id_evento': '', 'nom_evento': '', 'fecha_hora_ini_event': '', 'fecha_hora_fin_event': '', 'id_organizador': 441, 'nom_organizador': 'JENNER ROBERTO CRISANTA RIOS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72"/>
    <x v="64"/>
    <x v="57"/>
    <x v="0"/>
    <n v="1"/>
    <n v="343.47"/>
    <n v="405.3"/>
    <n v="0"/>
    <n v="343.47"/>
    <n v="18"/>
    <n v="61.83"/>
    <n v="405.3"/>
    <n v="1"/>
    <n v="1"/>
    <x v="2"/>
    <x v="2"/>
    <x v="1"/>
    <s v="SAMUEL CHUQUISTA"/>
    <x v="0"/>
    <s v="7012100 MercaderÃ­as-Venta Local-Terceros"/>
    <x v="12"/>
    <x v="32"/>
    <m/>
    <m/>
    <m/>
    <x v="138"/>
    <s v="JENNER ROBERTO CRISANTA RIOS"/>
    <s v="Persona"/>
    <x v="730"/>
  </r>
  <r>
    <x v="4"/>
    <x v="584"/>
    <s v="COLABORATIVA S.A.C."/>
    <x v="34"/>
    <d v="2025-11-03T00:00:00"/>
    <x v="141"/>
    <m/>
    <n v="1"/>
    <n v="70040189"/>
    <s v="[{'id_producto': 17171, 'codigo_producto': 871, 'nom_producto': 'COMISION PAGOS DIGITALES SEGUN CONTRATO ', 'categoria_producto': 'consu', 'cantidad': '1.0', 'valor_unitario': 323.68, 'precio_unitario': 381.94, 'descuento': 0.0, 'subtotal': 323.68, 'porcentaje_de_igv': '18.00', 'igv': 58.26, 'total': 381.94, 'moneda': '1', 'tipo_de_cambio': 1.0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71"/>
    <x v="39"/>
    <x v="35"/>
    <x v="0"/>
    <n v="1"/>
    <n v="323.68"/>
    <n v="381.94"/>
    <n v="0"/>
    <n v="323.68"/>
    <n v="18"/>
    <n v="58.26"/>
    <n v="381.94"/>
    <n v="1"/>
    <n v="1"/>
    <x v="2"/>
    <x v="2"/>
    <x v="1"/>
    <s v="SAMUEL CHUQUISTA"/>
    <x v="0"/>
    <s v="7012100 MercaderÃ­as-Venta Local-Terceros"/>
    <x v="12"/>
    <x v="32"/>
    <m/>
    <m/>
    <m/>
    <x v="139"/>
    <s v="CRISTHIAM ABEL ALDANA CASTILLO"/>
    <s v="Persona"/>
    <x v="731"/>
  </r>
  <r>
    <x v="4"/>
    <x v="585"/>
    <s v="COLABORATIVA S.A.C."/>
    <x v="34"/>
    <d v="2025-11-03T00:00:00"/>
    <x v="141"/>
    <m/>
    <n v="1"/>
    <n v="70040189"/>
    <s v="[{'id_producto': 17170, 'codigo_producto': 870, 'nom_producto': 'COMISION VAOPE SEGUN CONTRATO', 'categoria_producto': 'consu', 'cantidad': '1.0', 'valor_unitario': 177.59, 'precio_unitario': 209.56, 'descuento': 0.0, 'subtotal': 177.59, 'porcentaje_de_igv': '18.00', 'igv': 31.97, 'total': 209.56, 'moneda': '1', 'tipo_de_cambio': 1.0, 'id_estado': 'not_paid', 'nombre_estado': 'Sin pagar', 'evento': {'id_evento': '', 'nom_evento': '', 'fecha_hora_ini_event': '', 'fecha_hora_fin_event': '', 'id_organizador': 1153, 'nom_organizador': 'CRISTHIAM ABEL ALDANA CASTILLO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70"/>
    <x v="27"/>
    <x v="5"/>
    <x v="0"/>
    <n v="1"/>
    <n v="177.59"/>
    <n v="209.56"/>
    <n v="0"/>
    <n v="177.59"/>
    <n v="18"/>
    <n v="31.97"/>
    <n v="209.56"/>
    <n v="1"/>
    <n v="1"/>
    <x v="2"/>
    <x v="2"/>
    <x v="1"/>
    <s v="SAMUEL CHUQUISTA"/>
    <x v="0"/>
    <s v="7012100 MercaderÃ­as-Venta Local-Terceros"/>
    <x v="12"/>
    <x v="32"/>
    <m/>
    <m/>
    <m/>
    <x v="139"/>
    <s v="CRISTHIAM ABEL ALDANA CASTILLO"/>
    <s v="Persona"/>
    <x v="732"/>
  </r>
  <r>
    <x v="3"/>
    <x v="586"/>
    <s v="COLABORATIVA S.A.C."/>
    <x v="34"/>
    <d v="2025-11-03T00:00:00"/>
    <x v="142"/>
    <m/>
    <n v="6"/>
    <n v="20609168961"/>
    <s v="[{'id_producto': 17169, 'codigo_producto': 874, 'nom_producto': 'COMISION CORTESIA', 'categoria_producto': 'consu', 'cantidad': '1.0', 'valor_unitario': 10.0, 'precio_unitario': 11.8, 'descuento': 0.0, 'subtotal': 10.0, 'porcentaje_de_igv': '18.00', 'igv': 1.8, 'total': 11.8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9"/>
    <x v="40"/>
    <x v="19"/>
    <x v="0"/>
    <n v="1"/>
    <n v="10"/>
    <n v="11.8"/>
    <n v="0"/>
    <n v="10"/>
    <n v="18"/>
    <n v="1.8"/>
    <n v="11.8"/>
    <n v="1"/>
    <n v="1"/>
    <x v="2"/>
    <x v="2"/>
    <x v="1"/>
    <s v="SAMUEL CHUQUISTA"/>
    <x v="0"/>
    <s v="7012100 MercaderÃ­as-Venta Local-Terceros"/>
    <x v="12"/>
    <x v="32"/>
    <m/>
    <m/>
    <m/>
    <x v="140"/>
    <s v="A&amp;Q AYLLU S.A.C"/>
    <s v="Empresa"/>
    <x v="733"/>
  </r>
  <r>
    <x v="3"/>
    <x v="587"/>
    <s v="COLABORATIVA S.A.C."/>
    <x v="34"/>
    <d v="2025-11-03T00:00:00"/>
    <x v="142"/>
    <m/>
    <n v="6"/>
    <n v="20609168961"/>
    <s v="[{'id_producto': 17168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7168"/>
    <x v="56"/>
    <x v="50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140"/>
    <s v="A&amp;Q AYLLU S.A.C"/>
    <s v="Empresa"/>
    <x v="734"/>
  </r>
  <r>
    <x v="3"/>
    <x v="588"/>
    <s v="COLABORATIVA S.A.C."/>
    <x v="34"/>
    <d v="2025-11-03T00:00:00"/>
    <x v="142"/>
    <m/>
    <n v="6"/>
    <n v="20609168961"/>
    <s v="[{'id_producto': 17167, 'codigo_producto': 877, 'nom_producto': 'COMISION PAGOS DIGITALES SEGUN CONTRATO', 'categoria_producto': 'consu', 'cantidad': '1.0', 'valor_unitario': 2919.83, 'precio_unitario': 3445.4, 'descuento': 0.0, 'subtotal': 2919.83, 'porcentaje_de_igv': '18.00', 'igv': 525.57, 'total': 3445.4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7"/>
    <x v="26"/>
    <x v="6"/>
    <x v="0"/>
    <n v="1"/>
    <n v="2919.83"/>
    <n v="3445.4"/>
    <n v="0"/>
    <n v="2919.83"/>
    <n v="18"/>
    <n v="525.57000000000005"/>
    <n v="3445.4"/>
    <n v="1"/>
    <n v="1"/>
    <x v="2"/>
    <x v="2"/>
    <x v="1"/>
    <s v="SAMUEL CHUQUISTA"/>
    <x v="0"/>
    <s v="7012100 MercaderÃ­as-Venta Local-Terceros"/>
    <x v="12"/>
    <x v="32"/>
    <m/>
    <m/>
    <m/>
    <x v="140"/>
    <s v="A&amp;Q AYLLU S.A.C"/>
    <s v="Empresa"/>
    <x v="735"/>
  </r>
  <r>
    <x v="3"/>
    <x v="589"/>
    <s v="COLABORATIVA S.A.C."/>
    <x v="34"/>
    <d v="2025-11-03T00:00:00"/>
    <x v="142"/>
    <m/>
    <n v="6"/>
    <n v="20609168961"/>
    <s v="[{'id_producto': 17166, 'codigo_producto': 870, 'nom_producto': 'COMISION VAOPE SEGUN CONTRATO', 'categoria_producto': 'consu', 'cantidad': '1.0', 'valor_unitario': 1439.87, 'precio_unitario': 1699.05, 'descuento': 0.0, 'subtotal': 1439.87, 'porcentaje_de_igv': '18.00', 'igv': 259.18, 'total': 1699.05, 'moneda': '1', 'tipo_de_cambio': 1.0, 'id_estado': 'not_paid', 'nombre_estado': 'Sin pagar', 'evento': {'id_evento': '', 'nom_evento': '', 'fecha_hora_ini_event': '', 'fecha_hora_fin_event': '', 'id_organizador': 1113, 'nom_organizador': 'A&amp;Q AYLLU S.A.C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6"/>
    <x v="27"/>
    <x v="5"/>
    <x v="0"/>
    <n v="1"/>
    <n v="1439.87"/>
    <n v="1699.05"/>
    <n v="0"/>
    <n v="1439.87"/>
    <n v="18"/>
    <n v="259.18"/>
    <n v="1699.05"/>
    <n v="1"/>
    <n v="1"/>
    <x v="2"/>
    <x v="2"/>
    <x v="1"/>
    <s v="SAMUEL CHUQUISTA"/>
    <x v="0"/>
    <s v="7012100 MercaderÃ­as-Venta Local-Terceros"/>
    <x v="12"/>
    <x v="32"/>
    <m/>
    <m/>
    <m/>
    <x v="140"/>
    <s v="A&amp;Q AYLLU S.A.C"/>
    <s v="Empresa"/>
    <x v="736"/>
  </r>
  <r>
    <x v="4"/>
    <x v="590"/>
    <s v="COLABORATIVA S.A.C."/>
    <x v="34"/>
    <d v="2025-11-03T00:00:00"/>
    <x v="16"/>
    <s v="Cliente"/>
    <n v="1"/>
    <n v="44413438"/>
    <s v="[{'id_producto': 17165, 'codigo_producto': 993, 'nom_producto': 'FEE ADMINISTRATIVOFee administrativo por adelanto', 'categoria_producto': 'consu', 'cantidad': '1.0', 'valor_unitario': 100.0, 'precio_unitario': 118.0, 'descuento': 0.0, 'subtotal': 100.0, 'porcentaje_de_igv': '18.00', 'igv': 18.0, 'total': 118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61, 'nom_distribucion': 'Administrativo', 'sub_categoria': 'Operativos', 'porcentaje': '100.00'}]]}]"/>
    <d v="2025-01-03T00:00:00"/>
    <m/>
    <m/>
    <m/>
    <m/>
    <m/>
    <n v="17165"/>
    <x v="56"/>
    <x v="50"/>
    <x v="0"/>
    <n v="1"/>
    <n v="100"/>
    <n v="118"/>
    <n v="0"/>
    <n v="100"/>
    <n v="18"/>
    <n v="18"/>
    <n v="118"/>
    <n v="1"/>
    <n v="1"/>
    <x v="2"/>
    <x v="2"/>
    <x v="1"/>
    <s v="SAMUEL CHUQUISTA"/>
    <x v="0"/>
    <s v="7012100 MercaderÃ­as-Venta Local-Terceros"/>
    <x v="13"/>
    <x v="32"/>
    <m/>
    <m/>
    <m/>
    <x v="16"/>
    <s v="HERMOGENES HUAMAN ESPINOZA"/>
    <s v="Persona"/>
    <x v="737"/>
  </r>
  <r>
    <x v="4"/>
    <x v="591"/>
    <s v="COLABORATIVA S.A.C."/>
    <x v="34"/>
    <d v="2025-11-03T00:00:00"/>
    <x v="16"/>
    <s v="Cliente"/>
    <n v="1"/>
    <n v="44413438"/>
    <s v="[{'id_producto': 17164, 'codigo_producto': 877, 'nom_producto': 'COMISION PAGOS DIGITALES SEGUN CONTRATO', 'categoria_producto': 'consu', 'cantidad': '1.0', 'valor_unitario': 3774.66, 'precio_unitario': 4454.1, 'descuento': 0.0, 'subtotal': 3774.66, 'porcentaje_de_igv': '18.00', 'igv': 679.44, 'total': 4454.1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4"/>
    <x v="26"/>
    <x v="6"/>
    <x v="0"/>
    <n v="1"/>
    <n v="3774.66"/>
    <n v="4454.1000000000004"/>
    <n v="0"/>
    <n v="3774.66"/>
    <n v="18"/>
    <n v="679.44"/>
    <n v="4454.1000000000004"/>
    <n v="1"/>
    <n v="1"/>
    <x v="2"/>
    <x v="2"/>
    <x v="1"/>
    <s v="SAMUEL CHUQUISTA"/>
    <x v="0"/>
    <s v="7012100 MercaderÃ­as-Venta Local-Terceros"/>
    <x v="12"/>
    <x v="32"/>
    <m/>
    <m/>
    <m/>
    <x v="16"/>
    <s v="HERMOGENES HUAMAN ESPINOZA"/>
    <s v="Persona"/>
    <x v="738"/>
  </r>
  <r>
    <x v="4"/>
    <x v="592"/>
    <s v="COLABORATIVA S.A.C."/>
    <x v="34"/>
    <d v="2025-11-03T00:00:00"/>
    <x v="16"/>
    <s v="Cliente"/>
    <n v="1"/>
    <n v="44413438"/>
    <s v="[{'id_producto': 17163, 'codigo_producto': 878, 'nom_producto': 'COMISION VAOPE SEGUN CONTRATO ', 'categoria_producto': 'consu', 'cantidad': '1.0', 'valor_unitario': 3056.78, 'precio_unitario': 3607.0, 'descuento': 0.0, 'subtotal': 3056.78, 'porcentaje_de_igv': '18.00', 'igv': 550.22, 'total': 3607.0, 'moneda': '1', 'tipo_de_cambio': 1.0, 'id_estado': 'not_paid', 'nombre_estado': 'Sin pagar', 'evento': {'id_evento': '', 'nom_evento': '', 'fecha_hora_ini_event': '', 'fecha_hora_fin_event': '', 'id_organizador': 405, 'nom_organizador': 'HERMOGENES HUAMAN ESPINOZ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3"/>
    <x v="64"/>
    <x v="57"/>
    <x v="0"/>
    <n v="1"/>
    <n v="3056.78"/>
    <n v="3607"/>
    <n v="0"/>
    <n v="3056.78"/>
    <n v="18"/>
    <n v="550.22"/>
    <n v="3607"/>
    <n v="1"/>
    <n v="1"/>
    <x v="2"/>
    <x v="2"/>
    <x v="1"/>
    <s v="SAMUEL CHUQUISTA"/>
    <x v="0"/>
    <s v="7012100 MercaderÃ­as-Venta Local-Terceros"/>
    <x v="12"/>
    <x v="32"/>
    <m/>
    <m/>
    <m/>
    <x v="16"/>
    <s v="HERMOGENES HUAMAN ESPINOZA"/>
    <s v="Persona"/>
    <x v="739"/>
  </r>
  <r>
    <x v="4"/>
    <x v="593"/>
    <s v="COLABORATIVA S.A.C."/>
    <x v="34"/>
    <d v="2025-11-03T00:00:00"/>
    <x v="143"/>
    <m/>
    <n v="1"/>
    <s v="07154777"/>
    <s v="[{'id_producto': 17162, 'codigo_producto': 877, 'nom_producto': 'COMISION PAGOS DIGITALES SEGUN CONTRATO', 'categoria_producto': 'consu', 'cantidad': '1.0', 'valor_unitario': 129.15, 'precio_unitario': 152.4, 'descuento': 0.0, 'subtotal': 129.15, 'porcentaje_de_igv': '18.00', 'igv': 23.25, 'total': 152.4, 'moneda': '1', 'tipo_de_cambio': 1.0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2"/>
    <x v="26"/>
    <x v="6"/>
    <x v="0"/>
    <n v="1"/>
    <n v="129.15"/>
    <n v="152.4"/>
    <n v="0"/>
    <n v="129.15"/>
    <n v="18"/>
    <n v="23.25"/>
    <n v="152.4"/>
    <n v="1"/>
    <n v="1"/>
    <x v="2"/>
    <x v="2"/>
    <x v="1"/>
    <s v="SAMUEL CHUQUISTA"/>
    <x v="0"/>
    <s v="7012100 MercaderÃ­as-Venta Local-Terceros"/>
    <x v="12"/>
    <x v="32"/>
    <m/>
    <m/>
    <m/>
    <x v="141"/>
    <s v="PERCY ORDINOLA"/>
    <s v="Persona"/>
    <x v="740"/>
  </r>
  <r>
    <x v="4"/>
    <x v="594"/>
    <s v="COLABORATIVA S.A.C."/>
    <x v="34"/>
    <d v="2025-11-03T00:00:00"/>
    <x v="143"/>
    <m/>
    <n v="1"/>
    <s v="07154777"/>
    <s v="[{'id_producto': 17161, 'codigo_producto': 870, 'nom_producto': 'COMISION VAOPE SEGUN CONTRATO', 'categoria_producto': 'consu', 'cantidad': '1.0', 'valor_unitario': 84.07, 'precio_unitario': 99.2, 'descuento': 0.0, 'subtotal': 84.07, 'porcentaje_de_igv': '18.00', 'igv': 15.13, 'total': 99.2, 'moneda': '1', 'tipo_de_cambio': 1.0, 'id_estado': 'not_paid', 'nombre_estado': 'Sin pagar', 'evento': {'id_evento': '', 'nom_evento': '', 'fecha_hora_ini_event': '', 'fecha_hora_fin_event': '', 'id_organizador': 1152, 'nom_organizador': 'PERCY ORDINOLA', 'tipo_organizador': 'Person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1"/>
    <x v="27"/>
    <x v="5"/>
    <x v="0"/>
    <n v="1"/>
    <n v="84.07"/>
    <n v="99.2"/>
    <n v="0"/>
    <n v="84.07"/>
    <n v="18"/>
    <n v="15.13"/>
    <n v="99.2"/>
    <n v="1"/>
    <n v="1"/>
    <x v="2"/>
    <x v="2"/>
    <x v="1"/>
    <s v="SAMUEL CHUQUISTA"/>
    <x v="0"/>
    <s v="7012100 MercaderÃ­as-Venta Local-Terceros"/>
    <x v="12"/>
    <x v="32"/>
    <m/>
    <m/>
    <m/>
    <x v="141"/>
    <s v="PERCY ORDINOLA"/>
    <s v="Persona"/>
    <x v="741"/>
  </r>
  <r>
    <x v="3"/>
    <x v="595"/>
    <s v="COLABORATIVA S.A.C."/>
    <x v="34"/>
    <d v="2025-11-03T00:00:00"/>
    <x v="88"/>
    <s v="Cliente"/>
    <n v="6"/>
    <n v="20602855733"/>
    <s v="[{'id_producto': 17160, 'codigo_producto': 990, 'nom_producto': 'COMISION CORTESIA - delivery', 'categoria_producto': 'consu', 'cantidad': '1.0', 'valor_unitario': 171.0, 'precio_unitario': 201.78, 'descuento': 0.0, 'subtotal': 171.0, 'porcentaje_de_igv': '18.00', 'igv': 30.78, 'total': 201.7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60"/>
    <x v="133"/>
    <x v="48"/>
    <x v="0"/>
    <n v="1"/>
    <n v="171"/>
    <n v="201.78"/>
    <n v="0"/>
    <n v="171"/>
    <n v="18"/>
    <n v="30.78"/>
    <n v="201.78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42"/>
  </r>
  <r>
    <x v="3"/>
    <x v="596"/>
    <s v="COLABORATIVA S.A.C."/>
    <x v="34"/>
    <d v="2025-11-03T00:00:00"/>
    <x v="88"/>
    <s v="Cliente"/>
    <n v="6"/>
    <n v="20602855733"/>
    <s v="[{'id_producto': 17159, 'codigo_producto': 875, 'nom_producto': 'ENTRADAS IMPRESAS - ORDEN DE VENTA N510  Ano Nuevo 2025 en Arequipa con Armonia 10 Yarita Lizeth Deyvis Orosco y mas  4000 FULL COLOR GENERAL  2000 BRAZALETES VIP  1000 BRAZALETES PLATINUM S401200', 'categoria_producto': 'consu', 'cantidad': '1.0', 'valor_unitario': 3400.0, 'precio_unitario': 4012.0, 'descuento': 0.0, 'subtotal': 3400.0, 'porcentaje_de_igv': '18.00', 'igv': 612.0, 'total': 4012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7159"/>
    <x v="134"/>
    <x v="126"/>
    <x v="0"/>
    <n v="1"/>
    <n v="3400"/>
    <n v="4012"/>
    <n v="0"/>
    <n v="3400"/>
    <n v="18"/>
    <n v="612"/>
    <n v="4012"/>
    <n v="1"/>
    <n v="1"/>
    <x v="2"/>
    <x v="2"/>
    <x v="1"/>
    <s v="SAMUEL CHUQUISTA"/>
    <x v="0"/>
    <s v="7012100 MercaderÃ­as-Venta Local-Terceros"/>
    <x v="11"/>
    <x v="32"/>
    <m/>
    <m/>
    <m/>
    <x v="83"/>
    <s v="FIESTA KARIBEÃ‘A SOCIEDAD ANONIMA CERRADA"/>
    <s v="Empresa"/>
    <x v="743"/>
  </r>
  <r>
    <x v="3"/>
    <x v="597"/>
    <s v="COLABORATIVA S.A.C."/>
    <x v="34"/>
    <d v="2025-11-03T00:00:00"/>
    <x v="88"/>
    <s v="Cliente"/>
    <n v="6"/>
    <n v="20602855733"/>
    <s v="[{'id_producto': 17158, 'codigo_producto': 871, 'nom_producto': 'COMISION PAGOS DIGITALES SEGUN CONTRATO ', 'categoria_producto': 'consu', 'cantidad': '1.0', 'valor_unitario': 1590.93, 'precio_unitario': 1877.3, 'descuento': 0.0, 'subtotal': 1590.93, 'porcentaje_de_igv': '18.00', 'igv': 286.37, 'total': 1877.3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58"/>
    <x v="39"/>
    <x v="35"/>
    <x v="0"/>
    <n v="1"/>
    <n v="1590.93"/>
    <n v="1877.3"/>
    <n v="0"/>
    <n v="1590.93"/>
    <n v="18"/>
    <n v="286.37"/>
    <n v="1877.3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44"/>
  </r>
  <r>
    <x v="3"/>
    <x v="598"/>
    <s v="COLABORATIVA S.A.C."/>
    <x v="34"/>
    <d v="2025-11-03T00:00:00"/>
    <x v="88"/>
    <s v="Cliente"/>
    <n v="6"/>
    <n v="20602855733"/>
    <s v="[{'id_producto': 17157, 'codigo_producto': 870, 'nom_producto': 'COMISION VAOPE SEGUN CONTRATO', 'categoria_producto': 'consu', 'cantidad': '1.0', 'valor_unitario': 2158.64, 'precio_unitario': 2547.2, 'descuento': 0.0, 'subtotal': 2158.64, 'porcentaje_de_igv': '18.00', 'igv': 388.56, 'total': 2547.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57"/>
    <x v="27"/>
    <x v="5"/>
    <x v="0"/>
    <n v="1"/>
    <n v="2158.64"/>
    <n v="2547.1999999999998"/>
    <n v="0"/>
    <n v="2158.64"/>
    <n v="18"/>
    <n v="388.56"/>
    <n v="2547.1999999999998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45"/>
  </r>
  <r>
    <x v="3"/>
    <x v="599"/>
    <s v="COLABORATIVA S.A.C."/>
    <x v="34"/>
    <d v="2025-11-03T00:00:00"/>
    <x v="88"/>
    <s v="Cliente"/>
    <n v="6"/>
    <n v="20602855733"/>
    <s v="[{'id_producto': 17156, 'codigo_producto': 874, 'nom_producto': 'COMISION CORTESIA', 'categoria_producto': 'consu', 'cantidad': '1.0', 'valor_unitario': 171.0, 'precio_unitario': 201.78, 'descuento': 0.0, 'subtotal': 171.0, 'porcentaje_de_igv': '18.00', 'igv': 30.78, 'total': 201.78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56"/>
    <x v="40"/>
    <x v="19"/>
    <x v="0"/>
    <n v="1"/>
    <n v="171"/>
    <n v="201.78"/>
    <n v="0"/>
    <n v="171"/>
    <n v="18"/>
    <n v="30.78"/>
    <n v="201.78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46"/>
  </r>
  <r>
    <x v="3"/>
    <x v="600"/>
    <s v="COLABORATIVA S.A.C."/>
    <x v="34"/>
    <d v="2025-11-03T00:00:00"/>
    <x v="88"/>
    <s v="Cliente"/>
    <n v="6"/>
    <n v="20602855733"/>
    <s v="[{'id_producto': 17155, 'codigo_producto': 873, 'nom_producto': 'PERSONAL - Servicio de 03 validadores Inc IGV ', 'categoria_producto': 'consu', 'cantidad': '1.0', 'valor_unitario': 450.0, 'precio_unitario': 531.0, 'descuento': 0.0, 'subtotal': 450.0, 'porcentaje_de_igv': '18.00', 'igv': 81.0, 'total': 531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3, 'nom_distribucion': 'Validadores', 'sub_categoria': 'Personal temporal', 'porcentaje': '100.00'}]]}]"/>
    <d v="2025-01-03T00:00:00"/>
    <m/>
    <m/>
    <m/>
    <m/>
    <m/>
    <n v="17155"/>
    <x v="135"/>
    <x v="127"/>
    <x v="0"/>
    <n v="1"/>
    <n v="450"/>
    <n v="531"/>
    <n v="0"/>
    <n v="450"/>
    <n v="18"/>
    <n v="81"/>
    <n v="531"/>
    <n v="1"/>
    <n v="1"/>
    <x v="2"/>
    <x v="2"/>
    <x v="1"/>
    <s v="SAMUEL CHUQUISTA"/>
    <x v="0"/>
    <s v="7012100 MercaderÃ­as-Venta Local-Terceros"/>
    <x v="5"/>
    <x v="32"/>
    <m/>
    <m/>
    <m/>
    <x v="83"/>
    <s v="FIESTA KARIBEÃ‘A SOCIEDAD ANONIMA CERRADA"/>
    <s v="Empresa"/>
    <x v="747"/>
  </r>
  <r>
    <x v="3"/>
    <x v="601"/>
    <s v="COLABORATIVA S.A.C."/>
    <x v="34"/>
    <d v="2025-11-03T00:00:00"/>
    <x v="88"/>
    <s v="Cliente"/>
    <n v="6"/>
    <n v="20602855733"/>
    <s v="[{'id_producto': 17154, 'codigo_producto': 872, 'nom_producto': 'ENTRADAS IMPRESAS - ORDEN DE VENTA N508\n  Fieston de Ano Nuevo Lima Norte en Plaza de Acho con Armonia 10 Pamela Franco Deyvis Orosco y mas 4000 FULL COLOR GENERAL  2000 BRAZALETES VIP  1500 BRAZALETES PLATINUM S436600', 'categoria_producto': 'consu', 'cantidad': '1.0', 'valor_unitario': 3700.0, 'precio_unitario': 4366.0, 'descuento': 0.0, 'subtotal': 3700.0, 'porcentaje_de_igv': '18.00', 'igv': 666.0, 'total': 4366.0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83, 'nom_distribucion': 'Impresos', 'sub_categoria': 'Suministros Compra', 'porcentaje': '100.00'}]]}]"/>
    <d v="2025-01-03T00:00:00"/>
    <m/>
    <m/>
    <m/>
    <m/>
    <m/>
    <n v="17154"/>
    <x v="136"/>
    <x v="128"/>
    <x v="0"/>
    <n v="1"/>
    <n v="3700"/>
    <n v="4366"/>
    <n v="0"/>
    <n v="3700"/>
    <n v="18"/>
    <n v="666"/>
    <n v="4366"/>
    <n v="1"/>
    <n v="1"/>
    <x v="2"/>
    <x v="2"/>
    <x v="1"/>
    <s v="SAMUEL CHUQUISTA"/>
    <x v="0"/>
    <s v="7012100 MercaderÃ­as-Venta Local-Terceros"/>
    <x v="11"/>
    <x v="32"/>
    <m/>
    <m/>
    <m/>
    <x v="83"/>
    <s v="FIESTA KARIBEÃ‘A SOCIEDAD ANONIMA CERRADA"/>
    <s v="Empresa"/>
    <x v="748"/>
  </r>
  <r>
    <x v="3"/>
    <x v="602"/>
    <s v="COLABORATIVA S.A.C."/>
    <x v="34"/>
    <d v="2025-11-03T00:00:00"/>
    <x v="88"/>
    <s v="Cliente"/>
    <n v="6"/>
    <n v="20602855733"/>
    <s v="[{'id_producto': 17153, 'codigo_producto': 871, 'nom_producto': 'COMISION PAGOS DIGITALES SEGUN CONTRATO ', 'categoria_producto': 'consu', 'cantidad': '1.0', 'valor_unitario': 3425.85, 'precio_unitario': 4042.5, 'descuento': 0.0, 'subtotal': 3425.85, 'porcentaje_de_igv': '18.00', 'igv': 616.65, 'total': 4042.5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53"/>
    <x v="39"/>
    <x v="35"/>
    <x v="0"/>
    <n v="1"/>
    <n v="3425.85"/>
    <n v="4042.5"/>
    <n v="0"/>
    <n v="3425.85"/>
    <n v="18"/>
    <n v="616.65"/>
    <n v="4042.5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49"/>
  </r>
  <r>
    <x v="3"/>
    <x v="603"/>
    <s v="COLABORATIVA S.A.C."/>
    <x v="34"/>
    <d v="2025-11-03T00:00:00"/>
    <x v="88"/>
    <s v="Cliente"/>
    <n v="6"/>
    <n v="20602855733"/>
    <s v="[{'id_producto': 17152, 'codigo_producto': 870, 'nom_producto': 'COMISION VAOPE SEGUN CONTRATO', 'categoria_producto': 'consu', 'cantidad': '1.0', 'valor_unitario': 4569.66, 'precio_unitario': 5392.2, 'descuento': 0.0, 'subtotal': 4569.66, 'porcentaje_de_igv': '18.00', 'igv': 822.54, 'total': 5392.2, 'moneda': '1', 'tipo_de_cambio': 1.0, 'id_estado': 'not_paid', 'nombre_estado': 'Sin pagar', 'evento': {'id_evento': '', 'nom_evento': '', 'fecha_hora_ini_event': '', 'fecha_hora_fin_event': '', 'id_organizador': 385, 'nom_organizador': 'FIESTA KARIBEÃ‘A SOCIEDAD ANONIMA CERRADA', 'tipo_organizador': 'Empresa'}, 'id_vendedor': 2, 'nom_vendedor': 'SAMUEL CHUQUISTA', 'id_cuenta_analitica': 1106, 'nom_cuenta_analitica': '7012100 MercaderÃ­as-Venta Local-Terceros', 'distribucion_analitica': [[{'codigo': 105, 'nom_distribucion': 'Administrativo', 'sub_categoria': 'Capacitaciones', 'porcentaje': '100.00'}]]}]"/>
    <d v="2025-01-03T00:00:00"/>
    <m/>
    <m/>
    <m/>
    <m/>
    <m/>
    <n v="17152"/>
    <x v="27"/>
    <x v="5"/>
    <x v="0"/>
    <n v="1"/>
    <n v="4569.66"/>
    <n v="5392.2"/>
    <n v="0"/>
    <n v="4569.66"/>
    <n v="18"/>
    <n v="822.54"/>
    <n v="5392.2"/>
    <n v="1"/>
    <n v="1"/>
    <x v="2"/>
    <x v="2"/>
    <x v="1"/>
    <s v="SAMUEL CHUQUISTA"/>
    <x v="0"/>
    <s v="7012100 MercaderÃ­as-Venta Local-Terceros"/>
    <x v="12"/>
    <x v="32"/>
    <m/>
    <m/>
    <m/>
    <x v="83"/>
    <s v="FIESTA KARIBEÃ‘A SOCIEDAD ANONIMA CERRADA"/>
    <s v="Empresa"/>
    <x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6EA2A-BD4C-44F1-A37D-D828ECC1346D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36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238">
      <pivotArea type="all" dataOnly="0" outline="0" fieldPosition="0"/>
    </format>
    <format dxfId="237">
      <pivotArea outline="0" collapsedLevelsAreSubtotals="1" fieldPosition="0"/>
    </format>
    <format dxfId="236">
      <pivotArea dataOnly="0" labelOnly="1" grandRow="1" outline="0" fieldPosition="0"/>
    </format>
    <format dxfId="2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565F8-E5E2-4255-B59F-1C8EF1080FBE}" name="TablaDinámica2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I9" firstHeaderRow="0" firstDataRow="1" firstDataCol="0"/>
  <pivotFields count="39">
    <pivotField showAll="0"/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242">
      <pivotArea type="all" dataOnly="0" outline="0" fieldPosition="0"/>
    </format>
    <format dxfId="241">
      <pivotArea outline="0" collapsedLevelsAreSubtotals="1" fieldPosition="0"/>
    </format>
    <format dxfId="240">
      <pivotArea dataOnly="0" labelOnly="1" grandRow="1" outline="0" fieldPosition="0"/>
    </format>
    <format dxfId="2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FBFCF-5A5E-4F7F-B1F7-4B368BDF66FB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98" firstHeaderRow="0" firstDataRow="1" firstDataCol="1"/>
  <pivotFields count="39">
    <pivotField showAll="0"/>
    <pivotField numFmtId="4" showAll="0"/>
    <pivotField showAll="0"/>
    <pivotField showAll="0"/>
    <pivotField axis="axisRow" showAll="0">
      <items count="90">
        <item x="85"/>
        <item x="14"/>
        <item x="5"/>
        <item x="17"/>
        <item x="18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t="default"/>
      </items>
    </pivotField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248">
      <pivotArea type="all" dataOnly="0" outline="0" fieldPosition="0"/>
    </format>
    <format dxfId="247">
      <pivotArea outline="0" collapsedLevelsAreSubtotals="1" fieldPosition="0"/>
    </format>
    <format dxfId="246">
      <pivotArea field="4" type="button" dataOnly="0" labelOnly="1" outline="0" axis="axisRow" fieldPosition="0"/>
    </format>
    <format dxfId="245">
      <pivotArea dataOnly="0" labelOnly="1" fieldPosition="0">
        <references count="1">
          <reference field="4" count="0"/>
        </references>
      </pivotArea>
    </format>
    <format dxfId="244">
      <pivotArea dataOnly="0" labelOnly="1" grandRow="1" outline="0" fieldPosition="0"/>
    </format>
    <format dxfId="2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8A13B-3D24-4797-BE56-369DA1C7F399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25" type="button" dataOnly="0" labelOnly="1" outline="0" axis="axisRow" fieldPosition="0"/>
    </format>
    <format dxfId="251">
      <pivotArea dataOnly="0" labelOnly="1" fieldPosition="0">
        <references count="1">
          <reference field="25" count="0"/>
        </references>
      </pivotArea>
    </format>
    <format dxfId="250">
      <pivotArea dataOnly="0" labelOnly="1" grandRow="1" outline="0" fieldPosition="0"/>
    </format>
    <format dxfId="2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9FAE-09E2-4992-85C9-87B09CEE8A7D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34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36" type="button" dataOnly="0" labelOnly="1" outline="0" axis="axisRow" fieldPosition="0"/>
    </format>
    <format dxfId="257">
      <pivotArea dataOnly="0" labelOnly="1" fieldPosition="0">
        <references count="1">
          <reference field="36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2751-D2FF-4D96-A017-2EC873C75915}" name="TablaDiná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1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Total firmado" fld="16" baseField="0" baseItem="0"/>
  </dataFields>
  <formats count="6"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25" type="button" dataOnly="0" labelOnly="1" outline="0" axis="axisRow" fieldPosition="0"/>
    </format>
    <format dxfId="263">
      <pivotArea dataOnly="0" labelOnly="1" fieldPosition="0">
        <references count="1">
          <reference field="25" count="0"/>
        </references>
      </pivotArea>
    </format>
    <format dxfId="262">
      <pivotArea dataOnly="0" labelOnly="1" grandRow="1" outline="0" fieldPosition="0"/>
    </format>
    <format dxfId="2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930F3-CE88-4977-99A2-7874FAC1244C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Impuesto firmado" fld="15" baseField="0" baseItem="0"/>
  </dataFields>
  <formats count="6"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25" type="button" dataOnly="0" labelOnly="1" outline="0" axis="axisRow" fieldPosition="0"/>
    </format>
    <format dxfId="269">
      <pivotArea dataOnly="0" labelOnly="1" fieldPosition="0">
        <references count="1">
          <reference field="25" count="0"/>
        </references>
      </pivotArea>
    </format>
    <format dxfId="268">
      <pivotArea dataOnly="0" labelOnly="1" grandRow="1" outline="0" fieldPosition="0"/>
    </format>
    <format dxfId="2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27D30-EDC2-42AF-B9BC-C782DE13C3CD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32" type="button" dataOnly="0" labelOnly="1" outline="0" axis="axisRow" fieldPosition="0"/>
    </format>
    <format dxfId="275">
      <pivotArea dataOnly="0" labelOnly="1" fieldPosition="0">
        <references count="1">
          <reference field="32" count="0"/>
        </references>
      </pivotArea>
    </format>
    <format dxfId="274">
      <pivotArea dataOnly="0" labelOnly="1" grandRow="1" outline="0" fieldPosition="0"/>
    </format>
    <format dxfId="2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8CFC7-3322-4A26-9F6E-139EFD263C3B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33" type="button" dataOnly="0" labelOnly="1" outline="0" axis="axisRow" fieldPosition="0"/>
    </format>
    <format dxfId="281">
      <pivotArea dataOnly="0" labelOnly="1" fieldPosition="0">
        <references count="1">
          <reference field="33" count="0"/>
        </references>
      </pivotArea>
    </format>
    <format dxfId="280">
      <pivotArea dataOnly="0" labelOnly="1" grandRow="1" outline="0" fieldPosition="0"/>
    </format>
    <format dxfId="2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B248-D7BB-45DA-B926-4B7A8DEADF8E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25">
        <item x="8"/>
        <item x="7"/>
        <item x="0"/>
        <item x="1"/>
        <item x="2"/>
        <item x="3"/>
        <item x="4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290">
      <pivotArea type="all" dataOnly="0" outline="0" fieldPosition="0"/>
    </format>
    <format dxfId="289">
      <pivotArea outline="0" collapsedLevelsAreSubtotals="1" fieldPosition="0"/>
    </format>
    <format dxfId="288">
      <pivotArea field="25" type="button" dataOnly="0" labelOnly="1" outline="0" axis="axisRow" fieldPosition="0"/>
    </format>
    <format dxfId="287">
      <pivotArea dataOnly="0" labelOnly="1" fieldPosition="0">
        <references count="1">
          <reference field="25" count="0"/>
        </references>
      </pivotArea>
    </format>
    <format dxfId="286">
      <pivotArea dataOnly="0" labelOnly="1" grandRow="1" outline="0" fieldPosition="0"/>
    </format>
    <format dxfId="2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199A8-8AFA-460B-8410-72E0355A62F7}" name="TablaDinámica1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4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igv" fld="26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1" type="button" dataOnly="0" labelOnly="1" outline="0" axis="axisRow" fieldPosition="0"/>
    </format>
    <format dxfId="115">
      <pivotArea dataOnly="0" labelOnly="1" fieldPosition="0">
        <references count="1">
          <reference field="31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AFAFE-3AC1-477C-A2EA-80A450214FBD}" name="TablaDinámica2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31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sd="0" x="8"/>
        <item sd="0" x="7"/>
        <item x="6"/>
        <item x="5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8"/>
    <field x="5"/>
  </rowFields>
  <rowItems count="28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30CDB-FB2F-4BF2-BFD8-92640CE4A54C}" name="TablaDinámica1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subtotal" fld="24" baseField="0" baseItem="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31" type="button" dataOnly="0" labelOnly="1" outline="0" axis="axisRow" fieldPosition="0"/>
    </format>
    <format dxfId="125">
      <pivotArea dataOnly="0" labelOnly="1" fieldPosition="0">
        <references count="1">
          <reference field="31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F2CBF-6E3D-4FBC-A49A-38729AE7C665}" name="TablaDinámica19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O8:CP143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0">
        <item x="93"/>
        <item x="19"/>
        <item x="2"/>
        <item x="23"/>
        <item x="48"/>
        <item x="99"/>
        <item x="58"/>
        <item x="64"/>
        <item x="42"/>
        <item x="24"/>
        <item x="61"/>
        <item x="55"/>
        <item x="124"/>
        <item x="120"/>
        <item x="54"/>
        <item x="109"/>
        <item x="34"/>
        <item x="43"/>
        <item x="25"/>
        <item x="66"/>
        <item x="31"/>
        <item x="63"/>
        <item x="28"/>
        <item x="37"/>
        <item x="49"/>
        <item x="60"/>
        <item x="67"/>
        <item x="56"/>
        <item x="107"/>
        <item x="100"/>
        <item x="5"/>
        <item x="6"/>
        <item x="13"/>
        <item x="10"/>
        <item x="16"/>
        <item x="3"/>
        <item x="4"/>
        <item x="8"/>
        <item x="20"/>
        <item x="21"/>
        <item x="22"/>
        <item x="26"/>
        <item x="27"/>
        <item x="29"/>
        <item x="30"/>
        <item x="32"/>
        <item x="33"/>
        <item x="35"/>
        <item x="36"/>
        <item x="38"/>
        <item x="39"/>
        <item x="40"/>
        <item x="41"/>
        <item x="44"/>
        <item x="45"/>
        <item x="46"/>
        <item x="47"/>
        <item x="50"/>
        <item x="51"/>
        <item x="52"/>
        <item x="53"/>
        <item x="57"/>
        <item x="59"/>
        <item x="62"/>
        <item x="65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101"/>
        <item x="102"/>
        <item x="103"/>
        <item x="104"/>
        <item x="105"/>
        <item x="106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5"/>
        <item x="126"/>
        <item x="127"/>
        <item x="128"/>
        <item x="12"/>
        <item x="0"/>
        <item x="1"/>
        <item x="14"/>
        <item x="15"/>
        <item x="9"/>
        <item x="7"/>
        <item x="17"/>
        <item x="18"/>
        <item x="1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18"/>
  </rowFields>
  <rowItems count="1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6"/>
    </i>
    <i r="1">
      <x v="128"/>
    </i>
    <i>
      <x v="1"/>
    </i>
    <i r="1">
      <x v="1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119"/>
    </i>
    <i r="1">
      <x v="123"/>
    </i>
    <i r="1">
      <x v="124"/>
    </i>
    <i r="1">
      <x v="127"/>
    </i>
    <i t="grand">
      <x/>
    </i>
  </rowItems>
  <colItems count="1">
    <i/>
  </colItems>
  <dataFields count="1">
    <dataField name=" q" fld="18" subtotal="count" baseField="0" baseItem="0"/>
  </dataFields>
  <formats count="5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31" type="button" dataOnly="0" labelOnly="1" outline="0"/>
    </format>
    <format dxfId="130">
      <pivotArea dataOnly="0" labelOnly="1" grandRow="1" outline="0" fieldPosition="0"/>
    </format>
    <format dxfId="1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C251E-9A42-449E-A42E-AD85B55A5B88}" name="TablaDiná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W8:BX26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18">
        <item x="5"/>
        <item x="12"/>
        <item x="13"/>
        <item x="15"/>
        <item x="16"/>
        <item x="14"/>
        <item x="11"/>
        <item x="10"/>
        <item x="2"/>
        <item x="6"/>
        <item x="7"/>
        <item x="0"/>
        <item x="8"/>
        <item x="1"/>
        <item x="4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 q" fld="36" subtotal="count" baseField="0" baseItem="0"/>
  </dataFields>
  <formats count="5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31" type="button" dataOnly="0" labelOnly="1" outline="0"/>
    </format>
    <format dxfId="135">
      <pivotArea dataOnly="0" labelOnly="1" grandRow="1" outline="0" fieldPosition="0"/>
    </format>
    <format dxfId="1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E5B6C-4726-4812-A2DC-D07854B3BDEC}" name="TablaDinámica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C8:CD121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13">
        <item x="99"/>
        <item x="101"/>
        <item x="100"/>
        <item x="102"/>
        <item x="95"/>
        <item x="98"/>
        <item x="97"/>
        <item x="107"/>
        <item x="94"/>
        <item x="93"/>
        <item x="105"/>
        <item x="103"/>
        <item x="91"/>
        <item x="106"/>
        <item x="109"/>
        <item x="111"/>
        <item x="82"/>
        <item x="108"/>
        <item x="104"/>
        <item x="80"/>
        <item x="96"/>
        <item x="110"/>
        <item x="32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5"/>
        <item x="54"/>
        <item x="55"/>
        <item x="56"/>
        <item x="57"/>
        <item x="58"/>
        <item x="59"/>
        <item x="60"/>
        <item x="61"/>
        <item x="62"/>
        <item x="63"/>
        <item x="64"/>
        <item x="8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3"/>
        <item x="84"/>
        <item x="85"/>
        <item x="86"/>
        <item x="87"/>
        <item x="88"/>
        <item x="89"/>
        <item x="90"/>
        <item x="92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Items count="1">
    <i/>
  </colItems>
  <dataFields count="1">
    <dataField name="Cuenta de item.evento.id_evento" fld="37" subtotal="count" baseField="37" baseItem="5"/>
  </dataFields>
  <formats count="5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31" type="button" dataOnly="0" labelOnly="1" outline="0"/>
    </format>
    <format dxfId="140">
      <pivotArea dataOnly="0" labelOnly="1" grandRow="1" outline="0" fieldPosition="0"/>
    </format>
    <format dxfId="1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3146C-704E-4444-B20E-B6348792A6EF}" name="TablaDinámica1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7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sd="0" x="19"/>
        <item sd="0"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46"/>
    <field x="3"/>
  </rowFields>
  <rowItems count="4">
    <i>
      <x v="1"/>
    </i>
    <i>
      <x v="2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3" type="button" dataOnly="0" labelOnly="1" outline="0" axis="axisRow" fieldPosition="1"/>
    </format>
    <format dxfId="146">
      <pivotArea dataOnly="0" labelOnly="1" fieldPosition="0">
        <references count="1">
          <reference field="3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5A593-0952-4F6E-B510-D01586340C71}" name="TablaDinámica2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3:AN461" firstHeaderRow="0" firstDataRow="1" firstDataCol="1"/>
  <pivotFields count="39">
    <pivotField axis="axisRow" showAll="0">
      <items count="458">
        <item x="72"/>
        <item x="70"/>
        <item x="69"/>
        <item x="66"/>
        <item x="65"/>
        <item x="64"/>
        <item x="63"/>
        <item x="62"/>
        <item x="61"/>
        <item x="60"/>
        <item x="59"/>
        <item x="53"/>
        <item x="52"/>
        <item x="51"/>
        <item x="50"/>
        <item x="49"/>
        <item x="48"/>
        <item x="47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71"/>
        <item x="68"/>
        <item x="67"/>
        <item x="58"/>
        <item x="57"/>
        <item x="56"/>
        <item x="55"/>
        <item x="54"/>
        <item x="46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56"/>
        <item x="455"/>
        <item x="454"/>
        <item x="453"/>
        <item x="452"/>
        <item x="451"/>
        <item x="450"/>
        <item x="449"/>
        <item x="448"/>
        <item x="447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382"/>
        <item x="381"/>
        <item x="380"/>
        <item x="379"/>
        <item x="378"/>
        <item x="377"/>
        <item x="376"/>
        <item x="336"/>
        <item x="335"/>
        <item x="334"/>
        <item x="33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40"/>
        <item x="239"/>
        <item x="238"/>
        <item x="237"/>
        <item x="236"/>
        <item x="235"/>
        <item x="234"/>
        <item x="233"/>
        <item x="209"/>
        <item x="208"/>
        <item x="207"/>
        <item x="206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80"/>
        <item x="79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2"/>
        <item x="331"/>
        <item x="330"/>
        <item x="329"/>
        <item x="328"/>
        <item x="327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69"/>
        <item x="168"/>
        <item x="16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78"/>
        <item x="77"/>
        <item x="76"/>
        <item x="338"/>
        <item x="337"/>
        <item x="326"/>
        <item x="325"/>
        <item x="324"/>
        <item x="323"/>
        <item x="242"/>
        <item x="241"/>
        <item x="210"/>
        <item x="167"/>
        <item x="75"/>
        <item x="74"/>
        <item x="73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4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53">
      <pivotArea type="all" dataOnly="0" outline="0" fieldPosition="0"/>
    </format>
    <format dxfId="152">
      <pivotArea outline="0" collapsedLevelsAreSubtotals="1" fieldPosition="0"/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CA0A9-0F96-4E9C-8A91-DBFDFFBD7112}" name="TablaDinámica1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48" firstHeaderRow="0" firstDataRow="1" firstDataCol="1"/>
  <pivotFields count="47">
    <pivotField showAll="0"/>
    <pivotField showAll="0"/>
    <pivotField showAll="0"/>
    <pivotField dataField="1"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axis="axisRow" showAll="0">
      <items count="145">
        <item x="0"/>
        <item x="67"/>
        <item x="85"/>
        <item x="86"/>
        <item x="73"/>
        <item x="74"/>
        <item x="7"/>
        <item x="75"/>
        <item x="76"/>
        <item x="77"/>
        <item x="78"/>
        <item x="79"/>
        <item x="80"/>
        <item x="81"/>
        <item x="82"/>
        <item x="83"/>
        <item x="56"/>
        <item x="84"/>
        <item x="87"/>
        <item x="88"/>
        <item x="29"/>
        <item x="28"/>
        <item x="89"/>
        <item x="90"/>
        <item x="91"/>
        <item x="92"/>
        <item x="93"/>
        <item x="25"/>
        <item x="95"/>
        <item x="96"/>
        <item x="97"/>
        <item x="99"/>
        <item x="100"/>
        <item x="101"/>
        <item x="71"/>
        <item x="102"/>
        <item x="103"/>
        <item x="104"/>
        <item x="105"/>
        <item x="106"/>
        <item x="107"/>
        <item x="18"/>
        <item x="108"/>
        <item x="109"/>
        <item x="110"/>
        <item x="111"/>
        <item x="112"/>
        <item x="113"/>
        <item x="11"/>
        <item x="115"/>
        <item x="116"/>
        <item x="117"/>
        <item x="118"/>
        <item x="119"/>
        <item x="120"/>
        <item x="121"/>
        <item x="122"/>
        <item x="123"/>
        <item x="124"/>
        <item x="23"/>
        <item x="1"/>
        <item x="125"/>
        <item x="126"/>
        <item x="127"/>
        <item x="61"/>
        <item x="129"/>
        <item x="130"/>
        <item x="132"/>
        <item x="133"/>
        <item x="134"/>
        <item x="41"/>
        <item x="135"/>
        <item x="136"/>
        <item x="16"/>
        <item x="137"/>
        <item x="138"/>
        <item x="139"/>
        <item x="140"/>
        <item x="141"/>
        <item x="143"/>
        <item x="30"/>
        <item x="21"/>
        <item x="94"/>
        <item x="98"/>
        <item x="114"/>
        <item x="128"/>
        <item x="131"/>
        <item x="142"/>
        <item x="24"/>
        <item x="26"/>
        <item x="27"/>
        <item x="31"/>
        <item x="32"/>
        <item x="33"/>
        <item x="34"/>
        <item x="35"/>
        <item x="36"/>
        <item x="37"/>
        <item x="38"/>
        <item x="39"/>
        <item x="40"/>
        <item x="17"/>
        <item x="42"/>
        <item x="43"/>
        <item x="44"/>
        <item x="45"/>
        <item x="46"/>
        <item x="47"/>
        <item x="48"/>
        <item x="49"/>
        <item x="50"/>
        <item x="9"/>
        <item x="8"/>
        <item x="6"/>
        <item x="51"/>
        <item x="52"/>
        <item x="53"/>
        <item x="54"/>
        <item x="55"/>
        <item x="57"/>
        <item x="58"/>
        <item x="59"/>
        <item x="60"/>
        <item x="62"/>
        <item x="63"/>
        <item x="22"/>
        <item x="64"/>
        <item x="65"/>
        <item x="66"/>
        <item x="68"/>
        <item x="69"/>
        <item x="70"/>
        <item x="72"/>
        <item x="2"/>
        <item x="3"/>
        <item x="4"/>
        <item x="5"/>
        <item x="10"/>
        <item x="12"/>
        <item x="13"/>
        <item x="14"/>
        <item x="15"/>
        <item x="19"/>
        <item x="2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5" type="button" dataOnly="0" labelOnly="1" outline="0" axis="axisRow" fieldPosition="0"/>
    </format>
    <format dxfId="156">
      <pivotArea dataOnly="0" labelOnly="1" fieldPosition="0">
        <references count="1">
          <reference field="5" count="0"/>
        </references>
      </pivotArea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6A6F7-B45F-4D1D-AE62-913B64DFF41D}" name="TablaDinámica1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00907-B307-4F5C-9250-747B115C3D36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T8:BU13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" fld="34" subtotal="count" baseField="34" baseItem="0"/>
  </dataFields>
  <formats count="5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31" type="button" dataOnly="0" labelOnly="1" outline="0"/>
    </format>
    <format dxfId="164">
      <pivotArea dataOnly="0" labelOnly="1" grandRow="1" outline="0" fieldPosition="0"/>
    </format>
    <format dxfId="1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89E8-5DF4-462F-AA81-F69660CA3BF8}" name="TablaDinámica1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L8:CM151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3">
        <item x="67"/>
        <item x="63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0"/>
        <item x="59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5"/>
        <item x="29"/>
        <item x="21"/>
        <item x="91"/>
        <item x="92"/>
        <item x="93"/>
        <item x="94"/>
        <item x="95"/>
        <item x="96"/>
        <item x="97"/>
        <item x="98"/>
        <item x="66"/>
        <item x="99"/>
        <item x="100"/>
        <item x="101"/>
        <item x="102"/>
        <item x="103"/>
        <item x="104"/>
        <item x="18"/>
        <item x="105"/>
        <item x="106"/>
        <item x="107"/>
        <item x="108"/>
        <item x="109"/>
        <item x="110"/>
        <item x="11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23"/>
        <item x="122"/>
        <item x="123"/>
        <item x="124"/>
        <item x="125"/>
        <item x="126"/>
        <item x="56"/>
        <item x="127"/>
        <item x="128"/>
        <item x="129"/>
        <item x="130"/>
        <item x="131"/>
        <item x="132"/>
        <item x="38"/>
        <item x="133"/>
        <item x="134"/>
        <item x="16"/>
        <item x="135"/>
        <item x="136"/>
        <item x="137"/>
        <item x="138"/>
        <item x="139"/>
        <item x="140"/>
        <item x="141"/>
        <item x="24"/>
        <item x="26"/>
        <item x="27"/>
        <item x="28"/>
        <item x="30"/>
        <item x="31"/>
        <item x="32"/>
        <item x="33"/>
        <item x="34"/>
        <item x="35"/>
        <item x="36"/>
        <item x="2"/>
        <item x="37"/>
        <item x="17"/>
        <item x="39"/>
        <item x="40"/>
        <item x="41"/>
        <item x="42"/>
        <item x="43"/>
        <item x="44"/>
        <item x="45"/>
        <item x="46"/>
        <item x="47"/>
        <item x="48"/>
        <item x="9"/>
        <item x="8"/>
        <item x="6"/>
        <item x="49"/>
        <item x="50"/>
        <item x="51"/>
        <item x="52"/>
        <item x="53"/>
        <item x="54"/>
        <item x="55"/>
        <item x="57"/>
        <item x="58"/>
        <item x="22"/>
        <item x="60"/>
        <item x="61"/>
        <item x="62"/>
        <item x="64"/>
        <item x="65"/>
        <item x="1"/>
        <item x="3"/>
        <item x="4"/>
        <item x="5"/>
        <item x="10"/>
        <item x="12"/>
        <item x="13"/>
        <item x="14"/>
        <item x="15"/>
        <item x="19"/>
        <item x="20"/>
        <item t="default"/>
      </items>
    </pivotField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dataFields count="1">
    <dataField name=" q" fld="41" subtotal="count" baseField="0" baseItem="0"/>
  </dataFields>
  <formats count="5"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31" type="button" dataOnly="0" labelOnly="1" outline="0"/>
    </format>
    <format dxfId="169">
      <pivotArea dataOnly="0" labelOnly="1" grandRow="1" outline="0" fieldPosition="0"/>
    </format>
    <format dxfId="1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ACF5-A226-4469-AC48-23E464B7C363}" name="TablaDiná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Z8:CA146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138">
        <item x="27"/>
        <item x="39"/>
        <item x="136"/>
        <item x="135"/>
        <item x="40"/>
        <item x="134"/>
        <item x="26"/>
        <item x="64"/>
        <item x="132"/>
        <item x="77"/>
        <item x="131"/>
        <item x="53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75"/>
        <item x="103"/>
        <item x="102"/>
        <item x="101"/>
        <item x="100"/>
        <item x="99"/>
        <item x="98"/>
        <item x="97"/>
        <item x="45"/>
        <item x="96"/>
        <item x="95"/>
        <item x="94"/>
        <item x="93"/>
        <item x="92"/>
        <item x="91"/>
        <item x="90"/>
        <item x="89"/>
        <item x="88"/>
        <item x="87"/>
        <item x="86"/>
        <item x="44"/>
        <item x="43"/>
        <item x="37"/>
        <item x="36"/>
        <item x="34"/>
        <item x="33"/>
        <item x="82"/>
        <item x="30"/>
        <item x="85"/>
        <item x="83"/>
        <item x="84"/>
        <item x="81"/>
        <item x="80"/>
        <item x="79"/>
        <item x="78"/>
        <item x="76"/>
        <item x="65"/>
        <item x="74"/>
        <item x="73"/>
        <item x="72"/>
        <item x="71"/>
        <item x="70"/>
        <item x="67"/>
        <item x="69"/>
        <item x="68"/>
        <item x="66"/>
        <item x="63"/>
        <item x="62"/>
        <item x="61"/>
        <item x="60"/>
        <item x="59"/>
        <item x="58"/>
        <item x="57"/>
        <item x="55"/>
        <item x="52"/>
        <item x="51"/>
        <item x="50"/>
        <item x="49"/>
        <item x="48"/>
        <item x="47"/>
        <item x="46"/>
        <item x="42"/>
        <item x="41"/>
        <item x="38"/>
        <item x="35"/>
        <item x="32"/>
        <item x="31"/>
        <item x="29"/>
        <item x="28"/>
        <item x="25"/>
        <item x="24"/>
        <item x="23"/>
        <item x="22"/>
        <item x="133"/>
        <item x="54"/>
        <item x="56"/>
        <item x="5"/>
        <item x="6"/>
        <item x="19"/>
        <item x="20"/>
        <item x="10"/>
        <item x="16"/>
        <item x="3"/>
        <item x="21"/>
        <item x="8"/>
        <item x="12"/>
        <item x="13"/>
        <item x="0"/>
        <item x="1"/>
        <item x="14"/>
        <item x="15"/>
        <item x="2"/>
        <item x="4"/>
        <item x="9"/>
        <item x="7"/>
        <item x="17"/>
        <item x="1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Items count="1">
    <i/>
  </colItems>
  <dataFields count="1">
    <dataField name=" q" fld="17" subtotal="count" baseField="0" baseItem="0"/>
  </dataFields>
  <formats count="5"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1" type="button" dataOnly="0" labelOnly="1" outline="0"/>
    </format>
    <format dxfId="174">
      <pivotArea dataOnly="0" labelOnly="1" grandRow="1" outline="0" fieldPosition="0"/>
    </format>
    <format dxfId="1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8EA27-2384-4CCE-A5A2-1873026607A3}" name="TablaDinámica1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33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0">
        <item x="23"/>
        <item x="48"/>
        <item x="24"/>
        <item x="25"/>
        <item x="28"/>
        <item x="31"/>
        <item x="34"/>
        <item x="19"/>
        <item x="37"/>
        <item x="42"/>
        <item x="43"/>
        <item x="49"/>
        <item x="2"/>
        <item x="54"/>
        <item x="55"/>
        <item x="56"/>
        <item x="58"/>
        <item x="60"/>
        <item x="61"/>
        <item x="63"/>
        <item x="64"/>
        <item x="66"/>
        <item x="67"/>
        <item x="93"/>
        <item x="99"/>
        <item x="100"/>
        <item x="107"/>
        <item x="109"/>
        <item x="120"/>
        <item x="124"/>
        <item x="5"/>
        <item x="6"/>
        <item x="13"/>
        <item x="10"/>
        <item x="16"/>
        <item x="3"/>
        <item x="4"/>
        <item x="8"/>
        <item x="20"/>
        <item x="21"/>
        <item x="22"/>
        <item x="26"/>
        <item x="27"/>
        <item x="29"/>
        <item x="30"/>
        <item x="32"/>
        <item x="33"/>
        <item x="35"/>
        <item x="36"/>
        <item x="38"/>
        <item x="39"/>
        <item x="40"/>
        <item x="41"/>
        <item x="44"/>
        <item x="45"/>
        <item x="46"/>
        <item x="47"/>
        <item x="50"/>
        <item x="51"/>
        <item x="52"/>
        <item x="53"/>
        <item x="57"/>
        <item x="59"/>
        <item x="62"/>
        <item x="65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101"/>
        <item x="102"/>
        <item x="103"/>
        <item x="104"/>
        <item x="105"/>
        <item x="106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5"/>
        <item x="126"/>
        <item x="127"/>
        <item x="128"/>
        <item x="12"/>
        <item x="0"/>
        <item x="1"/>
        <item x="14"/>
        <item x="15"/>
        <item x="9"/>
        <item x="7"/>
        <item x="17"/>
        <item x="18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Items count="1">
    <i/>
  </colItems>
  <dataFields count="1">
    <dataField name="Suma de item.subtotal" fld="24" baseField="0" baseItem="0"/>
  </dataFields>
  <formats count="6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8" type="button" dataOnly="0" labelOnly="1" outline="0" axis="axisRow" fieldPosition="0"/>
    </format>
    <format dxfId="180">
      <pivotArea dataOnly="0" labelOnly="1" fieldPosition="0">
        <references count="1">
          <reference field="18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CC230-20DF-4D5A-9EBC-8003AE6A48C5}" name="TablaDinámica2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755" firstHeaderRow="0" firstDataRow="1" firstDataCol="1"/>
  <pivotFields count="47">
    <pivotField showAll="0"/>
    <pivotField showAll="0"/>
    <pivotField showAll="0"/>
    <pivotField dataField="1" numFmtId="14" showAll="0" sortType="ascending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52">
        <item x="366"/>
        <item x="364"/>
        <item x="363"/>
        <item x="360"/>
        <item x="359"/>
        <item x="358"/>
        <item x="357"/>
        <item x="356"/>
        <item x="355"/>
        <item x="354"/>
        <item x="353"/>
        <item x="347"/>
        <item x="346"/>
        <item x="345"/>
        <item x="344"/>
        <item x="343"/>
        <item x="341"/>
        <item x="340"/>
        <item x="339"/>
        <item x="338"/>
        <item x="337"/>
        <item x="336"/>
        <item x="326"/>
        <item x="325"/>
        <item x="324"/>
        <item x="323"/>
        <item x="322"/>
        <item x="321"/>
        <item x="320"/>
        <item x="319"/>
        <item x="314"/>
        <item x="313"/>
        <item x="312"/>
        <item x="311"/>
        <item x="310"/>
        <item x="309"/>
        <item x="302"/>
        <item x="301"/>
        <item x="300"/>
        <item x="299"/>
        <item x="298"/>
        <item x="297"/>
        <item x="296"/>
        <item x="292"/>
        <item x="290"/>
        <item x="289"/>
        <item x="286"/>
        <item x="285"/>
        <item x="284"/>
        <item x="283"/>
        <item x="282"/>
        <item x="281"/>
        <item x="280"/>
        <item x="279"/>
        <item x="276"/>
        <item x="275"/>
        <item x="274"/>
        <item x="273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48"/>
        <item x="247"/>
        <item x="246"/>
        <item x="245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2"/>
        <item x="221"/>
        <item x="220"/>
        <item x="216"/>
        <item x="215"/>
        <item x="214"/>
        <item x="213"/>
        <item x="212"/>
        <item x="211"/>
        <item x="210"/>
        <item x="209"/>
        <item x="208"/>
        <item x="207"/>
        <item x="200"/>
        <item x="194"/>
        <item x="193"/>
        <item x="192"/>
        <item x="191"/>
        <item x="190"/>
        <item x="189"/>
        <item x="188"/>
        <item x="187"/>
        <item x="186"/>
        <item x="175"/>
        <item x="174"/>
        <item x="173"/>
        <item x="172"/>
        <item x="170"/>
        <item x="169"/>
        <item x="168"/>
        <item x="167"/>
        <item x="166"/>
        <item x="165"/>
        <item x="164"/>
        <item x="162"/>
        <item x="161"/>
        <item x="160"/>
        <item x="159"/>
        <item x="157"/>
        <item x="156"/>
        <item x="155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97"/>
        <item x="96"/>
        <item x="95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64"/>
        <item x="63"/>
        <item x="52"/>
        <item x="51"/>
        <item x="29"/>
        <item x="28"/>
        <item x="27"/>
        <item x="26"/>
        <item x="25"/>
        <item x="24"/>
        <item x="23"/>
        <item x="22"/>
        <item x="16"/>
        <item x="15"/>
        <item x="0"/>
        <item x="365"/>
        <item x="362"/>
        <item x="361"/>
        <item x="352"/>
        <item x="351"/>
        <item x="350"/>
        <item x="349"/>
        <item x="348"/>
        <item x="342"/>
        <item x="335"/>
        <item x="334"/>
        <item x="333"/>
        <item x="332"/>
        <item x="331"/>
        <item x="330"/>
        <item x="329"/>
        <item x="328"/>
        <item x="327"/>
        <item x="318"/>
        <item x="317"/>
        <item x="316"/>
        <item x="315"/>
        <item x="308"/>
        <item x="307"/>
        <item x="306"/>
        <item x="305"/>
        <item x="304"/>
        <item x="303"/>
        <item x="295"/>
        <item x="294"/>
        <item x="293"/>
        <item x="291"/>
        <item x="288"/>
        <item x="287"/>
        <item x="278"/>
        <item x="277"/>
        <item x="272"/>
        <item x="271"/>
        <item x="270"/>
        <item x="250"/>
        <item x="249"/>
        <item x="244"/>
        <item x="243"/>
        <item x="226"/>
        <item x="225"/>
        <item x="224"/>
        <item x="223"/>
        <item x="219"/>
        <item x="218"/>
        <item x="217"/>
        <item x="206"/>
        <item x="205"/>
        <item x="204"/>
        <item x="203"/>
        <item x="202"/>
        <item x="201"/>
        <item x="199"/>
        <item x="198"/>
        <item x="197"/>
        <item x="196"/>
        <item x="195"/>
        <item x="185"/>
        <item x="184"/>
        <item x="183"/>
        <item x="182"/>
        <item x="181"/>
        <item x="180"/>
        <item x="179"/>
        <item x="178"/>
        <item x="177"/>
        <item x="176"/>
        <item x="171"/>
        <item x="163"/>
        <item x="158"/>
        <item x="154"/>
        <item x="153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4"/>
        <item x="70"/>
        <item x="69"/>
        <item x="68"/>
        <item x="67"/>
        <item x="66"/>
        <item x="65"/>
        <item x="62"/>
        <item x="61"/>
        <item x="60"/>
        <item x="59"/>
        <item x="58"/>
        <item x="57"/>
        <item x="56"/>
        <item x="55"/>
        <item x="54"/>
        <item x="53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1"/>
        <item x="20"/>
        <item x="19"/>
        <item x="18"/>
        <item x="17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741"/>
        <item x="740"/>
        <item x="739"/>
        <item x="738"/>
        <item x="737"/>
        <item x="732"/>
        <item x="731"/>
        <item x="730"/>
        <item x="729"/>
        <item x="728"/>
        <item x="723"/>
        <item x="722"/>
        <item x="721"/>
        <item x="720"/>
        <item x="709"/>
        <item x="708"/>
        <item x="705"/>
        <item x="704"/>
        <item x="699"/>
        <item x="698"/>
        <item x="697"/>
        <item x="696"/>
        <item x="684"/>
        <item x="683"/>
        <item x="651"/>
        <item x="650"/>
        <item x="649"/>
        <item x="648"/>
        <item x="647"/>
        <item x="644"/>
        <item x="643"/>
        <item x="630"/>
        <item x="629"/>
        <item x="622"/>
        <item x="621"/>
        <item x="604"/>
        <item x="603"/>
        <item x="598"/>
        <item x="597"/>
        <item x="596"/>
        <item x="595"/>
        <item x="592"/>
        <item x="594"/>
        <item x="593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28"/>
        <item x="527"/>
        <item x="524"/>
        <item x="523"/>
        <item x="522"/>
        <item x="521"/>
        <item x="520"/>
        <item x="519"/>
        <item x="480"/>
        <item x="479"/>
        <item x="478"/>
        <item x="477"/>
        <item x="474"/>
        <item x="473"/>
        <item x="472"/>
        <item x="471"/>
        <item x="470"/>
        <item x="469"/>
        <item x="468"/>
        <item x="465"/>
        <item x="464"/>
        <item x="463"/>
        <item x="462"/>
        <item x="444"/>
        <item x="443"/>
        <item x="442"/>
        <item x="441"/>
        <item x="440"/>
        <item x="439"/>
        <item x="432"/>
        <item x="431"/>
        <item x="430"/>
        <item x="429"/>
        <item x="415"/>
        <item x="414"/>
        <item x="405"/>
        <item x="404"/>
        <item x="403"/>
        <item x="398"/>
        <item x="397"/>
        <item x="396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4"/>
        <item x="373"/>
        <item x="750"/>
        <item x="749"/>
        <item x="748"/>
        <item x="747"/>
        <item x="746"/>
        <item x="745"/>
        <item x="744"/>
        <item x="743"/>
        <item x="742"/>
        <item x="736"/>
        <item x="735"/>
        <item x="734"/>
        <item x="733"/>
        <item x="727"/>
        <item x="726"/>
        <item x="725"/>
        <item x="724"/>
        <item x="719"/>
        <item x="718"/>
        <item x="717"/>
        <item x="716"/>
        <item x="715"/>
        <item x="714"/>
        <item x="713"/>
        <item x="712"/>
        <item x="711"/>
        <item x="710"/>
        <item x="707"/>
        <item x="706"/>
        <item x="703"/>
        <item x="702"/>
        <item x="701"/>
        <item x="700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46"/>
        <item x="645"/>
        <item x="642"/>
        <item x="641"/>
        <item x="640"/>
        <item x="639"/>
        <item x="638"/>
        <item x="637"/>
        <item x="636"/>
        <item x="635"/>
        <item x="634"/>
        <item x="633"/>
        <item x="628"/>
        <item x="627"/>
        <item x="626"/>
        <item x="625"/>
        <item x="624"/>
        <item x="623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2"/>
        <item x="601"/>
        <item x="600"/>
        <item x="599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33"/>
        <item x="532"/>
        <item x="531"/>
        <item x="530"/>
        <item x="529"/>
        <item x="526"/>
        <item x="525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76"/>
        <item x="475"/>
        <item x="467"/>
        <item x="466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38"/>
        <item x="437"/>
        <item x="436"/>
        <item x="435"/>
        <item x="434"/>
        <item x="433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3"/>
        <item x="412"/>
        <item x="411"/>
        <item x="410"/>
        <item x="409"/>
        <item x="408"/>
        <item x="407"/>
        <item x="406"/>
        <item x="402"/>
        <item x="401"/>
        <item x="400"/>
        <item x="399"/>
        <item x="395"/>
        <item x="394"/>
        <item x="393"/>
        <item x="392"/>
        <item x="391"/>
        <item x="390"/>
        <item x="377"/>
        <item x="376"/>
        <item x="375"/>
        <item x="372"/>
        <item x="371"/>
        <item x="370"/>
        <item x="632"/>
        <item x="631"/>
        <item x="620"/>
        <item x="619"/>
        <item x="618"/>
        <item x="617"/>
        <item x="536"/>
        <item x="535"/>
        <item x="534"/>
        <item x="461"/>
        <item x="369"/>
        <item x="368"/>
        <item x="367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7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3" type="button" dataOnly="0" labelOnly="1" outline="0"/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00FF4-2AD8-4CA2-9384-CA70EB8F0970}" name="TablaDinámica10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47">
    <pivotField showAll="0"/>
    <pivotField showAll="0"/>
    <pivotField showAll="0"/>
    <pivotField dataField="1"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31" type="button" dataOnly="0" labelOnly="1" outline="0" axis="axisRow" fieldPosition="0"/>
    </format>
    <format dxfId="191">
      <pivotArea dataOnly="0" labelOnly="1" fieldPosition="0">
        <references count="1">
          <reference field="31" count="0"/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D0672-0C50-428B-8E73-951B0243936E}" name="TablaDinámica8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8:CG11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q" fld="32" subtotal="count" baseField="32" baseItem="0"/>
  </dataFields>
  <formats count="5"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31" type="button" dataOnly="0" labelOnly="1" outline="0"/>
    </format>
    <format dxfId="196">
      <pivotArea dataOnly="0" labelOnly="1" grandRow="1" outline="0" fieldPosition="0"/>
    </format>
    <format dxfId="1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52E4E-C30C-4273-BB43-D68C4BEF9E3B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780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52"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0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4"/>
  </rowFields>
  <rowItems count="7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 t="grand">
      <x/>
    </i>
  </rowItems>
  <colItems count="1">
    <i/>
  </colItems>
  <dataFields count="1">
    <dataField name="Cuenta de UNIFICADO" fld="44" subtotal="count" baseField="0" baseItem="0"/>
  </dataFields>
  <formats count="5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31" type="button" dataOnly="0" labelOnly="1" outline="0"/>
    </format>
    <format dxfId="201">
      <pivotArea dataOnly="0" labelOnly="1" grandRow="1" outline="0" fieldPosition="0"/>
    </format>
    <format dxfId="2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92740-3266-4D61-8F0E-31DD9D0163C1}" name="TablaDiná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N8:BO14" firstHeaderRow="1" firstDataRow="1" firstDataCol="1"/>
  <pivotFields count="47">
    <pivotField axis="axisRow" dataField="1" showAll="0">
      <items count="6">
        <item sd="0" x="0"/>
        <item sd="0" x="1"/>
        <item sd="0" x="4"/>
        <item sd="0" x="3"/>
        <item sd="0" x="2"/>
        <item t="default" sd="0"/>
      </items>
    </pivotField>
    <pivotField axis="axisRow" showAll="0">
      <items count="605">
        <item x="485"/>
        <item x="484"/>
        <item x="473"/>
        <item x="472"/>
        <item x="471"/>
        <item x="470"/>
        <item x="389"/>
        <item x="388"/>
        <item x="387"/>
        <item x="314"/>
        <item x="222"/>
        <item x="221"/>
        <item x="220"/>
        <item x="594"/>
        <item x="593"/>
        <item x="592"/>
        <item x="591"/>
        <item x="590"/>
        <item x="585"/>
        <item x="584"/>
        <item x="583"/>
        <item x="582"/>
        <item x="581"/>
        <item x="576"/>
        <item x="575"/>
        <item x="574"/>
        <item x="573"/>
        <item x="562"/>
        <item x="561"/>
        <item x="558"/>
        <item x="557"/>
        <item x="552"/>
        <item x="551"/>
        <item x="550"/>
        <item x="549"/>
        <item x="537"/>
        <item x="536"/>
        <item x="504"/>
        <item x="503"/>
        <item x="502"/>
        <item x="501"/>
        <item x="500"/>
        <item x="497"/>
        <item x="496"/>
        <item x="483"/>
        <item x="482"/>
        <item x="475"/>
        <item x="474"/>
        <item x="457"/>
        <item x="456"/>
        <item x="451"/>
        <item x="450"/>
        <item x="449"/>
        <item x="448"/>
        <item x="445"/>
        <item x="447"/>
        <item x="446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1"/>
        <item x="380"/>
        <item x="377"/>
        <item x="376"/>
        <item x="375"/>
        <item x="374"/>
        <item x="373"/>
        <item x="372"/>
        <item x="333"/>
        <item x="332"/>
        <item x="331"/>
        <item x="330"/>
        <item x="327"/>
        <item x="326"/>
        <item x="325"/>
        <item x="324"/>
        <item x="323"/>
        <item x="322"/>
        <item x="321"/>
        <item x="318"/>
        <item x="317"/>
        <item x="316"/>
        <item x="315"/>
        <item x="297"/>
        <item x="296"/>
        <item x="295"/>
        <item x="294"/>
        <item x="293"/>
        <item x="292"/>
        <item x="285"/>
        <item x="284"/>
        <item x="283"/>
        <item x="282"/>
        <item x="268"/>
        <item x="267"/>
        <item x="258"/>
        <item x="257"/>
        <item x="256"/>
        <item x="251"/>
        <item x="250"/>
        <item x="249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27"/>
        <item x="226"/>
        <item x="603"/>
        <item x="602"/>
        <item x="601"/>
        <item x="600"/>
        <item x="599"/>
        <item x="598"/>
        <item x="597"/>
        <item x="596"/>
        <item x="595"/>
        <item x="589"/>
        <item x="588"/>
        <item x="587"/>
        <item x="586"/>
        <item x="580"/>
        <item x="579"/>
        <item x="578"/>
        <item x="577"/>
        <item x="572"/>
        <item x="571"/>
        <item x="570"/>
        <item x="569"/>
        <item x="568"/>
        <item x="567"/>
        <item x="566"/>
        <item x="565"/>
        <item x="564"/>
        <item x="563"/>
        <item x="560"/>
        <item x="559"/>
        <item x="556"/>
        <item x="555"/>
        <item x="554"/>
        <item x="553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499"/>
        <item x="498"/>
        <item x="495"/>
        <item x="494"/>
        <item x="493"/>
        <item x="492"/>
        <item x="491"/>
        <item x="490"/>
        <item x="489"/>
        <item x="488"/>
        <item x="487"/>
        <item x="486"/>
        <item x="481"/>
        <item x="480"/>
        <item x="479"/>
        <item x="478"/>
        <item x="477"/>
        <item x="47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5"/>
        <item x="454"/>
        <item x="453"/>
        <item x="452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386"/>
        <item x="385"/>
        <item x="384"/>
        <item x="383"/>
        <item x="382"/>
        <item x="379"/>
        <item x="378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29"/>
        <item x="328"/>
        <item x="320"/>
        <item x="319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1"/>
        <item x="290"/>
        <item x="289"/>
        <item x="288"/>
        <item x="287"/>
        <item x="286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6"/>
        <item x="265"/>
        <item x="264"/>
        <item x="263"/>
        <item x="262"/>
        <item x="261"/>
        <item x="260"/>
        <item x="259"/>
        <item x="255"/>
        <item x="254"/>
        <item x="253"/>
        <item x="252"/>
        <item x="248"/>
        <item x="247"/>
        <item x="246"/>
        <item x="245"/>
        <item x="244"/>
        <item x="243"/>
        <item x="230"/>
        <item x="229"/>
        <item x="228"/>
        <item x="225"/>
        <item x="224"/>
        <item x="223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"/>
        <item x="2"/>
        <item x="3"/>
        <item x="4"/>
        <item x="5"/>
        <item x="6"/>
        <item x="7"/>
        <item x="8"/>
        <item x="9"/>
        <item x="144"/>
        <item x="145"/>
        <item x="10"/>
        <item x="11"/>
        <item x="12"/>
        <item x="146"/>
        <item x="14"/>
        <item x="17"/>
        <item x="18"/>
        <item x="19"/>
        <item x="147"/>
        <item x="30"/>
        <item x="31"/>
        <item x="32"/>
        <item x="33"/>
        <item x="34"/>
        <item x="35"/>
        <item x="36"/>
        <item x="148"/>
        <item x="37"/>
        <item x="38"/>
        <item x="39"/>
        <item x="40"/>
        <item x="149"/>
        <item x="150"/>
        <item x="151"/>
        <item x="152"/>
        <item x="153"/>
        <item x="154"/>
        <item x="155"/>
        <item x="156"/>
        <item x="157"/>
        <item x="158"/>
        <item x="41"/>
        <item x="42"/>
        <item x="43"/>
        <item x="44"/>
        <item x="45"/>
        <item x="46"/>
        <item x="47"/>
        <item x="48"/>
        <item x="49"/>
        <item x="159"/>
        <item x="160"/>
        <item x="161"/>
        <item x="162"/>
        <item x="163"/>
        <item x="50"/>
        <item x="164"/>
        <item x="165"/>
        <item x="166"/>
        <item x="167"/>
        <item x="168"/>
        <item x="169"/>
        <item x="53"/>
        <item x="54"/>
        <item x="55"/>
        <item x="56"/>
        <item x="57"/>
        <item x="58"/>
        <item x="59"/>
        <item x="60"/>
        <item x="61"/>
        <item x="62"/>
        <item x="170"/>
        <item x="171"/>
        <item x="172"/>
        <item x="65"/>
        <item x="66"/>
        <item x="67"/>
        <item x="173"/>
        <item x="68"/>
        <item x="69"/>
        <item x="70"/>
        <item x="13"/>
        <item x="15"/>
        <item x="16"/>
        <item x="20"/>
        <item x="21"/>
        <item x="22"/>
        <item x="23"/>
        <item x="24"/>
        <item x="25"/>
        <item x="26"/>
        <item x="27"/>
        <item x="28"/>
        <item x="29"/>
        <item x="51"/>
        <item x="52"/>
        <item x="63"/>
        <item x="64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0"/>
        <item t="default"/>
      </items>
    </pivotField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" fld="0" subtotal="count" baseField="0" baseItem="0"/>
  </dataFields>
  <formats count="5"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31" type="button" dataOnly="0" labelOnly="1" outline="0"/>
    </format>
    <format dxfId="206">
      <pivotArea dataOnly="0" labelOnly="1" grandRow="1" outline="0" fieldPosition="0"/>
    </format>
    <format dxfId="2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74643-4DBD-4959-B328-50591DD8009E}" name="TablaDinámica9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I8:CJ12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" fld="30" subtotal="count" baseField="0" baseItem="0"/>
  </dataFields>
  <formats count="5"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31" type="button" dataOnly="0" labelOnly="1" outline="0"/>
    </format>
    <format dxfId="211">
      <pivotArea dataOnly="0" labelOnly="1" grandRow="1" outline="0" fieldPosition="0"/>
    </format>
    <format dxfId="2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C4F8-2C12-4E03-B076-52201509F055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Q8:BR12" firstHeaderRow="1" firstDataRow="1" firstDataCol="1"/>
  <pivotFields count="47">
    <pivotField showAll="0"/>
    <pivotField showAll="0"/>
    <pivotField showAll="0"/>
    <pivotField axis="axisRow" dataField="1"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6"/>
    <field x="45"/>
    <field x="3"/>
  </rowFields>
  <rowItems count="4">
    <i>
      <x v="1"/>
    </i>
    <i>
      <x v="2"/>
    </i>
    <i>
      <x v="10"/>
    </i>
    <i t="grand">
      <x/>
    </i>
  </rowItems>
  <colItems count="1">
    <i/>
  </colItems>
  <dataFields count="1">
    <dataField name="q" fld="3" subtotal="count" baseField="0" baseItem="0"/>
  </dataFields>
  <formats count="5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31" type="button" dataOnly="0" labelOnly="1" outline="0"/>
    </format>
    <format dxfId="216">
      <pivotArea dataOnly="0" labelOnly="1" grandRow="1" outline="0" fieldPosition="0"/>
    </format>
    <format dxfId="2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2E86B-395F-4D5F-ADAC-492AB1D60714}" name="TablaDinámica1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1" firstHeaderRow="1" firstDataRow="1" firstDataCol="1"/>
  <pivotFields count="47">
    <pivotField showAll="0"/>
    <pivotField showAll="0"/>
    <pivotField showAll="0"/>
    <pivotField numFmtId="14" showAll="0">
      <items count="36">
        <item x="18"/>
        <item x="19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  <item x="9"/>
        <item x="10"/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total" fld="27" baseField="0" baseItem="0"/>
  </dataFields>
  <formats count="6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31" type="button" dataOnly="0" labelOnly="1" outline="0" axis="axisRow" fieldPosition="0"/>
    </format>
    <format dxfId="222">
      <pivotArea dataOnly="0" labelOnly="1" fieldPosition="0">
        <references count="1">
          <reference field="31" count="0"/>
        </references>
      </pivotArea>
    </format>
    <format dxfId="221">
      <pivotArea dataOnly="0" labelOnly="1" grandRow="1" outline="0" fieldPosition="0"/>
    </format>
    <format dxfId="2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D1F829-A06D-444E-A349-8DC67A9DFD22}" name="Tabla4" displayName="Tabla4" ref="A1:AS791" totalsRowShown="0">
  <autoFilter ref="A1:AS791" xr:uid="{73D1F829-A06D-444E-A349-8DC67A9DFD22}"/>
  <sortState xmlns:xlrd2="http://schemas.microsoft.com/office/spreadsheetml/2017/richdata2" ref="A2:AS791">
    <sortCondition ref="AB1:AB791"/>
  </sortState>
  <tableColumns count="45">
    <tableColumn id="1" xr3:uid="{B76CFB61-E59C-4BD9-9ACE-12E31F301D4D}" name="serie_correlativo"/>
    <tableColumn id="2" xr3:uid="{13D131A1-8BA3-4B46-AC28-C7F313D86458}" name="numero"/>
    <tableColumn id="3" xr3:uid="{65D8B401-FC8D-404B-95CC-F66C13ED7565}" name="nombre_empresa"/>
    <tableColumn id="4" xr3:uid="{DF0693E9-3A8E-4F57-935D-AD6781CE70E1}" name="fecha_de_emision" dataDxfId="107"/>
    <tableColumn id="5" xr3:uid="{35507D93-975C-407F-8CF7-D08AC2682BC8}" name="hora_de_emision" dataDxfId="106"/>
    <tableColumn id="6" xr3:uid="{A267ED61-8307-45D9-91BE-8C17C3A305E1}" name="nom_proveedor"/>
    <tableColumn id="7" xr3:uid="{93CF3804-C570-40B4-B888-D40514799203}" name="cat_proveedor"/>
    <tableColumn id="8" xr3:uid="{68196906-3373-4B70-BE6F-4174C9D65C70}" name="tipo_documento"/>
    <tableColumn id="9" xr3:uid="{987B73F9-DB97-4BD4-9F36-A2CE43FCA2BB}" name="doc_proveedor"/>
    <tableColumn id="10" xr3:uid="{794C1707-E828-4683-AAC4-182D6449D1B2}" name="items"/>
    <tableColumn id="11" xr3:uid="{4EAD5C3A-0082-4E8D-B8AA-39D59623FC54}" name="factura.fecha_emision" dataDxfId="105"/>
    <tableColumn id="12" xr3:uid="{06DE795C-77F4-45D8-9B27-F310B9B8BD3E}" name="factura.cliente"/>
    <tableColumn id="13" xr3:uid="{9B8B687B-A561-41DF-B406-82315C27BCB7}" name="factura.id_cliente"/>
    <tableColumn id="14" xr3:uid="{A4D02F2A-A780-4E10-A003-4387893912F7}" name="factura.total"/>
    <tableColumn id="15" xr3:uid="{5F8D12CE-9CFB-4CC9-98A5-A85946B9D37A}" name="factura.moneda"/>
    <tableColumn id="16" xr3:uid="{F3B615C2-0788-4EDF-B104-7AE3ECA457B3}" name="factura.estado"/>
    <tableColumn id="17" xr3:uid="{5E59B5C3-D397-4917-9860-FF2A497F5B96}" name="item.id_producto"/>
    <tableColumn id="18" xr3:uid="{05AF8241-ECAF-4F8B-92D7-F0539085B2C7}" name="item.codigo_producto"/>
    <tableColumn id="19" xr3:uid="{AC2CB992-2C2F-436B-9C7C-C9D2B2F508C7}" name="item.nom_producto" dataDxfId="234"/>
    <tableColumn id="20" xr3:uid="{54AC830F-19DF-4CE1-B2FA-50B2CF46DB97}" name="item.categoria_producto"/>
    <tableColumn id="21" xr3:uid="{8110F58F-F35A-48A9-A387-A258B2E14A5C}" name="item.cantidad"/>
    <tableColumn id="22" xr3:uid="{A0CB8363-3939-47E6-B857-6C6C6EC952BF}" name="item.valor_unitario"/>
    <tableColumn id="23" xr3:uid="{94B7B7B4-AAF7-41C9-BF39-5840F99717C2}" name="item.precio_unitario"/>
    <tableColumn id="24" xr3:uid="{E95845A3-F4C0-4D42-9A26-3791E8980424}" name="item.descuento"/>
    <tableColumn id="25" xr3:uid="{EF855DB3-325C-4DAB-B139-11429A90F982}" name="item.subtotal"/>
    <tableColumn id="26" xr3:uid="{D61EC9AE-A820-4F0F-832B-A9C39AF33DE5}" name="item.porcentaje_de_igv"/>
    <tableColumn id="27" xr3:uid="{F8665FCA-23CA-4445-A7A0-A5A7E979788E}" name="item.igv"/>
    <tableColumn id="28" xr3:uid="{C3A19F62-B907-4482-8EA8-66CEE302FB68}" name="item.total"/>
    <tableColumn id="29" xr3:uid="{8E85290E-53C8-45CF-8A36-7E23FCACAF57}" name="item.moneda"/>
    <tableColumn id="30" xr3:uid="{A7D10F08-4E5A-4D33-8F9C-477C93240170}" name="item.tipo_de_cambio"/>
    <tableColumn id="31" xr3:uid="{59F49EDA-2CEE-4CB1-9767-A86148625707}" name="item.id_estado"/>
    <tableColumn id="32" xr3:uid="{CA256135-D843-40FE-A01D-63977BC5324F}" name="item.nombre_estado"/>
    <tableColumn id="33" xr3:uid="{CFBA7973-A2DA-4827-BB53-4397BEED9654}" name="item.id_vendedor"/>
    <tableColumn id="34" xr3:uid="{9C4D706B-E615-452E-BA71-CEDEF54783E9}" name="item.nom_vendedor"/>
    <tableColumn id="35" xr3:uid="{A745193D-4B5D-48C3-AAAF-861D5528EB48}" name="item.id_cuenta_analitica"/>
    <tableColumn id="36" xr3:uid="{E7C87B46-FDC9-485D-82DE-2E3EE441A89E}" name="item.nom_cuenta_analitica"/>
    <tableColumn id="37" xr3:uid="{585AFEA8-88B7-4E3F-A7B6-41E557505E52}" name="item.distribucion_analitica"/>
    <tableColumn id="38" xr3:uid="{8A1A1E9B-56B6-4470-AC36-97A57196FBAC}" name="item.evento.id_evento"/>
    <tableColumn id="39" xr3:uid="{7B6144CA-36E4-4E72-9672-5F5ADD113A42}" name="item.evento.nom_evento"/>
    <tableColumn id="40" xr3:uid="{AEEE7178-C67B-4DC1-BFD2-F748498C57DD}" name="item.evento.fecha_hora_ini_event"/>
    <tableColumn id="41" xr3:uid="{1D75C81B-80BC-402E-9B47-2F96EB2B09C0}" name="item.evento.fecha_hora_fin_event"/>
    <tableColumn id="42" xr3:uid="{A79B30CD-6EE9-454E-AA77-04E5327957B9}" name="item.evento.id_organizador"/>
    <tableColumn id="43" xr3:uid="{A84CD511-96F5-485B-BBD6-C4838846EAA1}" name="item.evento.nom_organizador"/>
    <tableColumn id="44" xr3:uid="{6DFD567A-4111-41C4-812A-DB769AA5130F}" name="item.evento.tipo_organizador"/>
    <tableColumn id="45" xr3:uid="{E792A310-AE2B-4458-BF2F-6AF82B10DC08}" name="UNIFICADO">
      <calculatedColumnFormula>+CONCATENATE(A2,"-",B2)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2AFC2-573E-4549-922F-28EC1FA96D56}" name="Tabla1" displayName="Tabla1" ref="A3:AS6" totalsRowShown="0">
  <autoFilter ref="A3:AS6" xr:uid="{F792AFC2-573E-4549-922F-28EC1FA96D56}"/>
  <tableColumns count="45">
    <tableColumn id="1" xr3:uid="{D1276704-1EF0-491B-81E5-DD8BF229935D}" name="serie_correlativo"/>
    <tableColumn id="2" xr3:uid="{0CB472E3-9FE6-42A6-8051-081E65931894}" name="numero"/>
    <tableColumn id="3" xr3:uid="{5FB4B6CE-0E32-447D-A969-1D6276F77823}" name="nombre_empresa"/>
    <tableColumn id="4" xr3:uid="{82A7C7E2-5155-4E7A-B79E-7875E65F0447}" name="fecha_de_emision" dataDxfId="233"/>
    <tableColumn id="5" xr3:uid="{2E22642F-ABF9-4E3F-9464-679D6B4E6B14}" name="hora_de_emision" dataDxfId="232"/>
    <tableColumn id="6" xr3:uid="{C6B8CF47-0744-44A1-A8F1-7D9787DC146E}" name="nom_proveedor"/>
    <tableColumn id="7" xr3:uid="{030D4BD7-D994-4C3C-9BC7-83C67C8AE163}" name="cat_proveedor"/>
    <tableColumn id="8" xr3:uid="{FF5F0EFE-4A90-4CA4-A00A-B25096B1917D}" name="tipo_documento"/>
    <tableColumn id="9" xr3:uid="{5EAE06F9-44E5-4623-AE28-1C11BE21B68F}" name="doc_proveedor"/>
    <tableColumn id="10" xr3:uid="{12C23F9A-4442-434C-A949-649C49F21F5A}" name="items"/>
    <tableColumn id="11" xr3:uid="{287E6336-4290-40C4-B700-43F8BB31A764}" name="factura.fecha_emision" dataDxfId="231"/>
    <tableColumn id="12" xr3:uid="{B7D825A2-874C-4D94-B843-859ABE75B21F}" name="factura.cliente"/>
    <tableColumn id="13" xr3:uid="{1FB4964A-7332-434C-9081-93E2D3F80C94}" name="factura.id_cliente"/>
    <tableColumn id="14" xr3:uid="{45C2D0A5-C3ED-4F2A-BCAE-78F947030B3D}" name="factura.total"/>
    <tableColumn id="15" xr3:uid="{E7A4B564-A30B-4BC1-9A4F-F35C8DECDBE1}" name="factura.moneda"/>
    <tableColumn id="16" xr3:uid="{1C4FA4CC-1BFD-4A0A-81F1-69B265EB8305}" name="factura.estado"/>
    <tableColumn id="17" xr3:uid="{9534932B-210C-4DB8-9E10-88004023E991}" name="item.id_producto"/>
    <tableColumn id="18" xr3:uid="{80FD0F18-DE24-4D47-A94D-76DF1868D7EC}" name="item.codigo_producto"/>
    <tableColumn id="19" xr3:uid="{C387E2F9-2E67-40FF-BF10-B5F1E04A5D57}" name="item.nom_producto"/>
    <tableColumn id="20" xr3:uid="{A6A15BFF-E03C-4E20-BE17-49C734CC3B60}" name="item.categoria_producto"/>
    <tableColumn id="21" xr3:uid="{ABEB75CB-EC06-4317-A850-F4BECDFE1B98}" name="item.cantidad"/>
    <tableColumn id="22" xr3:uid="{B2EFE65B-A1CA-4131-8940-53713ED9788F}" name="item.valor_unitario"/>
    <tableColumn id="23" xr3:uid="{53625959-E01A-447C-B405-B4B005190BF0}" name="item.precio_unitario"/>
    <tableColumn id="24" xr3:uid="{295BD49C-821B-45E1-AB12-C121DFDCD85E}" name="item.descuento"/>
    <tableColumn id="25" xr3:uid="{85872867-37D2-4440-B7CE-E7B1113606EA}" name="item.subtotal"/>
    <tableColumn id="26" xr3:uid="{AD291407-9B2F-4C81-83E6-66742BE8489D}" name="item.porcentaje_de_igv"/>
    <tableColumn id="27" xr3:uid="{FC7CBE47-7DF4-4BF0-A92D-BB295027A83B}" name="item.igv"/>
    <tableColumn id="28" xr3:uid="{2FFED5C7-943C-471D-ACAD-9C266864CCA9}" name="item.total"/>
    <tableColumn id="29" xr3:uid="{33406770-6A6B-4576-BA19-E9E9D8DD0D14}" name="item.moneda"/>
    <tableColumn id="30" xr3:uid="{1F49873C-A29A-4FDE-884D-41A8CDB8838A}" name="item.tipo_de_cambio"/>
    <tableColumn id="31" xr3:uid="{6B07375E-32CE-4BF5-83FA-BD7B47F47125}" name="item.id_estado"/>
    <tableColumn id="32" xr3:uid="{7D508187-0107-4524-8E38-8826CCFE8CE3}" name="item.nombre_estado"/>
    <tableColumn id="33" xr3:uid="{88495E5F-6072-441A-B578-28DB0D3DB749}" name="item.id_vendedor"/>
    <tableColumn id="34" xr3:uid="{73F0B386-1F10-4638-9211-8F00DD8E530F}" name="item.nom_vendedor"/>
    <tableColumn id="35" xr3:uid="{27F1F577-BBB3-47DC-B110-605CD8609896}" name="item.id_cuenta_analitica"/>
    <tableColumn id="36" xr3:uid="{F500DAB1-28A8-466C-8F81-490EDAC21E02}" name="item.nom_cuenta_analitica"/>
    <tableColumn id="37" xr3:uid="{5698467F-8723-43DE-ADBE-0DFFE07BC235}" name="item.distribucion_analitica"/>
    <tableColumn id="38" xr3:uid="{7D52DAA4-1688-4328-A369-362E4738206F}" name="item.evento.id_evento"/>
    <tableColumn id="39" xr3:uid="{94AC448A-67D1-4CC9-81F3-3478203D7E96}" name="item.evento.nom_evento"/>
    <tableColumn id="40" xr3:uid="{48B9465E-21B0-4888-9E47-6ABB92885A6D}" name="item.evento.Fecha_hora_ini_event"/>
    <tableColumn id="41" xr3:uid="{5ECF00CF-1D46-410E-A8EF-4D4AF6EF8782}" name="item.evento.Fecha_hora_fin_event"/>
    <tableColumn id="42" xr3:uid="{540BEAC6-4034-4D77-8F92-FA4D5610E46B}" name="item.evento.id_organizador"/>
    <tableColumn id="43" xr3:uid="{00C527BB-9995-4DFB-99E7-19DC44A5D7C8}" name="item.evento.nom_organizador"/>
    <tableColumn id="44" xr3:uid="{6466F782-D228-41B3-AFCA-8447622CBD56}" name="item.evento.tipo_organizador"/>
    <tableColumn id="45" xr3:uid="{790BA2AB-94D2-46C3-B1DE-420E23871DC5}" name="UNIFIC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9C049-863F-42A4-9D83-EFF71601984B}" name="Tabla2" displayName="Tabla2" ref="A3:AS5" totalsRowShown="0">
  <autoFilter ref="A3:AS5" xr:uid="{EE49C049-863F-42A4-9D83-EFF71601984B}"/>
  <tableColumns count="45">
    <tableColumn id="1" xr3:uid="{CAE80A53-0EC6-490C-B6B7-037C69A3C954}" name="serie_correlativo"/>
    <tableColumn id="2" xr3:uid="{6505705F-1338-4C8B-B634-28F382D83A72}" name="numero"/>
    <tableColumn id="3" xr3:uid="{B1D70D71-8D3B-4EB8-927D-4FC824D31CA8}" name="nombre_empresa"/>
    <tableColumn id="4" xr3:uid="{FB4690C2-0FB8-4C33-98D0-133AA955C2B6}" name="fecha_de_emision" dataDxfId="230"/>
    <tableColumn id="5" xr3:uid="{1F9C7FC0-DFD8-4026-9A9E-4660C5243FF1}" name="hora_de_emision" dataDxfId="229"/>
    <tableColumn id="6" xr3:uid="{FCBFC475-97D1-4DB5-931D-7C8FB31BE578}" name="nom_proveedor"/>
    <tableColumn id="7" xr3:uid="{7AB6D124-807D-4C91-9D0A-8B0A9A539893}" name="cat_proveedor"/>
    <tableColumn id="8" xr3:uid="{AA63C727-D4FE-4A56-B2E9-7B55BF1B1985}" name="tipo_documento"/>
    <tableColumn id="9" xr3:uid="{C41755F2-E0EE-4589-9E48-656FC0F8B677}" name="doc_proveedor"/>
    <tableColumn id="10" xr3:uid="{3884B8B4-E5A7-4E52-B26C-57B3580148D3}" name="items"/>
    <tableColumn id="11" xr3:uid="{334DB6A5-141A-446B-AC10-39005E9A5D69}" name="factura.fecha_emision" dataDxfId="228"/>
    <tableColumn id="12" xr3:uid="{CA8F30BE-55C4-4873-9AD8-CEE766607736}" name="factura.cliente"/>
    <tableColumn id="13" xr3:uid="{F8C7438C-4467-4007-B649-A431F68A35B2}" name="factura.id_cliente"/>
    <tableColumn id="14" xr3:uid="{B7D8EDF1-B147-4FA9-80FE-A27253B9105F}" name="factura.total"/>
    <tableColumn id="15" xr3:uid="{11DF8557-BE79-4175-BB68-1CD668922535}" name="factura.moneda"/>
    <tableColumn id="16" xr3:uid="{4F90B5AF-4CC9-499C-A42C-3D5577E744DB}" name="factura.estado"/>
    <tableColumn id="17" xr3:uid="{C3340F9E-04C4-4516-AB15-087E00DE729A}" name="item.id_producto"/>
    <tableColumn id="18" xr3:uid="{65822C7A-59CD-4729-B8C3-2F981DDCB56D}" name="item.codigo_producto"/>
    <tableColumn id="19" xr3:uid="{59AFA9C7-4F41-4695-B6AC-BD155CFB6030}" name="item.nom_producto"/>
    <tableColumn id="20" xr3:uid="{469C2B36-5049-4032-936D-2972566A7312}" name="item.categoria_producto"/>
    <tableColumn id="21" xr3:uid="{F7E28CDE-98F9-4B71-8D62-01EA34A6C8F5}" name="item.cantidad"/>
    <tableColumn id="22" xr3:uid="{66712E5D-C2EB-48BA-9747-4F5B108A681A}" name="item.valor_unitario"/>
    <tableColumn id="23" xr3:uid="{24F86BBB-75CC-4BF0-9DB8-FF72F0EB89EC}" name="item.precio_unitario"/>
    <tableColumn id="24" xr3:uid="{F16389D2-42BC-4D7B-B204-FBBC1C1B89B9}" name="item.descuento"/>
    <tableColumn id="25" xr3:uid="{738D96B0-0A28-43B7-B049-52F641C84A9D}" name="item.subtotal"/>
    <tableColumn id="26" xr3:uid="{22FFCE49-EBE8-46FF-A826-0E7C36ADFEDF}" name="item.porcentaje_de_igv"/>
    <tableColumn id="27" xr3:uid="{A47AA950-4B88-4C6E-8564-1D60DAB08081}" name="item.igv"/>
    <tableColumn id="28" xr3:uid="{74DD1918-B1BB-415F-BE78-1B1687DE75FC}" name="item.total"/>
    <tableColumn id="29" xr3:uid="{FB19DB73-4A5A-41B9-A92A-34CCD46DAF43}" name="item.moneda"/>
    <tableColumn id="30" xr3:uid="{BE0FD133-15FF-4672-BA64-90545C23607C}" name="item.tipo_de_cambio"/>
    <tableColumn id="31" xr3:uid="{2B118F17-ACCA-4714-A1A4-4910E47E1F36}" name="item.id_estado"/>
    <tableColumn id="32" xr3:uid="{9E58FC2E-7F5B-4580-8657-41810B304A53}" name="item.nombre_estado"/>
    <tableColumn id="33" xr3:uid="{A401DC09-8DB4-4785-B05E-3FA7961312BA}" name="item.id_vendedor"/>
    <tableColumn id="34" xr3:uid="{682FDBF7-928C-437C-A570-487BA636C074}" name="item.nom_vendedor"/>
    <tableColumn id="35" xr3:uid="{FD1E29B9-05EF-4663-ACCE-A74371E482EF}" name="item.id_cuenta_analitica"/>
    <tableColumn id="36" xr3:uid="{625F9AE8-BCA0-4062-9B1B-93CA247D3109}" name="item.nom_cuenta_analitica"/>
    <tableColumn id="37" xr3:uid="{5502619C-6476-44AD-BA4F-C1A116161666}" name="item.distribucion_analitica"/>
    <tableColumn id="38" xr3:uid="{B40D0A84-A6E1-4868-9399-4255EBCA5A5E}" name="item.evento.id_evento"/>
    <tableColumn id="39" xr3:uid="{D375C5EF-6EFC-4030-8EB6-95FCA013649C}" name="item.evento.nom_evento"/>
    <tableColumn id="40" xr3:uid="{42DDEFA3-205D-4EC3-B789-498235108F4C}" name="item.evento.Fecha_hora_ini_event" dataDxfId="227"/>
    <tableColumn id="41" xr3:uid="{B84E5518-5FD1-41C3-B0CF-65D544920896}" name="item.evento.Fecha_hora_fin_event" dataDxfId="226"/>
    <tableColumn id="42" xr3:uid="{58DFD8D3-C4ED-4BE0-88D7-F124CF81B8D7}" name="item.evento.id_organizador"/>
    <tableColumn id="43" xr3:uid="{4481442F-3786-43DA-AF3E-7B467598670A}" name="item.evento.nom_organizador"/>
    <tableColumn id="44" xr3:uid="{41BCA597-1287-4711-91C6-D859E33C5D15}" name="item.evento.tipo_organizador"/>
    <tableColumn id="45" xr3:uid="{171B4851-0739-418D-8AC2-E31D079AFB93}" name="UNIFIC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112"/>
    <tableColumn id="4" xr3:uid="{5F3B341F-A6FB-4E9F-BCFA-3DEC14E930A1}" name="hora_de_emision" dataDxfId="111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110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109"/>
    <tableColumn id="40" xr3:uid="{7CFFEA38-7E51-4A50-B8C3-116E7A5B70E1}" name="item.evento.Fecha_hora_fin_event" dataDxfId="108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18" Type="http://schemas.openxmlformats.org/officeDocument/2006/relationships/pivotTable" Target="../pivotTables/pivotTable28.xml"/><Relationship Id="rId3" Type="http://schemas.openxmlformats.org/officeDocument/2006/relationships/pivotTable" Target="../pivotTables/pivotTable13.xml"/><Relationship Id="rId21" Type="http://schemas.openxmlformats.org/officeDocument/2006/relationships/pivotTable" Target="../pivotTables/pivotTable31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17" Type="http://schemas.openxmlformats.org/officeDocument/2006/relationships/pivotTable" Target="../pivotTables/pivotTable27.xml"/><Relationship Id="rId2" Type="http://schemas.openxmlformats.org/officeDocument/2006/relationships/pivotTable" Target="../pivotTables/pivotTable12.xml"/><Relationship Id="rId16" Type="http://schemas.openxmlformats.org/officeDocument/2006/relationships/pivotTable" Target="../pivotTables/pivotTable26.xml"/><Relationship Id="rId20" Type="http://schemas.openxmlformats.org/officeDocument/2006/relationships/pivotTable" Target="../pivotTables/pivotTable30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pivotTable" Target="../pivotTables/pivotTable25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20.xml"/><Relationship Id="rId19" Type="http://schemas.openxmlformats.org/officeDocument/2006/relationships/pivotTable" Target="../pivotTables/pivotTable29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Relationship Id="rId22" Type="http://schemas.openxmlformats.org/officeDocument/2006/relationships/pivotTable" Target="../pivotTables/pivotTable3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8"/>
  <sheetViews>
    <sheetView topLeftCell="Z422" workbookViewId="0">
      <selection activeCell="E9" sqref="E8:E9"/>
    </sheetView>
  </sheetViews>
  <sheetFormatPr baseColWidth="10" defaultColWidth="9.140625" defaultRowHeight="15" customHeight="1"/>
  <cols>
    <col min="1" max="1" width="24.28515625" bestFit="1" customWidth="1"/>
    <col min="2" max="2" width="22.7109375" bestFit="1" customWidth="1"/>
    <col min="3" max="3" width="40.140625" bestFit="1" customWidth="1"/>
    <col min="4" max="4" width="17.85546875" bestFit="1" customWidth="1"/>
    <col min="5" max="5" width="50.7109375" bestFit="1" customWidth="1"/>
    <col min="6" max="6" width="17.7109375" bestFit="1" customWidth="1"/>
    <col min="7" max="7" width="10.42578125" bestFit="1" customWidth="1"/>
    <col min="8" max="8" width="22.85546875" bestFit="1" customWidth="1"/>
    <col min="9" max="9" width="9.285156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0.710937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173.85546875" bestFit="1" customWidth="1"/>
    <col min="26" max="26" width="10.42578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style="8" bestFit="1" customWidth="1"/>
  </cols>
  <sheetData>
    <row r="1" spans="1:37" ht="15" customHeight="1">
      <c r="A1" s="1" t="s">
        <v>261</v>
      </c>
      <c r="B1" s="1" t="s">
        <v>1</v>
      </c>
      <c r="C1" s="1" t="s">
        <v>103</v>
      </c>
      <c r="D1" s="1" t="s">
        <v>262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41</v>
      </c>
      <c r="AJ1" s="5" t="s">
        <v>46</v>
      </c>
      <c r="AK1" s="7" t="s">
        <v>55</v>
      </c>
    </row>
    <row r="2" spans="1:37" ht="15" customHeight="1">
      <c r="A2" s="2" t="s">
        <v>263</v>
      </c>
      <c r="B2" s="2">
        <v>3100</v>
      </c>
      <c r="C2" s="2" t="s">
        <v>264</v>
      </c>
      <c r="D2" s="2" t="s">
        <v>265</v>
      </c>
      <c r="E2" s="2" t="s">
        <v>266</v>
      </c>
      <c r="F2" s="3">
        <v>45945</v>
      </c>
      <c r="G2" s="3">
        <v>45945</v>
      </c>
      <c r="H2" s="3">
        <v>45945</v>
      </c>
      <c r="I2" s="2"/>
      <c r="J2" s="2"/>
      <c r="K2" s="2" t="s">
        <v>25</v>
      </c>
      <c r="L2" s="2" t="s">
        <v>26</v>
      </c>
      <c r="M2" s="2"/>
      <c r="N2" s="2" t="s">
        <v>27</v>
      </c>
      <c r="O2" s="2">
        <v>12.2</v>
      </c>
      <c r="P2" s="2">
        <v>2.2000000000000002</v>
      </c>
      <c r="Q2" s="2">
        <v>14.4</v>
      </c>
      <c r="R2" s="2">
        <v>14.4</v>
      </c>
      <c r="S2" s="2"/>
      <c r="T2" s="2" t="s">
        <v>28</v>
      </c>
      <c r="U2" s="2" t="b">
        <v>0</v>
      </c>
      <c r="V2" s="2" t="s">
        <v>267</v>
      </c>
      <c r="W2" s="2" t="s">
        <v>30</v>
      </c>
      <c r="X2" s="2"/>
      <c r="Y2" s="2"/>
      <c r="Z2" s="2" t="s">
        <v>31</v>
      </c>
      <c r="AA2" s="2"/>
      <c r="AB2" s="2"/>
      <c r="AC2" s="2"/>
      <c r="AD2" s="2"/>
      <c r="AK2" s="8">
        <f t="shared" ref="AK2:AK37" si="0">+IF(AE2&lt;&gt;"",AE2,F2)</f>
        <v>45945</v>
      </c>
    </row>
    <row r="3" spans="1:37" ht="15" customHeight="1">
      <c r="A3" s="2" t="s">
        <v>268</v>
      </c>
      <c r="B3" s="2">
        <v>3100</v>
      </c>
      <c r="C3" s="2" t="s">
        <v>264</v>
      </c>
      <c r="D3" s="2" t="s">
        <v>265</v>
      </c>
      <c r="E3" s="2" t="s">
        <v>266</v>
      </c>
      <c r="F3" s="3">
        <v>45945</v>
      </c>
      <c r="G3" s="3">
        <v>45945</v>
      </c>
      <c r="H3" s="3">
        <v>45945</v>
      </c>
      <c r="I3" s="2"/>
      <c r="J3" s="2"/>
      <c r="K3" s="2" t="s">
        <v>25</v>
      </c>
      <c r="L3" s="2" t="s">
        <v>26</v>
      </c>
      <c r="M3" s="2"/>
      <c r="N3" s="2" t="s">
        <v>27</v>
      </c>
      <c r="O3" s="2">
        <v>41.14</v>
      </c>
      <c r="P3" s="2">
        <v>7.41</v>
      </c>
      <c r="Q3" s="2">
        <v>48.55</v>
      </c>
      <c r="R3" s="2">
        <v>48.55</v>
      </c>
      <c r="S3" s="2">
        <v>48.55</v>
      </c>
      <c r="T3" s="2" t="s">
        <v>28</v>
      </c>
      <c r="U3" s="2" t="b">
        <v>0</v>
      </c>
      <c r="V3" s="2" t="s">
        <v>29</v>
      </c>
      <c r="W3" s="2" t="s">
        <v>30</v>
      </c>
      <c r="X3" s="2"/>
      <c r="Y3" s="2"/>
      <c r="Z3" s="2" t="s">
        <v>31</v>
      </c>
      <c r="AA3" s="2"/>
      <c r="AB3" s="2"/>
      <c r="AC3" s="2"/>
      <c r="AD3" s="2"/>
      <c r="AK3" s="8">
        <f t="shared" si="0"/>
        <v>45945</v>
      </c>
    </row>
    <row r="4" spans="1:37" ht="15" customHeight="1">
      <c r="A4" s="2" t="s">
        <v>269</v>
      </c>
      <c r="B4" s="2">
        <v>3066</v>
      </c>
      <c r="C4" s="2" t="s">
        <v>270</v>
      </c>
      <c r="D4" s="2" t="s">
        <v>265</v>
      </c>
      <c r="E4" s="2" t="s">
        <v>271</v>
      </c>
      <c r="F4" s="3">
        <v>45945</v>
      </c>
      <c r="G4" s="3">
        <v>45945</v>
      </c>
      <c r="H4" s="3">
        <v>45945</v>
      </c>
      <c r="I4" s="2"/>
      <c r="J4" s="2"/>
      <c r="K4" s="2" t="s">
        <v>25</v>
      </c>
      <c r="L4" s="2" t="s">
        <v>26</v>
      </c>
      <c r="M4" s="2"/>
      <c r="N4" s="2" t="s">
        <v>27</v>
      </c>
      <c r="O4" s="2">
        <v>2701</v>
      </c>
      <c r="P4" s="2">
        <v>486.18</v>
      </c>
      <c r="Q4" s="2">
        <v>3187.18</v>
      </c>
      <c r="R4" s="2">
        <v>3187.18</v>
      </c>
      <c r="S4" s="2">
        <v>3187.18</v>
      </c>
      <c r="T4" s="2" t="s">
        <v>28</v>
      </c>
      <c r="U4" s="2" t="b">
        <v>0</v>
      </c>
      <c r="V4" s="2" t="s">
        <v>29</v>
      </c>
      <c r="W4" s="2" t="s">
        <v>30</v>
      </c>
      <c r="X4" s="2"/>
      <c r="Y4" s="2"/>
      <c r="Z4" s="2" t="s">
        <v>31</v>
      </c>
      <c r="AA4" s="2"/>
      <c r="AB4" s="2"/>
      <c r="AC4" s="2"/>
      <c r="AD4" s="2"/>
      <c r="AK4" s="8">
        <f t="shared" si="0"/>
        <v>45945</v>
      </c>
    </row>
    <row r="5" spans="1:37" ht="15" customHeight="1">
      <c r="A5" s="2" t="s">
        <v>272</v>
      </c>
      <c r="B5" s="2">
        <v>3066</v>
      </c>
      <c r="C5" s="2" t="s">
        <v>270</v>
      </c>
      <c r="D5" s="2" t="s">
        <v>265</v>
      </c>
      <c r="E5" s="2" t="s">
        <v>271</v>
      </c>
      <c r="F5" s="3">
        <v>45945</v>
      </c>
      <c r="G5" s="3">
        <v>45945</v>
      </c>
      <c r="H5" s="3">
        <v>45945</v>
      </c>
      <c r="I5" s="2"/>
      <c r="J5" s="2"/>
      <c r="K5" s="2" t="s">
        <v>25</v>
      </c>
      <c r="L5" s="2" t="s">
        <v>26</v>
      </c>
      <c r="M5" s="2"/>
      <c r="N5" s="2" t="s">
        <v>27</v>
      </c>
      <c r="O5" s="2">
        <v>100</v>
      </c>
      <c r="P5" s="2">
        <v>18</v>
      </c>
      <c r="Q5" s="2">
        <v>118</v>
      </c>
      <c r="R5" s="2">
        <v>118</v>
      </c>
      <c r="S5" s="2">
        <v>118</v>
      </c>
      <c r="T5" s="2" t="s">
        <v>28</v>
      </c>
      <c r="U5" s="2" t="b">
        <v>0</v>
      </c>
      <c r="V5" s="2" t="s">
        <v>29</v>
      </c>
      <c r="W5" s="2" t="s">
        <v>30</v>
      </c>
      <c r="X5" s="2"/>
      <c r="Y5" s="2"/>
      <c r="Z5" s="2" t="s">
        <v>31</v>
      </c>
      <c r="AA5" s="2"/>
      <c r="AB5" s="2"/>
      <c r="AC5" s="2"/>
      <c r="AD5" s="2"/>
      <c r="AK5" s="8">
        <f t="shared" si="0"/>
        <v>45945</v>
      </c>
    </row>
    <row r="6" spans="1:37" ht="15" customHeight="1">
      <c r="A6" s="2" t="s">
        <v>273</v>
      </c>
      <c r="B6" s="2">
        <v>3066</v>
      </c>
      <c r="C6" s="2" t="s">
        <v>270</v>
      </c>
      <c r="D6" s="2" t="s">
        <v>265</v>
      </c>
      <c r="E6" s="2" t="s">
        <v>271</v>
      </c>
      <c r="F6" s="3">
        <v>45945</v>
      </c>
      <c r="G6" s="3">
        <v>45945</v>
      </c>
      <c r="H6" s="3">
        <v>45945</v>
      </c>
      <c r="I6" s="2"/>
      <c r="J6" s="2"/>
      <c r="K6" s="2" t="s">
        <v>25</v>
      </c>
      <c r="L6" s="2" t="s">
        <v>26</v>
      </c>
      <c r="M6" s="2"/>
      <c r="N6" s="2" t="s">
        <v>27</v>
      </c>
      <c r="O6" s="2">
        <v>1688.56</v>
      </c>
      <c r="P6" s="2">
        <v>303.94</v>
      </c>
      <c r="Q6" s="2">
        <v>1992.5</v>
      </c>
      <c r="R6" s="2">
        <v>1992.5</v>
      </c>
      <c r="S6" s="2">
        <v>1992.5</v>
      </c>
      <c r="T6" s="2" t="s">
        <v>28</v>
      </c>
      <c r="U6" s="2" t="b">
        <v>0</v>
      </c>
      <c r="V6" s="2" t="s">
        <v>29</v>
      </c>
      <c r="W6" s="2" t="s">
        <v>30</v>
      </c>
      <c r="X6" s="2"/>
      <c r="Y6" s="2"/>
      <c r="Z6" s="2" t="s">
        <v>31</v>
      </c>
      <c r="AA6" s="2"/>
      <c r="AB6" s="2"/>
      <c r="AC6" s="2"/>
      <c r="AD6" s="2"/>
      <c r="AK6" s="8">
        <f t="shared" si="0"/>
        <v>45945</v>
      </c>
    </row>
    <row r="7" spans="1:37" ht="15" customHeight="1">
      <c r="A7" s="2" t="s">
        <v>274</v>
      </c>
      <c r="B7" s="2">
        <v>3066</v>
      </c>
      <c r="C7" s="2" t="s">
        <v>270</v>
      </c>
      <c r="D7" s="2" t="s">
        <v>265</v>
      </c>
      <c r="E7" s="2" t="s">
        <v>271</v>
      </c>
      <c r="F7" s="3">
        <v>45945</v>
      </c>
      <c r="G7" s="3">
        <v>45945</v>
      </c>
      <c r="H7" s="3">
        <v>45945</v>
      </c>
      <c r="I7" s="2"/>
      <c r="J7" s="2"/>
      <c r="K7" s="2" t="s">
        <v>25</v>
      </c>
      <c r="L7" s="2" t="s">
        <v>26</v>
      </c>
      <c r="M7" s="2"/>
      <c r="N7" s="2" t="s">
        <v>27</v>
      </c>
      <c r="O7" s="2">
        <v>1340.25</v>
      </c>
      <c r="P7" s="2">
        <v>241.25</v>
      </c>
      <c r="Q7" s="2">
        <v>1581.5</v>
      </c>
      <c r="R7" s="2">
        <v>1581.5</v>
      </c>
      <c r="S7" s="2">
        <v>1581.5</v>
      </c>
      <c r="T7" s="2" t="s">
        <v>28</v>
      </c>
      <c r="U7" s="2" t="b">
        <v>0</v>
      </c>
      <c r="V7" s="2" t="s">
        <v>29</v>
      </c>
      <c r="W7" s="2" t="s">
        <v>30</v>
      </c>
      <c r="X7" s="2"/>
      <c r="Y7" s="2"/>
      <c r="Z7" s="2" t="s">
        <v>31</v>
      </c>
      <c r="AA7" s="2"/>
      <c r="AB7" s="2"/>
      <c r="AC7" s="2"/>
      <c r="AD7" s="2"/>
      <c r="AK7" s="8">
        <f t="shared" si="0"/>
        <v>45945</v>
      </c>
    </row>
    <row r="8" spans="1:37" ht="15" customHeight="1">
      <c r="A8" s="2" t="s">
        <v>275</v>
      </c>
      <c r="B8" s="2">
        <v>3029</v>
      </c>
      <c r="C8" s="2" t="s">
        <v>276</v>
      </c>
      <c r="D8" s="2" t="s">
        <v>265</v>
      </c>
      <c r="E8" s="2" t="s">
        <v>277</v>
      </c>
      <c r="F8" s="3">
        <v>45945</v>
      </c>
      <c r="G8" s="3">
        <v>45945</v>
      </c>
      <c r="H8" s="3">
        <v>45945</v>
      </c>
      <c r="I8" s="2"/>
      <c r="J8" s="2"/>
      <c r="K8" s="2" t="s">
        <v>25</v>
      </c>
      <c r="L8" s="2" t="s">
        <v>26</v>
      </c>
      <c r="M8" s="2"/>
      <c r="N8" s="2" t="s">
        <v>27</v>
      </c>
      <c r="O8" s="2">
        <v>25.93</v>
      </c>
      <c r="P8" s="2">
        <v>4.67</v>
      </c>
      <c r="Q8" s="2">
        <v>30.6</v>
      </c>
      <c r="R8" s="2">
        <v>30.6</v>
      </c>
      <c r="S8" s="2">
        <v>30.6</v>
      </c>
      <c r="T8" s="2" t="s">
        <v>28</v>
      </c>
      <c r="U8" s="2" t="b">
        <v>0</v>
      </c>
      <c r="V8" s="2" t="s">
        <v>29</v>
      </c>
      <c r="W8" s="2" t="s">
        <v>30</v>
      </c>
      <c r="X8" s="2"/>
      <c r="Y8" s="2"/>
      <c r="Z8" s="2" t="s">
        <v>31</v>
      </c>
      <c r="AA8" s="2"/>
      <c r="AB8" s="2"/>
      <c r="AC8" s="2"/>
      <c r="AD8" s="2"/>
      <c r="AK8" s="8">
        <f t="shared" si="0"/>
        <v>45945</v>
      </c>
    </row>
    <row r="9" spans="1:37" ht="15" customHeight="1">
      <c r="A9" s="2" t="s">
        <v>278</v>
      </c>
      <c r="B9" s="2">
        <v>3029</v>
      </c>
      <c r="C9" s="2" t="s">
        <v>276</v>
      </c>
      <c r="D9" s="2" t="s">
        <v>265</v>
      </c>
      <c r="E9" s="2" t="s">
        <v>277</v>
      </c>
      <c r="F9" s="3">
        <v>45945</v>
      </c>
      <c r="G9" s="3">
        <v>45945</v>
      </c>
      <c r="H9" s="3">
        <v>45945</v>
      </c>
      <c r="I9" s="2"/>
      <c r="J9" s="2"/>
      <c r="K9" s="2" t="s">
        <v>25</v>
      </c>
      <c r="L9" s="2" t="s">
        <v>26</v>
      </c>
      <c r="M9" s="2"/>
      <c r="N9" s="2" t="s">
        <v>27</v>
      </c>
      <c r="O9" s="2">
        <v>18.309999999999999</v>
      </c>
      <c r="P9" s="2">
        <v>3.3</v>
      </c>
      <c r="Q9" s="2">
        <v>21.61</v>
      </c>
      <c r="R9" s="2">
        <v>21.61</v>
      </c>
      <c r="S9" s="2">
        <v>21.61</v>
      </c>
      <c r="T9" s="2" t="s">
        <v>28</v>
      </c>
      <c r="U9" s="2" t="b">
        <v>0</v>
      </c>
      <c r="V9" s="2" t="s">
        <v>29</v>
      </c>
      <c r="W9" s="2" t="s">
        <v>30</v>
      </c>
      <c r="X9" s="2"/>
      <c r="Y9" s="2"/>
      <c r="Z9" s="2" t="s">
        <v>31</v>
      </c>
      <c r="AA9" s="2"/>
      <c r="AB9" s="2"/>
      <c r="AC9" s="2"/>
      <c r="AD9" s="2"/>
      <c r="AK9" s="8">
        <f t="shared" si="0"/>
        <v>45945</v>
      </c>
    </row>
    <row r="10" spans="1:37" ht="15" customHeight="1">
      <c r="A10" s="2" t="s">
        <v>279</v>
      </c>
      <c r="B10" s="2">
        <v>3030</v>
      </c>
      <c r="C10" s="2" t="s">
        <v>280</v>
      </c>
      <c r="D10" s="2" t="s">
        <v>265</v>
      </c>
      <c r="E10" s="2" t="s">
        <v>281</v>
      </c>
      <c r="F10" s="3">
        <v>45945</v>
      </c>
      <c r="G10" s="3">
        <v>45945</v>
      </c>
      <c r="H10" s="3">
        <v>45945</v>
      </c>
      <c r="I10" s="2"/>
      <c r="J10" s="2"/>
      <c r="K10" s="2" t="s">
        <v>25</v>
      </c>
      <c r="L10" s="2" t="s">
        <v>26</v>
      </c>
      <c r="M10" s="2"/>
      <c r="N10" s="2" t="s">
        <v>27</v>
      </c>
      <c r="O10" s="2">
        <v>63</v>
      </c>
      <c r="P10" s="2">
        <v>11.34</v>
      </c>
      <c r="Q10" s="2">
        <v>74.34</v>
      </c>
      <c r="R10" s="2">
        <v>74.34</v>
      </c>
      <c r="S10" s="2">
        <v>74.34</v>
      </c>
      <c r="T10" s="2" t="s">
        <v>28</v>
      </c>
      <c r="U10" s="2" t="b">
        <v>0</v>
      </c>
      <c r="V10" s="2" t="s">
        <v>29</v>
      </c>
      <c r="W10" s="2" t="s">
        <v>30</v>
      </c>
      <c r="X10" s="2"/>
      <c r="Y10" s="2"/>
      <c r="Z10" s="2" t="s">
        <v>31</v>
      </c>
      <c r="AA10" s="2"/>
      <c r="AB10" s="2"/>
      <c r="AC10" s="2"/>
      <c r="AD10" s="2"/>
      <c r="AK10" s="8">
        <f t="shared" si="0"/>
        <v>45945</v>
      </c>
    </row>
    <row r="11" spans="1:37" ht="15" customHeight="1">
      <c r="A11" s="2" t="s">
        <v>282</v>
      </c>
      <c r="B11" s="2">
        <v>3030</v>
      </c>
      <c r="C11" s="2" t="s">
        <v>280</v>
      </c>
      <c r="D11" s="2" t="s">
        <v>265</v>
      </c>
      <c r="E11" s="2" t="s">
        <v>281</v>
      </c>
      <c r="F11" s="3">
        <v>45945</v>
      </c>
      <c r="G11" s="3">
        <v>45945</v>
      </c>
      <c r="H11" s="3">
        <v>45945</v>
      </c>
      <c r="I11" s="2"/>
      <c r="J11" s="2"/>
      <c r="K11" s="2" t="s">
        <v>25</v>
      </c>
      <c r="L11" s="2" t="s">
        <v>26</v>
      </c>
      <c r="M11" s="2"/>
      <c r="N11" s="2" t="s">
        <v>27</v>
      </c>
      <c r="O11" s="2">
        <v>300</v>
      </c>
      <c r="P11" s="2">
        <v>54</v>
      </c>
      <c r="Q11" s="2">
        <v>354</v>
      </c>
      <c r="R11" s="2">
        <v>354</v>
      </c>
      <c r="S11" s="2">
        <v>354</v>
      </c>
      <c r="T11" s="2" t="s">
        <v>28</v>
      </c>
      <c r="U11" s="2" t="b">
        <v>0</v>
      </c>
      <c r="V11" s="2" t="s">
        <v>29</v>
      </c>
      <c r="W11" s="2" t="s">
        <v>30</v>
      </c>
      <c r="X11" s="2"/>
      <c r="Y11" s="2"/>
      <c r="Z11" s="2" t="s">
        <v>31</v>
      </c>
      <c r="AA11" s="2"/>
      <c r="AB11" s="2"/>
      <c r="AC11" s="2"/>
      <c r="AD11" s="2"/>
      <c r="AK11" s="8">
        <f t="shared" si="0"/>
        <v>45945</v>
      </c>
    </row>
    <row r="12" spans="1:37" ht="15" customHeight="1">
      <c r="A12" s="2" t="s">
        <v>283</v>
      </c>
      <c r="B12" s="2">
        <v>3030</v>
      </c>
      <c r="C12" s="2" t="s">
        <v>280</v>
      </c>
      <c r="D12" s="2" t="s">
        <v>265</v>
      </c>
      <c r="E12" s="2" t="s">
        <v>281</v>
      </c>
      <c r="F12" s="3">
        <v>45945</v>
      </c>
      <c r="G12" s="3">
        <v>45945</v>
      </c>
      <c r="H12" s="3">
        <v>45945</v>
      </c>
      <c r="I12" s="2"/>
      <c r="J12" s="2"/>
      <c r="K12" s="2" t="s">
        <v>25</v>
      </c>
      <c r="L12" s="2" t="s">
        <v>26</v>
      </c>
      <c r="M12" s="2"/>
      <c r="N12" s="2" t="s">
        <v>27</v>
      </c>
      <c r="O12" s="2">
        <v>785.59</v>
      </c>
      <c r="P12" s="2">
        <v>141.41</v>
      </c>
      <c r="Q12" s="2">
        <v>927</v>
      </c>
      <c r="R12" s="2">
        <v>927</v>
      </c>
      <c r="S12" s="2">
        <v>927</v>
      </c>
      <c r="T12" s="2" t="s">
        <v>28</v>
      </c>
      <c r="U12" s="2" t="b">
        <v>0</v>
      </c>
      <c r="V12" s="2" t="s">
        <v>29</v>
      </c>
      <c r="W12" s="2" t="s">
        <v>30</v>
      </c>
      <c r="X12" s="2"/>
      <c r="Y12" s="2"/>
      <c r="Z12" s="2" t="s">
        <v>31</v>
      </c>
      <c r="AA12" s="2"/>
      <c r="AB12" s="2"/>
      <c r="AC12" s="2"/>
      <c r="AD12" s="2"/>
      <c r="AK12" s="8">
        <f t="shared" si="0"/>
        <v>45945</v>
      </c>
    </row>
    <row r="13" spans="1:37" ht="15" customHeight="1">
      <c r="A13" s="2" t="s">
        <v>284</v>
      </c>
      <c r="B13" s="2">
        <v>3030</v>
      </c>
      <c r="C13" s="2" t="s">
        <v>280</v>
      </c>
      <c r="D13" s="2" t="s">
        <v>265</v>
      </c>
      <c r="E13" s="2" t="s">
        <v>281</v>
      </c>
      <c r="F13" s="3">
        <v>45945</v>
      </c>
      <c r="G13" s="3">
        <v>45945</v>
      </c>
      <c r="H13" s="3">
        <v>45945</v>
      </c>
      <c r="I13" s="2"/>
      <c r="J13" s="2"/>
      <c r="K13" s="2" t="s">
        <v>25</v>
      </c>
      <c r="L13" s="2" t="s">
        <v>26</v>
      </c>
      <c r="M13" s="2"/>
      <c r="N13" s="2" t="s">
        <v>27</v>
      </c>
      <c r="O13" s="2">
        <v>943.14</v>
      </c>
      <c r="P13" s="2">
        <v>169.77</v>
      </c>
      <c r="Q13" s="2">
        <v>1112.9100000000001</v>
      </c>
      <c r="R13" s="2">
        <v>1112.9100000000001</v>
      </c>
      <c r="S13" s="2">
        <v>1112.9100000000001</v>
      </c>
      <c r="T13" s="2" t="s">
        <v>28</v>
      </c>
      <c r="U13" s="2" t="b">
        <v>0</v>
      </c>
      <c r="V13" s="2" t="s">
        <v>29</v>
      </c>
      <c r="W13" s="2" t="s">
        <v>30</v>
      </c>
      <c r="X13" s="2"/>
      <c r="Y13" s="2"/>
      <c r="Z13" s="2" t="s">
        <v>31</v>
      </c>
      <c r="AA13" s="2"/>
      <c r="AB13" s="2"/>
      <c r="AC13" s="2"/>
      <c r="AD13" s="2"/>
      <c r="AK13" s="8">
        <f t="shared" si="0"/>
        <v>45945</v>
      </c>
    </row>
    <row r="14" spans="1:37" ht="15" customHeight="1">
      <c r="A14" s="2" t="s">
        <v>285</v>
      </c>
      <c r="B14" s="2">
        <v>2953</v>
      </c>
      <c r="C14" s="2" t="s">
        <v>286</v>
      </c>
      <c r="D14" s="2" t="s">
        <v>265</v>
      </c>
      <c r="E14" s="2" t="s">
        <v>287</v>
      </c>
      <c r="F14" s="3">
        <v>45945</v>
      </c>
      <c r="G14" s="3">
        <v>45945</v>
      </c>
      <c r="H14" s="3">
        <v>45945</v>
      </c>
      <c r="I14" s="2"/>
      <c r="J14" s="2"/>
      <c r="K14" s="2" t="s">
        <v>25</v>
      </c>
      <c r="L14" s="2" t="s">
        <v>26</v>
      </c>
      <c r="M14" s="2"/>
      <c r="N14" s="2" t="s">
        <v>27</v>
      </c>
      <c r="O14" s="2">
        <v>30</v>
      </c>
      <c r="P14" s="2">
        <v>5.4</v>
      </c>
      <c r="Q14" s="2">
        <v>35.4</v>
      </c>
      <c r="R14" s="2">
        <v>35.4</v>
      </c>
      <c r="S14" s="2">
        <v>35.4</v>
      </c>
      <c r="T14" s="2" t="s">
        <v>28</v>
      </c>
      <c r="U14" s="2" t="b">
        <v>0</v>
      </c>
      <c r="V14" s="2" t="s">
        <v>29</v>
      </c>
      <c r="W14" s="2" t="s">
        <v>30</v>
      </c>
      <c r="X14" s="2"/>
      <c r="Y14" s="2"/>
      <c r="Z14" s="2" t="s">
        <v>31</v>
      </c>
      <c r="AA14" s="2"/>
      <c r="AB14" s="2"/>
      <c r="AC14" s="2"/>
      <c r="AD14" s="2"/>
      <c r="AK14" s="8">
        <f t="shared" si="0"/>
        <v>45945</v>
      </c>
    </row>
    <row r="15" spans="1:37" ht="15" customHeight="1">
      <c r="A15" s="2" t="s">
        <v>288</v>
      </c>
      <c r="B15" s="2">
        <v>2953</v>
      </c>
      <c r="C15" s="2" t="s">
        <v>286</v>
      </c>
      <c r="D15" s="2" t="s">
        <v>265</v>
      </c>
      <c r="E15" s="2" t="s">
        <v>287</v>
      </c>
      <c r="F15" s="3">
        <v>45945</v>
      </c>
      <c r="G15" s="3">
        <v>45945</v>
      </c>
      <c r="H15" s="3">
        <v>45945</v>
      </c>
      <c r="I15" s="2"/>
      <c r="J15" s="2"/>
      <c r="K15" s="2" t="s">
        <v>25</v>
      </c>
      <c r="L15" s="2" t="s">
        <v>26</v>
      </c>
      <c r="M15" s="2"/>
      <c r="N15" s="2" t="s">
        <v>27</v>
      </c>
      <c r="O15" s="2">
        <v>6</v>
      </c>
      <c r="P15" s="2">
        <v>1.08</v>
      </c>
      <c r="Q15" s="2">
        <v>7.08</v>
      </c>
      <c r="R15" s="2">
        <v>7.08</v>
      </c>
      <c r="S15" s="2">
        <v>7.08</v>
      </c>
      <c r="T15" s="2" t="s">
        <v>28</v>
      </c>
      <c r="U15" s="2" t="b">
        <v>0</v>
      </c>
      <c r="V15" s="2" t="s">
        <v>29</v>
      </c>
      <c r="W15" s="2" t="s">
        <v>30</v>
      </c>
      <c r="X15" s="2"/>
      <c r="Y15" s="2"/>
      <c r="Z15" s="2" t="s">
        <v>31</v>
      </c>
      <c r="AA15" s="2"/>
      <c r="AB15" s="2"/>
      <c r="AC15" s="2"/>
      <c r="AD15" s="2"/>
      <c r="AK15" s="8">
        <f t="shared" si="0"/>
        <v>45945</v>
      </c>
    </row>
    <row r="16" spans="1:37" ht="15" customHeight="1">
      <c r="A16" s="2" t="s">
        <v>289</v>
      </c>
      <c r="B16" s="2">
        <v>2953</v>
      </c>
      <c r="C16" s="2" t="s">
        <v>286</v>
      </c>
      <c r="D16" s="2" t="s">
        <v>265</v>
      </c>
      <c r="E16" s="2" t="s">
        <v>287</v>
      </c>
      <c r="F16" s="3">
        <v>45945</v>
      </c>
      <c r="G16" s="3">
        <v>45945</v>
      </c>
      <c r="H16" s="3">
        <v>45945</v>
      </c>
      <c r="I16" s="2"/>
      <c r="J16" s="2"/>
      <c r="K16" s="2" t="s">
        <v>25</v>
      </c>
      <c r="L16" s="2" t="s">
        <v>26</v>
      </c>
      <c r="M16" s="2"/>
      <c r="N16" s="2" t="s">
        <v>27</v>
      </c>
      <c r="O16" s="2">
        <v>2687.46</v>
      </c>
      <c r="P16" s="2">
        <v>483.74</v>
      </c>
      <c r="Q16" s="2">
        <v>3171.2</v>
      </c>
      <c r="R16" s="2">
        <v>3171.2</v>
      </c>
      <c r="S16" s="2">
        <v>3171.2</v>
      </c>
      <c r="T16" s="2" t="s">
        <v>28</v>
      </c>
      <c r="U16" s="2" t="b">
        <v>0</v>
      </c>
      <c r="V16" s="2" t="s">
        <v>29</v>
      </c>
      <c r="W16" s="2" t="s">
        <v>30</v>
      </c>
      <c r="X16" s="2"/>
      <c r="Y16" s="2"/>
      <c r="Z16" s="2" t="s">
        <v>31</v>
      </c>
      <c r="AA16" s="2"/>
      <c r="AB16" s="2"/>
      <c r="AC16" s="2"/>
      <c r="AD16" s="2"/>
      <c r="AK16" s="8">
        <f t="shared" si="0"/>
        <v>45945</v>
      </c>
    </row>
    <row r="17" spans="1:37" ht="15" customHeight="1">
      <c r="A17" s="2" t="s">
        <v>290</v>
      </c>
      <c r="B17" s="2">
        <v>2953</v>
      </c>
      <c r="C17" s="2" t="s">
        <v>286</v>
      </c>
      <c r="D17" s="2" t="s">
        <v>265</v>
      </c>
      <c r="E17" s="2" t="s">
        <v>287</v>
      </c>
      <c r="F17" s="3">
        <v>45945</v>
      </c>
      <c r="G17" s="3">
        <v>45945</v>
      </c>
      <c r="H17" s="3">
        <v>45945</v>
      </c>
      <c r="I17" s="2"/>
      <c r="J17" s="2"/>
      <c r="K17" s="2" t="s">
        <v>25</v>
      </c>
      <c r="L17" s="2" t="s">
        <v>26</v>
      </c>
      <c r="M17" s="2"/>
      <c r="N17" s="2" t="s">
        <v>27</v>
      </c>
      <c r="O17" s="2">
        <v>100</v>
      </c>
      <c r="P17" s="2">
        <v>18</v>
      </c>
      <c r="Q17" s="2">
        <v>118</v>
      </c>
      <c r="R17" s="2">
        <v>118</v>
      </c>
      <c r="S17" s="2">
        <v>118</v>
      </c>
      <c r="T17" s="2" t="s">
        <v>28</v>
      </c>
      <c r="U17" s="2" t="b">
        <v>0</v>
      </c>
      <c r="V17" s="2" t="s">
        <v>29</v>
      </c>
      <c r="W17" s="2" t="s">
        <v>30</v>
      </c>
      <c r="X17" s="2"/>
      <c r="Y17" s="2"/>
      <c r="Z17" s="2" t="s">
        <v>31</v>
      </c>
      <c r="AA17" s="2"/>
      <c r="AB17" s="2"/>
      <c r="AC17" s="2"/>
      <c r="AD17" s="2"/>
      <c r="AK17" s="8">
        <f t="shared" si="0"/>
        <v>45945</v>
      </c>
    </row>
    <row r="18" spans="1:37" ht="15" customHeight="1">
      <c r="A18" s="2" t="s">
        <v>291</v>
      </c>
      <c r="B18" s="2">
        <v>2953</v>
      </c>
      <c r="C18" s="2" t="s">
        <v>286</v>
      </c>
      <c r="D18" s="2" t="s">
        <v>265</v>
      </c>
      <c r="E18" s="2" t="s">
        <v>287</v>
      </c>
      <c r="F18" s="3">
        <v>45945</v>
      </c>
      <c r="G18" s="3">
        <v>45945</v>
      </c>
      <c r="H18" s="3">
        <v>45945</v>
      </c>
      <c r="I18" s="2"/>
      <c r="J18" s="2"/>
      <c r="K18" s="2" t="s">
        <v>25</v>
      </c>
      <c r="L18" s="2" t="s">
        <v>26</v>
      </c>
      <c r="M18" s="2"/>
      <c r="N18" s="2" t="s">
        <v>27</v>
      </c>
      <c r="O18" s="2">
        <v>100</v>
      </c>
      <c r="P18" s="2">
        <v>18</v>
      </c>
      <c r="Q18" s="2">
        <v>118</v>
      </c>
      <c r="R18" s="2">
        <v>118</v>
      </c>
      <c r="S18" s="2">
        <v>118</v>
      </c>
      <c r="T18" s="2" t="s">
        <v>28</v>
      </c>
      <c r="U18" s="2" t="b">
        <v>0</v>
      </c>
      <c r="V18" s="2" t="s">
        <v>29</v>
      </c>
      <c r="W18" s="2" t="s">
        <v>30</v>
      </c>
      <c r="X18" s="2"/>
      <c r="Y18" s="2"/>
      <c r="Z18" s="2" t="s">
        <v>31</v>
      </c>
      <c r="AA18" s="2"/>
      <c r="AB18" s="2"/>
      <c r="AC18" s="2"/>
      <c r="AD18" s="2"/>
      <c r="AK18" s="8">
        <f t="shared" si="0"/>
        <v>45945</v>
      </c>
    </row>
    <row r="19" spans="1:37" ht="15" customHeight="1">
      <c r="A19" s="2" t="s">
        <v>292</v>
      </c>
      <c r="B19" s="2">
        <v>2953</v>
      </c>
      <c r="C19" s="2" t="s">
        <v>286</v>
      </c>
      <c r="D19" s="2" t="s">
        <v>265</v>
      </c>
      <c r="E19" s="2" t="s">
        <v>287</v>
      </c>
      <c r="F19" s="3">
        <v>45945</v>
      </c>
      <c r="G19" s="3">
        <v>45945</v>
      </c>
      <c r="H19" s="3">
        <v>45945</v>
      </c>
      <c r="I19" s="2"/>
      <c r="J19" s="2"/>
      <c r="K19" s="2" t="s">
        <v>25</v>
      </c>
      <c r="L19" s="2" t="s">
        <v>26</v>
      </c>
      <c r="M19" s="2"/>
      <c r="N19" s="2" t="s">
        <v>27</v>
      </c>
      <c r="O19" s="2">
        <v>300</v>
      </c>
      <c r="P19" s="2">
        <v>54</v>
      </c>
      <c r="Q19" s="2">
        <v>354</v>
      </c>
      <c r="R19" s="2">
        <v>354</v>
      </c>
      <c r="S19" s="2">
        <v>354</v>
      </c>
      <c r="T19" s="2" t="s">
        <v>28</v>
      </c>
      <c r="U19" s="2" t="b">
        <v>0</v>
      </c>
      <c r="V19" s="2" t="s">
        <v>29</v>
      </c>
      <c r="W19" s="2" t="s">
        <v>30</v>
      </c>
      <c r="X19" s="2"/>
      <c r="Y19" s="2"/>
      <c r="Z19" s="2" t="s">
        <v>31</v>
      </c>
      <c r="AA19" s="2"/>
      <c r="AB19" s="2"/>
      <c r="AC19" s="2"/>
      <c r="AD19" s="2"/>
      <c r="AK19" s="8">
        <f t="shared" si="0"/>
        <v>45945</v>
      </c>
    </row>
    <row r="20" spans="1:37" ht="15" customHeight="1">
      <c r="A20" s="2" t="s">
        <v>293</v>
      </c>
      <c r="B20" s="2">
        <v>2953</v>
      </c>
      <c r="C20" s="2" t="s">
        <v>286</v>
      </c>
      <c r="D20" s="2" t="s">
        <v>265</v>
      </c>
      <c r="E20" s="2" t="s">
        <v>287</v>
      </c>
      <c r="F20" s="3">
        <v>45945</v>
      </c>
      <c r="G20" s="3">
        <v>45945</v>
      </c>
      <c r="H20" s="3">
        <v>45945</v>
      </c>
      <c r="I20" s="2"/>
      <c r="J20" s="2"/>
      <c r="K20" s="2" t="s">
        <v>25</v>
      </c>
      <c r="L20" s="2" t="s">
        <v>26</v>
      </c>
      <c r="M20" s="2"/>
      <c r="N20" s="2" t="s">
        <v>27</v>
      </c>
      <c r="O20" s="2">
        <v>1630.51</v>
      </c>
      <c r="P20" s="2">
        <v>293.49</v>
      </c>
      <c r="Q20" s="2">
        <v>1924</v>
      </c>
      <c r="R20" s="2">
        <v>1924</v>
      </c>
      <c r="S20" s="2">
        <v>1924</v>
      </c>
      <c r="T20" s="2" t="s">
        <v>28</v>
      </c>
      <c r="U20" s="2" t="b">
        <v>0</v>
      </c>
      <c r="V20" s="2" t="s">
        <v>29</v>
      </c>
      <c r="W20" s="2" t="s">
        <v>30</v>
      </c>
      <c r="X20" s="2"/>
      <c r="Y20" s="2"/>
      <c r="Z20" s="2" t="s">
        <v>31</v>
      </c>
      <c r="AA20" s="2"/>
      <c r="AB20" s="2"/>
      <c r="AC20" s="2"/>
      <c r="AD20" s="2"/>
      <c r="AK20" s="8">
        <f t="shared" si="0"/>
        <v>45945</v>
      </c>
    </row>
    <row r="21" spans="1:37" ht="15" customHeight="1">
      <c r="A21" s="2" t="s">
        <v>294</v>
      </c>
      <c r="B21" s="2">
        <v>2953</v>
      </c>
      <c r="C21" s="2" t="s">
        <v>286</v>
      </c>
      <c r="D21" s="2" t="s">
        <v>265</v>
      </c>
      <c r="E21" s="2" t="s">
        <v>287</v>
      </c>
      <c r="F21" s="3">
        <v>45945</v>
      </c>
      <c r="G21" s="3">
        <v>45945</v>
      </c>
      <c r="H21" s="3">
        <v>45945</v>
      </c>
      <c r="I21" s="2"/>
      <c r="J21" s="2"/>
      <c r="K21" s="2" t="s">
        <v>25</v>
      </c>
      <c r="L21" s="2" t="s">
        <v>26</v>
      </c>
      <c r="M21" s="2"/>
      <c r="N21" s="2" t="s">
        <v>27</v>
      </c>
      <c r="O21" s="2">
        <v>988.4</v>
      </c>
      <c r="P21" s="2">
        <v>177.91</v>
      </c>
      <c r="Q21" s="2">
        <v>1166.31</v>
      </c>
      <c r="R21" s="2">
        <v>1166.31</v>
      </c>
      <c r="S21" s="2">
        <v>1166.31</v>
      </c>
      <c r="T21" s="2" t="s">
        <v>28</v>
      </c>
      <c r="U21" s="2" t="b">
        <v>0</v>
      </c>
      <c r="V21" s="2" t="s">
        <v>29</v>
      </c>
      <c r="W21" s="2" t="s">
        <v>30</v>
      </c>
      <c r="X21" s="2"/>
      <c r="Y21" s="2"/>
      <c r="Z21" s="2" t="s">
        <v>31</v>
      </c>
      <c r="AA21" s="2"/>
      <c r="AB21" s="2"/>
      <c r="AC21" s="2"/>
      <c r="AD21" s="2"/>
      <c r="AK21" s="8">
        <f t="shared" si="0"/>
        <v>45945</v>
      </c>
    </row>
    <row r="22" spans="1:37" ht="15" customHeight="1">
      <c r="A22" s="2" t="s">
        <v>295</v>
      </c>
      <c r="B22" s="2">
        <v>2953</v>
      </c>
      <c r="C22" s="2" t="s">
        <v>286</v>
      </c>
      <c r="D22" s="2" t="s">
        <v>265</v>
      </c>
      <c r="E22" s="2" t="s">
        <v>287</v>
      </c>
      <c r="F22" s="3">
        <v>45945</v>
      </c>
      <c r="G22" s="3">
        <v>45945</v>
      </c>
      <c r="H22" s="3">
        <v>45945</v>
      </c>
      <c r="I22" s="2"/>
      <c r="J22" s="2"/>
      <c r="K22" s="2" t="s">
        <v>25</v>
      </c>
      <c r="L22" s="2" t="s">
        <v>26</v>
      </c>
      <c r="M22" s="2"/>
      <c r="N22" s="2" t="s">
        <v>27</v>
      </c>
      <c r="O22" s="2">
        <v>904.65</v>
      </c>
      <c r="P22" s="2">
        <v>162.84</v>
      </c>
      <c r="Q22" s="2">
        <v>1067.49</v>
      </c>
      <c r="R22" s="2">
        <v>1067.49</v>
      </c>
      <c r="S22" s="2">
        <v>1067.49</v>
      </c>
      <c r="T22" s="2" t="s">
        <v>28</v>
      </c>
      <c r="U22" s="2" t="b">
        <v>0</v>
      </c>
      <c r="V22" s="2" t="s">
        <v>29</v>
      </c>
      <c r="W22" s="2" t="s">
        <v>30</v>
      </c>
      <c r="X22" s="2"/>
      <c r="Y22" s="2"/>
      <c r="Z22" s="2" t="s">
        <v>31</v>
      </c>
      <c r="AA22" s="2"/>
      <c r="AB22" s="2"/>
      <c r="AC22" s="2"/>
      <c r="AD22" s="2"/>
      <c r="AK22" s="8">
        <f t="shared" si="0"/>
        <v>45945</v>
      </c>
    </row>
    <row r="23" spans="1:37" ht="15" customHeight="1">
      <c r="A23" s="2" t="s">
        <v>296</v>
      </c>
      <c r="B23" s="2">
        <v>3081</v>
      </c>
      <c r="C23" s="2" t="s">
        <v>297</v>
      </c>
      <c r="D23" s="2" t="s">
        <v>298</v>
      </c>
      <c r="E23" s="2" t="s">
        <v>32</v>
      </c>
      <c r="F23" s="3">
        <v>45945</v>
      </c>
      <c r="G23" s="3">
        <v>45945</v>
      </c>
      <c r="H23" s="3">
        <v>45945</v>
      </c>
      <c r="I23" s="2"/>
      <c r="J23" s="2"/>
      <c r="K23" s="2" t="s">
        <v>25</v>
      </c>
      <c r="L23" s="2" t="s">
        <v>26</v>
      </c>
      <c r="M23" s="2"/>
      <c r="N23" s="2" t="s">
        <v>27</v>
      </c>
      <c r="O23" s="2">
        <v>14.5</v>
      </c>
      <c r="P23" s="2">
        <v>2.61</v>
      </c>
      <c r="Q23" s="2">
        <v>17.11</v>
      </c>
      <c r="R23" s="2">
        <v>17.11</v>
      </c>
      <c r="S23" s="2">
        <v>17.11</v>
      </c>
      <c r="T23" s="2" t="s">
        <v>28</v>
      </c>
      <c r="U23" s="2" t="b">
        <v>0</v>
      </c>
      <c r="V23" s="2" t="s">
        <v>29</v>
      </c>
      <c r="W23" s="2" t="s">
        <v>30</v>
      </c>
      <c r="X23" s="2"/>
      <c r="Y23" s="2"/>
      <c r="Z23" s="2" t="s">
        <v>31</v>
      </c>
      <c r="AA23" s="2"/>
      <c r="AB23" s="2"/>
      <c r="AC23" s="2"/>
      <c r="AD23" s="2"/>
      <c r="AK23" s="8">
        <f t="shared" si="0"/>
        <v>45945</v>
      </c>
    </row>
    <row r="24" spans="1:37" ht="15" customHeight="1">
      <c r="A24" s="2" t="s">
        <v>299</v>
      </c>
      <c r="B24" s="2">
        <v>3081</v>
      </c>
      <c r="C24" s="2" t="s">
        <v>297</v>
      </c>
      <c r="D24" s="2" t="s">
        <v>298</v>
      </c>
      <c r="E24" s="2" t="s">
        <v>32</v>
      </c>
      <c r="F24" s="3">
        <v>45945</v>
      </c>
      <c r="G24" s="3">
        <v>45945</v>
      </c>
      <c r="H24" s="3">
        <v>45945</v>
      </c>
      <c r="I24" s="2"/>
      <c r="J24" s="2"/>
      <c r="K24" s="2" t="s">
        <v>25</v>
      </c>
      <c r="L24" s="2" t="s">
        <v>26</v>
      </c>
      <c r="M24" s="2"/>
      <c r="N24" s="2" t="s">
        <v>27</v>
      </c>
      <c r="O24" s="2">
        <v>84.5</v>
      </c>
      <c r="P24" s="2">
        <v>15.21</v>
      </c>
      <c r="Q24" s="2">
        <v>99.71</v>
      </c>
      <c r="R24" s="2">
        <v>99.71</v>
      </c>
      <c r="S24" s="2">
        <v>99.71</v>
      </c>
      <c r="T24" s="2" t="s">
        <v>28</v>
      </c>
      <c r="U24" s="2" t="b">
        <v>0</v>
      </c>
      <c r="V24" s="2" t="s">
        <v>29</v>
      </c>
      <c r="W24" s="2" t="s">
        <v>30</v>
      </c>
      <c r="X24" s="2"/>
      <c r="Y24" s="2"/>
      <c r="Z24" s="2" t="s">
        <v>31</v>
      </c>
      <c r="AA24" s="2"/>
      <c r="AB24" s="2"/>
      <c r="AC24" s="2"/>
      <c r="AD24" s="2"/>
      <c r="AK24" s="8">
        <f t="shared" si="0"/>
        <v>45945</v>
      </c>
    </row>
    <row r="25" spans="1:37" ht="15" customHeight="1">
      <c r="A25" s="2" t="s">
        <v>300</v>
      </c>
      <c r="B25" s="2">
        <v>3081</v>
      </c>
      <c r="C25" s="2" t="s">
        <v>297</v>
      </c>
      <c r="D25" s="2" t="s">
        <v>298</v>
      </c>
      <c r="E25" s="2" t="s">
        <v>32</v>
      </c>
      <c r="F25" s="3">
        <v>45945</v>
      </c>
      <c r="G25" s="3">
        <v>45945</v>
      </c>
      <c r="H25" s="3">
        <v>45945</v>
      </c>
      <c r="I25" s="2"/>
      <c r="J25" s="2"/>
      <c r="K25" s="2" t="s">
        <v>25</v>
      </c>
      <c r="L25" s="2" t="s">
        <v>26</v>
      </c>
      <c r="M25" s="2"/>
      <c r="N25" s="2" t="s">
        <v>27</v>
      </c>
      <c r="O25" s="2">
        <v>150</v>
      </c>
      <c r="P25" s="2">
        <v>27</v>
      </c>
      <c r="Q25" s="2">
        <v>177</v>
      </c>
      <c r="R25" s="2">
        <v>177</v>
      </c>
      <c r="S25" s="2">
        <v>177</v>
      </c>
      <c r="T25" s="2" t="s">
        <v>28</v>
      </c>
      <c r="U25" s="2" t="b">
        <v>0</v>
      </c>
      <c r="V25" s="2" t="s">
        <v>29</v>
      </c>
      <c r="W25" s="2" t="s">
        <v>30</v>
      </c>
      <c r="X25" s="2"/>
      <c r="Y25" s="2"/>
      <c r="Z25" s="2" t="s">
        <v>31</v>
      </c>
      <c r="AA25" s="2"/>
      <c r="AB25" s="2"/>
      <c r="AC25" s="2"/>
      <c r="AD25" s="2"/>
      <c r="AK25" s="8">
        <f t="shared" si="0"/>
        <v>45945</v>
      </c>
    </row>
    <row r="26" spans="1:37" ht="15" customHeight="1">
      <c r="A26" s="2" t="s">
        <v>301</v>
      </c>
      <c r="B26" s="2">
        <v>3081</v>
      </c>
      <c r="C26" s="2" t="s">
        <v>297</v>
      </c>
      <c r="D26" s="2" t="s">
        <v>298</v>
      </c>
      <c r="E26" s="2" t="s">
        <v>32</v>
      </c>
      <c r="F26" s="3">
        <v>45945</v>
      </c>
      <c r="G26" s="3">
        <v>45945</v>
      </c>
      <c r="H26" s="3">
        <v>45945</v>
      </c>
      <c r="I26" s="2"/>
      <c r="J26" s="2"/>
      <c r="K26" s="2" t="s">
        <v>25</v>
      </c>
      <c r="L26" s="2" t="s">
        <v>26</v>
      </c>
      <c r="M26" s="2"/>
      <c r="N26" s="2" t="s">
        <v>27</v>
      </c>
      <c r="O26" s="2">
        <v>1600</v>
      </c>
      <c r="P26" s="2">
        <v>288</v>
      </c>
      <c r="Q26" s="2">
        <v>1888</v>
      </c>
      <c r="R26" s="2">
        <v>1888</v>
      </c>
      <c r="S26" s="2">
        <v>1888</v>
      </c>
      <c r="T26" s="2" t="s">
        <v>28</v>
      </c>
      <c r="U26" s="2" t="b">
        <v>0</v>
      </c>
      <c r="V26" s="2" t="s">
        <v>29</v>
      </c>
      <c r="W26" s="2" t="s">
        <v>30</v>
      </c>
      <c r="X26" s="2"/>
      <c r="Y26" s="2"/>
      <c r="Z26" s="2" t="s">
        <v>31</v>
      </c>
      <c r="AA26" s="2"/>
      <c r="AB26" s="2"/>
      <c r="AC26" s="2"/>
      <c r="AD26" s="2"/>
      <c r="AK26" s="8">
        <f t="shared" si="0"/>
        <v>45945</v>
      </c>
    </row>
    <row r="27" spans="1:37" ht="15" customHeight="1">
      <c r="A27" s="2" t="s">
        <v>302</v>
      </c>
      <c r="B27" s="2">
        <v>3081</v>
      </c>
      <c r="C27" s="2" t="s">
        <v>297</v>
      </c>
      <c r="D27" s="2" t="s">
        <v>298</v>
      </c>
      <c r="E27" s="2" t="s">
        <v>32</v>
      </c>
      <c r="F27" s="3">
        <v>45945</v>
      </c>
      <c r="G27" s="3">
        <v>45945</v>
      </c>
      <c r="H27" s="3">
        <v>45945</v>
      </c>
      <c r="I27" s="2"/>
      <c r="J27" s="2"/>
      <c r="K27" s="2" t="s">
        <v>25</v>
      </c>
      <c r="L27" s="2" t="s">
        <v>26</v>
      </c>
      <c r="M27" s="2"/>
      <c r="N27" s="2" t="s">
        <v>27</v>
      </c>
      <c r="O27" s="2">
        <v>1000</v>
      </c>
      <c r="P27" s="2">
        <v>180</v>
      </c>
      <c r="Q27" s="2">
        <v>1180</v>
      </c>
      <c r="R27" s="2">
        <v>1180</v>
      </c>
      <c r="S27" s="2">
        <v>1180</v>
      </c>
      <c r="T27" s="2" t="s">
        <v>28</v>
      </c>
      <c r="U27" s="2" t="b">
        <v>0</v>
      </c>
      <c r="V27" s="2" t="s">
        <v>29</v>
      </c>
      <c r="W27" s="2" t="s">
        <v>30</v>
      </c>
      <c r="X27" s="2"/>
      <c r="Y27" s="2"/>
      <c r="Z27" s="2" t="s">
        <v>31</v>
      </c>
      <c r="AA27" s="2"/>
      <c r="AB27" s="2"/>
      <c r="AC27" s="2"/>
      <c r="AD27" s="2"/>
      <c r="AK27" s="8">
        <f t="shared" si="0"/>
        <v>45945</v>
      </c>
    </row>
    <row r="28" spans="1:37" ht="15" customHeight="1">
      <c r="A28" s="2" t="s">
        <v>303</v>
      </c>
      <c r="B28" s="2">
        <v>3081</v>
      </c>
      <c r="C28" s="2" t="s">
        <v>297</v>
      </c>
      <c r="D28" s="2" t="s">
        <v>298</v>
      </c>
      <c r="E28" s="2" t="s">
        <v>32</v>
      </c>
      <c r="F28" s="3">
        <v>45945</v>
      </c>
      <c r="G28" s="3">
        <v>45945</v>
      </c>
      <c r="H28" s="3">
        <v>45945</v>
      </c>
      <c r="I28" s="2"/>
      <c r="J28" s="2"/>
      <c r="K28" s="2" t="s">
        <v>25</v>
      </c>
      <c r="L28" s="2" t="s">
        <v>26</v>
      </c>
      <c r="M28" s="2"/>
      <c r="N28" s="2" t="s">
        <v>27</v>
      </c>
      <c r="O28" s="2">
        <v>6305.08</v>
      </c>
      <c r="P28" s="2">
        <v>1134.9100000000001</v>
      </c>
      <c r="Q28" s="2">
        <v>7439.99</v>
      </c>
      <c r="R28" s="2">
        <v>7439.99</v>
      </c>
      <c r="S28" s="2">
        <v>7439.99</v>
      </c>
      <c r="T28" s="2" t="s">
        <v>28</v>
      </c>
      <c r="U28" s="2" t="b">
        <v>0</v>
      </c>
      <c r="V28" s="2" t="s">
        <v>29</v>
      </c>
      <c r="W28" s="2" t="s">
        <v>30</v>
      </c>
      <c r="X28" s="2"/>
      <c r="Y28" s="2"/>
      <c r="Z28" s="2" t="s">
        <v>31</v>
      </c>
      <c r="AA28" s="2"/>
      <c r="AB28" s="2"/>
      <c r="AC28" s="2"/>
      <c r="AD28" s="2"/>
      <c r="AK28" s="8">
        <f t="shared" si="0"/>
        <v>45945</v>
      </c>
    </row>
    <row r="29" spans="1:37" ht="15" customHeight="1">
      <c r="A29" s="2" t="s">
        <v>304</v>
      </c>
      <c r="B29" s="2">
        <v>3081</v>
      </c>
      <c r="C29" s="2" t="s">
        <v>297</v>
      </c>
      <c r="D29" s="2" t="s">
        <v>298</v>
      </c>
      <c r="E29" s="2" t="s">
        <v>32</v>
      </c>
      <c r="F29" s="3">
        <v>45945</v>
      </c>
      <c r="G29" s="3">
        <v>45945</v>
      </c>
      <c r="H29" s="3">
        <v>45945</v>
      </c>
      <c r="I29" s="2"/>
      <c r="J29" s="2"/>
      <c r="K29" s="2" t="s">
        <v>25</v>
      </c>
      <c r="L29" s="2" t="s">
        <v>26</v>
      </c>
      <c r="M29" s="2"/>
      <c r="N29" s="2" t="s">
        <v>27</v>
      </c>
      <c r="O29" s="2">
        <v>2880.59</v>
      </c>
      <c r="P29" s="2">
        <v>518.51</v>
      </c>
      <c r="Q29" s="2">
        <v>3399.1</v>
      </c>
      <c r="R29" s="2">
        <v>3399.1</v>
      </c>
      <c r="S29" s="2">
        <v>3399.1</v>
      </c>
      <c r="T29" s="2" t="s">
        <v>28</v>
      </c>
      <c r="U29" s="2" t="b">
        <v>0</v>
      </c>
      <c r="V29" s="2" t="s">
        <v>29</v>
      </c>
      <c r="W29" s="2" t="s">
        <v>30</v>
      </c>
      <c r="X29" s="2"/>
      <c r="Y29" s="2"/>
      <c r="Z29" s="2" t="s">
        <v>31</v>
      </c>
      <c r="AA29" s="2"/>
      <c r="AB29" s="2"/>
      <c r="AC29" s="2"/>
      <c r="AD29" s="2"/>
      <c r="AK29" s="8">
        <f t="shared" si="0"/>
        <v>45945</v>
      </c>
    </row>
    <row r="30" spans="1:37" ht="15" customHeight="1">
      <c r="A30" s="2" t="s">
        <v>305</v>
      </c>
      <c r="B30" s="2">
        <v>3188</v>
      </c>
      <c r="C30" s="2" t="s">
        <v>306</v>
      </c>
      <c r="D30" s="2" t="s">
        <v>298</v>
      </c>
      <c r="E30" s="2" t="s">
        <v>307</v>
      </c>
      <c r="F30" s="3">
        <v>45945</v>
      </c>
      <c r="G30" s="3">
        <v>45945</v>
      </c>
      <c r="H30" s="3">
        <v>45945</v>
      </c>
      <c r="I30" s="2"/>
      <c r="J30" s="2"/>
      <c r="K30" s="2" t="s">
        <v>25</v>
      </c>
      <c r="L30" s="2" t="s">
        <v>26</v>
      </c>
      <c r="M30" s="2"/>
      <c r="N30" s="2" t="s">
        <v>27</v>
      </c>
      <c r="O30" s="2">
        <v>369.41</v>
      </c>
      <c r="P30" s="2">
        <v>66.489999999999995</v>
      </c>
      <c r="Q30" s="2">
        <v>435.9</v>
      </c>
      <c r="R30" s="2">
        <v>435.9</v>
      </c>
      <c r="S30" s="2">
        <v>435.9</v>
      </c>
      <c r="T30" s="2" t="s">
        <v>28</v>
      </c>
      <c r="U30" s="2" t="b">
        <v>0</v>
      </c>
      <c r="V30" s="2" t="s">
        <v>29</v>
      </c>
      <c r="W30" s="2" t="s">
        <v>30</v>
      </c>
      <c r="X30" s="2"/>
      <c r="Y30" s="2"/>
      <c r="Z30" s="2" t="s">
        <v>31</v>
      </c>
      <c r="AA30" s="2"/>
      <c r="AB30" s="2"/>
      <c r="AC30" s="2"/>
      <c r="AD30" s="2"/>
      <c r="AK30" s="8">
        <f t="shared" si="0"/>
        <v>45945</v>
      </c>
    </row>
    <row r="31" spans="1:37" ht="15" customHeight="1">
      <c r="A31" s="2" t="s">
        <v>308</v>
      </c>
      <c r="B31" s="2">
        <v>3188</v>
      </c>
      <c r="C31" s="2" t="s">
        <v>306</v>
      </c>
      <c r="D31" s="2" t="s">
        <v>298</v>
      </c>
      <c r="E31" s="2" t="s">
        <v>307</v>
      </c>
      <c r="F31" s="3">
        <v>45945</v>
      </c>
      <c r="G31" s="3">
        <v>45945</v>
      </c>
      <c r="H31" s="3">
        <v>45945</v>
      </c>
      <c r="I31" s="2"/>
      <c r="J31" s="2"/>
      <c r="K31" s="2" t="s">
        <v>25</v>
      </c>
      <c r="L31" s="2" t="s">
        <v>26</v>
      </c>
      <c r="M31" s="2"/>
      <c r="N31" s="2" t="s">
        <v>27</v>
      </c>
      <c r="O31" s="2">
        <v>256.61</v>
      </c>
      <c r="P31" s="2">
        <v>46.19</v>
      </c>
      <c r="Q31" s="2">
        <v>302.8</v>
      </c>
      <c r="R31" s="2">
        <v>302.8</v>
      </c>
      <c r="S31" s="2">
        <v>302.8</v>
      </c>
      <c r="T31" s="2" t="s">
        <v>28</v>
      </c>
      <c r="U31" s="2" t="b">
        <v>0</v>
      </c>
      <c r="V31" s="2" t="s">
        <v>29</v>
      </c>
      <c r="W31" s="2" t="s">
        <v>30</v>
      </c>
      <c r="X31" s="2"/>
      <c r="Y31" s="2"/>
      <c r="Z31" s="2" t="s">
        <v>31</v>
      </c>
      <c r="AA31" s="2"/>
      <c r="AB31" s="2"/>
      <c r="AC31" s="2"/>
      <c r="AD31" s="2"/>
      <c r="AK31" s="8">
        <f t="shared" si="0"/>
        <v>45945</v>
      </c>
    </row>
    <row r="32" spans="1:37" ht="15" customHeight="1">
      <c r="A32" s="2" t="s">
        <v>309</v>
      </c>
      <c r="B32" s="2">
        <v>3051</v>
      </c>
      <c r="C32" s="2" t="s">
        <v>310</v>
      </c>
      <c r="D32" s="2" t="s">
        <v>298</v>
      </c>
      <c r="E32" s="2" t="s">
        <v>32</v>
      </c>
      <c r="F32" s="3">
        <v>45945</v>
      </c>
      <c r="G32" s="3">
        <v>45945</v>
      </c>
      <c r="H32" s="3">
        <v>45945</v>
      </c>
      <c r="I32" s="2"/>
      <c r="J32" s="2"/>
      <c r="K32" s="2" t="s">
        <v>25</v>
      </c>
      <c r="L32" s="2" t="s">
        <v>26</v>
      </c>
      <c r="M32" s="2"/>
      <c r="N32" s="2" t="s">
        <v>27</v>
      </c>
      <c r="O32" s="2">
        <v>33.9</v>
      </c>
      <c r="P32" s="2">
        <v>6.1</v>
      </c>
      <c r="Q32" s="2">
        <v>40</v>
      </c>
      <c r="R32" s="2">
        <v>40</v>
      </c>
      <c r="S32" s="2">
        <v>40</v>
      </c>
      <c r="T32" s="2" t="s">
        <v>28</v>
      </c>
      <c r="U32" s="2" t="b">
        <v>0</v>
      </c>
      <c r="V32" s="2" t="s">
        <v>29</v>
      </c>
      <c r="W32" s="2" t="s">
        <v>30</v>
      </c>
      <c r="X32" s="2"/>
      <c r="Y32" s="2"/>
      <c r="Z32" s="2" t="s">
        <v>31</v>
      </c>
      <c r="AA32" s="2"/>
      <c r="AB32" s="2"/>
      <c r="AC32" s="2"/>
      <c r="AD32" s="2"/>
      <c r="AK32" s="8">
        <f t="shared" si="0"/>
        <v>45945</v>
      </c>
    </row>
    <row r="33" spans="1:37" ht="15" customHeight="1">
      <c r="A33" s="2" t="s">
        <v>311</v>
      </c>
      <c r="B33" s="2">
        <v>3051</v>
      </c>
      <c r="C33" s="2" t="s">
        <v>310</v>
      </c>
      <c r="D33" s="2" t="s">
        <v>298</v>
      </c>
      <c r="E33" s="2" t="s">
        <v>32</v>
      </c>
      <c r="F33" s="3">
        <v>45945</v>
      </c>
      <c r="G33" s="3">
        <v>45945</v>
      </c>
      <c r="H33" s="3">
        <v>45945</v>
      </c>
      <c r="I33" s="2"/>
      <c r="J33" s="2"/>
      <c r="K33" s="2" t="s">
        <v>25</v>
      </c>
      <c r="L33" s="2" t="s">
        <v>26</v>
      </c>
      <c r="M33" s="2"/>
      <c r="N33" s="2" t="s">
        <v>27</v>
      </c>
      <c r="O33" s="2">
        <v>1400</v>
      </c>
      <c r="P33" s="2">
        <v>252</v>
      </c>
      <c r="Q33" s="2">
        <v>1652</v>
      </c>
      <c r="R33" s="2">
        <v>1652</v>
      </c>
      <c r="S33" s="2">
        <v>1652</v>
      </c>
      <c r="T33" s="2" t="s">
        <v>28</v>
      </c>
      <c r="U33" s="2" t="b">
        <v>0</v>
      </c>
      <c r="V33" s="2" t="s">
        <v>29</v>
      </c>
      <c r="W33" s="2" t="s">
        <v>30</v>
      </c>
      <c r="X33" s="2"/>
      <c r="Y33" s="2"/>
      <c r="Z33" s="2" t="s">
        <v>31</v>
      </c>
      <c r="AA33" s="2"/>
      <c r="AB33" s="2"/>
      <c r="AC33" s="2"/>
      <c r="AD33" s="2"/>
      <c r="AK33" s="8">
        <f t="shared" si="0"/>
        <v>45945</v>
      </c>
    </row>
    <row r="34" spans="1:37" ht="15" customHeight="1">
      <c r="A34" s="2" t="s">
        <v>312</v>
      </c>
      <c r="B34" s="2">
        <v>3051</v>
      </c>
      <c r="C34" s="2" t="s">
        <v>310</v>
      </c>
      <c r="D34" s="2" t="s">
        <v>298</v>
      </c>
      <c r="E34" s="2" t="s">
        <v>32</v>
      </c>
      <c r="F34" s="3">
        <v>45945</v>
      </c>
      <c r="G34" s="3">
        <v>45945</v>
      </c>
      <c r="H34" s="3">
        <v>45945</v>
      </c>
      <c r="I34" s="2"/>
      <c r="J34" s="2"/>
      <c r="K34" s="2" t="s">
        <v>25</v>
      </c>
      <c r="L34" s="2" t="s">
        <v>26</v>
      </c>
      <c r="M34" s="2"/>
      <c r="N34" s="2" t="s">
        <v>27</v>
      </c>
      <c r="O34" s="2">
        <v>3741.1</v>
      </c>
      <c r="P34" s="2">
        <v>673.4</v>
      </c>
      <c r="Q34" s="2">
        <v>4414.5</v>
      </c>
      <c r="R34" s="2">
        <v>4414.5</v>
      </c>
      <c r="S34" s="2">
        <v>4414.5</v>
      </c>
      <c r="T34" s="2" t="s">
        <v>28</v>
      </c>
      <c r="U34" s="2" t="b">
        <v>0</v>
      </c>
      <c r="V34" s="2" t="s">
        <v>29</v>
      </c>
      <c r="W34" s="2" t="s">
        <v>30</v>
      </c>
      <c r="X34" s="2"/>
      <c r="Y34" s="2"/>
      <c r="Z34" s="2" t="s">
        <v>31</v>
      </c>
      <c r="AA34" s="2"/>
      <c r="AB34" s="2"/>
      <c r="AC34" s="2"/>
      <c r="AD34" s="2"/>
      <c r="AK34" s="8">
        <f t="shared" si="0"/>
        <v>45945</v>
      </c>
    </row>
    <row r="35" spans="1:37" ht="15" customHeight="1">
      <c r="A35" s="2" t="s">
        <v>313</v>
      </c>
      <c r="B35" s="2">
        <v>3051</v>
      </c>
      <c r="C35" s="2" t="s">
        <v>310</v>
      </c>
      <c r="D35" s="2" t="s">
        <v>298</v>
      </c>
      <c r="E35" s="2" t="s">
        <v>32</v>
      </c>
      <c r="F35" s="3">
        <v>45945</v>
      </c>
      <c r="G35" s="3">
        <v>45945</v>
      </c>
      <c r="H35" s="3">
        <v>45945</v>
      </c>
      <c r="I35" s="2"/>
      <c r="J35" s="2"/>
      <c r="K35" s="2" t="s">
        <v>25</v>
      </c>
      <c r="L35" s="2" t="s">
        <v>26</v>
      </c>
      <c r="M35" s="2"/>
      <c r="N35" s="2" t="s">
        <v>27</v>
      </c>
      <c r="O35" s="2">
        <v>1571.02</v>
      </c>
      <c r="P35" s="2">
        <v>282.77999999999997</v>
      </c>
      <c r="Q35" s="2">
        <v>1853.8</v>
      </c>
      <c r="R35" s="2">
        <v>1853.8</v>
      </c>
      <c r="S35" s="2">
        <v>1853.8</v>
      </c>
      <c r="T35" s="2" t="s">
        <v>28</v>
      </c>
      <c r="U35" s="2" t="b">
        <v>0</v>
      </c>
      <c r="V35" s="2" t="s">
        <v>29</v>
      </c>
      <c r="W35" s="2" t="s">
        <v>30</v>
      </c>
      <c r="X35" s="2"/>
      <c r="Y35" s="2"/>
      <c r="Z35" s="2" t="s">
        <v>31</v>
      </c>
      <c r="AA35" s="2"/>
      <c r="AB35" s="2"/>
      <c r="AC35" s="2"/>
      <c r="AD35" s="2"/>
      <c r="AK35" s="8">
        <f t="shared" si="0"/>
        <v>45945</v>
      </c>
    </row>
    <row r="36" spans="1:37" ht="15" customHeight="1">
      <c r="A36" s="2" t="s">
        <v>314</v>
      </c>
      <c r="B36" s="2">
        <v>2897</v>
      </c>
      <c r="C36" s="2" t="s">
        <v>315</v>
      </c>
      <c r="D36" s="2" t="s">
        <v>298</v>
      </c>
      <c r="E36" s="2" t="s">
        <v>316</v>
      </c>
      <c r="F36" s="3">
        <v>45945</v>
      </c>
      <c r="G36" s="3">
        <v>45945</v>
      </c>
      <c r="H36" s="3">
        <v>45945</v>
      </c>
      <c r="I36" s="2"/>
      <c r="J36" s="2"/>
      <c r="K36" s="2" t="s">
        <v>25</v>
      </c>
      <c r="L36" s="2" t="s">
        <v>26</v>
      </c>
      <c r="M36" s="2"/>
      <c r="N36" s="2" t="s">
        <v>27</v>
      </c>
      <c r="O36" s="2">
        <v>1820</v>
      </c>
      <c r="P36" s="2">
        <v>327.60000000000002</v>
      </c>
      <c r="Q36" s="2">
        <v>2147.6</v>
      </c>
      <c r="R36" s="2">
        <v>2147.6</v>
      </c>
      <c r="S36" s="2">
        <v>2147.6</v>
      </c>
      <c r="T36" s="2" t="s">
        <v>28</v>
      </c>
      <c r="U36" s="2" t="b">
        <v>0</v>
      </c>
      <c r="V36" s="2" t="s">
        <v>29</v>
      </c>
      <c r="W36" s="2" t="s">
        <v>30</v>
      </c>
      <c r="X36" s="2"/>
      <c r="Y36" s="2"/>
      <c r="Z36" s="2" t="s">
        <v>31</v>
      </c>
      <c r="AA36" s="2"/>
      <c r="AB36" s="2"/>
      <c r="AC36" s="2"/>
      <c r="AD36" s="2"/>
      <c r="AK36" s="8">
        <f t="shared" si="0"/>
        <v>45945</v>
      </c>
    </row>
    <row r="37" spans="1:37" ht="15" customHeight="1">
      <c r="A37" s="2" t="s">
        <v>317</v>
      </c>
      <c r="B37" s="2">
        <v>2897</v>
      </c>
      <c r="C37" s="2" t="s">
        <v>315</v>
      </c>
      <c r="D37" s="2" t="s">
        <v>298</v>
      </c>
      <c r="E37" s="2" t="s">
        <v>316</v>
      </c>
      <c r="F37" s="3">
        <v>45945</v>
      </c>
      <c r="G37" s="3">
        <v>45945</v>
      </c>
      <c r="H37" s="3">
        <v>45945</v>
      </c>
      <c r="I37" s="2"/>
      <c r="J37" s="2"/>
      <c r="K37" s="2" t="s">
        <v>25</v>
      </c>
      <c r="L37" s="2" t="s">
        <v>26</v>
      </c>
      <c r="M37" s="2"/>
      <c r="N37" s="2" t="s">
        <v>27</v>
      </c>
      <c r="O37" s="2">
        <v>2213.98</v>
      </c>
      <c r="P37" s="2">
        <v>398.52</v>
      </c>
      <c r="Q37" s="2">
        <v>2612.5</v>
      </c>
      <c r="R37" s="2">
        <v>2612.5</v>
      </c>
      <c r="S37" s="2">
        <v>2612.5</v>
      </c>
      <c r="T37" s="2" t="s">
        <v>28</v>
      </c>
      <c r="U37" s="2" t="b">
        <v>0</v>
      </c>
      <c r="V37" s="2" t="s">
        <v>29</v>
      </c>
      <c r="W37" s="2" t="s">
        <v>30</v>
      </c>
      <c r="X37" s="2"/>
      <c r="Y37" s="2"/>
      <c r="Z37" s="2" t="s">
        <v>31</v>
      </c>
      <c r="AA37" s="2"/>
      <c r="AB37" s="2"/>
      <c r="AC37" s="2"/>
      <c r="AD37" s="2"/>
      <c r="AK37" s="8">
        <f t="shared" si="0"/>
        <v>45945</v>
      </c>
    </row>
    <row r="38" spans="1:37" ht="15" customHeight="1">
      <c r="A38" s="2" t="s">
        <v>318</v>
      </c>
      <c r="B38" s="2">
        <v>2899</v>
      </c>
      <c r="C38" s="2" t="s">
        <v>319</v>
      </c>
      <c r="D38" s="2" t="s">
        <v>298</v>
      </c>
      <c r="E38" s="2" t="s">
        <v>316</v>
      </c>
      <c r="F38" s="3">
        <v>45945</v>
      </c>
      <c r="G38" s="3">
        <v>45945</v>
      </c>
      <c r="H38" s="3">
        <v>45945</v>
      </c>
      <c r="I38" s="2"/>
      <c r="J38" s="2"/>
      <c r="K38" s="2" t="s">
        <v>25</v>
      </c>
      <c r="L38" s="2" t="s">
        <v>26</v>
      </c>
      <c r="M38" s="2"/>
      <c r="N38" s="2" t="s">
        <v>27</v>
      </c>
      <c r="O38" s="2">
        <v>7.5</v>
      </c>
      <c r="P38" s="2">
        <v>1.35</v>
      </c>
      <c r="Q38" s="2">
        <v>8.85</v>
      </c>
      <c r="R38" s="2">
        <v>8.85</v>
      </c>
      <c r="S38" s="2">
        <v>8.85</v>
      </c>
      <c r="T38" s="2" t="s">
        <v>28</v>
      </c>
      <c r="U38" s="2" t="b">
        <v>0</v>
      </c>
      <c r="V38" s="2" t="s">
        <v>29</v>
      </c>
      <c r="W38" s="2" t="s">
        <v>30</v>
      </c>
      <c r="X38" s="2"/>
      <c r="Y38" s="2"/>
      <c r="Z38" s="2" t="s">
        <v>31</v>
      </c>
      <c r="AA38" s="2"/>
      <c r="AB38" s="2"/>
      <c r="AC38" s="2"/>
      <c r="AD38" s="2"/>
    </row>
    <row r="39" spans="1:37" ht="15" customHeight="1">
      <c r="A39" s="2" t="s">
        <v>320</v>
      </c>
      <c r="B39" s="2">
        <v>2899</v>
      </c>
      <c r="C39" s="2" t="s">
        <v>319</v>
      </c>
      <c r="D39" s="2" t="s">
        <v>298</v>
      </c>
      <c r="E39" s="2" t="s">
        <v>316</v>
      </c>
      <c r="F39" s="3">
        <v>45945</v>
      </c>
      <c r="G39" s="3">
        <v>45945</v>
      </c>
      <c r="H39" s="3">
        <v>45945</v>
      </c>
      <c r="I39" s="2"/>
      <c r="J39" s="2"/>
      <c r="K39" s="2" t="s">
        <v>25</v>
      </c>
      <c r="L39" s="2" t="s">
        <v>26</v>
      </c>
      <c r="M39" s="2"/>
      <c r="N39" s="2" t="s">
        <v>27</v>
      </c>
      <c r="O39" s="2">
        <v>1174.24</v>
      </c>
      <c r="P39" s="2">
        <v>211.36</v>
      </c>
      <c r="Q39" s="2">
        <v>1385.6</v>
      </c>
      <c r="R39" s="2">
        <v>1385.6</v>
      </c>
      <c r="S39" s="2">
        <v>1385.6</v>
      </c>
      <c r="T39" s="2" t="s">
        <v>28</v>
      </c>
      <c r="U39" s="2" t="b">
        <v>0</v>
      </c>
      <c r="V39" s="2" t="s">
        <v>29</v>
      </c>
      <c r="W39" s="2" t="s">
        <v>30</v>
      </c>
      <c r="X39" s="2"/>
      <c r="Y39" s="2"/>
      <c r="Z39" s="2" t="s">
        <v>31</v>
      </c>
      <c r="AA39" s="2"/>
      <c r="AB39" s="2"/>
      <c r="AC39" s="2"/>
      <c r="AD39" s="2"/>
      <c r="AK39" s="8">
        <f t="shared" ref="AK39:AK70" si="1">+IF(AE39&lt;&gt;"",AE39,F39)</f>
        <v>45945</v>
      </c>
    </row>
    <row r="40" spans="1:37" ht="15" customHeight="1">
      <c r="A40" s="2" t="s">
        <v>321</v>
      </c>
      <c r="B40" s="2">
        <v>2899</v>
      </c>
      <c r="C40" s="2" t="s">
        <v>319</v>
      </c>
      <c r="D40" s="2" t="s">
        <v>298</v>
      </c>
      <c r="E40" s="2" t="s">
        <v>316</v>
      </c>
      <c r="F40" s="3">
        <v>45945</v>
      </c>
      <c r="G40" s="3">
        <v>45945</v>
      </c>
      <c r="H40" s="3">
        <v>45945</v>
      </c>
      <c r="I40" s="2"/>
      <c r="J40" s="2"/>
      <c r="K40" s="2" t="s">
        <v>25</v>
      </c>
      <c r="L40" s="2" t="s">
        <v>26</v>
      </c>
      <c r="M40" s="2"/>
      <c r="N40" s="2" t="s">
        <v>27</v>
      </c>
      <c r="O40" s="2">
        <v>1463.05</v>
      </c>
      <c r="P40" s="2">
        <v>263.35000000000002</v>
      </c>
      <c r="Q40" s="2">
        <v>1726.4</v>
      </c>
      <c r="R40" s="2">
        <v>1726.4</v>
      </c>
      <c r="S40" s="2">
        <v>1726.4</v>
      </c>
      <c r="T40" s="2" t="s">
        <v>28</v>
      </c>
      <c r="U40" s="2" t="b">
        <v>0</v>
      </c>
      <c r="V40" s="2" t="s">
        <v>29</v>
      </c>
      <c r="W40" s="2" t="s">
        <v>30</v>
      </c>
      <c r="X40" s="2"/>
      <c r="Y40" s="2"/>
      <c r="Z40" s="2" t="s">
        <v>31</v>
      </c>
      <c r="AA40" s="2"/>
      <c r="AB40" s="2"/>
      <c r="AC40" s="2"/>
      <c r="AD40" s="2"/>
      <c r="AK40" s="8">
        <f t="shared" si="1"/>
        <v>45945</v>
      </c>
    </row>
    <row r="41" spans="1:37" ht="15" customHeight="1">
      <c r="A41" s="2" t="s">
        <v>322</v>
      </c>
      <c r="B41" s="2">
        <v>2898</v>
      </c>
      <c r="C41" s="2" t="s">
        <v>323</v>
      </c>
      <c r="D41" s="2" t="s">
        <v>298</v>
      </c>
      <c r="E41" s="2" t="s">
        <v>316</v>
      </c>
      <c r="F41" s="3">
        <v>45945</v>
      </c>
      <c r="G41" s="3">
        <v>45945</v>
      </c>
      <c r="H41" s="3">
        <v>45945</v>
      </c>
      <c r="I41" s="2"/>
      <c r="J41" s="2"/>
      <c r="K41" s="2" t="s">
        <v>25</v>
      </c>
      <c r="L41" s="2" t="s">
        <v>26</v>
      </c>
      <c r="M41" s="2"/>
      <c r="N41" s="2" t="s">
        <v>27</v>
      </c>
      <c r="O41" s="2">
        <v>6</v>
      </c>
      <c r="P41" s="2">
        <v>1.08</v>
      </c>
      <c r="Q41" s="2">
        <v>7.08</v>
      </c>
      <c r="R41" s="2">
        <v>7.08</v>
      </c>
      <c r="S41" s="2">
        <v>7.08</v>
      </c>
      <c r="T41" s="2" t="s">
        <v>28</v>
      </c>
      <c r="U41" s="2" t="b">
        <v>0</v>
      </c>
      <c r="V41" s="2" t="s">
        <v>29</v>
      </c>
      <c r="W41" s="2" t="s">
        <v>30</v>
      </c>
      <c r="X41" s="2"/>
      <c r="Y41" s="2"/>
      <c r="Z41" s="2" t="s">
        <v>31</v>
      </c>
      <c r="AA41" s="2"/>
      <c r="AB41" s="2"/>
      <c r="AC41" s="2"/>
      <c r="AD41" s="2"/>
      <c r="AK41" s="8">
        <f t="shared" si="1"/>
        <v>45945</v>
      </c>
    </row>
    <row r="42" spans="1:37" ht="15" customHeight="1">
      <c r="A42" s="2" t="s">
        <v>324</v>
      </c>
      <c r="B42" s="2">
        <v>2898</v>
      </c>
      <c r="C42" s="2" t="s">
        <v>323</v>
      </c>
      <c r="D42" s="2" t="s">
        <v>298</v>
      </c>
      <c r="E42" s="2" t="s">
        <v>316</v>
      </c>
      <c r="F42" s="3">
        <v>45945</v>
      </c>
      <c r="G42" s="3">
        <v>45945</v>
      </c>
      <c r="H42" s="3">
        <v>45945</v>
      </c>
      <c r="I42" s="2"/>
      <c r="J42" s="2"/>
      <c r="K42" s="2" t="s">
        <v>25</v>
      </c>
      <c r="L42" s="2" t="s">
        <v>26</v>
      </c>
      <c r="M42" s="2"/>
      <c r="N42" s="2" t="s">
        <v>27</v>
      </c>
      <c r="O42" s="2">
        <v>3056.19</v>
      </c>
      <c r="P42" s="2">
        <v>550.11</v>
      </c>
      <c r="Q42" s="2">
        <v>3606.3</v>
      </c>
      <c r="R42" s="2">
        <v>3606.3</v>
      </c>
      <c r="S42" s="2">
        <v>3606.3</v>
      </c>
      <c r="T42" s="2" t="s">
        <v>28</v>
      </c>
      <c r="U42" s="2" t="b">
        <v>0</v>
      </c>
      <c r="V42" s="2" t="s">
        <v>29</v>
      </c>
      <c r="W42" s="2" t="s">
        <v>30</v>
      </c>
      <c r="X42" s="2"/>
      <c r="Y42" s="2"/>
      <c r="Z42" s="2" t="s">
        <v>31</v>
      </c>
      <c r="AA42" s="2"/>
      <c r="AB42" s="2"/>
      <c r="AC42" s="2"/>
      <c r="AD42" s="2"/>
      <c r="AK42" s="8">
        <f t="shared" si="1"/>
        <v>45945</v>
      </c>
    </row>
    <row r="43" spans="1:37" ht="15" customHeight="1">
      <c r="A43" s="2" t="s">
        <v>325</v>
      </c>
      <c r="B43" s="2">
        <v>2898</v>
      </c>
      <c r="C43" s="2" t="s">
        <v>323</v>
      </c>
      <c r="D43" s="2" t="s">
        <v>298</v>
      </c>
      <c r="E43" s="2" t="s">
        <v>316</v>
      </c>
      <c r="F43" s="3">
        <v>45945</v>
      </c>
      <c r="G43" s="3">
        <v>45945</v>
      </c>
      <c r="H43" s="3">
        <v>45945</v>
      </c>
      <c r="I43" s="2"/>
      <c r="J43" s="2"/>
      <c r="K43" s="2" t="s">
        <v>25</v>
      </c>
      <c r="L43" s="2" t="s">
        <v>26</v>
      </c>
      <c r="M43" s="2"/>
      <c r="N43" s="2" t="s">
        <v>27</v>
      </c>
      <c r="O43" s="2">
        <v>3740.42</v>
      </c>
      <c r="P43" s="2">
        <v>673.28</v>
      </c>
      <c r="Q43" s="2">
        <v>4413.7</v>
      </c>
      <c r="R43" s="2">
        <v>4413.7</v>
      </c>
      <c r="S43" s="2">
        <v>4413.7</v>
      </c>
      <c r="T43" s="2" t="s">
        <v>28</v>
      </c>
      <c r="U43" s="2" t="b">
        <v>0</v>
      </c>
      <c r="V43" s="2" t="s">
        <v>29</v>
      </c>
      <c r="W43" s="2" t="s">
        <v>30</v>
      </c>
      <c r="X43" s="2"/>
      <c r="Y43" s="2"/>
      <c r="Z43" s="2" t="s">
        <v>31</v>
      </c>
      <c r="AA43" s="2"/>
      <c r="AB43" s="2"/>
      <c r="AC43" s="2"/>
      <c r="AD43" s="2"/>
      <c r="AK43" s="8">
        <f t="shared" si="1"/>
        <v>45945</v>
      </c>
    </row>
    <row r="44" spans="1:37" ht="15" customHeight="1">
      <c r="A44" s="2" t="s">
        <v>326</v>
      </c>
      <c r="B44" s="2">
        <v>3094</v>
      </c>
      <c r="C44" s="2" t="s">
        <v>327</v>
      </c>
      <c r="D44" s="2" t="s">
        <v>298</v>
      </c>
      <c r="E44" s="2" t="s">
        <v>328</v>
      </c>
      <c r="F44" s="3">
        <v>45945</v>
      </c>
      <c r="G44" s="3">
        <v>45945</v>
      </c>
      <c r="H44" s="3">
        <v>45945</v>
      </c>
      <c r="I44" s="2"/>
      <c r="J44" s="2"/>
      <c r="K44" s="2" t="s">
        <v>25</v>
      </c>
      <c r="L44" s="2" t="s">
        <v>26</v>
      </c>
      <c r="M44" s="2"/>
      <c r="N44" s="2" t="s">
        <v>27</v>
      </c>
      <c r="O44" s="2">
        <v>1934.24</v>
      </c>
      <c r="P44" s="2">
        <v>348.16</v>
      </c>
      <c r="Q44" s="2">
        <v>2282.4</v>
      </c>
      <c r="R44" s="2">
        <v>2282.4</v>
      </c>
      <c r="S44" s="2">
        <v>2282.4</v>
      </c>
      <c r="T44" s="2" t="s">
        <v>28</v>
      </c>
      <c r="U44" s="2" t="b">
        <v>0</v>
      </c>
      <c r="V44" s="2" t="s">
        <v>29</v>
      </c>
      <c r="W44" s="2" t="s">
        <v>30</v>
      </c>
      <c r="X44" s="2"/>
      <c r="Y44" s="2"/>
      <c r="Z44" s="2" t="s">
        <v>31</v>
      </c>
      <c r="AA44" s="2"/>
      <c r="AB44" s="2"/>
      <c r="AC44" s="2"/>
      <c r="AD44" s="2"/>
      <c r="AK44" s="8">
        <f t="shared" si="1"/>
        <v>45945</v>
      </c>
    </row>
    <row r="45" spans="1:37" ht="15" customHeight="1">
      <c r="A45" s="2" t="s">
        <v>329</v>
      </c>
      <c r="B45" s="2">
        <v>3094</v>
      </c>
      <c r="C45" s="2" t="s">
        <v>327</v>
      </c>
      <c r="D45" s="2" t="s">
        <v>298</v>
      </c>
      <c r="E45" s="2" t="s">
        <v>328</v>
      </c>
      <c r="F45" s="3">
        <v>45945</v>
      </c>
      <c r="G45" s="3">
        <v>45945</v>
      </c>
      <c r="H45" s="3">
        <v>45945</v>
      </c>
      <c r="I45" s="2"/>
      <c r="J45" s="2"/>
      <c r="K45" s="2" t="s">
        <v>25</v>
      </c>
      <c r="L45" s="2" t="s">
        <v>26</v>
      </c>
      <c r="M45" s="2"/>
      <c r="N45" s="2" t="s">
        <v>27</v>
      </c>
      <c r="O45" s="2">
        <v>2316.61</v>
      </c>
      <c r="P45" s="2">
        <v>416.99</v>
      </c>
      <c r="Q45" s="2">
        <v>2733.6</v>
      </c>
      <c r="R45" s="2">
        <v>2733.6</v>
      </c>
      <c r="S45" s="2">
        <v>2733.6</v>
      </c>
      <c r="T45" s="2" t="s">
        <v>28</v>
      </c>
      <c r="U45" s="2" t="b">
        <v>0</v>
      </c>
      <c r="V45" s="2" t="s">
        <v>29</v>
      </c>
      <c r="W45" s="2" t="s">
        <v>30</v>
      </c>
      <c r="X45" s="2"/>
      <c r="Y45" s="2"/>
      <c r="Z45" s="2" t="s">
        <v>31</v>
      </c>
      <c r="AA45" s="2"/>
      <c r="AB45" s="2"/>
      <c r="AC45" s="2"/>
      <c r="AD45" s="2"/>
      <c r="AK45" s="8">
        <f t="shared" si="1"/>
        <v>45945</v>
      </c>
    </row>
    <row r="46" spans="1:37" ht="15" customHeight="1">
      <c r="A46" s="2" t="s">
        <v>330</v>
      </c>
      <c r="B46" s="2">
        <v>3172</v>
      </c>
      <c r="C46" s="2" t="s">
        <v>331</v>
      </c>
      <c r="D46" s="2" t="s">
        <v>298</v>
      </c>
      <c r="E46" s="2" t="s">
        <v>307</v>
      </c>
      <c r="F46" s="3">
        <v>45945</v>
      </c>
      <c r="G46" s="3">
        <v>45945</v>
      </c>
      <c r="H46" s="3">
        <v>45945</v>
      </c>
      <c r="I46" s="2"/>
      <c r="J46" s="2"/>
      <c r="K46" s="2" t="s">
        <v>25</v>
      </c>
      <c r="L46" s="2" t="s">
        <v>26</v>
      </c>
      <c r="M46" s="2"/>
      <c r="N46" s="2" t="s">
        <v>27</v>
      </c>
      <c r="O46" s="2">
        <v>1427.8</v>
      </c>
      <c r="P46" s="2">
        <v>257</v>
      </c>
      <c r="Q46" s="2">
        <v>1684.8</v>
      </c>
      <c r="R46" s="2">
        <v>1684.8</v>
      </c>
      <c r="S46" s="2">
        <v>1684.8</v>
      </c>
      <c r="T46" s="2" t="s">
        <v>28</v>
      </c>
      <c r="U46" s="2" t="b">
        <v>0</v>
      </c>
      <c r="V46" s="2" t="s">
        <v>29</v>
      </c>
      <c r="W46" s="2" t="s">
        <v>30</v>
      </c>
      <c r="X46" s="2"/>
      <c r="Y46" s="2"/>
      <c r="Z46" s="2" t="s">
        <v>31</v>
      </c>
      <c r="AA46" s="2"/>
      <c r="AB46" s="2"/>
      <c r="AC46" s="2"/>
      <c r="AD46" s="2"/>
      <c r="AK46" s="8">
        <f t="shared" si="1"/>
        <v>45945</v>
      </c>
    </row>
    <row r="47" spans="1:37" ht="15" customHeight="1">
      <c r="A47" s="2" t="s">
        <v>332</v>
      </c>
      <c r="B47" s="2">
        <v>3172</v>
      </c>
      <c r="C47" s="2" t="s">
        <v>331</v>
      </c>
      <c r="D47" s="2" t="s">
        <v>298</v>
      </c>
      <c r="E47" s="2" t="s">
        <v>307</v>
      </c>
      <c r="F47" s="3">
        <v>45945</v>
      </c>
      <c r="G47" s="3">
        <v>45945</v>
      </c>
      <c r="H47" s="3">
        <v>45945</v>
      </c>
      <c r="I47" s="2"/>
      <c r="J47" s="2"/>
      <c r="K47" s="2" t="s">
        <v>25</v>
      </c>
      <c r="L47" s="2" t="s">
        <v>26</v>
      </c>
      <c r="M47" s="2"/>
      <c r="N47" s="2" t="s">
        <v>27</v>
      </c>
      <c r="O47" s="2">
        <v>976.78</v>
      </c>
      <c r="P47" s="2">
        <v>175.82</v>
      </c>
      <c r="Q47" s="2">
        <v>1152.5999999999999</v>
      </c>
      <c r="R47" s="2">
        <v>1152.5999999999999</v>
      </c>
      <c r="S47" s="2">
        <v>1152.5999999999999</v>
      </c>
      <c r="T47" s="2" t="s">
        <v>28</v>
      </c>
      <c r="U47" s="2" t="b">
        <v>0</v>
      </c>
      <c r="V47" s="2" t="s">
        <v>29</v>
      </c>
      <c r="W47" s="2" t="s">
        <v>30</v>
      </c>
      <c r="X47" s="2"/>
      <c r="Y47" s="2"/>
      <c r="Z47" s="2" t="s">
        <v>31</v>
      </c>
      <c r="AA47" s="2"/>
      <c r="AB47" s="2"/>
      <c r="AC47" s="2"/>
      <c r="AD47" s="2"/>
      <c r="AK47" s="8">
        <f t="shared" si="1"/>
        <v>45945</v>
      </c>
    </row>
    <row r="48" spans="1:37" ht="15" customHeight="1">
      <c r="A48" s="2" t="s">
        <v>333</v>
      </c>
      <c r="B48" s="2">
        <v>3123</v>
      </c>
      <c r="C48" s="2" t="s">
        <v>334</v>
      </c>
      <c r="D48" s="2" t="s">
        <v>265</v>
      </c>
      <c r="E48" s="2" t="s">
        <v>335</v>
      </c>
      <c r="F48" s="3">
        <v>45944</v>
      </c>
      <c r="G48" s="3">
        <v>45944</v>
      </c>
      <c r="H48" s="3">
        <v>45944</v>
      </c>
      <c r="I48" s="2"/>
      <c r="J48" s="2"/>
      <c r="K48" s="2" t="s">
        <v>25</v>
      </c>
      <c r="L48" s="2" t="s">
        <v>26</v>
      </c>
      <c r="M48" s="2"/>
      <c r="N48" s="2" t="s">
        <v>27</v>
      </c>
      <c r="O48" s="2">
        <v>60</v>
      </c>
      <c r="P48" s="2">
        <v>10.8</v>
      </c>
      <c r="Q48" s="2">
        <v>70.8</v>
      </c>
      <c r="R48" s="2">
        <v>70.8</v>
      </c>
      <c r="S48" s="2">
        <v>70.8</v>
      </c>
      <c r="T48" s="2" t="s">
        <v>28</v>
      </c>
      <c r="U48" s="2" t="b">
        <v>0</v>
      </c>
      <c r="V48" s="2" t="s">
        <v>29</v>
      </c>
      <c r="W48" s="2" t="s">
        <v>30</v>
      </c>
      <c r="X48" s="2"/>
      <c r="Y48" s="2"/>
      <c r="Z48" s="2" t="s">
        <v>31</v>
      </c>
      <c r="AA48" s="2"/>
      <c r="AB48" s="2"/>
      <c r="AC48" s="2"/>
      <c r="AD48" s="2"/>
      <c r="AK48" s="8">
        <f t="shared" si="1"/>
        <v>45944</v>
      </c>
    </row>
    <row r="49" spans="1:37" ht="15" customHeight="1">
      <c r="A49" s="2" t="s">
        <v>336</v>
      </c>
      <c r="B49" s="2">
        <v>3092</v>
      </c>
      <c r="C49" s="2" t="s">
        <v>337</v>
      </c>
      <c r="D49" s="2" t="s">
        <v>298</v>
      </c>
      <c r="E49" s="2" t="s">
        <v>338</v>
      </c>
      <c r="F49" s="3">
        <v>45944</v>
      </c>
      <c r="G49" s="3">
        <v>45944</v>
      </c>
      <c r="H49" s="3">
        <v>45944</v>
      </c>
      <c r="I49" s="2"/>
      <c r="J49" s="2"/>
      <c r="K49" s="2" t="s">
        <v>25</v>
      </c>
      <c r="L49" s="2" t="s">
        <v>26</v>
      </c>
      <c r="M49" s="2"/>
      <c r="N49" s="2" t="s">
        <v>27</v>
      </c>
      <c r="O49" s="2">
        <v>651.53</v>
      </c>
      <c r="P49" s="2">
        <v>117.28</v>
      </c>
      <c r="Q49" s="2">
        <v>768.81</v>
      </c>
      <c r="R49" s="2">
        <v>768.81</v>
      </c>
      <c r="S49" s="2">
        <v>768.81</v>
      </c>
      <c r="T49" s="2" t="s">
        <v>28</v>
      </c>
      <c r="U49" s="2" t="b">
        <v>0</v>
      </c>
      <c r="V49" s="2" t="s">
        <v>29</v>
      </c>
      <c r="W49" s="2" t="s">
        <v>30</v>
      </c>
      <c r="X49" s="2"/>
      <c r="Y49" s="2"/>
      <c r="Z49" s="2" t="s">
        <v>31</v>
      </c>
      <c r="AA49" s="2"/>
      <c r="AB49" s="2"/>
      <c r="AC49" s="2"/>
      <c r="AD49" s="2"/>
      <c r="AK49" s="8">
        <f t="shared" si="1"/>
        <v>45944</v>
      </c>
    </row>
    <row r="50" spans="1:37" ht="15" customHeight="1">
      <c r="A50" s="2" t="s">
        <v>339</v>
      </c>
      <c r="B50" s="2">
        <v>3092</v>
      </c>
      <c r="C50" s="2" t="s">
        <v>337</v>
      </c>
      <c r="D50" s="2" t="s">
        <v>298</v>
      </c>
      <c r="E50" s="2" t="s">
        <v>338</v>
      </c>
      <c r="F50" s="3">
        <v>45944</v>
      </c>
      <c r="G50" s="3">
        <v>45944</v>
      </c>
      <c r="H50" s="3">
        <v>45944</v>
      </c>
      <c r="I50" s="2"/>
      <c r="J50" s="2"/>
      <c r="K50" s="2" t="s">
        <v>25</v>
      </c>
      <c r="L50" s="2" t="s">
        <v>26</v>
      </c>
      <c r="M50" s="2"/>
      <c r="N50" s="2" t="s">
        <v>27</v>
      </c>
      <c r="O50" s="2">
        <v>556.44000000000005</v>
      </c>
      <c r="P50" s="2">
        <v>100.16</v>
      </c>
      <c r="Q50" s="2">
        <v>656.6</v>
      </c>
      <c r="R50" s="2">
        <v>656.6</v>
      </c>
      <c r="S50" s="2">
        <v>656.6</v>
      </c>
      <c r="T50" s="2" t="s">
        <v>28</v>
      </c>
      <c r="U50" s="2" t="b">
        <v>0</v>
      </c>
      <c r="V50" s="2" t="s">
        <v>29</v>
      </c>
      <c r="W50" s="2" t="s">
        <v>30</v>
      </c>
      <c r="X50" s="2"/>
      <c r="Y50" s="2"/>
      <c r="Z50" s="2" t="s">
        <v>31</v>
      </c>
      <c r="AA50" s="2"/>
      <c r="AB50" s="2"/>
      <c r="AC50" s="2"/>
      <c r="AD50" s="2"/>
      <c r="AK50" s="8">
        <f t="shared" si="1"/>
        <v>45944</v>
      </c>
    </row>
    <row r="51" spans="1:37" ht="15" customHeight="1">
      <c r="A51" s="2" t="s">
        <v>340</v>
      </c>
      <c r="B51" s="2">
        <v>3065</v>
      </c>
      <c r="C51" s="2" t="s">
        <v>341</v>
      </c>
      <c r="D51" s="2" t="s">
        <v>298</v>
      </c>
      <c r="E51" s="2" t="s">
        <v>342</v>
      </c>
      <c r="F51" s="3">
        <v>45944</v>
      </c>
      <c r="G51" s="3">
        <v>45944</v>
      </c>
      <c r="H51" s="3">
        <v>45944</v>
      </c>
      <c r="I51" s="2"/>
      <c r="J51" s="2"/>
      <c r="K51" s="2" t="s">
        <v>25</v>
      </c>
      <c r="L51" s="2" t="s">
        <v>26</v>
      </c>
      <c r="M51" s="2"/>
      <c r="N51" s="2" t="s">
        <v>27</v>
      </c>
      <c r="O51" s="2">
        <v>12.5</v>
      </c>
      <c r="P51" s="2">
        <v>2.25</v>
      </c>
      <c r="Q51" s="2">
        <v>14.75</v>
      </c>
      <c r="R51" s="2">
        <v>14.75</v>
      </c>
      <c r="S51" s="2">
        <v>14.75</v>
      </c>
      <c r="T51" s="2" t="s">
        <v>28</v>
      </c>
      <c r="U51" s="2" t="b">
        <v>0</v>
      </c>
      <c r="V51" s="2" t="s">
        <v>29</v>
      </c>
      <c r="W51" s="2" t="s">
        <v>30</v>
      </c>
      <c r="X51" s="2"/>
      <c r="Y51" s="2"/>
      <c r="Z51" s="2" t="s">
        <v>31</v>
      </c>
      <c r="AA51" s="2"/>
      <c r="AB51" s="2"/>
      <c r="AC51" s="2"/>
      <c r="AD51" s="2"/>
      <c r="AK51" s="8">
        <f t="shared" si="1"/>
        <v>45944</v>
      </c>
    </row>
    <row r="52" spans="1:37" ht="15" customHeight="1">
      <c r="A52" s="2" t="s">
        <v>343</v>
      </c>
      <c r="B52" s="2">
        <v>3065</v>
      </c>
      <c r="C52" s="2" t="s">
        <v>341</v>
      </c>
      <c r="D52" s="2" t="s">
        <v>298</v>
      </c>
      <c r="E52" s="2" t="s">
        <v>342</v>
      </c>
      <c r="F52" s="3">
        <v>45944</v>
      </c>
      <c r="G52" s="3">
        <v>45944</v>
      </c>
      <c r="H52" s="3">
        <v>45944</v>
      </c>
      <c r="I52" s="2"/>
      <c r="J52" s="2"/>
      <c r="K52" s="2" t="s">
        <v>25</v>
      </c>
      <c r="L52" s="2" t="s">
        <v>26</v>
      </c>
      <c r="M52" s="2"/>
      <c r="N52" s="2" t="s">
        <v>27</v>
      </c>
      <c r="O52" s="2">
        <v>1271.19</v>
      </c>
      <c r="P52" s="2">
        <v>228.81</v>
      </c>
      <c r="Q52" s="2">
        <v>1500</v>
      </c>
      <c r="R52" s="2">
        <v>1500</v>
      </c>
      <c r="S52" s="2">
        <v>1500</v>
      </c>
      <c r="T52" s="2" t="s">
        <v>28</v>
      </c>
      <c r="U52" s="2" t="b">
        <v>0</v>
      </c>
      <c r="V52" s="2" t="s">
        <v>29</v>
      </c>
      <c r="W52" s="2" t="s">
        <v>30</v>
      </c>
      <c r="X52" s="2"/>
      <c r="Y52" s="2"/>
      <c r="Z52" s="2" t="s">
        <v>31</v>
      </c>
      <c r="AA52" s="2"/>
      <c r="AB52" s="2"/>
      <c r="AC52" s="2"/>
      <c r="AD52" s="2"/>
      <c r="AK52" s="8">
        <f t="shared" si="1"/>
        <v>45944</v>
      </c>
    </row>
    <row r="53" spans="1:37" ht="15" customHeight="1">
      <c r="A53" s="2" t="s">
        <v>344</v>
      </c>
      <c r="B53" s="2">
        <v>3065</v>
      </c>
      <c r="C53" s="2" t="s">
        <v>341</v>
      </c>
      <c r="D53" s="2" t="s">
        <v>298</v>
      </c>
      <c r="E53" s="2" t="s">
        <v>342</v>
      </c>
      <c r="F53" s="3">
        <v>45944</v>
      </c>
      <c r="G53" s="3">
        <v>45944</v>
      </c>
      <c r="H53" s="3">
        <v>45944</v>
      </c>
      <c r="I53" s="2"/>
      <c r="J53" s="2"/>
      <c r="K53" s="2" t="s">
        <v>25</v>
      </c>
      <c r="L53" s="2" t="s">
        <v>26</v>
      </c>
      <c r="M53" s="2"/>
      <c r="N53" s="2" t="s">
        <v>27</v>
      </c>
      <c r="O53" s="2">
        <v>4676.95</v>
      </c>
      <c r="P53" s="2">
        <v>841.85</v>
      </c>
      <c r="Q53" s="2">
        <v>5518.8</v>
      </c>
      <c r="R53" s="2">
        <v>5518.8</v>
      </c>
      <c r="S53" s="2">
        <v>5518.8</v>
      </c>
      <c r="T53" s="2" t="s">
        <v>28</v>
      </c>
      <c r="U53" s="2" t="b">
        <v>0</v>
      </c>
      <c r="V53" s="2" t="s">
        <v>29</v>
      </c>
      <c r="W53" s="2" t="s">
        <v>30</v>
      </c>
      <c r="X53" s="2"/>
      <c r="Y53" s="2"/>
      <c r="Z53" s="2" t="s">
        <v>31</v>
      </c>
      <c r="AA53" s="2"/>
      <c r="AB53" s="2"/>
      <c r="AC53" s="2"/>
      <c r="AD53" s="2"/>
      <c r="AK53" s="8">
        <f t="shared" si="1"/>
        <v>45944</v>
      </c>
    </row>
    <row r="54" spans="1:37" ht="15" customHeight="1">
      <c r="A54" s="2" t="s">
        <v>345</v>
      </c>
      <c r="B54" s="2">
        <v>3065</v>
      </c>
      <c r="C54" s="2" t="s">
        <v>341</v>
      </c>
      <c r="D54" s="2" t="s">
        <v>298</v>
      </c>
      <c r="E54" s="2" t="s">
        <v>342</v>
      </c>
      <c r="F54" s="3">
        <v>45944</v>
      </c>
      <c r="G54" s="3">
        <v>45944</v>
      </c>
      <c r="H54" s="3">
        <v>45944</v>
      </c>
      <c r="I54" s="2"/>
      <c r="J54" s="2"/>
      <c r="K54" s="2" t="s">
        <v>25</v>
      </c>
      <c r="L54" s="2" t="s">
        <v>26</v>
      </c>
      <c r="M54" s="2"/>
      <c r="N54" s="2" t="s">
        <v>27</v>
      </c>
      <c r="O54" s="2">
        <v>150</v>
      </c>
      <c r="P54" s="2">
        <v>27</v>
      </c>
      <c r="Q54" s="2">
        <v>177</v>
      </c>
      <c r="R54" s="2">
        <v>177</v>
      </c>
      <c r="S54" s="2">
        <v>177</v>
      </c>
      <c r="T54" s="2" t="s">
        <v>28</v>
      </c>
      <c r="U54" s="2" t="b">
        <v>0</v>
      </c>
      <c r="V54" s="2" t="s">
        <v>29</v>
      </c>
      <c r="W54" s="2" t="s">
        <v>30</v>
      </c>
      <c r="X54" s="2"/>
      <c r="Y54" s="2"/>
      <c r="Z54" s="2" t="s">
        <v>31</v>
      </c>
      <c r="AA54" s="2"/>
      <c r="AB54" s="2"/>
      <c r="AC54" s="2"/>
      <c r="AD54" s="2"/>
      <c r="AK54" s="8">
        <f t="shared" si="1"/>
        <v>45944</v>
      </c>
    </row>
    <row r="55" spans="1:37" ht="15" customHeight="1">
      <c r="A55" s="2" t="s">
        <v>346</v>
      </c>
      <c r="B55" s="2">
        <v>3065</v>
      </c>
      <c r="C55" s="2" t="s">
        <v>341</v>
      </c>
      <c r="D55" s="2" t="s">
        <v>298</v>
      </c>
      <c r="E55" s="2" t="s">
        <v>342</v>
      </c>
      <c r="F55" s="3">
        <v>45944</v>
      </c>
      <c r="G55" s="3">
        <v>45944</v>
      </c>
      <c r="H55" s="3">
        <v>45944</v>
      </c>
      <c r="I55" s="2"/>
      <c r="J55" s="2"/>
      <c r="K55" s="2" t="s">
        <v>25</v>
      </c>
      <c r="L55" s="2" t="s">
        <v>26</v>
      </c>
      <c r="M55" s="2"/>
      <c r="N55" s="2" t="s">
        <v>27</v>
      </c>
      <c r="O55" s="2">
        <v>900</v>
      </c>
      <c r="P55" s="2">
        <v>162</v>
      </c>
      <c r="Q55" s="2">
        <v>1062</v>
      </c>
      <c r="R55" s="2">
        <v>1062</v>
      </c>
      <c r="S55" s="2">
        <v>1062</v>
      </c>
      <c r="T55" s="2" t="s">
        <v>28</v>
      </c>
      <c r="U55" s="2" t="b">
        <v>0</v>
      </c>
      <c r="V55" s="2" t="s">
        <v>29</v>
      </c>
      <c r="W55" s="2" t="s">
        <v>30</v>
      </c>
      <c r="X55" s="2"/>
      <c r="Y55" s="2"/>
      <c r="Z55" s="2" t="s">
        <v>31</v>
      </c>
      <c r="AA55" s="2"/>
      <c r="AB55" s="2"/>
      <c r="AC55" s="2"/>
      <c r="AD55" s="2"/>
      <c r="AK55" s="8">
        <f t="shared" si="1"/>
        <v>45944</v>
      </c>
    </row>
    <row r="56" spans="1:37" ht="15" customHeight="1">
      <c r="A56" s="2" t="s">
        <v>347</v>
      </c>
      <c r="B56" s="2">
        <v>3123</v>
      </c>
      <c r="C56" s="2" t="s">
        <v>334</v>
      </c>
      <c r="D56" s="2" t="s">
        <v>265</v>
      </c>
      <c r="E56" s="2" t="s">
        <v>335</v>
      </c>
      <c r="F56" s="3">
        <v>45943</v>
      </c>
      <c r="G56" s="3">
        <v>45943</v>
      </c>
      <c r="H56" s="3">
        <v>45943</v>
      </c>
      <c r="I56" s="2"/>
      <c r="J56" s="2"/>
      <c r="K56" s="2" t="s">
        <v>25</v>
      </c>
      <c r="L56" s="2" t="s">
        <v>26</v>
      </c>
      <c r="M56" s="2"/>
      <c r="N56" s="2" t="s">
        <v>27</v>
      </c>
      <c r="O56" s="2">
        <v>500</v>
      </c>
      <c r="P56" s="2">
        <v>90</v>
      </c>
      <c r="Q56" s="2">
        <v>590</v>
      </c>
      <c r="R56" s="2">
        <v>590</v>
      </c>
      <c r="S56" s="2">
        <v>590</v>
      </c>
      <c r="T56" s="2" t="s">
        <v>28</v>
      </c>
      <c r="U56" s="2" t="b">
        <v>0</v>
      </c>
      <c r="V56" s="2" t="s">
        <v>29</v>
      </c>
      <c r="W56" s="2" t="s">
        <v>30</v>
      </c>
      <c r="X56" s="2"/>
      <c r="Y56" s="2"/>
      <c r="Z56" s="2" t="s">
        <v>31</v>
      </c>
      <c r="AA56" s="2"/>
      <c r="AB56" s="2"/>
      <c r="AC56" s="2"/>
      <c r="AD56" s="2"/>
      <c r="AK56" s="8">
        <f t="shared" si="1"/>
        <v>45943</v>
      </c>
    </row>
    <row r="57" spans="1:37" ht="15" customHeight="1">
      <c r="A57" s="2" t="s">
        <v>348</v>
      </c>
      <c r="B57" s="2">
        <v>3123</v>
      </c>
      <c r="C57" s="2" t="s">
        <v>334</v>
      </c>
      <c r="D57" s="2" t="s">
        <v>265</v>
      </c>
      <c r="E57" s="2" t="s">
        <v>335</v>
      </c>
      <c r="F57" s="3">
        <v>45943</v>
      </c>
      <c r="G57" s="3">
        <v>45943</v>
      </c>
      <c r="H57" s="3">
        <v>45943</v>
      </c>
      <c r="I57" s="2"/>
      <c r="J57" s="2"/>
      <c r="K57" s="2" t="s">
        <v>25</v>
      </c>
      <c r="L57" s="2" t="s">
        <v>26</v>
      </c>
      <c r="M57" s="2"/>
      <c r="N57" s="2" t="s">
        <v>27</v>
      </c>
      <c r="O57" s="2">
        <v>1000</v>
      </c>
      <c r="P57" s="2">
        <v>180</v>
      </c>
      <c r="Q57" s="2">
        <v>1180</v>
      </c>
      <c r="R57" s="2">
        <v>1180</v>
      </c>
      <c r="S57" s="2">
        <v>1180</v>
      </c>
      <c r="T57" s="2" t="s">
        <v>28</v>
      </c>
      <c r="U57" s="2" t="b">
        <v>0</v>
      </c>
      <c r="V57" s="2" t="s">
        <v>29</v>
      </c>
      <c r="W57" s="2" t="s">
        <v>30</v>
      </c>
      <c r="X57" s="2"/>
      <c r="Y57" s="2"/>
      <c r="Z57" s="2" t="s">
        <v>31</v>
      </c>
      <c r="AA57" s="2"/>
      <c r="AB57" s="2"/>
      <c r="AC57" s="2"/>
      <c r="AD57" s="2"/>
      <c r="AK57" s="8">
        <f t="shared" si="1"/>
        <v>45943</v>
      </c>
    </row>
    <row r="58" spans="1:37" ht="15" customHeight="1">
      <c r="A58" s="2" t="s">
        <v>349</v>
      </c>
      <c r="B58" s="2">
        <v>3123</v>
      </c>
      <c r="C58" s="2" t="s">
        <v>334</v>
      </c>
      <c r="D58" s="2" t="s">
        <v>265</v>
      </c>
      <c r="E58" s="2" t="s">
        <v>335</v>
      </c>
      <c r="F58" s="3">
        <v>45943</v>
      </c>
      <c r="G58" s="3">
        <v>45943</v>
      </c>
      <c r="H58" s="3">
        <v>45943</v>
      </c>
      <c r="I58" s="2"/>
      <c r="J58" s="2"/>
      <c r="K58" s="2" t="s">
        <v>25</v>
      </c>
      <c r="L58" s="2" t="s">
        <v>26</v>
      </c>
      <c r="M58" s="2"/>
      <c r="N58" s="2" t="s">
        <v>27</v>
      </c>
      <c r="O58" s="2">
        <v>1800</v>
      </c>
      <c r="P58" s="2">
        <v>324</v>
      </c>
      <c r="Q58" s="2">
        <v>2124</v>
      </c>
      <c r="R58" s="2">
        <v>2124</v>
      </c>
      <c r="S58" s="2">
        <v>2124</v>
      </c>
      <c r="T58" s="2" t="s">
        <v>28</v>
      </c>
      <c r="U58" s="2" t="b">
        <v>0</v>
      </c>
      <c r="V58" s="2" t="s">
        <v>29</v>
      </c>
      <c r="W58" s="2" t="s">
        <v>30</v>
      </c>
      <c r="X58" s="2"/>
      <c r="Y58" s="2"/>
      <c r="Z58" s="2" t="s">
        <v>31</v>
      </c>
      <c r="AA58" s="2"/>
      <c r="AB58" s="2"/>
      <c r="AC58" s="2"/>
      <c r="AD58" s="2"/>
      <c r="AK58" s="8">
        <f t="shared" si="1"/>
        <v>45943</v>
      </c>
    </row>
    <row r="59" spans="1:37" ht="15" customHeight="1">
      <c r="A59" s="2" t="s">
        <v>350</v>
      </c>
      <c r="B59" s="2">
        <v>3123</v>
      </c>
      <c r="C59" s="2" t="s">
        <v>334</v>
      </c>
      <c r="D59" s="2" t="s">
        <v>265</v>
      </c>
      <c r="E59" s="2" t="s">
        <v>335</v>
      </c>
      <c r="F59" s="3">
        <v>45943</v>
      </c>
      <c r="G59" s="3">
        <v>45943</v>
      </c>
      <c r="H59" s="3">
        <v>45943</v>
      </c>
      <c r="I59" s="2"/>
      <c r="J59" s="2"/>
      <c r="K59" s="2" t="s">
        <v>25</v>
      </c>
      <c r="L59" s="2" t="s">
        <v>26</v>
      </c>
      <c r="M59" s="2"/>
      <c r="N59" s="2" t="s">
        <v>27</v>
      </c>
      <c r="O59" s="2">
        <v>638.30999999999995</v>
      </c>
      <c r="P59" s="2">
        <v>114.9</v>
      </c>
      <c r="Q59" s="2">
        <v>753.21</v>
      </c>
      <c r="R59" s="2">
        <v>753.21</v>
      </c>
      <c r="S59" s="2">
        <v>753.21</v>
      </c>
      <c r="T59" s="2" t="s">
        <v>28</v>
      </c>
      <c r="U59" s="2" t="b">
        <v>0</v>
      </c>
      <c r="V59" s="2" t="s">
        <v>29</v>
      </c>
      <c r="W59" s="2" t="s">
        <v>30</v>
      </c>
      <c r="X59" s="2"/>
      <c r="Y59" s="2"/>
      <c r="Z59" s="2" t="s">
        <v>31</v>
      </c>
      <c r="AA59" s="2"/>
      <c r="AB59" s="2"/>
      <c r="AC59" s="2"/>
      <c r="AD59" s="2"/>
      <c r="AK59" s="8">
        <f t="shared" si="1"/>
        <v>45943</v>
      </c>
    </row>
    <row r="60" spans="1:37" ht="15" customHeight="1">
      <c r="A60" s="2" t="s">
        <v>351</v>
      </c>
      <c r="B60" s="2">
        <v>3123</v>
      </c>
      <c r="C60" s="2" t="s">
        <v>334</v>
      </c>
      <c r="D60" s="2" t="s">
        <v>265</v>
      </c>
      <c r="E60" s="2" t="s">
        <v>335</v>
      </c>
      <c r="F60" s="3">
        <v>45943</v>
      </c>
      <c r="G60" s="3">
        <v>45943</v>
      </c>
      <c r="H60" s="3">
        <v>45943</v>
      </c>
      <c r="I60" s="2"/>
      <c r="J60" s="2"/>
      <c r="K60" s="2" t="s">
        <v>25</v>
      </c>
      <c r="L60" s="2" t="s">
        <v>26</v>
      </c>
      <c r="M60" s="2"/>
      <c r="N60" s="2" t="s">
        <v>27</v>
      </c>
      <c r="O60" s="2">
        <v>652.20000000000005</v>
      </c>
      <c r="P60" s="2">
        <v>117.4</v>
      </c>
      <c r="Q60" s="2">
        <v>769.6</v>
      </c>
      <c r="R60" s="2">
        <v>769.6</v>
      </c>
      <c r="S60" s="2">
        <v>769.6</v>
      </c>
      <c r="T60" s="2" t="s">
        <v>28</v>
      </c>
      <c r="U60" s="2" t="b">
        <v>0</v>
      </c>
      <c r="V60" s="2" t="s">
        <v>29</v>
      </c>
      <c r="W60" s="2" t="s">
        <v>30</v>
      </c>
      <c r="X60" s="2"/>
      <c r="Y60" s="2"/>
      <c r="Z60" s="2" t="s">
        <v>31</v>
      </c>
      <c r="AA60" s="2"/>
      <c r="AB60" s="2"/>
      <c r="AC60" s="2"/>
      <c r="AD60" s="2"/>
      <c r="AK60" s="8">
        <f t="shared" si="1"/>
        <v>45943</v>
      </c>
    </row>
    <row r="61" spans="1:37" ht="15" customHeight="1">
      <c r="A61" s="2" t="s">
        <v>352</v>
      </c>
      <c r="B61" s="2">
        <v>3168</v>
      </c>
      <c r="C61" s="2" t="s">
        <v>353</v>
      </c>
      <c r="D61" s="2" t="s">
        <v>298</v>
      </c>
      <c r="E61" s="2" t="s">
        <v>307</v>
      </c>
      <c r="F61" s="3">
        <v>45943</v>
      </c>
      <c r="G61" s="3">
        <v>45943</v>
      </c>
      <c r="H61" s="3">
        <v>45943</v>
      </c>
      <c r="I61" s="2"/>
      <c r="J61" s="2"/>
      <c r="K61" s="2" t="s">
        <v>25</v>
      </c>
      <c r="L61" s="2" t="s">
        <v>26</v>
      </c>
      <c r="M61" s="2"/>
      <c r="N61" s="2" t="s">
        <v>27</v>
      </c>
      <c r="O61" s="2">
        <v>75</v>
      </c>
      <c r="P61" s="2">
        <v>13.5</v>
      </c>
      <c r="Q61" s="2">
        <v>88.5</v>
      </c>
      <c r="R61" s="2">
        <v>88.5</v>
      </c>
      <c r="S61" s="2">
        <v>88.5</v>
      </c>
      <c r="T61" s="2" t="s">
        <v>28</v>
      </c>
      <c r="U61" s="2" t="b">
        <v>0</v>
      </c>
      <c r="V61" s="2" t="s">
        <v>29</v>
      </c>
      <c r="W61" s="2" t="s">
        <v>30</v>
      </c>
      <c r="X61" s="2"/>
      <c r="Y61" s="2"/>
      <c r="Z61" s="2" t="s">
        <v>31</v>
      </c>
      <c r="AA61" s="2"/>
      <c r="AB61" s="2"/>
      <c r="AC61" s="2"/>
      <c r="AD61" s="2"/>
      <c r="AK61" s="8">
        <f t="shared" si="1"/>
        <v>45943</v>
      </c>
    </row>
    <row r="62" spans="1:37" ht="15" customHeight="1">
      <c r="A62" s="2" t="s">
        <v>354</v>
      </c>
      <c r="B62" s="2">
        <v>3168</v>
      </c>
      <c r="C62" s="2" t="s">
        <v>353</v>
      </c>
      <c r="D62" s="2" t="s">
        <v>298</v>
      </c>
      <c r="E62" s="2" t="s">
        <v>307</v>
      </c>
      <c r="F62" s="3">
        <v>45943</v>
      </c>
      <c r="G62" s="3">
        <v>45943</v>
      </c>
      <c r="H62" s="3">
        <v>45943</v>
      </c>
      <c r="I62" s="2"/>
      <c r="J62" s="2"/>
      <c r="K62" s="2" t="s">
        <v>25</v>
      </c>
      <c r="L62" s="2" t="s">
        <v>26</v>
      </c>
      <c r="M62" s="2"/>
      <c r="N62" s="2" t="s">
        <v>27</v>
      </c>
      <c r="O62" s="2">
        <v>423.73</v>
      </c>
      <c r="P62" s="2">
        <v>76.27</v>
      </c>
      <c r="Q62" s="2">
        <v>500</v>
      </c>
      <c r="R62" s="2">
        <v>500</v>
      </c>
      <c r="S62" s="2">
        <v>500</v>
      </c>
      <c r="T62" s="2" t="s">
        <v>28</v>
      </c>
      <c r="U62" s="2" t="b">
        <v>0</v>
      </c>
      <c r="V62" s="2" t="s">
        <v>29</v>
      </c>
      <c r="W62" s="2" t="s">
        <v>30</v>
      </c>
      <c r="X62" s="2"/>
      <c r="Y62" s="2"/>
      <c r="Z62" s="2" t="s">
        <v>31</v>
      </c>
      <c r="AA62" s="2"/>
      <c r="AB62" s="2"/>
      <c r="AC62" s="2"/>
      <c r="AD62" s="2"/>
      <c r="AK62" s="8">
        <f t="shared" si="1"/>
        <v>45943</v>
      </c>
    </row>
    <row r="63" spans="1:37" ht="15" customHeight="1">
      <c r="A63" s="2" t="s">
        <v>355</v>
      </c>
      <c r="B63" s="2">
        <v>3168</v>
      </c>
      <c r="C63" s="2" t="s">
        <v>353</v>
      </c>
      <c r="D63" s="2" t="s">
        <v>298</v>
      </c>
      <c r="E63" s="2" t="s">
        <v>307</v>
      </c>
      <c r="F63" s="3">
        <v>45943</v>
      </c>
      <c r="G63" s="3">
        <v>45943</v>
      </c>
      <c r="H63" s="3">
        <v>45943</v>
      </c>
      <c r="I63" s="2"/>
      <c r="J63" s="2"/>
      <c r="K63" s="2" t="s">
        <v>25</v>
      </c>
      <c r="L63" s="2" t="s">
        <v>26</v>
      </c>
      <c r="M63" s="2"/>
      <c r="N63" s="2" t="s">
        <v>27</v>
      </c>
      <c r="O63" s="2">
        <v>1695.17</v>
      </c>
      <c r="P63" s="2">
        <v>305.13</v>
      </c>
      <c r="Q63" s="2">
        <v>2000.3</v>
      </c>
      <c r="R63" s="2">
        <v>2000.3</v>
      </c>
      <c r="S63" s="2">
        <v>2000.3</v>
      </c>
      <c r="T63" s="2" t="s">
        <v>28</v>
      </c>
      <c r="U63" s="2" t="b">
        <v>0</v>
      </c>
      <c r="V63" s="2" t="s">
        <v>29</v>
      </c>
      <c r="W63" s="2" t="s">
        <v>30</v>
      </c>
      <c r="X63" s="2"/>
      <c r="Y63" s="2"/>
      <c r="Z63" s="2" t="s">
        <v>31</v>
      </c>
      <c r="AA63" s="2"/>
      <c r="AB63" s="2"/>
      <c r="AC63" s="2"/>
      <c r="AD63" s="2"/>
      <c r="AK63" s="8">
        <f t="shared" si="1"/>
        <v>45943</v>
      </c>
    </row>
    <row r="64" spans="1:37" ht="15" customHeight="1">
      <c r="A64" s="2" t="s">
        <v>356</v>
      </c>
      <c r="B64" s="2">
        <v>3168</v>
      </c>
      <c r="C64" s="2" t="s">
        <v>353</v>
      </c>
      <c r="D64" s="2" t="s">
        <v>298</v>
      </c>
      <c r="E64" s="2" t="s">
        <v>307</v>
      </c>
      <c r="F64" s="3">
        <v>45943</v>
      </c>
      <c r="G64" s="3">
        <v>45943</v>
      </c>
      <c r="H64" s="3">
        <v>45943</v>
      </c>
      <c r="I64" s="2"/>
      <c r="J64" s="2"/>
      <c r="K64" s="2" t="s">
        <v>25</v>
      </c>
      <c r="L64" s="2" t="s">
        <v>26</v>
      </c>
      <c r="M64" s="2"/>
      <c r="N64" s="2" t="s">
        <v>27</v>
      </c>
      <c r="O64" s="2">
        <v>1163.56</v>
      </c>
      <c r="P64" s="2">
        <v>209.44</v>
      </c>
      <c r="Q64" s="2">
        <v>1373</v>
      </c>
      <c r="R64" s="2">
        <v>1373</v>
      </c>
      <c r="S64" s="2">
        <v>1373</v>
      </c>
      <c r="T64" s="2" t="s">
        <v>28</v>
      </c>
      <c r="U64" s="2" t="b">
        <v>0</v>
      </c>
      <c r="V64" s="2" t="s">
        <v>29</v>
      </c>
      <c r="W64" s="2" t="s">
        <v>30</v>
      </c>
      <c r="X64" s="2"/>
      <c r="Y64" s="2"/>
      <c r="Z64" s="2" t="s">
        <v>31</v>
      </c>
      <c r="AA64" s="2"/>
      <c r="AB64" s="2"/>
      <c r="AC64" s="2"/>
      <c r="AD64" s="2"/>
      <c r="AK64" s="8">
        <f t="shared" si="1"/>
        <v>45943</v>
      </c>
    </row>
    <row r="65" spans="1:37" ht="15" customHeight="1">
      <c r="A65" s="2" t="s">
        <v>357</v>
      </c>
      <c r="B65" s="2">
        <v>3147</v>
      </c>
      <c r="C65" s="2" t="s">
        <v>358</v>
      </c>
      <c r="D65" s="2" t="s">
        <v>298</v>
      </c>
      <c r="E65" s="2" t="s">
        <v>359</v>
      </c>
      <c r="F65" s="3">
        <v>45943</v>
      </c>
      <c r="G65" s="3">
        <v>45943</v>
      </c>
      <c r="H65" s="3">
        <v>45943</v>
      </c>
      <c r="I65" s="2"/>
      <c r="J65" s="2"/>
      <c r="K65" s="2" t="s">
        <v>25</v>
      </c>
      <c r="L65" s="2" t="s">
        <v>26</v>
      </c>
      <c r="M65" s="2"/>
      <c r="N65" s="2" t="s">
        <v>27</v>
      </c>
      <c r="O65" s="2">
        <v>375.53</v>
      </c>
      <c r="P65" s="2">
        <v>67.599999999999994</v>
      </c>
      <c r="Q65" s="2">
        <v>443.13</v>
      </c>
      <c r="R65" s="2">
        <v>443.13</v>
      </c>
      <c r="S65" s="2">
        <v>443.13</v>
      </c>
      <c r="T65" s="2" t="s">
        <v>28</v>
      </c>
      <c r="U65" s="2" t="b">
        <v>0</v>
      </c>
      <c r="V65" s="2" t="s">
        <v>29</v>
      </c>
      <c r="W65" s="2" t="s">
        <v>30</v>
      </c>
      <c r="X65" s="2"/>
      <c r="Y65" s="2"/>
      <c r="Z65" s="2" t="s">
        <v>31</v>
      </c>
      <c r="AA65" s="2"/>
      <c r="AB65" s="2"/>
      <c r="AC65" s="2"/>
      <c r="AD65" s="2"/>
      <c r="AK65" s="8">
        <f t="shared" si="1"/>
        <v>45943</v>
      </c>
    </row>
    <row r="66" spans="1:37" ht="15" customHeight="1">
      <c r="A66" s="2" t="s">
        <v>360</v>
      </c>
      <c r="B66" s="2">
        <v>3147</v>
      </c>
      <c r="C66" s="2" t="s">
        <v>358</v>
      </c>
      <c r="D66" s="2" t="s">
        <v>298</v>
      </c>
      <c r="E66" s="2" t="s">
        <v>359</v>
      </c>
      <c r="F66" s="3">
        <v>45943</v>
      </c>
      <c r="G66" s="3">
        <v>45943</v>
      </c>
      <c r="H66" s="3">
        <v>45943</v>
      </c>
      <c r="I66" s="2"/>
      <c r="J66" s="2"/>
      <c r="K66" s="2" t="s">
        <v>25</v>
      </c>
      <c r="L66" s="2" t="s">
        <v>26</v>
      </c>
      <c r="M66" s="2"/>
      <c r="N66" s="2" t="s">
        <v>27</v>
      </c>
      <c r="O66" s="2">
        <v>268.52999999999997</v>
      </c>
      <c r="P66" s="2">
        <v>48.34</v>
      </c>
      <c r="Q66" s="2">
        <v>316.87</v>
      </c>
      <c r="R66" s="2">
        <v>316.87</v>
      </c>
      <c r="S66" s="2">
        <v>316.87</v>
      </c>
      <c r="T66" s="2" t="s">
        <v>28</v>
      </c>
      <c r="U66" s="2" t="b">
        <v>0</v>
      </c>
      <c r="V66" s="2" t="s">
        <v>29</v>
      </c>
      <c r="W66" s="2" t="s">
        <v>30</v>
      </c>
      <c r="X66" s="2"/>
      <c r="Y66" s="2"/>
      <c r="Z66" s="2" t="s">
        <v>31</v>
      </c>
      <c r="AA66" s="2"/>
      <c r="AB66" s="2"/>
      <c r="AC66" s="2"/>
      <c r="AD66" s="2"/>
      <c r="AK66" s="8">
        <f t="shared" si="1"/>
        <v>45943</v>
      </c>
    </row>
    <row r="67" spans="1:37" ht="15" customHeight="1">
      <c r="A67" s="2" t="s">
        <v>361</v>
      </c>
      <c r="B67" s="2">
        <v>3190</v>
      </c>
      <c r="C67" s="2" t="s">
        <v>362</v>
      </c>
      <c r="D67" s="2" t="s">
        <v>298</v>
      </c>
      <c r="E67" s="2" t="s">
        <v>307</v>
      </c>
      <c r="F67" s="3">
        <v>45943</v>
      </c>
      <c r="G67" s="3">
        <v>45943</v>
      </c>
      <c r="H67" s="3">
        <v>45943</v>
      </c>
      <c r="I67" s="2"/>
      <c r="J67" s="2"/>
      <c r="K67" s="2" t="s">
        <v>25</v>
      </c>
      <c r="L67" s="2" t="s">
        <v>26</v>
      </c>
      <c r="M67" s="2"/>
      <c r="N67" s="2" t="s">
        <v>27</v>
      </c>
      <c r="O67" s="2">
        <v>708.9</v>
      </c>
      <c r="P67" s="2">
        <v>127.6</v>
      </c>
      <c r="Q67" s="2">
        <v>836.5</v>
      </c>
      <c r="R67" s="2">
        <v>836.5</v>
      </c>
      <c r="S67" s="2">
        <v>836.5</v>
      </c>
      <c r="T67" s="2" t="s">
        <v>28</v>
      </c>
      <c r="U67" s="2" t="b">
        <v>0</v>
      </c>
      <c r="V67" s="2" t="s">
        <v>29</v>
      </c>
      <c r="W67" s="2" t="s">
        <v>30</v>
      </c>
      <c r="X67" s="2"/>
      <c r="Y67" s="2"/>
      <c r="Z67" s="2" t="s">
        <v>31</v>
      </c>
      <c r="AA67" s="2"/>
      <c r="AB67" s="2"/>
      <c r="AC67" s="2"/>
      <c r="AD67" s="2"/>
      <c r="AK67" s="8">
        <f t="shared" si="1"/>
        <v>45943</v>
      </c>
    </row>
    <row r="68" spans="1:37" ht="15" customHeight="1">
      <c r="A68" s="2" t="s">
        <v>363</v>
      </c>
      <c r="B68" s="2">
        <v>3190</v>
      </c>
      <c r="C68" s="2" t="s">
        <v>362</v>
      </c>
      <c r="D68" s="2" t="s">
        <v>298</v>
      </c>
      <c r="E68" s="2" t="s">
        <v>307</v>
      </c>
      <c r="F68" s="3">
        <v>45943</v>
      </c>
      <c r="G68" s="3">
        <v>45943</v>
      </c>
      <c r="H68" s="3">
        <v>45943</v>
      </c>
      <c r="I68" s="2"/>
      <c r="J68" s="2"/>
      <c r="K68" s="2" t="s">
        <v>25</v>
      </c>
      <c r="L68" s="2" t="s">
        <v>26</v>
      </c>
      <c r="M68" s="2"/>
      <c r="N68" s="2" t="s">
        <v>27</v>
      </c>
      <c r="O68" s="2">
        <v>488.81</v>
      </c>
      <c r="P68" s="2">
        <v>87.99</v>
      </c>
      <c r="Q68" s="2">
        <v>576.79999999999995</v>
      </c>
      <c r="R68" s="2">
        <v>576.79999999999995</v>
      </c>
      <c r="S68" s="2">
        <v>576.79999999999995</v>
      </c>
      <c r="T68" s="2" t="s">
        <v>28</v>
      </c>
      <c r="U68" s="2" t="b">
        <v>0</v>
      </c>
      <c r="V68" s="2" t="s">
        <v>29</v>
      </c>
      <c r="W68" s="2" t="s">
        <v>30</v>
      </c>
      <c r="X68" s="2"/>
      <c r="Y68" s="2"/>
      <c r="Z68" s="2" t="s">
        <v>31</v>
      </c>
      <c r="AA68" s="2"/>
      <c r="AB68" s="2"/>
      <c r="AC68" s="2"/>
      <c r="AD68" s="2"/>
      <c r="AK68" s="8">
        <f t="shared" si="1"/>
        <v>45943</v>
      </c>
    </row>
    <row r="69" spans="1:37" ht="15" customHeight="1">
      <c r="A69" s="2" t="s">
        <v>364</v>
      </c>
      <c r="B69" s="2">
        <v>3149</v>
      </c>
      <c r="C69" s="2" t="s">
        <v>365</v>
      </c>
      <c r="D69" s="2" t="s">
        <v>265</v>
      </c>
      <c r="E69" s="2" t="s">
        <v>366</v>
      </c>
      <c r="F69" s="3">
        <v>45941</v>
      </c>
      <c r="G69" s="3">
        <v>45941</v>
      </c>
      <c r="H69" s="3">
        <v>45941</v>
      </c>
      <c r="I69" s="2"/>
      <c r="J69" s="2"/>
      <c r="K69" s="2" t="s">
        <v>25</v>
      </c>
      <c r="L69" s="2" t="s">
        <v>26</v>
      </c>
      <c r="M69" s="2"/>
      <c r="N69" s="2" t="s">
        <v>27</v>
      </c>
      <c r="O69" s="2">
        <v>79.75</v>
      </c>
      <c r="P69" s="2">
        <v>14.36</v>
      </c>
      <c r="Q69" s="2">
        <v>94.11</v>
      </c>
      <c r="R69" s="2">
        <v>94.11</v>
      </c>
      <c r="S69" s="2">
        <v>94.11</v>
      </c>
      <c r="T69" s="2" t="s">
        <v>28</v>
      </c>
      <c r="U69" s="2" t="b">
        <v>0</v>
      </c>
      <c r="V69" s="2" t="s">
        <v>29</v>
      </c>
      <c r="W69" s="2" t="s">
        <v>30</v>
      </c>
      <c r="X69" s="2"/>
      <c r="Y69" s="2"/>
      <c r="Z69" s="2" t="s">
        <v>31</v>
      </c>
      <c r="AA69" s="2"/>
      <c r="AB69" s="2"/>
      <c r="AC69" s="2"/>
      <c r="AD69" s="2"/>
      <c r="AK69" s="8">
        <f t="shared" si="1"/>
        <v>45941</v>
      </c>
    </row>
    <row r="70" spans="1:37" ht="15" customHeight="1">
      <c r="A70" s="2" t="s">
        <v>367</v>
      </c>
      <c r="B70" s="2">
        <v>3149</v>
      </c>
      <c r="C70" s="2" t="s">
        <v>365</v>
      </c>
      <c r="D70" s="2" t="s">
        <v>265</v>
      </c>
      <c r="E70" s="2" t="s">
        <v>366</v>
      </c>
      <c r="F70" s="3">
        <v>45940</v>
      </c>
      <c r="G70" s="3">
        <v>45940</v>
      </c>
      <c r="H70" s="3">
        <v>45940</v>
      </c>
      <c r="I70" s="2"/>
      <c r="J70" s="2"/>
      <c r="K70" s="2" t="s">
        <v>25</v>
      </c>
      <c r="L70" s="2" t="s">
        <v>26</v>
      </c>
      <c r="M70" s="2"/>
      <c r="N70" s="2" t="s">
        <v>27</v>
      </c>
      <c r="O70" s="2">
        <v>73.47</v>
      </c>
      <c r="P70" s="2">
        <v>13.22</v>
      </c>
      <c r="Q70" s="2">
        <v>86.69</v>
      </c>
      <c r="R70" s="2">
        <v>86.69</v>
      </c>
      <c r="S70" s="2">
        <v>86.69</v>
      </c>
      <c r="T70" s="2" t="s">
        <v>28</v>
      </c>
      <c r="U70" s="2" t="b">
        <v>0</v>
      </c>
      <c r="V70" s="2" t="s">
        <v>29</v>
      </c>
      <c r="W70" s="2" t="s">
        <v>30</v>
      </c>
      <c r="X70" s="2"/>
      <c r="Y70" s="2"/>
      <c r="Z70" s="2" t="s">
        <v>31</v>
      </c>
      <c r="AA70" s="2"/>
      <c r="AB70" s="2"/>
      <c r="AC70" s="2"/>
      <c r="AD70" s="2"/>
      <c r="AK70" s="8">
        <f t="shared" si="1"/>
        <v>45940</v>
      </c>
    </row>
    <row r="71" spans="1:37" ht="15" customHeight="1">
      <c r="A71" s="2" t="s">
        <v>368</v>
      </c>
      <c r="B71" s="2">
        <v>3157</v>
      </c>
      <c r="C71" s="2" t="s">
        <v>369</v>
      </c>
      <c r="D71" s="2" t="s">
        <v>298</v>
      </c>
      <c r="E71" s="2" t="s">
        <v>34</v>
      </c>
      <c r="F71" s="3">
        <v>45940</v>
      </c>
      <c r="G71" s="3">
        <v>45940</v>
      </c>
      <c r="H71" s="3">
        <v>45940</v>
      </c>
      <c r="I71" s="2"/>
      <c r="J71" s="2"/>
      <c r="K71" s="2" t="s">
        <v>25</v>
      </c>
      <c r="L71" s="2" t="s">
        <v>26</v>
      </c>
      <c r="M71" s="2"/>
      <c r="N71" s="2" t="s">
        <v>27</v>
      </c>
      <c r="O71" s="2">
        <v>482.54</v>
      </c>
      <c r="P71" s="2">
        <v>86.86</v>
      </c>
      <c r="Q71" s="2">
        <v>569.4</v>
      </c>
      <c r="R71" s="2">
        <v>569.4</v>
      </c>
      <c r="S71" s="2">
        <v>569.4</v>
      </c>
      <c r="T71" s="2" t="s">
        <v>28</v>
      </c>
      <c r="U71" s="2" t="b">
        <v>0</v>
      </c>
      <c r="V71" s="2" t="s">
        <v>29</v>
      </c>
      <c r="W71" s="2" t="s">
        <v>30</v>
      </c>
      <c r="X71" s="2"/>
      <c r="Y71" s="2"/>
      <c r="Z71" s="2" t="s">
        <v>31</v>
      </c>
      <c r="AA71" s="2"/>
      <c r="AB71" s="2"/>
      <c r="AC71" s="2"/>
      <c r="AD71" s="2"/>
      <c r="AK71" s="8">
        <f t="shared" ref="AK71:AK134" si="2">+IF(AE71&lt;&gt;"",AE71,F71)</f>
        <v>45940</v>
      </c>
    </row>
    <row r="72" spans="1:37" ht="15" customHeight="1">
      <c r="A72" s="2" t="s">
        <v>370</v>
      </c>
      <c r="B72" s="2">
        <v>3157</v>
      </c>
      <c r="C72" s="2" t="s">
        <v>369</v>
      </c>
      <c r="D72" s="2" t="s">
        <v>298</v>
      </c>
      <c r="E72" s="2" t="s">
        <v>34</v>
      </c>
      <c r="F72" s="3">
        <v>45939</v>
      </c>
      <c r="G72" s="3">
        <v>45939</v>
      </c>
      <c r="H72" s="3">
        <v>45939</v>
      </c>
      <c r="I72" s="2"/>
      <c r="J72" s="2"/>
      <c r="K72" s="2" t="s">
        <v>25</v>
      </c>
      <c r="L72" s="2" t="s">
        <v>26</v>
      </c>
      <c r="M72" s="2"/>
      <c r="N72" s="2" t="s">
        <v>27</v>
      </c>
      <c r="O72" s="2">
        <v>317.5</v>
      </c>
      <c r="P72" s="2">
        <v>57.15</v>
      </c>
      <c r="Q72" s="2">
        <v>374.65</v>
      </c>
      <c r="R72" s="2">
        <v>374.65</v>
      </c>
      <c r="S72" s="2">
        <v>374.65</v>
      </c>
      <c r="T72" s="2" t="s">
        <v>28</v>
      </c>
      <c r="U72" s="2" t="b">
        <v>0</v>
      </c>
      <c r="V72" s="2" t="s">
        <v>29</v>
      </c>
      <c r="W72" s="2" t="s">
        <v>30</v>
      </c>
      <c r="X72" s="2"/>
      <c r="Y72" s="2"/>
      <c r="Z72" s="2" t="s">
        <v>31</v>
      </c>
      <c r="AA72" s="2"/>
      <c r="AB72" s="2"/>
      <c r="AC72" s="2"/>
      <c r="AD72" s="2"/>
      <c r="AK72" s="8">
        <f t="shared" si="2"/>
        <v>45939</v>
      </c>
    </row>
    <row r="73" spans="1:37" ht="15" customHeight="1">
      <c r="A73" s="2" t="s">
        <v>371</v>
      </c>
      <c r="B73" s="2">
        <v>3185</v>
      </c>
      <c r="C73" s="2" t="s">
        <v>372</v>
      </c>
      <c r="D73" s="2" t="s">
        <v>265</v>
      </c>
      <c r="E73" s="2" t="s">
        <v>373</v>
      </c>
      <c r="F73" s="3">
        <v>45937</v>
      </c>
      <c r="G73" s="3">
        <v>45937</v>
      </c>
      <c r="H73" s="3">
        <v>45937</v>
      </c>
      <c r="I73" s="2"/>
      <c r="J73" s="2"/>
      <c r="K73" s="2" t="s">
        <v>25</v>
      </c>
      <c r="L73" s="2" t="s">
        <v>26</v>
      </c>
      <c r="M73" s="2"/>
      <c r="N73" s="2" t="s">
        <v>27</v>
      </c>
      <c r="O73" s="2">
        <v>4123.66</v>
      </c>
      <c r="P73" s="2">
        <v>742.26</v>
      </c>
      <c r="Q73" s="2">
        <v>4865.92</v>
      </c>
      <c r="R73" s="2">
        <v>4865.92</v>
      </c>
      <c r="S73" s="2">
        <v>4865.92</v>
      </c>
      <c r="T73" s="2" t="s">
        <v>28</v>
      </c>
      <c r="U73" s="2" t="b">
        <v>0</v>
      </c>
      <c r="V73" s="2" t="s">
        <v>29</v>
      </c>
      <c r="W73" s="2" t="s">
        <v>30</v>
      </c>
      <c r="X73" s="2"/>
      <c r="Y73" s="2"/>
      <c r="Z73" s="2" t="s">
        <v>31</v>
      </c>
      <c r="AA73" s="2"/>
      <c r="AB73" s="2"/>
      <c r="AC73" s="2"/>
      <c r="AD73" s="2"/>
      <c r="AK73" s="8">
        <f t="shared" si="2"/>
        <v>45937</v>
      </c>
    </row>
    <row r="74" spans="1:37" ht="15" customHeight="1">
      <c r="A74" s="2" t="s">
        <v>374</v>
      </c>
      <c r="B74" s="2">
        <v>3065</v>
      </c>
      <c r="C74" s="2" t="s">
        <v>341</v>
      </c>
      <c r="D74" s="2" t="s">
        <v>298</v>
      </c>
      <c r="E74" s="2" t="s">
        <v>342</v>
      </c>
      <c r="F74" s="3">
        <v>45937</v>
      </c>
      <c r="G74" s="3">
        <v>45937</v>
      </c>
      <c r="H74" s="3">
        <v>45937</v>
      </c>
      <c r="I74" s="2"/>
      <c r="J74" s="2"/>
      <c r="K74" s="2" t="s">
        <v>25</v>
      </c>
      <c r="L74" s="2" t="s">
        <v>26</v>
      </c>
      <c r="M74" s="2"/>
      <c r="N74" s="2" t="s">
        <v>27</v>
      </c>
      <c r="O74" s="2">
        <v>5603.9</v>
      </c>
      <c r="P74" s="2">
        <v>1008.7</v>
      </c>
      <c r="Q74" s="2">
        <v>6612.6</v>
      </c>
      <c r="R74" s="2">
        <v>6612.6</v>
      </c>
      <c r="S74" s="2">
        <v>6612.6</v>
      </c>
      <c r="T74" s="2" t="s">
        <v>28</v>
      </c>
      <c r="U74" s="2" t="b">
        <v>0</v>
      </c>
      <c r="V74" s="2" t="s">
        <v>29</v>
      </c>
      <c r="W74" s="2" t="s">
        <v>30</v>
      </c>
      <c r="X74" s="2"/>
      <c r="Y74" s="2"/>
      <c r="Z74" s="2" t="s">
        <v>31</v>
      </c>
      <c r="AA74" s="2"/>
      <c r="AB74" s="2"/>
      <c r="AC74" s="2"/>
      <c r="AD74" s="2"/>
      <c r="AK74" s="8">
        <f t="shared" si="2"/>
        <v>45937</v>
      </c>
    </row>
    <row r="75" spans="1:37" ht="15" customHeight="1">
      <c r="A75" s="2" t="s">
        <v>375</v>
      </c>
      <c r="B75" s="2">
        <v>0</v>
      </c>
      <c r="C75" s="2"/>
      <c r="D75" s="2" t="s">
        <v>298</v>
      </c>
      <c r="E75" s="2" t="s">
        <v>376</v>
      </c>
      <c r="F75" s="3">
        <v>45698</v>
      </c>
      <c r="G75" s="3">
        <v>45698</v>
      </c>
      <c r="H75" s="3">
        <v>45698</v>
      </c>
      <c r="I75" s="2"/>
      <c r="J75" s="2"/>
      <c r="K75" s="2" t="s">
        <v>25</v>
      </c>
      <c r="L75" s="2" t="s">
        <v>26</v>
      </c>
      <c r="M75" s="2"/>
      <c r="N75" s="2" t="s">
        <v>27</v>
      </c>
      <c r="O75" s="2">
        <v>1230</v>
      </c>
      <c r="P75" s="2">
        <v>221.4</v>
      </c>
      <c r="Q75" s="2">
        <v>1451.4</v>
      </c>
      <c r="R75" s="2">
        <v>1451.4</v>
      </c>
      <c r="S75" s="2">
        <v>1451.4</v>
      </c>
      <c r="T75" s="2" t="s">
        <v>28</v>
      </c>
      <c r="U75" s="2" t="b">
        <v>0</v>
      </c>
      <c r="V75" s="2" t="s">
        <v>29</v>
      </c>
      <c r="W75" s="2" t="s">
        <v>104</v>
      </c>
      <c r="X75" s="2" t="s">
        <v>105</v>
      </c>
      <c r="Y75" s="2" t="s">
        <v>377</v>
      </c>
      <c r="Z75" s="2" t="s">
        <v>31</v>
      </c>
      <c r="AA75" s="2"/>
      <c r="AB75" s="2"/>
      <c r="AC75" s="2"/>
      <c r="AD75" s="2"/>
      <c r="AK75" s="8">
        <f t="shared" si="2"/>
        <v>45698</v>
      </c>
    </row>
    <row r="76" spans="1:37" ht="15" customHeight="1">
      <c r="A76" s="2" t="s">
        <v>378</v>
      </c>
      <c r="B76" s="2">
        <v>0</v>
      </c>
      <c r="C76" s="2"/>
      <c r="D76" s="2" t="s">
        <v>298</v>
      </c>
      <c r="E76" s="2" t="s">
        <v>34</v>
      </c>
      <c r="F76" s="3">
        <v>45698</v>
      </c>
      <c r="G76" s="3">
        <v>45698</v>
      </c>
      <c r="H76" s="3">
        <v>45698</v>
      </c>
      <c r="I76" s="2"/>
      <c r="J76" s="2"/>
      <c r="K76" s="2" t="s">
        <v>25</v>
      </c>
      <c r="L76" s="2" t="s">
        <v>26</v>
      </c>
      <c r="M76" s="2"/>
      <c r="N76" s="2" t="s">
        <v>27</v>
      </c>
      <c r="O76" s="2">
        <v>1241</v>
      </c>
      <c r="P76" s="2">
        <v>223.38</v>
      </c>
      <c r="Q76" s="2">
        <v>1464.38</v>
      </c>
      <c r="R76" s="2">
        <v>1464.38</v>
      </c>
      <c r="S76" s="2">
        <v>1464.38</v>
      </c>
      <c r="T76" s="2" t="s">
        <v>28</v>
      </c>
      <c r="U76" s="2" t="b">
        <v>0</v>
      </c>
      <c r="V76" s="2" t="s">
        <v>29</v>
      </c>
      <c r="W76" s="2" t="s">
        <v>104</v>
      </c>
      <c r="X76" s="2" t="s">
        <v>105</v>
      </c>
      <c r="Y76" s="2" t="s">
        <v>379</v>
      </c>
      <c r="Z76" s="2" t="s">
        <v>31</v>
      </c>
      <c r="AA76" s="2"/>
      <c r="AB76" s="2"/>
      <c r="AC76" s="2"/>
      <c r="AD76" s="2"/>
      <c r="AK76" s="8">
        <f t="shared" si="2"/>
        <v>45698</v>
      </c>
    </row>
    <row r="77" spans="1:37" ht="15" customHeight="1">
      <c r="A77" s="2" t="s">
        <v>380</v>
      </c>
      <c r="B77" s="2">
        <v>0</v>
      </c>
      <c r="C77" s="2"/>
      <c r="D77" s="2" t="s">
        <v>298</v>
      </c>
      <c r="E77" s="2" t="s">
        <v>35</v>
      </c>
      <c r="F77" s="3">
        <v>45698</v>
      </c>
      <c r="G77" s="3">
        <v>45698</v>
      </c>
      <c r="H77" s="3">
        <v>45698</v>
      </c>
      <c r="I77" s="2"/>
      <c r="J77" s="2"/>
      <c r="K77" s="2" t="s">
        <v>25</v>
      </c>
      <c r="L77" s="2" t="s">
        <v>26</v>
      </c>
      <c r="M77" s="2"/>
      <c r="N77" s="2" t="s">
        <v>27</v>
      </c>
      <c r="O77" s="2">
        <v>400</v>
      </c>
      <c r="P77" s="2">
        <v>72</v>
      </c>
      <c r="Q77" s="2">
        <v>472</v>
      </c>
      <c r="R77" s="2">
        <v>472</v>
      </c>
      <c r="S77" s="2">
        <v>472</v>
      </c>
      <c r="T77" s="2" t="s">
        <v>28</v>
      </c>
      <c r="U77" s="2" t="b">
        <v>0</v>
      </c>
      <c r="V77" s="2" t="s">
        <v>29</v>
      </c>
      <c r="W77" s="2" t="s">
        <v>104</v>
      </c>
      <c r="X77" s="2" t="s">
        <v>105</v>
      </c>
      <c r="Y77" s="2" t="s">
        <v>381</v>
      </c>
      <c r="Z77" s="2" t="s">
        <v>31</v>
      </c>
      <c r="AA77" s="2"/>
      <c r="AB77" s="2"/>
      <c r="AC77" s="2"/>
      <c r="AD77" s="2"/>
      <c r="AK77" s="8">
        <f t="shared" si="2"/>
        <v>45698</v>
      </c>
    </row>
    <row r="78" spans="1:37" ht="15" customHeight="1">
      <c r="A78" s="2" t="s">
        <v>382</v>
      </c>
      <c r="B78" s="2">
        <v>0</v>
      </c>
      <c r="C78" s="2"/>
      <c r="D78" s="2" t="s">
        <v>298</v>
      </c>
      <c r="E78" s="2" t="s">
        <v>36</v>
      </c>
      <c r="F78" s="3">
        <v>45695</v>
      </c>
      <c r="G78" s="3">
        <v>45695</v>
      </c>
      <c r="H78" s="3">
        <v>45695</v>
      </c>
      <c r="I78" s="2"/>
      <c r="J78" s="2"/>
      <c r="K78" s="2" t="s">
        <v>25</v>
      </c>
      <c r="L78" s="2" t="s">
        <v>26</v>
      </c>
      <c r="M78" s="2"/>
      <c r="N78" s="2" t="s">
        <v>27</v>
      </c>
      <c r="O78" s="2">
        <v>107.37</v>
      </c>
      <c r="P78" s="2">
        <v>19.329999999999998</v>
      </c>
      <c r="Q78" s="2">
        <v>126.7</v>
      </c>
      <c r="R78" s="2">
        <v>126.7</v>
      </c>
      <c r="S78" s="2">
        <v>126.7</v>
      </c>
      <c r="T78" s="2" t="s">
        <v>28</v>
      </c>
      <c r="U78" s="2" t="b">
        <v>0</v>
      </c>
      <c r="V78" s="2" t="s">
        <v>29</v>
      </c>
      <c r="W78" s="2" t="s">
        <v>104</v>
      </c>
      <c r="X78" s="2" t="s">
        <v>105</v>
      </c>
      <c r="Y78" s="2" t="s">
        <v>383</v>
      </c>
      <c r="Z78" s="2" t="s">
        <v>31</v>
      </c>
      <c r="AA78" s="2"/>
      <c r="AB78" s="2"/>
      <c r="AC78" s="2"/>
      <c r="AD78" s="2"/>
      <c r="AK78" s="8">
        <f t="shared" si="2"/>
        <v>45695</v>
      </c>
    </row>
    <row r="79" spans="1:37" ht="15" customHeight="1">
      <c r="A79" s="2" t="s">
        <v>384</v>
      </c>
      <c r="B79" s="2">
        <v>0</v>
      </c>
      <c r="C79" s="2"/>
      <c r="D79" s="2" t="s">
        <v>298</v>
      </c>
      <c r="E79" s="2" t="s">
        <v>36</v>
      </c>
      <c r="F79" s="3">
        <v>45695</v>
      </c>
      <c r="G79" s="3">
        <v>45695</v>
      </c>
      <c r="H79" s="3">
        <v>45695</v>
      </c>
      <c r="I79" s="2"/>
      <c r="J79" s="2"/>
      <c r="K79" s="2" t="s">
        <v>25</v>
      </c>
      <c r="L79" s="2" t="s">
        <v>26</v>
      </c>
      <c r="M79" s="2"/>
      <c r="N79" s="2" t="s">
        <v>27</v>
      </c>
      <c r="O79" s="2">
        <v>30.68</v>
      </c>
      <c r="P79" s="2">
        <v>5.52</v>
      </c>
      <c r="Q79" s="2">
        <v>36.200000000000003</v>
      </c>
      <c r="R79" s="2">
        <v>36.200000000000003</v>
      </c>
      <c r="S79" s="2">
        <v>36.200000000000003</v>
      </c>
      <c r="T79" s="2" t="s">
        <v>28</v>
      </c>
      <c r="U79" s="2" t="b">
        <v>0</v>
      </c>
      <c r="V79" s="2" t="s">
        <v>29</v>
      </c>
      <c r="W79" s="2" t="s">
        <v>104</v>
      </c>
      <c r="X79" s="2" t="s">
        <v>105</v>
      </c>
      <c r="Y79" s="2" t="s">
        <v>385</v>
      </c>
      <c r="Z79" s="2" t="s">
        <v>31</v>
      </c>
      <c r="AA79" s="2"/>
      <c r="AB79" s="2"/>
      <c r="AC79" s="2"/>
      <c r="AD79" s="2"/>
      <c r="AK79" s="8">
        <f t="shared" si="2"/>
        <v>45695</v>
      </c>
    </row>
    <row r="80" spans="1:37" ht="15" customHeight="1">
      <c r="A80" s="2" t="s">
        <v>386</v>
      </c>
      <c r="B80" s="2">
        <v>0</v>
      </c>
      <c r="C80" s="2"/>
      <c r="D80" s="2" t="s">
        <v>298</v>
      </c>
      <c r="E80" s="2" t="s">
        <v>36</v>
      </c>
      <c r="F80" s="3">
        <v>45695</v>
      </c>
      <c r="G80" s="3">
        <v>45695</v>
      </c>
      <c r="H80" s="3">
        <v>45695</v>
      </c>
      <c r="I80" s="2"/>
      <c r="J80" s="2"/>
      <c r="K80" s="2" t="s">
        <v>25</v>
      </c>
      <c r="L80" s="2" t="s">
        <v>26</v>
      </c>
      <c r="M80" s="2"/>
      <c r="N80" s="2" t="s">
        <v>27</v>
      </c>
      <c r="O80" s="2">
        <v>20.190000000000001</v>
      </c>
      <c r="P80" s="2">
        <v>3.64</v>
      </c>
      <c r="Q80" s="2">
        <v>23.83</v>
      </c>
      <c r="R80" s="2">
        <v>23.83</v>
      </c>
      <c r="S80" s="2">
        <v>23.83</v>
      </c>
      <c r="T80" s="2" t="s">
        <v>28</v>
      </c>
      <c r="U80" s="2" t="b">
        <v>0</v>
      </c>
      <c r="V80" s="2" t="s">
        <v>29</v>
      </c>
      <c r="W80" s="2" t="s">
        <v>104</v>
      </c>
      <c r="X80" s="2" t="s">
        <v>105</v>
      </c>
      <c r="Y80" s="2" t="s">
        <v>387</v>
      </c>
      <c r="Z80" s="2" t="s">
        <v>31</v>
      </c>
      <c r="AA80" s="2"/>
      <c r="AB80" s="2"/>
      <c r="AC80" s="2"/>
      <c r="AD80" s="2"/>
      <c r="AK80" s="8">
        <f t="shared" si="2"/>
        <v>45695</v>
      </c>
    </row>
    <row r="81" spans="1:37" ht="15" customHeight="1">
      <c r="A81" s="2" t="s">
        <v>388</v>
      </c>
      <c r="B81" s="2">
        <v>0</v>
      </c>
      <c r="C81" s="2"/>
      <c r="D81" s="2" t="s">
        <v>265</v>
      </c>
      <c r="E81" s="2" t="s">
        <v>389</v>
      </c>
      <c r="F81" s="3">
        <v>45695</v>
      </c>
      <c r="G81" s="3">
        <v>45695</v>
      </c>
      <c r="H81" s="3">
        <v>45695</v>
      </c>
      <c r="I81" s="2"/>
      <c r="J81" s="2"/>
      <c r="K81" s="2" t="s">
        <v>25</v>
      </c>
      <c r="L81" s="2" t="s">
        <v>26</v>
      </c>
      <c r="M81" s="2"/>
      <c r="N81" s="2" t="s">
        <v>27</v>
      </c>
      <c r="O81" s="2">
        <v>50.85</v>
      </c>
      <c r="P81" s="2">
        <v>9.15</v>
      </c>
      <c r="Q81" s="2">
        <v>60</v>
      </c>
      <c r="R81" s="2">
        <v>60</v>
      </c>
      <c r="S81" s="2">
        <v>60</v>
      </c>
      <c r="T81" s="2" t="s">
        <v>28</v>
      </c>
      <c r="U81" s="2" t="b">
        <v>0</v>
      </c>
      <c r="V81" s="2" t="s">
        <v>29</v>
      </c>
      <c r="W81" s="2" t="s">
        <v>104</v>
      </c>
      <c r="X81" s="2" t="s">
        <v>105</v>
      </c>
      <c r="Y81" s="2" t="s">
        <v>390</v>
      </c>
      <c r="Z81" s="2" t="s">
        <v>31</v>
      </c>
      <c r="AA81" s="2"/>
      <c r="AB81" s="2"/>
      <c r="AC81" s="2"/>
      <c r="AD81" s="2"/>
      <c r="AK81" s="8">
        <f t="shared" si="2"/>
        <v>45695</v>
      </c>
    </row>
    <row r="82" spans="1:37" ht="15" customHeight="1">
      <c r="A82" s="2" t="s">
        <v>391</v>
      </c>
      <c r="B82" s="2">
        <v>0</v>
      </c>
      <c r="C82" s="2"/>
      <c r="D82" s="2" t="s">
        <v>265</v>
      </c>
      <c r="E82" s="2" t="s">
        <v>389</v>
      </c>
      <c r="F82" s="3">
        <v>45695</v>
      </c>
      <c r="G82" s="3">
        <v>45695</v>
      </c>
      <c r="H82" s="3">
        <v>45695</v>
      </c>
      <c r="I82" s="2"/>
      <c r="J82" s="2"/>
      <c r="K82" s="2" t="s">
        <v>25</v>
      </c>
      <c r="L82" s="2" t="s">
        <v>26</v>
      </c>
      <c r="M82" s="2"/>
      <c r="N82" s="2" t="s">
        <v>27</v>
      </c>
      <c r="O82" s="2">
        <v>60</v>
      </c>
      <c r="P82" s="2">
        <v>10.8</v>
      </c>
      <c r="Q82" s="2">
        <v>70.8</v>
      </c>
      <c r="R82" s="2">
        <v>70.8</v>
      </c>
      <c r="S82" s="2">
        <v>70.8</v>
      </c>
      <c r="T82" s="2" t="s">
        <v>28</v>
      </c>
      <c r="U82" s="2" t="b">
        <v>0</v>
      </c>
      <c r="V82" s="2" t="s">
        <v>29</v>
      </c>
      <c r="W82" s="2" t="s">
        <v>104</v>
      </c>
      <c r="X82" s="2" t="s">
        <v>105</v>
      </c>
      <c r="Y82" s="2" t="s">
        <v>392</v>
      </c>
      <c r="Z82" s="2" t="s">
        <v>31</v>
      </c>
      <c r="AA82" s="2"/>
      <c r="AB82" s="2"/>
      <c r="AC82" s="2"/>
      <c r="AD82" s="2"/>
      <c r="AK82" s="8">
        <f t="shared" si="2"/>
        <v>45695</v>
      </c>
    </row>
    <row r="83" spans="1:37" ht="15" customHeight="1">
      <c r="A83" s="2" t="s">
        <v>393</v>
      </c>
      <c r="B83" s="2">
        <v>0</v>
      </c>
      <c r="C83" s="2"/>
      <c r="D83" s="2" t="s">
        <v>298</v>
      </c>
      <c r="E83" s="2" t="s">
        <v>394</v>
      </c>
      <c r="F83" s="3">
        <v>45693</v>
      </c>
      <c r="G83" s="3">
        <v>45693</v>
      </c>
      <c r="H83" s="3">
        <v>45693</v>
      </c>
      <c r="I83" s="2"/>
      <c r="J83" s="2"/>
      <c r="K83" s="2" t="s">
        <v>25</v>
      </c>
      <c r="L83" s="2" t="s">
        <v>26</v>
      </c>
      <c r="M83" s="2"/>
      <c r="N83" s="2" t="s">
        <v>27</v>
      </c>
      <c r="O83" s="2">
        <v>12.75</v>
      </c>
      <c r="P83" s="2">
        <v>2.29</v>
      </c>
      <c r="Q83" s="2">
        <v>15.04</v>
      </c>
      <c r="R83" s="2">
        <v>15.04</v>
      </c>
      <c r="S83" s="2">
        <v>15.04</v>
      </c>
      <c r="T83" s="2" t="s">
        <v>28</v>
      </c>
      <c r="U83" s="2" t="b">
        <v>0</v>
      </c>
      <c r="V83" s="2" t="s">
        <v>29</v>
      </c>
      <c r="W83" s="2" t="s">
        <v>104</v>
      </c>
      <c r="X83" s="2" t="s">
        <v>105</v>
      </c>
      <c r="Y83" s="2" t="s">
        <v>395</v>
      </c>
      <c r="Z83" s="2" t="s">
        <v>31</v>
      </c>
      <c r="AA83" s="2"/>
      <c r="AB83" s="2"/>
      <c r="AC83" s="2"/>
      <c r="AD83" s="2"/>
      <c r="AK83" s="8">
        <f t="shared" si="2"/>
        <v>45693</v>
      </c>
    </row>
    <row r="84" spans="1:37" ht="15" customHeight="1">
      <c r="A84" s="2" t="s">
        <v>396</v>
      </c>
      <c r="B84" s="2">
        <v>0</v>
      </c>
      <c r="C84" s="2"/>
      <c r="D84" s="2" t="s">
        <v>298</v>
      </c>
      <c r="E84" s="2" t="s">
        <v>394</v>
      </c>
      <c r="F84" s="3">
        <v>45693</v>
      </c>
      <c r="G84" s="3">
        <v>45693</v>
      </c>
      <c r="H84" s="3">
        <v>45693</v>
      </c>
      <c r="I84" s="2"/>
      <c r="J84" s="2"/>
      <c r="K84" s="2" t="s">
        <v>25</v>
      </c>
      <c r="L84" s="2" t="s">
        <v>26</v>
      </c>
      <c r="M84" s="2"/>
      <c r="N84" s="2" t="s">
        <v>27</v>
      </c>
      <c r="O84" s="2">
        <v>392.2</v>
      </c>
      <c r="P84" s="2">
        <v>70.599999999999994</v>
      </c>
      <c r="Q84" s="2">
        <v>462.8</v>
      </c>
      <c r="R84" s="2">
        <v>462.8</v>
      </c>
      <c r="S84" s="2">
        <v>462.8</v>
      </c>
      <c r="T84" s="2" t="s">
        <v>28</v>
      </c>
      <c r="U84" s="2" t="b">
        <v>0</v>
      </c>
      <c r="V84" s="2" t="s">
        <v>29</v>
      </c>
      <c r="W84" s="2" t="s">
        <v>104</v>
      </c>
      <c r="X84" s="2" t="s">
        <v>105</v>
      </c>
      <c r="Y84" s="2" t="s">
        <v>397</v>
      </c>
      <c r="Z84" s="2" t="s">
        <v>31</v>
      </c>
      <c r="AA84" s="2"/>
      <c r="AB84" s="2"/>
      <c r="AC84" s="2"/>
      <c r="AD84" s="2"/>
      <c r="AK84" s="8">
        <f t="shared" si="2"/>
        <v>45693</v>
      </c>
    </row>
    <row r="85" spans="1:37" ht="15" customHeight="1">
      <c r="A85" s="2" t="s">
        <v>398</v>
      </c>
      <c r="B85" s="2">
        <v>0</v>
      </c>
      <c r="C85" s="2"/>
      <c r="D85" s="2" t="s">
        <v>298</v>
      </c>
      <c r="E85" s="2" t="s">
        <v>394</v>
      </c>
      <c r="F85" s="3">
        <v>45693</v>
      </c>
      <c r="G85" s="3">
        <v>45693</v>
      </c>
      <c r="H85" s="3">
        <v>45693</v>
      </c>
      <c r="I85" s="2"/>
      <c r="J85" s="2"/>
      <c r="K85" s="2" t="s">
        <v>25</v>
      </c>
      <c r="L85" s="2" t="s">
        <v>26</v>
      </c>
      <c r="M85" s="2"/>
      <c r="N85" s="2" t="s">
        <v>27</v>
      </c>
      <c r="O85" s="2">
        <v>527.39</v>
      </c>
      <c r="P85" s="2">
        <v>94.93</v>
      </c>
      <c r="Q85" s="2">
        <v>622.32000000000005</v>
      </c>
      <c r="R85" s="2">
        <v>622.32000000000005</v>
      </c>
      <c r="S85" s="2">
        <v>622.32000000000005</v>
      </c>
      <c r="T85" s="2" t="s">
        <v>28</v>
      </c>
      <c r="U85" s="2" t="b">
        <v>0</v>
      </c>
      <c r="V85" s="2" t="s">
        <v>29</v>
      </c>
      <c r="W85" s="2" t="s">
        <v>104</v>
      </c>
      <c r="X85" s="2" t="s">
        <v>105</v>
      </c>
      <c r="Y85" s="2" t="s">
        <v>399</v>
      </c>
      <c r="Z85" s="2" t="s">
        <v>31</v>
      </c>
      <c r="AA85" s="2"/>
      <c r="AB85" s="2"/>
      <c r="AC85" s="2"/>
      <c r="AD85" s="2"/>
      <c r="AK85" s="8">
        <f t="shared" si="2"/>
        <v>45693</v>
      </c>
    </row>
    <row r="86" spans="1:37" ht="15" customHeight="1">
      <c r="A86" s="2" t="s">
        <v>400</v>
      </c>
      <c r="B86" s="2">
        <v>0</v>
      </c>
      <c r="C86" s="2"/>
      <c r="D86" s="2" t="s">
        <v>298</v>
      </c>
      <c r="E86" s="2" t="s">
        <v>401</v>
      </c>
      <c r="F86" s="3">
        <v>45693</v>
      </c>
      <c r="G86" s="3">
        <v>45693</v>
      </c>
      <c r="H86" s="3">
        <v>45693</v>
      </c>
      <c r="I86" s="2"/>
      <c r="J86" s="2"/>
      <c r="K86" s="2" t="s">
        <v>25</v>
      </c>
      <c r="L86" s="2" t="s">
        <v>26</v>
      </c>
      <c r="M86" s="2"/>
      <c r="N86" s="2" t="s">
        <v>27</v>
      </c>
      <c r="O86" s="2">
        <v>190.17</v>
      </c>
      <c r="P86" s="2">
        <v>34.229999999999997</v>
      </c>
      <c r="Q86" s="2">
        <v>224.4</v>
      </c>
      <c r="R86" s="2">
        <v>224.4</v>
      </c>
      <c r="S86" s="2">
        <v>224.4</v>
      </c>
      <c r="T86" s="2" t="s">
        <v>28</v>
      </c>
      <c r="U86" s="2" t="b">
        <v>0</v>
      </c>
      <c r="V86" s="2" t="s">
        <v>29</v>
      </c>
      <c r="W86" s="2" t="s">
        <v>104</v>
      </c>
      <c r="X86" s="2" t="s">
        <v>105</v>
      </c>
      <c r="Y86" s="2" t="s">
        <v>402</v>
      </c>
      <c r="Z86" s="2" t="s">
        <v>31</v>
      </c>
      <c r="AA86" s="2"/>
      <c r="AB86" s="2"/>
      <c r="AC86" s="2"/>
      <c r="AD86" s="2"/>
      <c r="AK86" s="8">
        <f t="shared" si="2"/>
        <v>45693</v>
      </c>
    </row>
    <row r="87" spans="1:37" ht="15" customHeight="1">
      <c r="A87" s="2" t="s">
        <v>403</v>
      </c>
      <c r="B87" s="2">
        <v>0</v>
      </c>
      <c r="C87" s="2"/>
      <c r="D87" s="2" t="s">
        <v>298</v>
      </c>
      <c r="E87" s="2" t="s">
        <v>401</v>
      </c>
      <c r="F87" s="3">
        <v>45693</v>
      </c>
      <c r="G87" s="3">
        <v>45693</v>
      </c>
      <c r="H87" s="3">
        <v>45693</v>
      </c>
      <c r="I87" s="2"/>
      <c r="J87" s="2"/>
      <c r="K87" s="2" t="s">
        <v>25</v>
      </c>
      <c r="L87" s="2" t="s">
        <v>26</v>
      </c>
      <c r="M87" s="2"/>
      <c r="N87" s="2" t="s">
        <v>27</v>
      </c>
      <c r="O87" s="2">
        <v>140.34</v>
      </c>
      <c r="P87" s="2">
        <v>25.26</v>
      </c>
      <c r="Q87" s="2">
        <v>165.6</v>
      </c>
      <c r="R87" s="2">
        <v>165.6</v>
      </c>
      <c r="S87" s="2">
        <v>165.6</v>
      </c>
      <c r="T87" s="2" t="s">
        <v>28</v>
      </c>
      <c r="U87" s="2" t="b">
        <v>0</v>
      </c>
      <c r="V87" s="2" t="s">
        <v>29</v>
      </c>
      <c r="W87" s="2" t="s">
        <v>104</v>
      </c>
      <c r="X87" s="2" t="s">
        <v>105</v>
      </c>
      <c r="Y87" s="2" t="s">
        <v>404</v>
      </c>
      <c r="Z87" s="2" t="s">
        <v>31</v>
      </c>
      <c r="AA87" s="2"/>
      <c r="AB87" s="2"/>
      <c r="AC87" s="2"/>
      <c r="AD87" s="2"/>
      <c r="AK87" s="8">
        <f t="shared" si="2"/>
        <v>45693</v>
      </c>
    </row>
    <row r="88" spans="1:37" ht="15" customHeight="1">
      <c r="A88" s="2" t="s">
        <v>405</v>
      </c>
      <c r="B88" s="2">
        <v>0</v>
      </c>
      <c r="C88" s="2"/>
      <c r="D88" s="2" t="s">
        <v>298</v>
      </c>
      <c r="E88" s="2" t="s">
        <v>406</v>
      </c>
      <c r="F88" s="3">
        <v>45693</v>
      </c>
      <c r="G88" s="3">
        <v>45693</v>
      </c>
      <c r="H88" s="3">
        <v>45693</v>
      </c>
      <c r="I88" s="2"/>
      <c r="J88" s="2"/>
      <c r="K88" s="2" t="s">
        <v>25</v>
      </c>
      <c r="L88" s="2" t="s">
        <v>26</v>
      </c>
      <c r="M88" s="2"/>
      <c r="N88" s="2" t="s">
        <v>27</v>
      </c>
      <c r="O88" s="2">
        <v>18.64</v>
      </c>
      <c r="P88" s="2">
        <v>3.36</v>
      </c>
      <c r="Q88" s="2">
        <v>22</v>
      </c>
      <c r="R88" s="2">
        <v>22</v>
      </c>
      <c r="S88" s="2">
        <v>22</v>
      </c>
      <c r="T88" s="2" t="s">
        <v>28</v>
      </c>
      <c r="U88" s="2" t="b">
        <v>0</v>
      </c>
      <c r="V88" s="2" t="s">
        <v>29</v>
      </c>
      <c r="W88" s="2" t="s">
        <v>104</v>
      </c>
      <c r="X88" s="2" t="s">
        <v>105</v>
      </c>
      <c r="Y88" s="2" t="s">
        <v>407</v>
      </c>
      <c r="Z88" s="2" t="s">
        <v>31</v>
      </c>
      <c r="AA88" s="2"/>
      <c r="AB88" s="2"/>
      <c r="AC88" s="2"/>
      <c r="AD88" s="2"/>
      <c r="AK88" s="8">
        <f t="shared" si="2"/>
        <v>45693</v>
      </c>
    </row>
    <row r="89" spans="1:37" ht="15" customHeight="1">
      <c r="A89" s="2" t="s">
        <v>408</v>
      </c>
      <c r="B89" s="2">
        <v>0</v>
      </c>
      <c r="C89" s="2"/>
      <c r="D89" s="2" t="s">
        <v>298</v>
      </c>
      <c r="E89" s="2" t="s">
        <v>406</v>
      </c>
      <c r="F89" s="3">
        <v>45693</v>
      </c>
      <c r="G89" s="3">
        <v>45693</v>
      </c>
      <c r="H89" s="3">
        <v>45693</v>
      </c>
      <c r="I89" s="2"/>
      <c r="J89" s="2"/>
      <c r="K89" s="2" t="s">
        <v>25</v>
      </c>
      <c r="L89" s="2" t="s">
        <v>26</v>
      </c>
      <c r="M89" s="2"/>
      <c r="N89" s="2" t="s">
        <v>27</v>
      </c>
      <c r="O89" s="2">
        <v>12.71</v>
      </c>
      <c r="P89" s="2">
        <v>2.29</v>
      </c>
      <c r="Q89" s="2">
        <v>15</v>
      </c>
      <c r="R89" s="2">
        <v>15</v>
      </c>
      <c r="S89" s="2">
        <v>15</v>
      </c>
      <c r="T89" s="2" t="s">
        <v>28</v>
      </c>
      <c r="U89" s="2" t="b">
        <v>0</v>
      </c>
      <c r="V89" s="2" t="s">
        <v>29</v>
      </c>
      <c r="W89" s="2" t="s">
        <v>104</v>
      </c>
      <c r="X89" s="2" t="s">
        <v>105</v>
      </c>
      <c r="Y89" s="2" t="s">
        <v>409</v>
      </c>
      <c r="Z89" s="2" t="s">
        <v>31</v>
      </c>
      <c r="AA89" s="2"/>
      <c r="AB89" s="2"/>
      <c r="AC89" s="2"/>
      <c r="AD89" s="2"/>
      <c r="AK89" s="8">
        <f t="shared" si="2"/>
        <v>45693</v>
      </c>
    </row>
    <row r="90" spans="1:37" ht="15" customHeight="1">
      <c r="A90" s="2" t="s">
        <v>410</v>
      </c>
      <c r="B90" s="2">
        <v>0</v>
      </c>
      <c r="C90" s="2"/>
      <c r="D90" s="2" t="s">
        <v>298</v>
      </c>
      <c r="E90" s="2" t="s">
        <v>406</v>
      </c>
      <c r="F90" s="3">
        <v>45693</v>
      </c>
      <c r="G90" s="3">
        <v>45693</v>
      </c>
      <c r="H90" s="3">
        <v>45693</v>
      </c>
      <c r="I90" s="2"/>
      <c r="J90" s="2"/>
      <c r="K90" s="2" t="s">
        <v>25</v>
      </c>
      <c r="L90" s="2" t="s">
        <v>26</v>
      </c>
      <c r="M90" s="2"/>
      <c r="N90" s="2" t="s">
        <v>27</v>
      </c>
      <c r="O90" s="2">
        <v>6.95</v>
      </c>
      <c r="P90" s="2">
        <v>1.25</v>
      </c>
      <c r="Q90" s="2">
        <v>8.1999999999999993</v>
      </c>
      <c r="R90" s="2">
        <v>8.1999999999999993</v>
      </c>
      <c r="S90" s="2">
        <v>8.1999999999999993</v>
      </c>
      <c r="T90" s="2" t="s">
        <v>28</v>
      </c>
      <c r="U90" s="2" t="b">
        <v>0</v>
      </c>
      <c r="V90" s="2" t="s">
        <v>29</v>
      </c>
      <c r="W90" s="2" t="s">
        <v>104</v>
      </c>
      <c r="X90" s="2" t="s">
        <v>105</v>
      </c>
      <c r="Y90" s="2" t="s">
        <v>411</v>
      </c>
      <c r="Z90" s="2" t="s">
        <v>31</v>
      </c>
      <c r="AA90" s="2"/>
      <c r="AB90" s="2"/>
      <c r="AC90" s="2"/>
      <c r="AD90" s="2"/>
      <c r="AK90" s="8">
        <f t="shared" si="2"/>
        <v>45693</v>
      </c>
    </row>
    <row r="91" spans="1:37" ht="15" customHeight="1">
      <c r="A91" s="2" t="s">
        <v>412</v>
      </c>
      <c r="B91" s="2">
        <v>0</v>
      </c>
      <c r="C91" s="2"/>
      <c r="D91" s="2" t="s">
        <v>298</v>
      </c>
      <c r="E91" s="2" t="s">
        <v>406</v>
      </c>
      <c r="F91" s="3">
        <v>45693</v>
      </c>
      <c r="G91" s="3">
        <v>45693</v>
      </c>
      <c r="H91" s="3">
        <v>45693</v>
      </c>
      <c r="I91" s="2"/>
      <c r="J91" s="2"/>
      <c r="K91" s="2" t="s">
        <v>25</v>
      </c>
      <c r="L91" s="2" t="s">
        <v>26</v>
      </c>
      <c r="M91" s="2"/>
      <c r="N91" s="2" t="s">
        <v>27</v>
      </c>
      <c r="O91" s="2">
        <v>4.58</v>
      </c>
      <c r="P91" s="2">
        <v>0.82</v>
      </c>
      <c r="Q91" s="2">
        <v>5.4</v>
      </c>
      <c r="R91" s="2">
        <v>5.4</v>
      </c>
      <c r="S91" s="2">
        <v>5.4</v>
      </c>
      <c r="T91" s="2" t="s">
        <v>28</v>
      </c>
      <c r="U91" s="2" t="b">
        <v>0</v>
      </c>
      <c r="V91" s="2" t="s">
        <v>29</v>
      </c>
      <c r="W91" s="2" t="s">
        <v>104</v>
      </c>
      <c r="X91" s="2" t="s">
        <v>105</v>
      </c>
      <c r="Y91" s="2" t="s">
        <v>413</v>
      </c>
      <c r="Z91" s="2" t="s">
        <v>31</v>
      </c>
      <c r="AA91" s="2"/>
      <c r="AB91" s="2"/>
      <c r="AC91" s="2"/>
      <c r="AD91" s="2"/>
      <c r="AK91" s="8">
        <f t="shared" si="2"/>
        <v>45693</v>
      </c>
    </row>
    <row r="92" spans="1:37" ht="15" customHeight="1">
      <c r="A92" s="2" t="s">
        <v>414</v>
      </c>
      <c r="B92" s="2">
        <v>0</v>
      </c>
      <c r="C92" s="2"/>
      <c r="D92" s="2" t="s">
        <v>298</v>
      </c>
      <c r="E92" s="2" t="s">
        <v>415</v>
      </c>
      <c r="F92" s="3">
        <v>45693</v>
      </c>
      <c r="G92" s="3">
        <v>45693</v>
      </c>
      <c r="H92" s="3">
        <v>45693</v>
      </c>
      <c r="I92" s="2"/>
      <c r="J92" s="2"/>
      <c r="K92" s="2" t="s">
        <v>25</v>
      </c>
      <c r="L92" s="2" t="s">
        <v>26</v>
      </c>
      <c r="M92" s="2"/>
      <c r="N92" s="2" t="s">
        <v>27</v>
      </c>
      <c r="O92" s="2">
        <v>1</v>
      </c>
      <c r="P92" s="2">
        <v>0.18</v>
      </c>
      <c r="Q92" s="2">
        <v>1.18</v>
      </c>
      <c r="R92" s="2">
        <v>1.18</v>
      </c>
      <c r="S92" s="2">
        <v>1.18</v>
      </c>
      <c r="T92" s="2" t="s">
        <v>28</v>
      </c>
      <c r="U92" s="2" t="b">
        <v>0</v>
      </c>
      <c r="V92" s="2" t="s">
        <v>29</v>
      </c>
      <c r="W92" s="2" t="s">
        <v>104</v>
      </c>
      <c r="X92" s="2" t="s">
        <v>105</v>
      </c>
      <c r="Y92" s="2" t="s">
        <v>416</v>
      </c>
      <c r="Z92" s="2" t="s">
        <v>31</v>
      </c>
      <c r="AA92" s="2"/>
      <c r="AB92" s="2"/>
      <c r="AC92" s="2"/>
      <c r="AD92" s="2"/>
      <c r="AK92" s="8">
        <f t="shared" si="2"/>
        <v>45693</v>
      </c>
    </row>
    <row r="93" spans="1:37" ht="15" customHeight="1">
      <c r="A93" s="2" t="s">
        <v>417</v>
      </c>
      <c r="B93" s="2">
        <v>0</v>
      </c>
      <c r="C93" s="2"/>
      <c r="D93" s="2" t="s">
        <v>298</v>
      </c>
      <c r="E93" s="2" t="s">
        <v>415</v>
      </c>
      <c r="F93" s="3">
        <v>45693</v>
      </c>
      <c r="G93" s="3">
        <v>45693</v>
      </c>
      <c r="H93" s="3">
        <v>45693</v>
      </c>
      <c r="I93" s="2"/>
      <c r="J93" s="2"/>
      <c r="K93" s="2" t="s">
        <v>25</v>
      </c>
      <c r="L93" s="2" t="s">
        <v>26</v>
      </c>
      <c r="M93" s="2"/>
      <c r="N93" s="2" t="s">
        <v>27</v>
      </c>
      <c r="O93" s="2">
        <v>200</v>
      </c>
      <c r="P93" s="2">
        <v>36</v>
      </c>
      <c r="Q93" s="2">
        <v>236</v>
      </c>
      <c r="R93" s="2">
        <v>236</v>
      </c>
      <c r="S93" s="2">
        <v>236</v>
      </c>
      <c r="T93" s="2" t="s">
        <v>28</v>
      </c>
      <c r="U93" s="2" t="b">
        <v>0</v>
      </c>
      <c r="V93" s="2" t="s">
        <v>29</v>
      </c>
      <c r="W93" s="2" t="s">
        <v>104</v>
      </c>
      <c r="X93" s="2" t="s">
        <v>105</v>
      </c>
      <c r="Y93" s="2" t="s">
        <v>418</v>
      </c>
      <c r="Z93" s="2" t="s">
        <v>31</v>
      </c>
      <c r="AA93" s="2"/>
      <c r="AB93" s="2"/>
      <c r="AC93" s="2"/>
      <c r="AD93" s="2"/>
      <c r="AK93" s="8">
        <f t="shared" si="2"/>
        <v>45693</v>
      </c>
    </row>
    <row r="94" spans="1:37" ht="15" customHeight="1">
      <c r="A94" s="2" t="s">
        <v>419</v>
      </c>
      <c r="B94" s="2">
        <v>0</v>
      </c>
      <c r="C94" s="2"/>
      <c r="D94" s="2" t="s">
        <v>298</v>
      </c>
      <c r="E94" s="2" t="s">
        <v>415</v>
      </c>
      <c r="F94" s="3">
        <v>45693</v>
      </c>
      <c r="G94" s="3">
        <v>45693</v>
      </c>
      <c r="H94" s="3">
        <v>45693</v>
      </c>
      <c r="I94" s="2"/>
      <c r="J94" s="2"/>
      <c r="K94" s="2" t="s">
        <v>25</v>
      </c>
      <c r="L94" s="2" t="s">
        <v>26</v>
      </c>
      <c r="M94" s="2"/>
      <c r="N94" s="2" t="s">
        <v>27</v>
      </c>
      <c r="O94" s="2">
        <v>69.42</v>
      </c>
      <c r="P94" s="2">
        <v>12.5</v>
      </c>
      <c r="Q94" s="2">
        <v>81.92</v>
      </c>
      <c r="R94" s="2">
        <v>81.92</v>
      </c>
      <c r="S94" s="2">
        <v>81.92</v>
      </c>
      <c r="T94" s="2" t="s">
        <v>28</v>
      </c>
      <c r="U94" s="2" t="b">
        <v>0</v>
      </c>
      <c r="V94" s="2" t="s">
        <v>29</v>
      </c>
      <c r="W94" s="2" t="s">
        <v>104</v>
      </c>
      <c r="X94" s="2" t="s">
        <v>105</v>
      </c>
      <c r="Y94" s="2" t="s">
        <v>420</v>
      </c>
      <c r="Z94" s="2" t="s">
        <v>31</v>
      </c>
      <c r="AA94" s="2"/>
      <c r="AB94" s="2"/>
      <c r="AC94" s="2"/>
      <c r="AD94" s="2"/>
      <c r="AK94" s="8">
        <f t="shared" si="2"/>
        <v>45693</v>
      </c>
    </row>
    <row r="95" spans="1:37" ht="15" customHeight="1">
      <c r="A95" s="2" t="s">
        <v>421</v>
      </c>
      <c r="B95" s="2">
        <v>0</v>
      </c>
      <c r="C95" s="2"/>
      <c r="D95" s="2" t="s">
        <v>298</v>
      </c>
      <c r="E95" s="2" t="s">
        <v>415</v>
      </c>
      <c r="F95" s="3">
        <v>45693</v>
      </c>
      <c r="G95" s="3">
        <v>45693</v>
      </c>
      <c r="H95" s="3">
        <v>45693</v>
      </c>
      <c r="I95" s="2"/>
      <c r="J95" s="2"/>
      <c r="K95" s="2" t="s">
        <v>25</v>
      </c>
      <c r="L95" s="2" t="s">
        <v>26</v>
      </c>
      <c r="M95" s="2"/>
      <c r="N95" s="2" t="s">
        <v>27</v>
      </c>
      <c r="O95" s="2">
        <v>42.58</v>
      </c>
      <c r="P95" s="2">
        <v>7.66</v>
      </c>
      <c r="Q95" s="2">
        <v>50.24</v>
      </c>
      <c r="R95" s="2">
        <v>50.24</v>
      </c>
      <c r="S95" s="2">
        <v>50.24</v>
      </c>
      <c r="T95" s="2" t="s">
        <v>28</v>
      </c>
      <c r="U95" s="2" t="b">
        <v>0</v>
      </c>
      <c r="V95" s="2" t="s">
        <v>29</v>
      </c>
      <c r="W95" s="2" t="s">
        <v>104</v>
      </c>
      <c r="X95" s="2" t="s">
        <v>105</v>
      </c>
      <c r="Y95" s="2" t="s">
        <v>422</v>
      </c>
      <c r="Z95" s="2" t="s">
        <v>31</v>
      </c>
      <c r="AA95" s="2"/>
      <c r="AB95" s="2"/>
      <c r="AC95" s="2"/>
      <c r="AD95" s="2"/>
      <c r="AK95" s="8">
        <f t="shared" si="2"/>
        <v>45693</v>
      </c>
    </row>
    <row r="96" spans="1:37" ht="15" customHeight="1">
      <c r="A96" s="2" t="s">
        <v>423</v>
      </c>
      <c r="B96" s="2">
        <v>0</v>
      </c>
      <c r="C96" s="2"/>
      <c r="D96" s="2" t="s">
        <v>298</v>
      </c>
      <c r="E96" s="2" t="s">
        <v>424</v>
      </c>
      <c r="F96" s="3">
        <v>45693</v>
      </c>
      <c r="G96" s="3">
        <v>45693</v>
      </c>
      <c r="H96" s="3">
        <v>45693</v>
      </c>
      <c r="I96" s="2"/>
      <c r="J96" s="2"/>
      <c r="K96" s="2" t="s">
        <v>25</v>
      </c>
      <c r="L96" s="2" t="s">
        <v>26</v>
      </c>
      <c r="M96" s="2"/>
      <c r="N96" s="2" t="s">
        <v>27</v>
      </c>
      <c r="O96" s="2">
        <v>10</v>
      </c>
      <c r="P96" s="2">
        <v>1.8</v>
      </c>
      <c r="Q96" s="2">
        <v>11.8</v>
      </c>
      <c r="R96" s="2">
        <v>11.8</v>
      </c>
      <c r="S96" s="2">
        <v>11.8</v>
      </c>
      <c r="T96" s="2" t="s">
        <v>28</v>
      </c>
      <c r="U96" s="2" t="b">
        <v>0</v>
      </c>
      <c r="V96" s="2" t="s">
        <v>29</v>
      </c>
      <c r="W96" s="2" t="s">
        <v>104</v>
      </c>
      <c r="X96" s="2" t="s">
        <v>105</v>
      </c>
      <c r="Y96" s="2" t="s">
        <v>425</v>
      </c>
      <c r="Z96" s="2" t="s">
        <v>31</v>
      </c>
      <c r="AA96" s="2"/>
      <c r="AB96" s="2"/>
      <c r="AC96" s="2"/>
      <c r="AD96" s="2"/>
      <c r="AK96" s="8">
        <f t="shared" si="2"/>
        <v>45693</v>
      </c>
    </row>
    <row r="97" spans="1:37" ht="15" customHeight="1">
      <c r="A97" s="2" t="s">
        <v>426</v>
      </c>
      <c r="B97" s="2">
        <v>0</v>
      </c>
      <c r="C97" s="2"/>
      <c r="D97" s="2" t="s">
        <v>298</v>
      </c>
      <c r="E97" s="2" t="s">
        <v>424</v>
      </c>
      <c r="F97" s="3">
        <v>45693</v>
      </c>
      <c r="G97" s="3">
        <v>45693</v>
      </c>
      <c r="H97" s="3">
        <v>45693</v>
      </c>
      <c r="I97" s="2"/>
      <c r="J97" s="2"/>
      <c r="K97" s="2" t="s">
        <v>25</v>
      </c>
      <c r="L97" s="2" t="s">
        <v>26</v>
      </c>
      <c r="M97" s="2"/>
      <c r="N97" s="2" t="s">
        <v>27</v>
      </c>
      <c r="O97" s="2">
        <v>600</v>
      </c>
      <c r="P97" s="2">
        <v>108</v>
      </c>
      <c r="Q97" s="2">
        <v>708</v>
      </c>
      <c r="R97" s="2">
        <v>708</v>
      </c>
      <c r="S97" s="2">
        <v>708</v>
      </c>
      <c r="T97" s="2" t="s">
        <v>28</v>
      </c>
      <c r="U97" s="2" t="b">
        <v>0</v>
      </c>
      <c r="V97" s="2" t="s">
        <v>29</v>
      </c>
      <c r="W97" s="2" t="s">
        <v>104</v>
      </c>
      <c r="X97" s="2" t="s">
        <v>105</v>
      </c>
      <c r="Y97" s="2" t="s">
        <v>427</v>
      </c>
      <c r="Z97" s="2" t="s">
        <v>31</v>
      </c>
      <c r="AA97" s="2"/>
      <c r="AB97" s="2"/>
      <c r="AC97" s="2"/>
      <c r="AD97" s="2"/>
      <c r="AK97" s="8">
        <f t="shared" si="2"/>
        <v>45693</v>
      </c>
    </row>
    <row r="98" spans="1:37" ht="15" customHeight="1">
      <c r="A98" s="2" t="s">
        <v>428</v>
      </c>
      <c r="B98" s="2">
        <v>0</v>
      </c>
      <c r="C98" s="2"/>
      <c r="D98" s="2" t="s">
        <v>298</v>
      </c>
      <c r="E98" s="2" t="s">
        <v>424</v>
      </c>
      <c r="F98" s="3">
        <v>45693</v>
      </c>
      <c r="G98" s="3">
        <v>45693</v>
      </c>
      <c r="H98" s="3">
        <v>45693</v>
      </c>
      <c r="I98" s="2"/>
      <c r="J98" s="2"/>
      <c r="K98" s="2" t="s">
        <v>25</v>
      </c>
      <c r="L98" s="2" t="s">
        <v>26</v>
      </c>
      <c r="M98" s="2"/>
      <c r="N98" s="2" t="s">
        <v>27</v>
      </c>
      <c r="O98" s="2">
        <v>1200</v>
      </c>
      <c r="P98" s="2">
        <v>216</v>
      </c>
      <c r="Q98" s="2">
        <v>1416</v>
      </c>
      <c r="R98" s="2">
        <v>1416</v>
      </c>
      <c r="S98" s="2">
        <v>1416</v>
      </c>
      <c r="T98" s="2" t="s">
        <v>28</v>
      </c>
      <c r="U98" s="2" t="b">
        <v>0</v>
      </c>
      <c r="V98" s="2" t="s">
        <v>29</v>
      </c>
      <c r="W98" s="2" t="s">
        <v>104</v>
      </c>
      <c r="X98" s="2" t="s">
        <v>105</v>
      </c>
      <c r="Y98" s="2" t="s">
        <v>429</v>
      </c>
      <c r="Z98" s="2" t="s">
        <v>31</v>
      </c>
      <c r="AA98" s="2"/>
      <c r="AB98" s="2"/>
      <c r="AC98" s="2"/>
      <c r="AD98" s="2"/>
      <c r="AK98" s="8">
        <f t="shared" si="2"/>
        <v>45693</v>
      </c>
    </row>
    <row r="99" spans="1:37" ht="15" customHeight="1">
      <c r="A99" s="2" t="s">
        <v>430</v>
      </c>
      <c r="B99" s="2">
        <v>0</v>
      </c>
      <c r="C99" s="2"/>
      <c r="D99" s="2" t="s">
        <v>298</v>
      </c>
      <c r="E99" s="2" t="s">
        <v>424</v>
      </c>
      <c r="F99" s="3">
        <v>45693</v>
      </c>
      <c r="G99" s="3">
        <v>45693</v>
      </c>
      <c r="H99" s="3">
        <v>45693</v>
      </c>
      <c r="I99" s="2"/>
      <c r="J99" s="2"/>
      <c r="K99" s="2" t="s">
        <v>25</v>
      </c>
      <c r="L99" s="2" t="s">
        <v>26</v>
      </c>
      <c r="M99" s="2"/>
      <c r="N99" s="2" t="s">
        <v>27</v>
      </c>
      <c r="O99" s="2">
        <v>1693.39</v>
      </c>
      <c r="P99" s="2">
        <v>304.81</v>
      </c>
      <c r="Q99" s="2">
        <v>1998.2</v>
      </c>
      <c r="R99" s="2">
        <v>1998.2</v>
      </c>
      <c r="S99" s="2">
        <v>1998.2</v>
      </c>
      <c r="T99" s="2" t="s">
        <v>28</v>
      </c>
      <c r="U99" s="2" t="b">
        <v>0</v>
      </c>
      <c r="V99" s="2" t="s">
        <v>29</v>
      </c>
      <c r="W99" s="2" t="s">
        <v>104</v>
      </c>
      <c r="X99" s="2" t="s">
        <v>105</v>
      </c>
      <c r="Y99" s="2" t="s">
        <v>431</v>
      </c>
      <c r="Z99" s="2" t="s">
        <v>31</v>
      </c>
      <c r="AA99" s="2"/>
      <c r="AB99" s="2"/>
      <c r="AC99" s="2"/>
      <c r="AD99" s="2"/>
      <c r="AK99" s="8">
        <f t="shared" si="2"/>
        <v>45693</v>
      </c>
    </row>
    <row r="100" spans="1:37" ht="15" customHeight="1">
      <c r="A100" s="2" t="s">
        <v>432</v>
      </c>
      <c r="B100" s="2">
        <v>0</v>
      </c>
      <c r="C100" s="2"/>
      <c r="D100" s="2" t="s">
        <v>298</v>
      </c>
      <c r="E100" s="2" t="s">
        <v>424</v>
      </c>
      <c r="F100" s="3">
        <v>45693</v>
      </c>
      <c r="G100" s="3">
        <v>45693</v>
      </c>
      <c r="H100" s="3">
        <v>45693</v>
      </c>
      <c r="I100" s="2"/>
      <c r="J100" s="2"/>
      <c r="K100" s="2" t="s">
        <v>25</v>
      </c>
      <c r="L100" s="2" t="s">
        <v>26</v>
      </c>
      <c r="M100" s="2"/>
      <c r="N100" s="2" t="s">
        <v>27</v>
      </c>
      <c r="O100" s="2">
        <v>660</v>
      </c>
      <c r="P100" s="2">
        <v>118.8</v>
      </c>
      <c r="Q100" s="2">
        <v>778.8</v>
      </c>
      <c r="R100" s="2">
        <v>778.8</v>
      </c>
      <c r="S100" s="2">
        <v>778.8</v>
      </c>
      <c r="T100" s="2" t="s">
        <v>28</v>
      </c>
      <c r="U100" s="2" t="b">
        <v>0</v>
      </c>
      <c r="V100" s="2" t="s">
        <v>29</v>
      </c>
      <c r="W100" s="2" t="s">
        <v>104</v>
      </c>
      <c r="X100" s="2" t="s">
        <v>105</v>
      </c>
      <c r="Y100" s="2" t="s">
        <v>433</v>
      </c>
      <c r="Z100" s="2" t="s">
        <v>31</v>
      </c>
      <c r="AA100" s="2"/>
      <c r="AB100" s="2"/>
      <c r="AC100" s="2"/>
      <c r="AD100" s="2"/>
      <c r="AK100" s="8">
        <f t="shared" si="2"/>
        <v>45693</v>
      </c>
    </row>
    <row r="101" spans="1:37" ht="15" customHeight="1">
      <c r="A101" s="2" t="s">
        <v>434</v>
      </c>
      <c r="B101" s="2">
        <v>0</v>
      </c>
      <c r="C101" s="2"/>
      <c r="D101" s="2" t="s">
        <v>298</v>
      </c>
      <c r="E101" s="2" t="s">
        <v>435</v>
      </c>
      <c r="F101" s="3">
        <v>45693</v>
      </c>
      <c r="G101" s="3">
        <v>45693</v>
      </c>
      <c r="H101" s="3">
        <v>45693</v>
      </c>
      <c r="I101" s="2"/>
      <c r="J101" s="2"/>
      <c r="K101" s="2" t="s">
        <v>25</v>
      </c>
      <c r="L101" s="2" t="s">
        <v>26</v>
      </c>
      <c r="M101" s="2"/>
      <c r="N101" s="2" t="s">
        <v>27</v>
      </c>
      <c r="O101" s="2">
        <v>308</v>
      </c>
      <c r="P101" s="2">
        <v>55.44</v>
      </c>
      <c r="Q101" s="2">
        <v>363.44</v>
      </c>
      <c r="R101" s="2">
        <v>363.44</v>
      </c>
      <c r="S101" s="2">
        <v>363.44</v>
      </c>
      <c r="T101" s="2" t="s">
        <v>28</v>
      </c>
      <c r="U101" s="2" t="b">
        <v>0</v>
      </c>
      <c r="V101" s="2" t="s">
        <v>29</v>
      </c>
      <c r="W101" s="2" t="s">
        <v>104</v>
      </c>
      <c r="X101" s="2" t="s">
        <v>105</v>
      </c>
      <c r="Y101" s="2" t="s">
        <v>436</v>
      </c>
      <c r="Z101" s="2" t="s">
        <v>31</v>
      </c>
      <c r="AA101" s="2"/>
      <c r="AB101" s="2"/>
      <c r="AC101" s="2"/>
      <c r="AD101" s="2"/>
      <c r="AK101" s="8">
        <f t="shared" si="2"/>
        <v>45693</v>
      </c>
    </row>
    <row r="102" spans="1:37" ht="15" customHeight="1">
      <c r="A102" s="2" t="s">
        <v>437</v>
      </c>
      <c r="B102" s="2">
        <v>0</v>
      </c>
      <c r="C102" s="2"/>
      <c r="D102" s="2" t="s">
        <v>298</v>
      </c>
      <c r="E102" s="2" t="s">
        <v>435</v>
      </c>
      <c r="F102" s="3">
        <v>45693</v>
      </c>
      <c r="G102" s="3">
        <v>45693</v>
      </c>
      <c r="H102" s="3">
        <v>45693</v>
      </c>
      <c r="I102" s="2"/>
      <c r="J102" s="2"/>
      <c r="K102" s="2" t="s">
        <v>25</v>
      </c>
      <c r="L102" s="2" t="s">
        <v>26</v>
      </c>
      <c r="M102" s="2"/>
      <c r="N102" s="2" t="s">
        <v>27</v>
      </c>
      <c r="O102" s="2">
        <v>298.87</v>
      </c>
      <c r="P102" s="2">
        <v>53.8</v>
      </c>
      <c r="Q102" s="2">
        <v>352.67</v>
      </c>
      <c r="R102" s="2">
        <v>352.67</v>
      </c>
      <c r="S102" s="2">
        <v>352.67</v>
      </c>
      <c r="T102" s="2" t="s">
        <v>28</v>
      </c>
      <c r="U102" s="2" t="b">
        <v>0</v>
      </c>
      <c r="V102" s="2" t="s">
        <v>29</v>
      </c>
      <c r="W102" s="2" t="s">
        <v>104</v>
      </c>
      <c r="X102" s="2" t="s">
        <v>105</v>
      </c>
      <c r="Y102" s="2" t="s">
        <v>438</v>
      </c>
      <c r="Z102" s="2" t="s">
        <v>31</v>
      </c>
      <c r="AA102" s="2"/>
      <c r="AB102" s="2"/>
      <c r="AC102" s="2"/>
      <c r="AD102" s="2"/>
      <c r="AK102" s="8">
        <f t="shared" si="2"/>
        <v>45693</v>
      </c>
    </row>
    <row r="103" spans="1:37" ht="15" customHeight="1">
      <c r="A103" s="2" t="s">
        <v>439</v>
      </c>
      <c r="B103" s="2">
        <v>0</v>
      </c>
      <c r="C103" s="2"/>
      <c r="D103" s="2" t="s">
        <v>298</v>
      </c>
      <c r="E103" s="2" t="s">
        <v>435</v>
      </c>
      <c r="F103" s="3">
        <v>45693</v>
      </c>
      <c r="G103" s="3">
        <v>45693</v>
      </c>
      <c r="H103" s="3">
        <v>45693</v>
      </c>
      <c r="I103" s="2"/>
      <c r="J103" s="2"/>
      <c r="K103" s="2" t="s">
        <v>25</v>
      </c>
      <c r="L103" s="2" t="s">
        <v>26</v>
      </c>
      <c r="M103" s="2"/>
      <c r="N103" s="2" t="s">
        <v>27</v>
      </c>
      <c r="O103" s="2">
        <v>183.02</v>
      </c>
      <c r="P103" s="2">
        <v>32.94</v>
      </c>
      <c r="Q103" s="2">
        <v>215.96</v>
      </c>
      <c r="R103" s="2">
        <v>215.96</v>
      </c>
      <c r="S103" s="2">
        <v>215.96</v>
      </c>
      <c r="T103" s="2" t="s">
        <v>28</v>
      </c>
      <c r="U103" s="2" t="b">
        <v>0</v>
      </c>
      <c r="V103" s="2" t="s">
        <v>29</v>
      </c>
      <c r="W103" s="2" t="s">
        <v>104</v>
      </c>
      <c r="X103" s="2" t="s">
        <v>105</v>
      </c>
      <c r="Y103" s="2" t="s">
        <v>440</v>
      </c>
      <c r="Z103" s="2" t="s">
        <v>31</v>
      </c>
      <c r="AA103" s="2"/>
      <c r="AB103" s="2"/>
      <c r="AC103" s="2"/>
      <c r="AD103" s="2"/>
      <c r="AK103" s="8">
        <f t="shared" si="2"/>
        <v>45693</v>
      </c>
    </row>
    <row r="104" spans="1:37" ht="15" customHeight="1">
      <c r="A104" s="2" t="s">
        <v>441</v>
      </c>
      <c r="B104" s="2">
        <v>0</v>
      </c>
      <c r="C104" s="2"/>
      <c r="D104" s="2" t="s">
        <v>298</v>
      </c>
      <c r="E104" s="2" t="s">
        <v>442</v>
      </c>
      <c r="F104" s="3">
        <v>45693</v>
      </c>
      <c r="G104" s="3">
        <v>45693</v>
      </c>
      <c r="H104" s="3">
        <v>45693</v>
      </c>
      <c r="I104" s="2"/>
      <c r="J104" s="2"/>
      <c r="K104" s="2" t="s">
        <v>25</v>
      </c>
      <c r="L104" s="2" t="s">
        <v>26</v>
      </c>
      <c r="M104" s="2"/>
      <c r="N104" s="2" t="s">
        <v>27</v>
      </c>
      <c r="O104" s="2">
        <v>54.07</v>
      </c>
      <c r="P104" s="2">
        <v>9.73</v>
      </c>
      <c r="Q104" s="2">
        <v>63.8</v>
      </c>
      <c r="R104" s="2">
        <v>63.8</v>
      </c>
      <c r="S104" s="2">
        <v>63.8</v>
      </c>
      <c r="T104" s="2" t="s">
        <v>28</v>
      </c>
      <c r="U104" s="2" t="b">
        <v>0</v>
      </c>
      <c r="V104" s="2" t="s">
        <v>29</v>
      </c>
      <c r="W104" s="2" t="s">
        <v>104</v>
      </c>
      <c r="X104" s="2" t="s">
        <v>105</v>
      </c>
      <c r="Y104" s="2" t="s">
        <v>443</v>
      </c>
      <c r="Z104" s="2" t="s">
        <v>31</v>
      </c>
      <c r="AA104" s="2"/>
      <c r="AB104" s="2"/>
      <c r="AC104" s="2"/>
      <c r="AD104" s="2"/>
      <c r="AK104" s="8">
        <f t="shared" si="2"/>
        <v>45693</v>
      </c>
    </row>
    <row r="105" spans="1:37" ht="15" customHeight="1">
      <c r="A105" s="2" t="s">
        <v>444</v>
      </c>
      <c r="B105" s="2">
        <v>0</v>
      </c>
      <c r="C105" s="2"/>
      <c r="D105" s="2" t="s">
        <v>298</v>
      </c>
      <c r="E105" s="2" t="s">
        <v>442</v>
      </c>
      <c r="F105" s="3">
        <v>45693</v>
      </c>
      <c r="G105" s="3">
        <v>45693</v>
      </c>
      <c r="H105" s="3">
        <v>45693</v>
      </c>
      <c r="I105" s="2"/>
      <c r="J105" s="2"/>
      <c r="K105" s="2" t="s">
        <v>25</v>
      </c>
      <c r="L105" s="2" t="s">
        <v>26</v>
      </c>
      <c r="M105" s="2"/>
      <c r="N105" s="2" t="s">
        <v>27</v>
      </c>
      <c r="O105" s="2">
        <v>29.49</v>
      </c>
      <c r="P105" s="2">
        <v>5.31</v>
      </c>
      <c r="Q105" s="2">
        <v>34.799999999999997</v>
      </c>
      <c r="R105" s="2">
        <v>34.799999999999997</v>
      </c>
      <c r="S105" s="2">
        <v>34.799999999999997</v>
      </c>
      <c r="T105" s="2" t="s">
        <v>28</v>
      </c>
      <c r="U105" s="2" t="b">
        <v>0</v>
      </c>
      <c r="V105" s="2" t="s">
        <v>29</v>
      </c>
      <c r="W105" s="2" t="s">
        <v>104</v>
      </c>
      <c r="X105" s="2" t="s">
        <v>105</v>
      </c>
      <c r="Y105" s="2" t="s">
        <v>445</v>
      </c>
      <c r="Z105" s="2" t="s">
        <v>31</v>
      </c>
      <c r="AA105" s="2"/>
      <c r="AB105" s="2"/>
      <c r="AC105" s="2"/>
      <c r="AD105" s="2"/>
      <c r="AK105" s="8">
        <f t="shared" si="2"/>
        <v>45693</v>
      </c>
    </row>
    <row r="106" spans="1:37" ht="15" customHeight="1">
      <c r="A106" s="2" t="s">
        <v>446</v>
      </c>
      <c r="B106" s="2">
        <v>0</v>
      </c>
      <c r="C106" s="2"/>
      <c r="D106" s="2" t="s">
        <v>298</v>
      </c>
      <c r="E106" s="2" t="s">
        <v>447</v>
      </c>
      <c r="F106" s="3">
        <v>45693</v>
      </c>
      <c r="G106" s="3">
        <v>45693</v>
      </c>
      <c r="H106" s="3">
        <v>45693</v>
      </c>
      <c r="I106" s="2"/>
      <c r="J106" s="2"/>
      <c r="K106" s="2" t="s">
        <v>25</v>
      </c>
      <c r="L106" s="2" t="s">
        <v>26</v>
      </c>
      <c r="M106" s="2"/>
      <c r="N106" s="2" t="s">
        <v>27</v>
      </c>
      <c r="O106" s="2">
        <v>16.440000000000001</v>
      </c>
      <c r="P106" s="2">
        <v>2.96</v>
      </c>
      <c r="Q106" s="2">
        <v>19.399999999999999</v>
      </c>
      <c r="R106" s="2">
        <v>19.399999999999999</v>
      </c>
      <c r="S106" s="2">
        <v>19.399999999999999</v>
      </c>
      <c r="T106" s="2" t="s">
        <v>28</v>
      </c>
      <c r="U106" s="2" t="b">
        <v>0</v>
      </c>
      <c r="V106" s="2" t="s">
        <v>29</v>
      </c>
      <c r="W106" s="2" t="s">
        <v>104</v>
      </c>
      <c r="X106" s="2" t="s">
        <v>105</v>
      </c>
      <c r="Y106" s="2" t="s">
        <v>448</v>
      </c>
      <c r="Z106" s="2" t="s">
        <v>31</v>
      </c>
      <c r="AA106" s="2"/>
      <c r="AB106" s="2"/>
      <c r="AC106" s="2"/>
      <c r="AD106" s="2"/>
      <c r="AK106" s="8">
        <f t="shared" si="2"/>
        <v>45693</v>
      </c>
    </row>
    <row r="107" spans="1:37" ht="15" customHeight="1">
      <c r="A107" s="2" t="s">
        <v>449</v>
      </c>
      <c r="B107" s="2">
        <v>0</v>
      </c>
      <c r="C107" s="2"/>
      <c r="D107" s="2" t="s">
        <v>298</v>
      </c>
      <c r="E107" s="2" t="s">
        <v>447</v>
      </c>
      <c r="F107" s="3">
        <v>45693</v>
      </c>
      <c r="G107" s="3">
        <v>45693</v>
      </c>
      <c r="H107" s="3">
        <v>45693</v>
      </c>
      <c r="I107" s="2"/>
      <c r="J107" s="2"/>
      <c r="K107" s="2" t="s">
        <v>25</v>
      </c>
      <c r="L107" s="2" t="s">
        <v>26</v>
      </c>
      <c r="M107" s="2"/>
      <c r="N107" s="2" t="s">
        <v>27</v>
      </c>
      <c r="O107" s="2">
        <v>18.05</v>
      </c>
      <c r="P107" s="2">
        <v>3.25</v>
      </c>
      <c r="Q107" s="2">
        <v>21.3</v>
      </c>
      <c r="R107" s="2">
        <v>21.3</v>
      </c>
      <c r="S107" s="2">
        <v>21.3</v>
      </c>
      <c r="T107" s="2" t="s">
        <v>28</v>
      </c>
      <c r="U107" s="2" t="b">
        <v>0</v>
      </c>
      <c r="V107" s="2" t="s">
        <v>29</v>
      </c>
      <c r="W107" s="2" t="s">
        <v>104</v>
      </c>
      <c r="X107" s="2" t="s">
        <v>105</v>
      </c>
      <c r="Y107" s="2" t="s">
        <v>450</v>
      </c>
      <c r="Z107" s="2" t="s">
        <v>31</v>
      </c>
      <c r="AA107" s="2"/>
      <c r="AB107" s="2"/>
      <c r="AC107" s="2"/>
      <c r="AD107" s="2"/>
      <c r="AK107" s="8">
        <f t="shared" si="2"/>
        <v>45693</v>
      </c>
    </row>
    <row r="108" spans="1:37" ht="15" customHeight="1">
      <c r="A108" s="2" t="s">
        <v>451</v>
      </c>
      <c r="B108" s="2">
        <v>0</v>
      </c>
      <c r="C108" s="2"/>
      <c r="D108" s="2" t="s">
        <v>298</v>
      </c>
      <c r="E108" s="2" t="s">
        <v>452</v>
      </c>
      <c r="F108" s="3">
        <v>45693</v>
      </c>
      <c r="G108" s="3">
        <v>45693</v>
      </c>
      <c r="H108" s="3">
        <v>45693</v>
      </c>
      <c r="I108" s="2"/>
      <c r="J108" s="2"/>
      <c r="K108" s="2" t="s">
        <v>25</v>
      </c>
      <c r="L108" s="2" t="s">
        <v>26</v>
      </c>
      <c r="M108" s="2"/>
      <c r="N108" s="2" t="s">
        <v>27</v>
      </c>
      <c r="O108" s="2">
        <v>30.34</v>
      </c>
      <c r="P108" s="2">
        <v>5.46</v>
      </c>
      <c r="Q108" s="2">
        <v>35.799999999999997</v>
      </c>
      <c r="R108" s="2">
        <v>35.799999999999997</v>
      </c>
      <c r="S108" s="2">
        <v>35.799999999999997</v>
      </c>
      <c r="T108" s="2" t="s">
        <v>28</v>
      </c>
      <c r="U108" s="2" t="b">
        <v>0</v>
      </c>
      <c r="V108" s="2" t="s">
        <v>29</v>
      </c>
      <c r="W108" s="2" t="s">
        <v>104</v>
      </c>
      <c r="X108" s="2" t="s">
        <v>105</v>
      </c>
      <c r="Y108" s="2" t="s">
        <v>453</v>
      </c>
      <c r="Z108" s="2" t="s">
        <v>31</v>
      </c>
      <c r="AA108" s="2"/>
      <c r="AB108" s="2"/>
      <c r="AC108" s="2"/>
      <c r="AD108" s="2"/>
      <c r="AK108" s="8">
        <f t="shared" si="2"/>
        <v>45693</v>
      </c>
    </row>
    <row r="109" spans="1:37" ht="15" customHeight="1">
      <c r="A109" s="2" t="s">
        <v>454</v>
      </c>
      <c r="B109" s="2">
        <v>0</v>
      </c>
      <c r="C109" s="2"/>
      <c r="D109" s="2" t="s">
        <v>298</v>
      </c>
      <c r="E109" s="2" t="s">
        <v>452</v>
      </c>
      <c r="F109" s="3">
        <v>45693</v>
      </c>
      <c r="G109" s="3">
        <v>45693</v>
      </c>
      <c r="H109" s="3">
        <v>45693</v>
      </c>
      <c r="I109" s="2"/>
      <c r="J109" s="2"/>
      <c r="K109" s="2" t="s">
        <v>25</v>
      </c>
      <c r="L109" s="2" t="s">
        <v>26</v>
      </c>
      <c r="M109" s="2"/>
      <c r="N109" s="2" t="s">
        <v>27</v>
      </c>
      <c r="O109" s="2">
        <v>17.29</v>
      </c>
      <c r="P109" s="2">
        <v>3.11</v>
      </c>
      <c r="Q109" s="2">
        <v>20.399999999999999</v>
      </c>
      <c r="R109" s="2">
        <v>20.399999999999999</v>
      </c>
      <c r="S109" s="2">
        <v>20.399999999999999</v>
      </c>
      <c r="T109" s="2" t="s">
        <v>28</v>
      </c>
      <c r="U109" s="2" t="b">
        <v>0</v>
      </c>
      <c r="V109" s="2" t="s">
        <v>29</v>
      </c>
      <c r="W109" s="2" t="s">
        <v>104</v>
      </c>
      <c r="X109" s="2" t="s">
        <v>105</v>
      </c>
      <c r="Y109" s="2" t="s">
        <v>455</v>
      </c>
      <c r="Z109" s="2" t="s">
        <v>31</v>
      </c>
      <c r="AA109" s="2"/>
      <c r="AB109" s="2"/>
      <c r="AC109" s="2"/>
      <c r="AD109" s="2"/>
      <c r="AK109" s="8">
        <f t="shared" si="2"/>
        <v>45693</v>
      </c>
    </row>
    <row r="110" spans="1:37" ht="15" customHeight="1">
      <c r="A110" s="2" t="s">
        <v>456</v>
      </c>
      <c r="B110" s="2">
        <v>0</v>
      </c>
      <c r="C110" s="2"/>
      <c r="D110" s="2" t="s">
        <v>298</v>
      </c>
      <c r="E110" s="2" t="s">
        <v>457</v>
      </c>
      <c r="F110" s="3">
        <v>45693</v>
      </c>
      <c r="G110" s="3">
        <v>45693</v>
      </c>
      <c r="H110" s="3">
        <v>45693</v>
      </c>
      <c r="I110" s="2"/>
      <c r="J110" s="2"/>
      <c r="K110" s="2" t="s">
        <v>25</v>
      </c>
      <c r="L110" s="2" t="s">
        <v>26</v>
      </c>
      <c r="M110" s="2"/>
      <c r="N110" s="2" t="s">
        <v>27</v>
      </c>
      <c r="O110" s="2">
        <v>11.47</v>
      </c>
      <c r="P110" s="2">
        <v>2.0699999999999998</v>
      </c>
      <c r="Q110" s="2">
        <v>13.54</v>
      </c>
      <c r="R110" s="2">
        <v>13.54</v>
      </c>
      <c r="S110" s="2">
        <v>13.54</v>
      </c>
      <c r="T110" s="2" t="s">
        <v>28</v>
      </c>
      <c r="U110" s="2" t="b">
        <v>0</v>
      </c>
      <c r="V110" s="2" t="s">
        <v>29</v>
      </c>
      <c r="W110" s="2" t="s">
        <v>104</v>
      </c>
      <c r="X110" s="2" t="s">
        <v>105</v>
      </c>
      <c r="Y110" s="2" t="s">
        <v>458</v>
      </c>
      <c r="Z110" s="2" t="s">
        <v>31</v>
      </c>
      <c r="AA110" s="2"/>
      <c r="AB110" s="2"/>
      <c r="AC110" s="2"/>
      <c r="AD110" s="2"/>
      <c r="AK110" s="8">
        <f t="shared" si="2"/>
        <v>45693</v>
      </c>
    </row>
    <row r="111" spans="1:37" ht="15" customHeight="1">
      <c r="A111" s="2" t="s">
        <v>459</v>
      </c>
      <c r="B111" s="2">
        <v>0</v>
      </c>
      <c r="C111" s="2"/>
      <c r="D111" s="2" t="s">
        <v>298</v>
      </c>
      <c r="E111" s="2" t="s">
        <v>457</v>
      </c>
      <c r="F111" s="3">
        <v>45693</v>
      </c>
      <c r="G111" s="3">
        <v>45693</v>
      </c>
      <c r="H111" s="3">
        <v>45693</v>
      </c>
      <c r="I111" s="2"/>
      <c r="J111" s="2"/>
      <c r="K111" s="2" t="s">
        <v>25</v>
      </c>
      <c r="L111" s="2" t="s">
        <v>26</v>
      </c>
      <c r="M111" s="2"/>
      <c r="N111" s="2" t="s">
        <v>27</v>
      </c>
      <c r="O111" s="2">
        <v>12.2</v>
      </c>
      <c r="P111" s="2">
        <v>2.2000000000000002</v>
      </c>
      <c r="Q111" s="2">
        <v>14.4</v>
      </c>
      <c r="R111" s="2">
        <v>14.4</v>
      </c>
      <c r="S111" s="2">
        <v>14.4</v>
      </c>
      <c r="T111" s="2" t="s">
        <v>28</v>
      </c>
      <c r="U111" s="2" t="b">
        <v>0</v>
      </c>
      <c r="V111" s="2" t="s">
        <v>29</v>
      </c>
      <c r="W111" s="2" t="s">
        <v>104</v>
      </c>
      <c r="X111" s="2" t="s">
        <v>105</v>
      </c>
      <c r="Y111" s="2" t="s">
        <v>460</v>
      </c>
      <c r="Z111" s="2" t="s">
        <v>31</v>
      </c>
      <c r="AA111" s="2"/>
      <c r="AB111" s="2"/>
      <c r="AC111" s="2"/>
      <c r="AD111" s="2"/>
      <c r="AK111" s="8">
        <f t="shared" si="2"/>
        <v>45693</v>
      </c>
    </row>
    <row r="112" spans="1:37" ht="15" customHeight="1">
      <c r="A112" s="2" t="s">
        <v>461</v>
      </c>
      <c r="B112" s="2">
        <v>0</v>
      </c>
      <c r="C112" s="2"/>
      <c r="D112" s="2" t="s">
        <v>298</v>
      </c>
      <c r="E112" s="2" t="s">
        <v>462</v>
      </c>
      <c r="F112" s="3">
        <v>45693</v>
      </c>
      <c r="G112" s="3">
        <v>45693</v>
      </c>
      <c r="H112" s="3">
        <v>45693</v>
      </c>
      <c r="I112" s="2"/>
      <c r="J112" s="2"/>
      <c r="K112" s="2" t="s">
        <v>25</v>
      </c>
      <c r="L112" s="2" t="s">
        <v>26</v>
      </c>
      <c r="M112" s="2"/>
      <c r="N112" s="2" t="s">
        <v>27</v>
      </c>
      <c r="O112" s="2">
        <v>1553.9</v>
      </c>
      <c r="P112" s="2">
        <v>279.7</v>
      </c>
      <c r="Q112" s="2">
        <v>1833.6</v>
      </c>
      <c r="R112" s="2">
        <v>1833.6</v>
      </c>
      <c r="S112" s="2">
        <v>1833.6</v>
      </c>
      <c r="T112" s="2" t="s">
        <v>28</v>
      </c>
      <c r="U112" s="2" t="b">
        <v>0</v>
      </c>
      <c r="V112" s="2" t="s">
        <v>29</v>
      </c>
      <c r="W112" s="2" t="s">
        <v>104</v>
      </c>
      <c r="X112" s="2" t="s">
        <v>105</v>
      </c>
      <c r="Y112" s="2" t="s">
        <v>463</v>
      </c>
      <c r="Z112" s="2" t="s">
        <v>31</v>
      </c>
      <c r="AA112" s="2"/>
      <c r="AB112" s="2"/>
      <c r="AC112" s="2"/>
      <c r="AD112" s="2"/>
      <c r="AK112" s="8">
        <f t="shared" si="2"/>
        <v>45693</v>
      </c>
    </row>
    <row r="113" spans="1:37" ht="15" customHeight="1">
      <c r="A113" s="2" t="s">
        <v>464</v>
      </c>
      <c r="B113" s="2">
        <v>0</v>
      </c>
      <c r="C113" s="2"/>
      <c r="D113" s="2" t="s">
        <v>298</v>
      </c>
      <c r="E113" s="2" t="s">
        <v>462</v>
      </c>
      <c r="F113" s="3">
        <v>45693</v>
      </c>
      <c r="G113" s="3">
        <v>45693</v>
      </c>
      <c r="H113" s="3">
        <v>45693</v>
      </c>
      <c r="I113" s="2"/>
      <c r="J113" s="2"/>
      <c r="K113" s="2" t="s">
        <v>25</v>
      </c>
      <c r="L113" s="2" t="s">
        <v>26</v>
      </c>
      <c r="M113" s="2"/>
      <c r="N113" s="2" t="s">
        <v>27</v>
      </c>
      <c r="O113" s="2">
        <v>1180.25</v>
      </c>
      <c r="P113" s="2">
        <v>212.45</v>
      </c>
      <c r="Q113" s="2">
        <v>1392.7</v>
      </c>
      <c r="R113" s="2">
        <v>1392.7</v>
      </c>
      <c r="S113" s="2">
        <v>1392.7</v>
      </c>
      <c r="T113" s="2" t="s">
        <v>28</v>
      </c>
      <c r="U113" s="2" t="b">
        <v>0</v>
      </c>
      <c r="V113" s="2" t="s">
        <v>29</v>
      </c>
      <c r="W113" s="2" t="s">
        <v>104</v>
      </c>
      <c r="X113" s="2" t="s">
        <v>105</v>
      </c>
      <c r="Y113" s="2" t="s">
        <v>465</v>
      </c>
      <c r="Z113" s="2" t="s">
        <v>31</v>
      </c>
      <c r="AA113" s="2"/>
      <c r="AB113" s="2"/>
      <c r="AC113" s="2"/>
      <c r="AD113" s="2"/>
      <c r="AK113" s="8">
        <f t="shared" si="2"/>
        <v>45693</v>
      </c>
    </row>
    <row r="114" spans="1:37" ht="15" customHeight="1">
      <c r="A114" s="2" t="s">
        <v>466</v>
      </c>
      <c r="B114" s="2">
        <v>0</v>
      </c>
      <c r="C114" s="2"/>
      <c r="D114" s="2" t="s">
        <v>298</v>
      </c>
      <c r="E114" s="2" t="s">
        <v>415</v>
      </c>
      <c r="F114" s="3">
        <v>45693</v>
      </c>
      <c r="G114" s="3">
        <v>45693</v>
      </c>
      <c r="H114" s="3">
        <v>45693</v>
      </c>
      <c r="I114" s="2"/>
      <c r="J114" s="2"/>
      <c r="K114" s="2" t="s">
        <v>25</v>
      </c>
      <c r="L114" s="2" t="s">
        <v>26</v>
      </c>
      <c r="M114" s="2"/>
      <c r="N114" s="2" t="s">
        <v>27</v>
      </c>
      <c r="O114" s="2">
        <v>1</v>
      </c>
      <c r="P114" s="2">
        <v>0.18</v>
      </c>
      <c r="Q114" s="2">
        <v>1.18</v>
      </c>
      <c r="R114" s="2">
        <v>1.18</v>
      </c>
      <c r="S114" s="2">
        <v>1.18</v>
      </c>
      <c r="T114" s="2" t="s">
        <v>28</v>
      </c>
      <c r="U114" s="2" t="b">
        <v>0</v>
      </c>
      <c r="V114" s="2" t="s">
        <v>29</v>
      </c>
      <c r="W114" s="2" t="s">
        <v>104</v>
      </c>
      <c r="X114" s="2" t="s">
        <v>105</v>
      </c>
      <c r="Y114" s="2" t="s">
        <v>467</v>
      </c>
      <c r="Z114" s="2" t="s">
        <v>31</v>
      </c>
      <c r="AA114" s="2"/>
      <c r="AB114" s="2"/>
      <c r="AC114" s="2"/>
      <c r="AD114" s="2"/>
      <c r="AK114" s="8">
        <f t="shared" si="2"/>
        <v>45693</v>
      </c>
    </row>
    <row r="115" spans="1:37" ht="15" customHeight="1">
      <c r="A115" s="2" t="s">
        <v>468</v>
      </c>
      <c r="B115" s="2">
        <v>0</v>
      </c>
      <c r="C115" s="2"/>
      <c r="D115" s="2" t="s">
        <v>298</v>
      </c>
      <c r="E115" s="2" t="s">
        <v>415</v>
      </c>
      <c r="F115" s="3">
        <v>45693</v>
      </c>
      <c r="G115" s="3">
        <v>45693</v>
      </c>
      <c r="H115" s="3">
        <v>45693</v>
      </c>
      <c r="I115" s="2"/>
      <c r="J115" s="2"/>
      <c r="K115" s="2" t="s">
        <v>25</v>
      </c>
      <c r="L115" s="2" t="s">
        <v>26</v>
      </c>
      <c r="M115" s="2"/>
      <c r="N115" s="2" t="s">
        <v>27</v>
      </c>
      <c r="O115" s="2">
        <v>2327.5300000000002</v>
      </c>
      <c r="P115" s="2">
        <v>418.95</v>
      </c>
      <c r="Q115" s="2">
        <v>2746.48</v>
      </c>
      <c r="R115" s="2">
        <v>2746.48</v>
      </c>
      <c r="S115" s="2">
        <v>2746.48</v>
      </c>
      <c r="T115" s="2" t="s">
        <v>28</v>
      </c>
      <c r="U115" s="2" t="b">
        <v>0</v>
      </c>
      <c r="V115" s="2" t="s">
        <v>29</v>
      </c>
      <c r="W115" s="2" t="s">
        <v>104</v>
      </c>
      <c r="X115" s="2" t="s">
        <v>105</v>
      </c>
      <c r="Y115" s="2" t="s">
        <v>469</v>
      </c>
      <c r="Z115" s="2" t="s">
        <v>31</v>
      </c>
      <c r="AA115" s="2"/>
      <c r="AB115" s="2"/>
      <c r="AC115" s="2"/>
      <c r="AD115" s="2"/>
      <c r="AK115" s="8">
        <f t="shared" si="2"/>
        <v>45693</v>
      </c>
    </row>
    <row r="116" spans="1:37" ht="15" customHeight="1">
      <c r="A116" s="2" t="s">
        <v>470</v>
      </c>
      <c r="B116" s="2">
        <v>0</v>
      </c>
      <c r="C116" s="2"/>
      <c r="D116" s="2" t="s">
        <v>298</v>
      </c>
      <c r="E116" s="2" t="s">
        <v>415</v>
      </c>
      <c r="F116" s="3">
        <v>45693</v>
      </c>
      <c r="G116" s="3">
        <v>45693</v>
      </c>
      <c r="H116" s="3">
        <v>45693</v>
      </c>
      <c r="I116" s="2"/>
      <c r="J116" s="2"/>
      <c r="K116" s="2" t="s">
        <v>25</v>
      </c>
      <c r="L116" s="2" t="s">
        <v>26</v>
      </c>
      <c r="M116" s="2"/>
      <c r="N116" s="2" t="s">
        <v>27</v>
      </c>
      <c r="O116" s="2">
        <v>1440.93</v>
      </c>
      <c r="P116" s="2">
        <v>259.37</v>
      </c>
      <c r="Q116" s="2">
        <v>1700.3</v>
      </c>
      <c r="R116" s="2">
        <v>1700.3</v>
      </c>
      <c r="S116" s="2">
        <v>1700.3</v>
      </c>
      <c r="T116" s="2" t="s">
        <v>28</v>
      </c>
      <c r="U116" s="2" t="b">
        <v>0</v>
      </c>
      <c r="V116" s="2" t="s">
        <v>29</v>
      </c>
      <c r="W116" s="2" t="s">
        <v>104</v>
      </c>
      <c r="X116" s="2" t="s">
        <v>105</v>
      </c>
      <c r="Y116" s="2" t="s">
        <v>471</v>
      </c>
      <c r="Z116" s="2" t="s">
        <v>31</v>
      </c>
      <c r="AA116" s="2"/>
      <c r="AB116" s="2"/>
      <c r="AC116" s="2"/>
      <c r="AD116" s="2"/>
      <c r="AK116" s="8">
        <f t="shared" si="2"/>
        <v>45693</v>
      </c>
    </row>
    <row r="117" spans="1:37" ht="15" customHeight="1">
      <c r="A117" s="2" t="s">
        <v>472</v>
      </c>
      <c r="B117" s="2">
        <v>0</v>
      </c>
      <c r="C117" s="2"/>
      <c r="D117" s="2" t="s">
        <v>298</v>
      </c>
      <c r="E117" s="2" t="s">
        <v>415</v>
      </c>
      <c r="F117" s="3">
        <v>45693</v>
      </c>
      <c r="G117" s="3">
        <v>45693</v>
      </c>
      <c r="H117" s="3">
        <v>45693</v>
      </c>
      <c r="I117" s="2"/>
      <c r="J117" s="2"/>
      <c r="K117" s="2" t="s">
        <v>25</v>
      </c>
      <c r="L117" s="2" t="s">
        <v>26</v>
      </c>
      <c r="M117" s="2"/>
      <c r="N117" s="2" t="s">
        <v>27</v>
      </c>
      <c r="O117" s="2">
        <v>650</v>
      </c>
      <c r="P117" s="2">
        <v>117</v>
      </c>
      <c r="Q117" s="2">
        <v>767</v>
      </c>
      <c r="R117" s="2">
        <v>767</v>
      </c>
      <c r="S117" s="2">
        <v>767</v>
      </c>
      <c r="T117" s="2" t="s">
        <v>28</v>
      </c>
      <c r="U117" s="2" t="b">
        <v>0</v>
      </c>
      <c r="V117" s="2" t="s">
        <v>29</v>
      </c>
      <c r="W117" s="2" t="s">
        <v>104</v>
      </c>
      <c r="X117" s="2" t="s">
        <v>105</v>
      </c>
      <c r="Y117" s="2" t="s">
        <v>473</v>
      </c>
      <c r="Z117" s="2" t="s">
        <v>31</v>
      </c>
      <c r="AA117" s="2"/>
      <c r="AB117" s="2"/>
      <c r="AC117" s="2"/>
      <c r="AD117" s="2"/>
      <c r="AK117" s="8">
        <f t="shared" si="2"/>
        <v>45693</v>
      </c>
    </row>
    <row r="118" spans="1:37" ht="15" customHeight="1">
      <c r="A118" s="2" t="s">
        <v>474</v>
      </c>
      <c r="B118" s="2">
        <v>0</v>
      </c>
      <c r="C118" s="2"/>
      <c r="D118" s="2" t="s">
        <v>298</v>
      </c>
      <c r="E118" s="2" t="s">
        <v>415</v>
      </c>
      <c r="F118" s="3">
        <v>45693</v>
      </c>
      <c r="G118" s="3">
        <v>45693</v>
      </c>
      <c r="H118" s="3">
        <v>45693</v>
      </c>
      <c r="I118" s="2"/>
      <c r="J118" s="2"/>
      <c r="K118" s="2" t="s">
        <v>25</v>
      </c>
      <c r="L118" s="2" t="s">
        <v>26</v>
      </c>
      <c r="M118" s="2"/>
      <c r="N118" s="2" t="s">
        <v>27</v>
      </c>
      <c r="O118" s="2">
        <v>600</v>
      </c>
      <c r="P118" s="2">
        <v>108</v>
      </c>
      <c r="Q118" s="2">
        <v>708</v>
      </c>
      <c r="R118" s="2">
        <v>708</v>
      </c>
      <c r="S118" s="2">
        <v>708</v>
      </c>
      <c r="T118" s="2" t="s">
        <v>28</v>
      </c>
      <c r="U118" s="2" t="b">
        <v>0</v>
      </c>
      <c r="V118" s="2" t="s">
        <v>29</v>
      </c>
      <c r="W118" s="2" t="s">
        <v>104</v>
      </c>
      <c r="X118" s="2" t="s">
        <v>105</v>
      </c>
      <c r="Y118" s="2" t="s">
        <v>475</v>
      </c>
      <c r="Z118" s="2" t="s">
        <v>31</v>
      </c>
      <c r="AA118" s="2"/>
      <c r="AB118" s="2"/>
      <c r="AC118" s="2"/>
      <c r="AD118" s="2"/>
      <c r="AK118" s="8">
        <f t="shared" si="2"/>
        <v>45693</v>
      </c>
    </row>
    <row r="119" spans="1:37" ht="15" customHeight="1">
      <c r="A119" s="2" t="s">
        <v>476</v>
      </c>
      <c r="B119" s="2">
        <v>0</v>
      </c>
      <c r="C119" s="2"/>
      <c r="D119" s="2" t="s">
        <v>298</v>
      </c>
      <c r="E119" s="2" t="s">
        <v>415</v>
      </c>
      <c r="F119" s="3">
        <v>45693</v>
      </c>
      <c r="G119" s="3">
        <v>45693</v>
      </c>
      <c r="H119" s="3">
        <v>45693</v>
      </c>
      <c r="I119" s="2"/>
      <c r="J119" s="2"/>
      <c r="K119" s="2" t="s">
        <v>25</v>
      </c>
      <c r="L119" s="2" t="s">
        <v>26</v>
      </c>
      <c r="M119" s="2"/>
      <c r="N119" s="2" t="s">
        <v>27</v>
      </c>
      <c r="O119" s="2">
        <v>1200</v>
      </c>
      <c r="P119" s="2">
        <v>216</v>
      </c>
      <c r="Q119" s="2">
        <v>1416</v>
      </c>
      <c r="R119" s="2">
        <v>1416</v>
      </c>
      <c r="S119" s="2">
        <v>1416</v>
      </c>
      <c r="T119" s="2" t="s">
        <v>28</v>
      </c>
      <c r="U119" s="2" t="b">
        <v>0</v>
      </c>
      <c r="V119" s="2" t="s">
        <v>29</v>
      </c>
      <c r="W119" s="2" t="s">
        <v>104</v>
      </c>
      <c r="X119" s="2" t="s">
        <v>105</v>
      </c>
      <c r="Y119" s="2" t="s">
        <v>477</v>
      </c>
      <c r="Z119" s="2" t="s">
        <v>31</v>
      </c>
      <c r="AA119" s="2"/>
      <c r="AB119" s="2"/>
      <c r="AC119" s="2"/>
      <c r="AD119" s="2"/>
      <c r="AK119" s="8">
        <f t="shared" si="2"/>
        <v>45693</v>
      </c>
    </row>
    <row r="120" spans="1:37" ht="15" customHeight="1">
      <c r="A120" s="2" t="s">
        <v>478</v>
      </c>
      <c r="B120" s="2">
        <v>0</v>
      </c>
      <c r="C120" s="2"/>
      <c r="D120" s="2" t="s">
        <v>298</v>
      </c>
      <c r="E120" s="2" t="s">
        <v>415</v>
      </c>
      <c r="F120" s="3">
        <v>45693</v>
      </c>
      <c r="G120" s="3">
        <v>45693</v>
      </c>
      <c r="H120" s="3">
        <v>45693</v>
      </c>
      <c r="I120" s="2"/>
      <c r="J120" s="2"/>
      <c r="K120" s="2" t="s">
        <v>25</v>
      </c>
      <c r="L120" s="2" t="s">
        <v>26</v>
      </c>
      <c r="M120" s="2"/>
      <c r="N120" s="2" t="s">
        <v>27</v>
      </c>
      <c r="O120" s="2">
        <v>1200</v>
      </c>
      <c r="P120" s="2">
        <v>216</v>
      </c>
      <c r="Q120" s="2">
        <v>1416</v>
      </c>
      <c r="R120" s="2">
        <v>1416</v>
      </c>
      <c r="S120" s="2">
        <v>1416</v>
      </c>
      <c r="T120" s="2" t="s">
        <v>28</v>
      </c>
      <c r="U120" s="2" t="b">
        <v>0</v>
      </c>
      <c r="V120" s="2" t="s">
        <v>29</v>
      </c>
      <c r="W120" s="2" t="s">
        <v>104</v>
      </c>
      <c r="X120" s="2" t="s">
        <v>105</v>
      </c>
      <c r="Y120" s="2" t="s">
        <v>479</v>
      </c>
      <c r="Z120" s="2" t="s">
        <v>31</v>
      </c>
      <c r="AA120" s="2"/>
      <c r="AB120" s="2"/>
      <c r="AC120" s="2"/>
      <c r="AD120" s="2"/>
      <c r="AK120" s="8">
        <f t="shared" si="2"/>
        <v>45693</v>
      </c>
    </row>
    <row r="121" spans="1:37" ht="15" customHeight="1">
      <c r="A121" s="2" t="s">
        <v>480</v>
      </c>
      <c r="B121" s="2">
        <v>0</v>
      </c>
      <c r="C121" s="2"/>
      <c r="D121" s="2" t="s">
        <v>298</v>
      </c>
      <c r="E121" s="2" t="s">
        <v>415</v>
      </c>
      <c r="F121" s="3">
        <v>45693</v>
      </c>
      <c r="G121" s="3">
        <v>45693</v>
      </c>
      <c r="H121" s="3">
        <v>45693</v>
      </c>
      <c r="I121" s="2"/>
      <c r="J121" s="2"/>
      <c r="K121" s="2" t="s">
        <v>25</v>
      </c>
      <c r="L121" s="2" t="s">
        <v>26</v>
      </c>
      <c r="M121" s="2"/>
      <c r="N121" s="2" t="s">
        <v>27</v>
      </c>
      <c r="O121" s="2">
        <v>2530.92</v>
      </c>
      <c r="P121" s="2">
        <v>455.56</v>
      </c>
      <c r="Q121" s="2">
        <v>2986.48</v>
      </c>
      <c r="R121" s="2">
        <v>2986.48</v>
      </c>
      <c r="S121" s="2">
        <v>2986.48</v>
      </c>
      <c r="T121" s="2" t="s">
        <v>28</v>
      </c>
      <c r="U121" s="2" t="b">
        <v>0</v>
      </c>
      <c r="V121" s="2" t="s">
        <v>29</v>
      </c>
      <c r="W121" s="2" t="s">
        <v>104</v>
      </c>
      <c r="X121" s="2" t="s">
        <v>105</v>
      </c>
      <c r="Y121" s="2" t="s">
        <v>481</v>
      </c>
      <c r="Z121" s="2" t="s">
        <v>31</v>
      </c>
      <c r="AA121" s="2"/>
      <c r="AB121" s="2"/>
      <c r="AC121" s="2"/>
      <c r="AD121" s="2"/>
      <c r="AK121" s="8">
        <f t="shared" si="2"/>
        <v>45693</v>
      </c>
    </row>
    <row r="122" spans="1:37" ht="15" customHeight="1">
      <c r="A122" s="2" t="s">
        <v>482</v>
      </c>
      <c r="B122" s="2">
        <v>0</v>
      </c>
      <c r="C122" s="2"/>
      <c r="D122" s="2" t="s">
        <v>298</v>
      </c>
      <c r="E122" s="2" t="s">
        <v>415</v>
      </c>
      <c r="F122" s="3">
        <v>45693</v>
      </c>
      <c r="G122" s="3">
        <v>45693</v>
      </c>
      <c r="H122" s="3">
        <v>45693</v>
      </c>
      <c r="I122" s="2"/>
      <c r="J122" s="2"/>
      <c r="K122" s="2" t="s">
        <v>25</v>
      </c>
      <c r="L122" s="2" t="s">
        <v>26</v>
      </c>
      <c r="M122" s="2"/>
      <c r="N122" s="2" t="s">
        <v>27</v>
      </c>
      <c r="O122" s="2">
        <v>1544.46</v>
      </c>
      <c r="P122" s="2">
        <v>278</v>
      </c>
      <c r="Q122" s="2">
        <v>1822.46</v>
      </c>
      <c r="R122" s="2">
        <v>1822.46</v>
      </c>
      <c r="S122" s="2">
        <v>1822.46</v>
      </c>
      <c r="T122" s="2" t="s">
        <v>28</v>
      </c>
      <c r="U122" s="2" t="b">
        <v>0</v>
      </c>
      <c r="V122" s="2" t="s">
        <v>29</v>
      </c>
      <c r="W122" s="2" t="s">
        <v>104</v>
      </c>
      <c r="X122" s="2" t="s">
        <v>105</v>
      </c>
      <c r="Y122" s="2" t="s">
        <v>483</v>
      </c>
      <c r="Z122" s="2" t="s">
        <v>31</v>
      </c>
      <c r="AA122" s="2"/>
      <c r="AB122" s="2"/>
      <c r="AC122" s="2"/>
      <c r="AD122" s="2"/>
      <c r="AK122" s="8">
        <f t="shared" si="2"/>
        <v>45693</v>
      </c>
    </row>
    <row r="123" spans="1:37" ht="15" customHeight="1">
      <c r="A123" s="2" t="s">
        <v>484</v>
      </c>
      <c r="B123" s="2">
        <v>0</v>
      </c>
      <c r="C123" s="2"/>
      <c r="D123" s="2" t="s">
        <v>298</v>
      </c>
      <c r="E123" s="2" t="s">
        <v>485</v>
      </c>
      <c r="F123" s="3">
        <v>45693</v>
      </c>
      <c r="G123" s="3">
        <v>45693</v>
      </c>
      <c r="H123" s="3">
        <v>45693</v>
      </c>
      <c r="I123" s="2"/>
      <c r="J123" s="2"/>
      <c r="K123" s="2" t="s">
        <v>25</v>
      </c>
      <c r="L123" s="2" t="s">
        <v>26</v>
      </c>
      <c r="M123" s="2"/>
      <c r="N123" s="2" t="s">
        <v>27</v>
      </c>
      <c r="O123" s="2">
        <v>25.85</v>
      </c>
      <c r="P123" s="2">
        <v>4.6500000000000004</v>
      </c>
      <c r="Q123" s="2">
        <v>30.5</v>
      </c>
      <c r="R123" s="2">
        <v>30.5</v>
      </c>
      <c r="S123" s="2">
        <v>30.5</v>
      </c>
      <c r="T123" s="2" t="s">
        <v>28</v>
      </c>
      <c r="U123" s="2" t="b">
        <v>0</v>
      </c>
      <c r="V123" s="2" t="s">
        <v>29</v>
      </c>
      <c r="W123" s="2" t="s">
        <v>104</v>
      </c>
      <c r="X123" s="2" t="s">
        <v>105</v>
      </c>
      <c r="Y123" s="2" t="s">
        <v>486</v>
      </c>
      <c r="Z123" s="2" t="s">
        <v>31</v>
      </c>
      <c r="AA123" s="2"/>
      <c r="AB123" s="2"/>
      <c r="AC123" s="2"/>
      <c r="AD123" s="2"/>
      <c r="AK123" s="8">
        <f t="shared" si="2"/>
        <v>45693</v>
      </c>
    </row>
    <row r="124" spans="1:37" ht="15" customHeight="1">
      <c r="A124" s="2" t="s">
        <v>487</v>
      </c>
      <c r="B124" s="2">
        <v>0</v>
      </c>
      <c r="C124" s="2"/>
      <c r="D124" s="2" t="s">
        <v>298</v>
      </c>
      <c r="E124" s="2" t="s">
        <v>485</v>
      </c>
      <c r="F124" s="3">
        <v>45693</v>
      </c>
      <c r="G124" s="3">
        <v>45693</v>
      </c>
      <c r="H124" s="3">
        <v>45693</v>
      </c>
      <c r="I124" s="2"/>
      <c r="J124" s="2"/>
      <c r="K124" s="2" t="s">
        <v>25</v>
      </c>
      <c r="L124" s="2" t="s">
        <v>26</v>
      </c>
      <c r="M124" s="2"/>
      <c r="N124" s="2" t="s">
        <v>27</v>
      </c>
      <c r="O124" s="2">
        <v>20.34</v>
      </c>
      <c r="P124" s="2">
        <v>3.66</v>
      </c>
      <c r="Q124" s="2">
        <v>24</v>
      </c>
      <c r="R124" s="2">
        <v>24</v>
      </c>
      <c r="S124" s="2">
        <v>24</v>
      </c>
      <c r="T124" s="2" t="s">
        <v>28</v>
      </c>
      <c r="U124" s="2" t="b">
        <v>0</v>
      </c>
      <c r="V124" s="2" t="s">
        <v>29</v>
      </c>
      <c r="W124" s="2" t="s">
        <v>104</v>
      </c>
      <c r="X124" s="2" t="s">
        <v>105</v>
      </c>
      <c r="Y124" s="2" t="s">
        <v>488</v>
      </c>
      <c r="Z124" s="2" t="s">
        <v>31</v>
      </c>
      <c r="AA124" s="2"/>
      <c r="AB124" s="2"/>
      <c r="AC124" s="2"/>
      <c r="AD124" s="2"/>
      <c r="AK124" s="8">
        <f t="shared" si="2"/>
        <v>45693</v>
      </c>
    </row>
    <row r="125" spans="1:37" ht="15" customHeight="1">
      <c r="A125" s="2" t="s">
        <v>489</v>
      </c>
      <c r="B125" s="2">
        <v>0</v>
      </c>
      <c r="C125" s="2"/>
      <c r="D125" s="2" t="s">
        <v>298</v>
      </c>
      <c r="E125" s="2" t="s">
        <v>490</v>
      </c>
      <c r="F125" s="3">
        <v>45693</v>
      </c>
      <c r="G125" s="3">
        <v>45693</v>
      </c>
      <c r="H125" s="3">
        <v>45693</v>
      </c>
      <c r="I125" s="2"/>
      <c r="J125" s="2"/>
      <c r="K125" s="2" t="s">
        <v>25</v>
      </c>
      <c r="L125" s="2" t="s">
        <v>26</v>
      </c>
      <c r="M125" s="2"/>
      <c r="N125" s="2" t="s">
        <v>27</v>
      </c>
      <c r="O125" s="2">
        <v>24.75</v>
      </c>
      <c r="P125" s="2">
        <v>4.45</v>
      </c>
      <c r="Q125" s="2">
        <v>29.2</v>
      </c>
      <c r="R125" s="2">
        <v>29.2</v>
      </c>
      <c r="S125" s="2">
        <v>29.2</v>
      </c>
      <c r="T125" s="2" t="s">
        <v>28</v>
      </c>
      <c r="U125" s="2" t="b">
        <v>0</v>
      </c>
      <c r="V125" s="2" t="s">
        <v>29</v>
      </c>
      <c r="W125" s="2" t="s">
        <v>104</v>
      </c>
      <c r="X125" s="2" t="s">
        <v>105</v>
      </c>
      <c r="Y125" s="2" t="s">
        <v>491</v>
      </c>
      <c r="Z125" s="2" t="s">
        <v>31</v>
      </c>
      <c r="AA125" s="2"/>
      <c r="AB125" s="2"/>
      <c r="AC125" s="2"/>
      <c r="AD125" s="2"/>
      <c r="AK125" s="8">
        <f t="shared" si="2"/>
        <v>45693</v>
      </c>
    </row>
    <row r="126" spans="1:37" ht="15" customHeight="1">
      <c r="A126" s="2" t="s">
        <v>492</v>
      </c>
      <c r="B126" s="2">
        <v>0</v>
      </c>
      <c r="C126" s="2"/>
      <c r="D126" s="2" t="s">
        <v>298</v>
      </c>
      <c r="E126" s="2" t="s">
        <v>490</v>
      </c>
      <c r="F126" s="3">
        <v>45693</v>
      </c>
      <c r="G126" s="3">
        <v>45693</v>
      </c>
      <c r="H126" s="3">
        <v>45693</v>
      </c>
      <c r="I126" s="2"/>
      <c r="J126" s="2"/>
      <c r="K126" s="2" t="s">
        <v>25</v>
      </c>
      <c r="L126" s="2" t="s">
        <v>26</v>
      </c>
      <c r="M126" s="2"/>
      <c r="N126" s="2" t="s">
        <v>27</v>
      </c>
      <c r="O126" s="2">
        <v>18.05</v>
      </c>
      <c r="P126" s="2">
        <v>3.25</v>
      </c>
      <c r="Q126" s="2">
        <v>21.3</v>
      </c>
      <c r="R126" s="2">
        <v>21.3</v>
      </c>
      <c r="S126" s="2">
        <v>21.3</v>
      </c>
      <c r="T126" s="2" t="s">
        <v>28</v>
      </c>
      <c r="U126" s="2" t="b">
        <v>0</v>
      </c>
      <c r="V126" s="2" t="s">
        <v>29</v>
      </c>
      <c r="W126" s="2" t="s">
        <v>104</v>
      </c>
      <c r="X126" s="2" t="s">
        <v>105</v>
      </c>
      <c r="Y126" s="2" t="s">
        <v>493</v>
      </c>
      <c r="Z126" s="2" t="s">
        <v>31</v>
      </c>
      <c r="AA126" s="2"/>
      <c r="AB126" s="2"/>
      <c r="AC126" s="2"/>
      <c r="AD126" s="2"/>
      <c r="AK126" s="8">
        <f t="shared" si="2"/>
        <v>45693</v>
      </c>
    </row>
    <row r="127" spans="1:37" ht="15" customHeight="1">
      <c r="A127" s="2" t="s">
        <v>494</v>
      </c>
      <c r="B127" s="2">
        <v>0</v>
      </c>
      <c r="C127" s="2"/>
      <c r="D127" s="2" t="s">
        <v>298</v>
      </c>
      <c r="E127" s="2" t="s">
        <v>415</v>
      </c>
      <c r="F127" s="3">
        <v>45693</v>
      </c>
      <c r="G127" s="3">
        <v>45693</v>
      </c>
      <c r="H127" s="3">
        <v>45693</v>
      </c>
      <c r="I127" s="2"/>
      <c r="J127" s="2"/>
      <c r="K127" s="2" t="s">
        <v>25</v>
      </c>
      <c r="L127" s="2" t="s">
        <v>26</v>
      </c>
      <c r="M127" s="2"/>
      <c r="N127" s="2" t="s">
        <v>27</v>
      </c>
      <c r="O127" s="2">
        <v>600</v>
      </c>
      <c r="P127" s="2">
        <v>108</v>
      </c>
      <c r="Q127" s="2">
        <v>708</v>
      </c>
      <c r="R127" s="2">
        <v>708</v>
      </c>
      <c r="S127" s="2">
        <v>708</v>
      </c>
      <c r="T127" s="2" t="s">
        <v>28</v>
      </c>
      <c r="U127" s="2" t="b">
        <v>0</v>
      </c>
      <c r="V127" s="2" t="s">
        <v>29</v>
      </c>
      <c r="W127" s="2" t="s">
        <v>104</v>
      </c>
      <c r="X127" s="2" t="s">
        <v>105</v>
      </c>
      <c r="Y127" s="2" t="s">
        <v>495</v>
      </c>
      <c r="Z127" s="2" t="s">
        <v>31</v>
      </c>
      <c r="AA127" s="2"/>
      <c r="AB127" s="2"/>
      <c r="AC127" s="2"/>
      <c r="AD127" s="2"/>
      <c r="AK127" s="8">
        <f t="shared" si="2"/>
        <v>45693</v>
      </c>
    </row>
    <row r="128" spans="1:37" ht="15" customHeight="1">
      <c r="A128" s="2" t="s">
        <v>496</v>
      </c>
      <c r="B128" s="2">
        <v>0</v>
      </c>
      <c r="C128" s="2"/>
      <c r="D128" s="2" t="s">
        <v>298</v>
      </c>
      <c r="E128" s="2" t="s">
        <v>415</v>
      </c>
      <c r="F128" s="3">
        <v>45693</v>
      </c>
      <c r="G128" s="3">
        <v>45693</v>
      </c>
      <c r="H128" s="3">
        <v>45693</v>
      </c>
      <c r="I128" s="2"/>
      <c r="J128" s="2"/>
      <c r="K128" s="2" t="s">
        <v>25</v>
      </c>
      <c r="L128" s="2" t="s">
        <v>26</v>
      </c>
      <c r="M128" s="2"/>
      <c r="N128" s="2" t="s">
        <v>27</v>
      </c>
      <c r="O128" s="2">
        <v>1264.92</v>
      </c>
      <c r="P128" s="2">
        <v>227.68</v>
      </c>
      <c r="Q128" s="2">
        <v>1492.6</v>
      </c>
      <c r="R128" s="2">
        <v>1492.6</v>
      </c>
      <c r="S128" s="2">
        <v>1492.6</v>
      </c>
      <c r="T128" s="2" t="s">
        <v>28</v>
      </c>
      <c r="U128" s="2" t="b">
        <v>0</v>
      </c>
      <c r="V128" s="2" t="s">
        <v>29</v>
      </c>
      <c r="W128" s="2" t="s">
        <v>104</v>
      </c>
      <c r="X128" s="2" t="s">
        <v>105</v>
      </c>
      <c r="Y128" s="2" t="s">
        <v>497</v>
      </c>
      <c r="Z128" s="2" t="s">
        <v>31</v>
      </c>
      <c r="AA128" s="2"/>
      <c r="AB128" s="2"/>
      <c r="AC128" s="2"/>
      <c r="AD128" s="2"/>
      <c r="AK128" s="8">
        <f t="shared" si="2"/>
        <v>45693</v>
      </c>
    </row>
    <row r="129" spans="1:37" ht="15" customHeight="1">
      <c r="A129" s="2" t="s">
        <v>498</v>
      </c>
      <c r="B129" s="2">
        <v>0</v>
      </c>
      <c r="C129" s="2"/>
      <c r="D129" s="2" t="s">
        <v>298</v>
      </c>
      <c r="E129" s="2" t="s">
        <v>415</v>
      </c>
      <c r="F129" s="3">
        <v>45693</v>
      </c>
      <c r="G129" s="3">
        <v>45693</v>
      </c>
      <c r="H129" s="3">
        <v>45693</v>
      </c>
      <c r="I129" s="2"/>
      <c r="J129" s="2"/>
      <c r="K129" s="2" t="s">
        <v>25</v>
      </c>
      <c r="L129" s="2" t="s">
        <v>26</v>
      </c>
      <c r="M129" s="2"/>
      <c r="N129" s="2" t="s">
        <v>27</v>
      </c>
      <c r="O129" s="2">
        <v>896.27</v>
      </c>
      <c r="P129" s="2">
        <v>161.33000000000001</v>
      </c>
      <c r="Q129" s="2">
        <v>1057.5999999999999</v>
      </c>
      <c r="R129" s="2">
        <v>1057.5999999999999</v>
      </c>
      <c r="S129" s="2">
        <v>1057.5999999999999</v>
      </c>
      <c r="T129" s="2" t="s">
        <v>28</v>
      </c>
      <c r="U129" s="2" t="b">
        <v>0</v>
      </c>
      <c r="V129" s="2" t="s">
        <v>29</v>
      </c>
      <c r="W129" s="2" t="s">
        <v>104</v>
      </c>
      <c r="X129" s="2" t="s">
        <v>105</v>
      </c>
      <c r="Y129" s="2" t="s">
        <v>499</v>
      </c>
      <c r="Z129" s="2" t="s">
        <v>31</v>
      </c>
      <c r="AA129" s="2"/>
      <c r="AB129" s="2"/>
      <c r="AC129" s="2"/>
      <c r="AD129" s="2"/>
      <c r="AK129" s="8">
        <f t="shared" si="2"/>
        <v>45693</v>
      </c>
    </row>
    <row r="130" spans="1:37" ht="15" customHeight="1">
      <c r="A130" s="2" t="s">
        <v>500</v>
      </c>
      <c r="B130" s="2">
        <v>0</v>
      </c>
      <c r="C130" s="2"/>
      <c r="D130" s="2" t="s">
        <v>298</v>
      </c>
      <c r="E130" s="2" t="s">
        <v>501</v>
      </c>
      <c r="F130" s="3">
        <v>45693</v>
      </c>
      <c r="G130" s="3">
        <v>45693</v>
      </c>
      <c r="H130" s="3">
        <v>45693</v>
      </c>
      <c r="I130" s="2"/>
      <c r="J130" s="2"/>
      <c r="K130" s="2" t="s">
        <v>25</v>
      </c>
      <c r="L130" s="2" t="s">
        <v>26</v>
      </c>
      <c r="M130" s="2"/>
      <c r="N130" s="2" t="s">
        <v>27</v>
      </c>
      <c r="O130" s="2">
        <v>4.95</v>
      </c>
      <c r="P130" s="2">
        <v>0.89</v>
      </c>
      <c r="Q130" s="2">
        <v>5.84</v>
      </c>
      <c r="R130" s="2">
        <v>5.84</v>
      </c>
      <c r="S130" s="2">
        <v>5.84</v>
      </c>
      <c r="T130" s="2" t="s">
        <v>28</v>
      </c>
      <c r="U130" s="2" t="b">
        <v>0</v>
      </c>
      <c r="V130" s="2" t="s">
        <v>29</v>
      </c>
      <c r="W130" s="2" t="s">
        <v>104</v>
      </c>
      <c r="X130" s="2" t="s">
        <v>105</v>
      </c>
      <c r="Y130" s="2" t="s">
        <v>502</v>
      </c>
      <c r="Z130" s="2" t="s">
        <v>31</v>
      </c>
      <c r="AA130" s="2"/>
      <c r="AB130" s="2"/>
      <c r="AC130" s="2"/>
      <c r="AD130" s="2"/>
      <c r="AK130" s="8">
        <f t="shared" si="2"/>
        <v>45693</v>
      </c>
    </row>
    <row r="131" spans="1:37" ht="15" customHeight="1">
      <c r="A131" s="2" t="s">
        <v>503</v>
      </c>
      <c r="B131" s="2">
        <v>0</v>
      </c>
      <c r="C131" s="2"/>
      <c r="D131" s="2" t="s">
        <v>298</v>
      </c>
      <c r="E131" s="2" t="s">
        <v>501</v>
      </c>
      <c r="F131" s="3">
        <v>45693</v>
      </c>
      <c r="G131" s="3">
        <v>45693</v>
      </c>
      <c r="H131" s="3">
        <v>45693</v>
      </c>
      <c r="I131" s="2"/>
      <c r="J131" s="2"/>
      <c r="K131" s="2" t="s">
        <v>25</v>
      </c>
      <c r="L131" s="2" t="s">
        <v>26</v>
      </c>
      <c r="M131" s="2"/>
      <c r="N131" s="2" t="s">
        <v>27</v>
      </c>
      <c r="O131" s="2">
        <v>5</v>
      </c>
      <c r="P131" s="2">
        <v>0.9</v>
      </c>
      <c r="Q131" s="2">
        <v>5.9</v>
      </c>
      <c r="R131" s="2">
        <v>5.9</v>
      </c>
      <c r="S131" s="2">
        <v>5.9</v>
      </c>
      <c r="T131" s="2" t="s">
        <v>28</v>
      </c>
      <c r="U131" s="2" t="b">
        <v>0</v>
      </c>
      <c r="V131" s="2" t="s">
        <v>29</v>
      </c>
      <c r="W131" s="2" t="s">
        <v>104</v>
      </c>
      <c r="X131" s="2" t="s">
        <v>105</v>
      </c>
      <c r="Y131" s="2" t="s">
        <v>504</v>
      </c>
      <c r="Z131" s="2" t="s">
        <v>31</v>
      </c>
      <c r="AA131" s="2"/>
      <c r="AB131" s="2"/>
      <c r="AC131" s="2"/>
      <c r="AD131" s="2"/>
      <c r="AK131" s="8">
        <f t="shared" si="2"/>
        <v>45693</v>
      </c>
    </row>
    <row r="132" spans="1:37" ht="15" customHeight="1">
      <c r="A132" s="2" t="s">
        <v>505</v>
      </c>
      <c r="B132" s="2">
        <v>0</v>
      </c>
      <c r="C132" s="2"/>
      <c r="D132" s="2" t="s">
        <v>298</v>
      </c>
      <c r="E132" s="2" t="s">
        <v>415</v>
      </c>
      <c r="F132" s="3">
        <v>45693</v>
      </c>
      <c r="G132" s="3">
        <v>45693</v>
      </c>
      <c r="H132" s="3">
        <v>45693</v>
      </c>
      <c r="I132" s="2"/>
      <c r="J132" s="2"/>
      <c r="K132" s="2" t="s">
        <v>25</v>
      </c>
      <c r="L132" s="2" t="s">
        <v>26</v>
      </c>
      <c r="M132" s="2"/>
      <c r="N132" s="2" t="s">
        <v>27</v>
      </c>
      <c r="O132" s="2">
        <v>1</v>
      </c>
      <c r="P132" s="2">
        <v>0.18</v>
      </c>
      <c r="Q132" s="2">
        <v>1.18</v>
      </c>
      <c r="R132" s="2">
        <v>1.18</v>
      </c>
      <c r="S132" s="2">
        <v>1.18</v>
      </c>
      <c r="T132" s="2" t="s">
        <v>28</v>
      </c>
      <c r="U132" s="2" t="b">
        <v>0</v>
      </c>
      <c r="V132" s="2" t="s">
        <v>29</v>
      </c>
      <c r="W132" s="2" t="s">
        <v>104</v>
      </c>
      <c r="X132" s="2" t="s">
        <v>105</v>
      </c>
      <c r="Y132" s="2" t="s">
        <v>506</v>
      </c>
      <c r="Z132" s="2" t="s">
        <v>31</v>
      </c>
      <c r="AA132" s="2"/>
      <c r="AB132" s="2"/>
      <c r="AC132" s="2"/>
      <c r="AD132" s="2"/>
      <c r="AK132" s="8">
        <f t="shared" si="2"/>
        <v>45693</v>
      </c>
    </row>
    <row r="133" spans="1:37" ht="15" customHeight="1">
      <c r="A133" s="2" t="s">
        <v>507</v>
      </c>
      <c r="B133" s="2">
        <v>0</v>
      </c>
      <c r="C133" s="2"/>
      <c r="D133" s="2" t="s">
        <v>298</v>
      </c>
      <c r="E133" s="2" t="s">
        <v>415</v>
      </c>
      <c r="F133" s="3">
        <v>45693</v>
      </c>
      <c r="G133" s="3">
        <v>45693</v>
      </c>
      <c r="H133" s="3">
        <v>45693</v>
      </c>
      <c r="I133" s="2"/>
      <c r="J133" s="2"/>
      <c r="K133" s="2" t="s">
        <v>25</v>
      </c>
      <c r="L133" s="2" t="s">
        <v>26</v>
      </c>
      <c r="M133" s="2"/>
      <c r="N133" s="2" t="s">
        <v>27</v>
      </c>
      <c r="O133" s="2">
        <v>600</v>
      </c>
      <c r="P133" s="2">
        <v>108</v>
      </c>
      <c r="Q133" s="2">
        <v>708</v>
      </c>
      <c r="R133" s="2">
        <v>708</v>
      </c>
      <c r="S133" s="2">
        <v>708</v>
      </c>
      <c r="T133" s="2" t="s">
        <v>28</v>
      </c>
      <c r="U133" s="2" t="b">
        <v>0</v>
      </c>
      <c r="V133" s="2" t="s">
        <v>29</v>
      </c>
      <c r="W133" s="2" t="s">
        <v>104</v>
      </c>
      <c r="X133" s="2" t="s">
        <v>105</v>
      </c>
      <c r="Y133" s="2" t="s">
        <v>508</v>
      </c>
      <c r="Z133" s="2" t="s">
        <v>31</v>
      </c>
      <c r="AA133" s="2"/>
      <c r="AB133" s="2"/>
      <c r="AC133" s="2"/>
      <c r="AD133" s="2"/>
      <c r="AK133" s="8">
        <f t="shared" si="2"/>
        <v>45693</v>
      </c>
    </row>
    <row r="134" spans="1:37" ht="15" customHeight="1">
      <c r="A134" s="2" t="s">
        <v>509</v>
      </c>
      <c r="B134" s="2">
        <v>0</v>
      </c>
      <c r="C134" s="2"/>
      <c r="D134" s="2" t="s">
        <v>298</v>
      </c>
      <c r="E134" s="2" t="s">
        <v>415</v>
      </c>
      <c r="F134" s="3">
        <v>45693</v>
      </c>
      <c r="G134" s="3">
        <v>45693</v>
      </c>
      <c r="H134" s="3">
        <v>45693</v>
      </c>
      <c r="I134" s="2"/>
      <c r="J134" s="2"/>
      <c r="K134" s="2" t="s">
        <v>25</v>
      </c>
      <c r="L134" s="2" t="s">
        <v>26</v>
      </c>
      <c r="M134" s="2"/>
      <c r="N134" s="2" t="s">
        <v>27</v>
      </c>
      <c r="O134" s="2">
        <v>1854.82</v>
      </c>
      <c r="P134" s="2">
        <v>333.87</v>
      </c>
      <c r="Q134" s="2">
        <v>2188.69</v>
      </c>
      <c r="R134" s="2">
        <v>2188.69</v>
      </c>
      <c r="S134" s="2">
        <v>2188.69</v>
      </c>
      <c r="T134" s="2" t="s">
        <v>28</v>
      </c>
      <c r="U134" s="2" t="b">
        <v>0</v>
      </c>
      <c r="V134" s="2" t="s">
        <v>29</v>
      </c>
      <c r="W134" s="2" t="s">
        <v>104</v>
      </c>
      <c r="X134" s="2" t="s">
        <v>105</v>
      </c>
      <c r="Y134" s="2" t="s">
        <v>510</v>
      </c>
      <c r="Z134" s="2" t="s">
        <v>31</v>
      </c>
      <c r="AA134" s="2"/>
      <c r="AB134" s="2"/>
      <c r="AC134" s="2"/>
      <c r="AD134" s="2"/>
      <c r="AK134" s="8">
        <f t="shared" si="2"/>
        <v>45693</v>
      </c>
    </row>
    <row r="135" spans="1:37" ht="15" customHeight="1">
      <c r="A135" s="2" t="s">
        <v>511</v>
      </c>
      <c r="B135" s="2">
        <v>0</v>
      </c>
      <c r="C135" s="2"/>
      <c r="D135" s="2" t="s">
        <v>298</v>
      </c>
      <c r="E135" s="2" t="s">
        <v>415</v>
      </c>
      <c r="F135" s="3">
        <v>45693</v>
      </c>
      <c r="G135" s="3">
        <v>45693</v>
      </c>
      <c r="H135" s="3">
        <v>45693</v>
      </c>
      <c r="I135" s="2"/>
      <c r="J135" s="2"/>
      <c r="K135" s="2" t="s">
        <v>25</v>
      </c>
      <c r="L135" s="2" t="s">
        <v>26</v>
      </c>
      <c r="M135" s="2"/>
      <c r="N135" s="2" t="s">
        <v>27</v>
      </c>
      <c r="O135" s="2">
        <v>1170.3900000000001</v>
      </c>
      <c r="P135" s="2">
        <v>210.67</v>
      </c>
      <c r="Q135" s="2">
        <v>1381.06</v>
      </c>
      <c r="R135" s="2">
        <v>1381.06</v>
      </c>
      <c r="S135" s="2">
        <v>1381.06</v>
      </c>
      <c r="T135" s="2" t="s">
        <v>28</v>
      </c>
      <c r="U135" s="2" t="b">
        <v>0</v>
      </c>
      <c r="V135" s="2" t="s">
        <v>29</v>
      </c>
      <c r="W135" s="2" t="s">
        <v>104</v>
      </c>
      <c r="X135" s="2" t="s">
        <v>105</v>
      </c>
      <c r="Y135" s="2" t="s">
        <v>512</v>
      </c>
      <c r="Z135" s="2" t="s">
        <v>31</v>
      </c>
      <c r="AA135" s="2"/>
      <c r="AB135" s="2"/>
      <c r="AC135" s="2"/>
      <c r="AD135" s="2"/>
      <c r="AK135" s="8">
        <f t="shared" ref="AK135:AK198" si="3">+IF(AE135&lt;&gt;"",AE135,F135)</f>
        <v>45693</v>
      </c>
    </row>
    <row r="136" spans="1:37" ht="15" customHeight="1">
      <c r="A136" s="2" t="s">
        <v>513</v>
      </c>
      <c r="B136" s="2">
        <v>0</v>
      </c>
      <c r="C136" s="2"/>
      <c r="D136" s="2" t="s">
        <v>298</v>
      </c>
      <c r="E136" s="2" t="s">
        <v>514</v>
      </c>
      <c r="F136" s="3">
        <v>45693</v>
      </c>
      <c r="G136" s="3">
        <v>45693</v>
      </c>
      <c r="H136" s="3">
        <v>45693</v>
      </c>
      <c r="I136" s="2"/>
      <c r="J136" s="2"/>
      <c r="K136" s="2" t="s">
        <v>25</v>
      </c>
      <c r="L136" s="2" t="s">
        <v>26</v>
      </c>
      <c r="M136" s="2"/>
      <c r="N136" s="2" t="s">
        <v>27</v>
      </c>
      <c r="O136" s="2">
        <v>138.18</v>
      </c>
      <c r="P136" s="2">
        <v>24.87</v>
      </c>
      <c r="Q136" s="2">
        <v>163.05000000000001</v>
      </c>
      <c r="R136" s="2">
        <v>163.05000000000001</v>
      </c>
      <c r="S136" s="2">
        <v>163.05000000000001</v>
      </c>
      <c r="T136" s="2" t="s">
        <v>28</v>
      </c>
      <c r="U136" s="2" t="b">
        <v>0</v>
      </c>
      <c r="V136" s="2" t="s">
        <v>29</v>
      </c>
      <c r="W136" s="2" t="s">
        <v>104</v>
      </c>
      <c r="X136" s="2" t="s">
        <v>105</v>
      </c>
      <c r="Y136" s="2" t="s">
        <v>515</v>
      </c>
      <c r="Z136" s="2" t="s">
        <v>31</v>
      </c>
      <c r="AA136" s="2"/>
      <c r="AB136" s="2"/>
      <c r="AC136" s="2"/>
      <c r="AD136" s="2"/>
      <c r="AK136" s="8">
        <f t="shared" si="3"/>
        <v>45693</v>
      </c>
    </row>
    <row r="137" spans="1:37" ht="15" customHeight="1">
      <c r="A137" s="2" t="s">
        <v>516</v>
      </c>
      <c r="B137" s="2">
        <v>0</v>
      </c>
      <c r="C137" s="2"/>
      <c r="D137" s="2" t="s">
        <v>298</v>
      </c>
      <c r="E137" s="2" t="s">
        <v>514</v>
      </c>
      <c r="F137" s="3">
        <v>45693</v>
      </c>
      <c r="G137" s="3">
        <v>45693</v>
      </c>
      <c r="H137" s="3">
        <v>45693</v>
      </c>
      <c r="I137" s="2"/>
      <c r="J137" s="2"/>
      <c r="K137" s="2" t="s">
        <v>25</v>
      </c>
      <c r="L137" s="2" t="s">
        <v>26</v>
      </c>
      <c r="M137" s="2"/>
      <c r="N137" s="2" t="s">
        <v>27</v>
      </c>
      <c r="O137" s="2">
        <v>132.97</v>
      </c>
      <c r="P137" s="2">
        <v>23.93</v>
      </c>
      <c r="Q137" s="2">
        <v>156.9</v>
      </c>
      <c r="R137" s="2">
        <v>156.9</v>
      </c>
      <c r="S137" s="2">
        <v>156.9</v>
      </c>
      <c r="T137" s="2" t="s">
        <v>28</v>
      </c>
      <c r="U137" s="2" t="b">
        <v>0</v>
      </c>
      <c r="V137" s="2" t="s">
        <v>29</v>
      </c>
      <c r="W137" s="2" t="s">
        <v>104</v>
      </c>
      <c r="X137" s="2" t="s">
        <v>105</v>
      </c>
      <c r="Y137" s="2" t="s">
        <v>517</v>
      </c>
      <c r="Z137" s="2" t="s">
        <v>31</v>
      </c>
      <c r="AA137" s="2"/>
      <c r="AB137" s="2"/>
      <c r="AC137" s="2"/>
      <c r="AD137" s="2"/>
      <c r="AK137" s="8">
        <f t="shared" si="3"/>
        <v>45693</v>
      </c>
    </row>
    <row r="138" spans="1:37" ht="15" customHeight="1">
      <c r="A138" s="2" t="s">
        <v>518</v>
      </c>
      <c r="B138" s="2">
        <v>0</v>
      </c>
      <c r="C138" s="2"/>
      <c r="D138" s="2" t="s">
        <v>265</v>
      </c>
      <c r="E138" s="2" t="s">
        <v>519</v>
      </c>
      <c r="F138" s="3">
        <v>45693</v>
      </c>
      <c r="G138" s="3">
        <v>45693</v>
      </c>
      <c r="H138" s="3">
        <v>45693</v>
      </c>
      <c r="I138" s="2"/>
      <c r="J138" s="2"/>
      <c r="K138" s="2" t="s">
        <v>25</v>
      </c>
      <c r="L138" s="2" t="s">
        <v>26</v>
      </c>
      <c r="M138" s="2"/>
      <c r="N138" s="2" t="s">
        <v>27</v>
      </c>
      <c r="O138" s="2">
        <v>980</v>
      </c>
      <c r="P138" s="2">
        <v>176.4</v>
      </c>
      <c r="Q138" s="2">
        <v>1156.4000000000001</v>
      </c>
      <c r="R138" s="2">
        <v>1156.4000000000001</v>
      </c>
      <c r="S138" s="2">
        <v>1156.4000000000001</v>
      </c>
      <c r="T138" s="2" t="s">
        <v>28</v>
      </c>
      <c r="U138" s="2" t="b">
        <v>0</v>
      </c>
      <c r="V138" s="2" t="s">
        <v>29</v>
      </c>
      <c r="W138" s="2" t="s">
        <v>104</v>
      </c>
      <c r="X138" s="2" t="s">
        <v>105</v>
      </c>
      <c r="Y138" s="2" t="s">
        <v>520</v>
      </c>
      <c r="Z138" s="2" t="s">
        <v>31</v>
      </c>
      <c r="AA138" s="2"/>
      <c r="AB138" s="2"/>
      <c r="AC138" s="2"/>
      <c r="AD138" s="2"/>
      <c r="AK138" s="8">
        <f t="shared" si="3"/>
        <v>45693</v>
      </c>
    </row>
    <row r="139" spans="1:37" ht="15" customHeight="1">
      <c r="A139" s="2" t="s">
        <v>521</v>
      </c>
      <c r="B139" s="2">
        <v>0</v>
      </c>
      <c r="C139" s="2"/>
      <c r="D139" s="2" t="s">
        <v>265</v>
      </c>
      <c r="E139" s="2" t="s">
        <v>519</v>
      </c>
      <c r="F139" s="3">
        <v>45693</v>
      </c>
      <c r="G139" s="3">
        <v>45693</v>
      </c>
      <c r="H139" s="3">
        <v>45693</v>
      </c>
      <c r="I139" s="2"/>
      <c r="J139" s="2"/>
      <c r="K139" s="2" t="s">
        <v>25</v>
      </c>
      <c r="L139" s="2" t="s">
        <v>26</v>
      </c>
      <c r="M139" s="2"/>
      <c r="N139" s="2" t="s">
        <v>27</v>
      </c>
      <c r="O139" s="2">
        <v>437.8</v>
      </c>
      <c r="P139" s="2">
        <v>78.8</v>
      </c>
      <c r="Q139" s="2">
        <v>516.6</v>
      </c>
      <c r="R139" s="2">
        <v>516.6</v>
      </c>
      <c r="S139" s="2">
        <v>516.6</v>
      </c>
      <c r="T139" s="2" t="s">
        <v>28</v>
      </c>
      <c r="U139" s="2" t="b">
        <v>0</v>
      </c>
      <c r="V139" s="2" t="s">
        <v>29</v>
      </c>
      <c r="W139" s="2" t="s">
        <v>104</v>
      </c>
      <c r="X139" s="2" t="s">
        <v>105</v>
      </c>
      <c r="Y139" s="2" t="s">
        <v>522</v>
      </c>
      <c r="Z139" s="2" t="s">
        <v>31</v>
      </c>
      <c r="AA139" s="2"/>
      <c r="AB139" s="2"/>
      <c r="AC139" s="2"/>
      <c r="AD139" s="2"/>
      <c r="AK139" s="8">
        <f t="shared" si="3"/>
        <v>45693</v>
      </c>
    </row>
    <row r="140" spans="1:37" ht="15" customHeight="1">
      <c r="A140" s="2" t="s">
        <v>523</v>
      </c>
      <c r="B140" s="2">
        <v>0</v>
      </c>
      <c r="C140" s="2"/>
      <c r="D140" s="2" t="s">
        <v>265</v>
      </c>
      <c r="E140" s="2" t="s">
        <v>519</v>
      </c>
      <c r="F140" s="3">
        <v>45693</v>
      </c>
      <c r="G140" s="3">
        <v>45693</v>
      </c>
      <c r="H140" s="3">
        <v>45693</v>
      </c>
      <c r="I140" s="2"/>
      <c r="J140" s="2"/>
      <c r="K140" s="2" t="s">
        <v>25</v>
      </c>
      <c r="L140" s="2" t="s">
        <v>26</v>
      </c>
      <c r="M140" s="2"/>
      <c r="N140" s="2" t="s">
        <v>27</v>
      </c>
      <c r="O140" s="2">
        <v>391.08</v>
      </c>
      <c r="P140" s="2">
        <v>70.39</v>
      </c>
      <c r="Q140" s="2">
        <v>461.47</v>
      </c>
      <c r="R140" s="2">
        <v>461.47</v>
      </c>
      <c r="S140" s="2">
        <v>461.47</v>
      </c>
      <c r="T140" s="2" t="s">
        <v>28</v>
      </c>
      <c r="U140" s="2" t="b">
        <v>0</v>
      </c>
      <c r="V140" s="2" t="s">
        <v>29</v>
      </c>
      <c r="W140" s="2" t="s">
        <v>104</v>
      </c>
      <c r="X140" s="2" t="s">
        <v>105</v>
      </c>
      <c r="Y140" s="2" t="s">
        <v>524</v>
      </c>
      <c r="Z140" s="2" t="s">
        <v>31</v>
      </c>
      <c r="AA140" s="2"/>
      <c r="AB140" s="2"/>
      <c r="AC140" s="2"/>
      <c r="AD140" s="2"/>
      <c r="AK140" s="8">
        <f t="shared" si="3"/>
        <v>45693</v>
      </c>
    </row>
    <row r="141" spans="1:37" ht="15" customHeight="1">
      <c r="A141" s="2" t="s">
        <v>525</v>
      </c>
      <c r="B141" s="2">
        <v>0</v>
      </c>
      <c r="C141" s="2"/>
      <c r="D141" s="2" t="s">
        <v>265</v>
      </c>
      <c r="E141" s="2" t="s">
        <v>526</v>
      </c>
      <c r="F141" s="3">
        <v>45693</v>
      </c>
      <c r="G141" s="3">
        <v>45693</v>
      </c>
      <c r="H141" s="3">
        <v>45693</v>
      </c>
      <c r="I141" s="2"/>
      <c r="J141" s="2"/>
      <c r="K141" s="2" t="s">
        <v>25</v>
      </c>
      <c r="L141" s="2" t="s">
        <v>26</v>
      </c>
      <c r="M141" s="2"/>
      <c r="N141" s="2" t="s">
        <v>27</v>
      </c>
      <c r="O141" s="2">
        <v>500</v>
      </c>
      <c r="P141" s="2">
        <v>90</v>
      </c>
      <c r="Q141" s="2">
        <v>590</v>
      </c>
      <c r="R141" s="2">
        <v>590</v>
      </c>
      <c r="S141" s="2">
        <v>590</v>
      </c>
      <c r="T141" s="2" t="s">
        <v>28</v>
      </c>
      <c r="U141" s="2" t="b">
        <v>0</v>
      </c>
      <c r="V141" s="2" t="s">
        <v>29</v>
      </c>
      <c r="W141" s="2" t="s">
        <v>104</v>
      </c>
      <c r="X141" s="2" t="s">
        <v>105</v>
      </c>
      <c r="Y141" s="2" t="s">
        <v>527</v>
      </c>
      <c r="Z141" s="2" t="s">
        <v>31</v>
      </c>
      <c r="AA141" s="2"/>
      <c r="AB141" s="2"/>
      <c r="AC141" s="2"/>
      <c r="AD141" s="2"/>
      <c r="AK141" s="8">
        <f t="shared" si="3"/>
        <v>45693</v>
      </c>
    </row>
    <row r="142" spans="1:37" ht="15" customHeight="1">
      <c r="A142" s="2" t="s">
        <v>528</v>
      </c>
      <c r="B142" s="2">
        <v>0</v>
      </c>
      <c r="C142" s="2"/>
      <c r="D142" s="2" t="s">
        <v>265</v>
      </c>
      <c r="E142" s="2" t="s">
        <v>526</v>
      </c>
      <c r="F142" s="3">
        <v>45693</v>
      </c>
      <c r="G142" s="3">
        <v>45693</v>
      </c>
      <c r="H142" s="3">
        <v>45693</v>
      </c>
      <c r="I142" s="2"/>
      <c r="J142" s="2"/>
      <c r="K142" s="2" t="s">
        <v>25</v>
      </c>
      <c r="L142" s="2" t="s">
        <v>26</v>
      </c>
      <c r="M142" s="2"/>
      <c r="N142" s="2" t="s">
        <v>27</v>
      </c>
      <c r="O142" s="2">
        <v>223.36</v>
      </c>
      <c r="P142" s="2">
        <v>40.21</v>
      </c>
      <c r="Q142" s="2">
        <v>263.57</v>
      </c>
      <c r="R142" s="2">
        <v>263.57</v>
      </c>
      <c r="S142" s="2">
        <v>263.57</v>
      </c>
      <c r="T142" s="2" t="s">
        <v>28</v>
      </c>
      <c r="U142" s="2" t="b">
        <v>0</v>
      </c>
      <c r="V142" s="2" t="s">
        <v>29</v>
      </c>
      <c r="W142" s="2" t="s">
        <v>104</v>
      </c>
      <c r="X142" s="2" t="s">
        <v>105</v>
      </c>
      <c r="Y142" s="2" t="s">
        <v>529</v>
      </c>
      <c r="Z142" s="2" t="s">
        <v>31</v>
      </c>
      <c r="AA142" s="2"/>
      <c r="AB142" s="2"/>
      <c r="AC142" s="2"/>
      <c r="AD142" s="2"/>
      <c r="AK142" s="8">
        <f t="shared" si="3"/>
        <v>45693</v>
      </c>
    </row>
    <row r="143" spans="1:37" ht="15" customHeight="1">
      <c r="A143" s="2" t="s">
        <v>530</v>
      </c>
      <c r="B143" s="2">
        <v>0</v>
      </c>
      <c r="C143" s="2"/>
      <c r="D143" s="2" t="s">
        <v>265</v>
      </c>
      <c r="E143" s="2" t="s">
        <v>526</v>
      </c>
      <c r="F143" s="3">
        <v>45693</v>
      </c>
      <c r="G143" s="3">
        <v>45693</v>
      </c>
      <c r="H143" s="3">
        <v>45693</v>
      </c>
      <c r="I143" s="2"/>
      <c r="J143" s="2"/>
      <c r="K143" s="2" t="s">
        <v>25</v>
      </c>
      <c r="L143" s="2" t="s">
        <v>26</v>
      </c>
      <c r="M143" s="2"/>
      <c r="N143" s="2" t="s">
        <v>27</v>
      </c>
      <c r="O143" s="2">
        <v>199.53</v>
      </c>
      <c r="P143" s="2">
        <v>35.92</v>
      </c>
      <c r="Q143" s="2">
        <v>235.45</v>
      </c>
      <c r="R143" s="2">
        <v>235.45</v>
      </c>
      <c r="S143" s="2">
        <v>235.45</v>
      </c>
      <c r="T143" s="2" t="s">
        <v>28</v>
      </c>
      <c r="U143" s="2" t="b">
        <v>0</v>
      </c>
      <c r="V143" s="2" t="s">
        <v>29</v>
      </c>
      <c r="W143" s="2" t="s">
        <v>104</v>
      </c>
      <c r="X143" s="2" t="s">
        <v>105</v>
      </c>
      <c r="Y143" s="2" t="s">
        <v>531</v>
      </c>
      <c r="Z143" s="2" t="s">
        <v>31</v>
      </c>
      <c r="AA143" s="2"/>
      <c r="AB143" s="2"/>
      <c r="AC143" s="2"/>
      <c r="AD143" s="2"/>
      <c r="AK143" s="8">
        <f t="shared" si="3"/>
        <v>45693</v>
      </c>
    </row>
    <row r="144" spans="1:37" ht="15" customHeight="1">
      <c r="A144" s="2" t="s">
        <v>532</v>
      </c>
      <c r="B144" s="2">
        <v>0</v>
      </c>
      <c r="C144" s="2"/>
      <c r="D144" s="2" t="s">
        <v>265</v>
      </c>
      <c r="E144" s="2" t="s">
        <v>533</v>
      </c>
      <c r="F144" s="3">
        <v>45693</v>
      </c>
      <c r="G144" s="3">
        <v>45693</v>
      </c>
      <c r="H144" s="3">
        <v>45693</v>
      </c>
      <c r="I144" s="2"/>
      <c r="J144" s="2"/>
      <c r="K144" s="2" t="s">
        <v>25</v>
      </c>
      <c r="L144" s="2" t="s">
        <v>26</v>
      </c>
      <c r="M144" s="2"/>
      <c r="N144" s="2" t="s">
        <v>27</v>
      </c>
      <c r="O144" s="2">
        <v>500</v>
      </c>
      <c r="P144" s="2">
        <v>90</v>
      </c>
      <c r="Q144" s="2">
        <v>590</v>
      </c>
      <c r="R144" s="2">
        <v>590</v>
      </c>
      <c r="S144" s="2">
        <v>590</v>
      </c>
      <c r="T144" s="2" t="s">
        <v>28</v>
      </c>
      <c r="U144" s="2" t="b">
        <v>0</v>
      </c>
      <c r="V144" s="2" t="s">
        <v>29</v>
      </c>
      <c r="W144" s="2" t="s">
        <v>104</v>
      </c>
      <c r="X144" s="2" t="s">
        <v>105</v>
      </c>
      <c r="Y144" s="2" t="s">
        <v>534</v>
      </c>
      <c r="Z144" s="2" t="s">
        <v>31</v>
      </c>
      <c r="AA144" s="2"/>
      <c r="AB144" s="2"/>
      <c r="AC144" s="2"/>
      <c r="AD144" s="2"/>
      <c r="AK144" s="8">
        <f t="shared" si="3"/>
        <v>45693</v>
      </c>
    </row>
    <row r="145" spans="1:37" ht="15" customHeight="1">
      <c r="A145" s="2" t="s">
        <v>535</v>
      </c>
      <c r="B145" s="2">
        <v>0</v>
      </c>
      <c r="C145" s="2"/>
      <c r="D145" s="2" t="s">
        <v>265</v>
      </c>
      <c r="E145" s="2" t="s">
        <v>533</v>
      </c>
      <c r="F145" s="3">
        <v>45693</v>
      </c>
      <c r="G145" s="3">
        <v>45693</v>
      </c>
      <c r="H145" s="3">
        <v>45693</v>
      </c>
      <c r="I145" s="2"/>
      <c r="J145" s="2"/>
      <c r="K145" s="2" t="s">
        <v>25</v>
      </c>
      <c r="L145" s="2" t="s">
        <v>26</v>
      </c>
      <c r="M145" s="2"/>
      <c r="N145" s="2" t="s">
        <v>27</v>
      </c>
      <c r="O145" s="2">
        <v>223.36</v>
      </c>
      <c r="P145" s="2">
        <v>40.21</v>
      </c>
      <c r="Q145" s="2">
        <v>263.57</v>
      </c>
      <c r="R145" s="2">
        <v>263.57</v>
      </c>
      <c r="S145" s="2">
        <v>263.57</v>
      </c>
      <c r="T145" s="2" t="s">
        <v>28</v>
      </c>
      <c r="U145" s="2" t="b">
        <v>0</v>
      </c>
      <c r="V145" s="2" t="s">
        <v>29</v>
      </c>
      <c r="W145" s="2" t="s">
        <v>104</v>
      </c>
      <c r="X145" s="2" t="s">
        <v>105</v>
      </c>
      <c r="Y145" s="2" t="s">
        <v>536</v>
      </c>
      <c r="Z145" s="2" t="s">
        <v>31</v>
      </c>
      <c r="AA145" s="2"/>
      <c r="AB145" s="2"/>
      <c r="AC145" s="2"/>
      <c r="AD145" s="2"/>
      <c r="AK145" s="8">
        <f t="shared" si="3"/>
        <v>45693</v>
      </c>
    </row>
    <row r="146" spans="1:37" ht="15" customHeight="1">
      <c r="A146" s="2" t="s">
        <v>537</v>
      </c>
      <c r="B146" s="2">
        <v>0</v>
      </c>
      <c r="C146" s="2"/>
      <c r="D146" s="2" t="s">
        <v>265</v>
      </c>
      <c r="E146" s="2" t="s">
        <v>533</v>
      </c>
      <c r="F146" s="3">
        <v>45693</v>
      </c>
      <c r="G146" s="3">
        <v>45693</v>
      </c>
      <c r="H146" s="3">
        <v>45693</v>
      </c>
      <c r="I146" s="2"/>
      <c r="J146" s="2"/>
      <c r="K146" s="2" t="s">
        <v>25</v>
      </c>
      <c r="L146" s="2" t="s">
        <v>26</v>
      </c>
      <c r="M146" s="2"/>
      <c r="N146" s="2" t="s">
        <v>27</v>
      </c>
      <c r="O146" s="2">
        <v>199.53</v>
      </c>
      <c r="P146" s="2">
        <v>35.92</v>
      </c>
      <c r="Q146" s="2">
        <v>235.45</v>
      </c>
      <c r="R146" s="2">
        <v>235.45</v>
      </c>
      <c r="S146" s="2">
        <v>235.45</v>
      </c>
      <c r="T146" s="2" t="s">
        <v>28</v>
      </c>
      <c r="U146" s="2" t="b">
        <v>0</v>
      </c>
      <c r="V146" s="2" t="s">
        <v>29</v>
      </c>
      <c r="W146" s="2" t="s">
        <v>104</v>
      </c>
      <c r="X146" s="2" t="s">
        <v>105</v>
      </c>
      <c r="Y146" s="2" t="s">
        <v>538</v>
      </c>
      <c r="Z146" s="2" t="s">
        <v>31</v>
      </c>
      <c r="AA146" s="2"/>
      <c r="AB146" s="2"/>
      <c r="AC146" s="2"/>
      <c r="AD146" s="2"/>
      <c r="AK146" s="8">
        <f t="shared" si="3"/>
        <v>45693</v>
      </c>
    </row>
    <row r="147" spans="1:37" ht="15" customHeight="1">
      <c r="A147" s="2" t="s">
        <v>539</v>
      </c>
      <c r="B147" s="2">
        <v>0</v>
      </c>
      <c r="C147" s="2"/>
      <c r="D147" s="2" t="s">
        <v>265</v>
      </c>
      <c r="E147" s="2" t="s">
        <v>540</v>
      </c>
      <c r="F147" s="3">
        <v>45693</v>
      </c>
      <c r="G147" s="3">
        <v>45693</v>
      </c>
      <c r="H147" s="3">
        <v>45693</v>
      </c>
      <c r="I147" s="2"/>
      <c r="J147" s="2"/>
      <c r="K147" s="2" t="s">
        <v>25</v>
      </c>
      <c r="L147" s="2" t="s">
        <v>26</v>
      </c>
      <c r="M147" s="2"/>
      <c r="N147" s="2" t="s">
        <v>27</v>
      </c>
      <c r="O147" s="2">
        <v>423.73</v>
      </c>
      <c r="P147" s="2">
        <v>76.27</v>
      </c>
      <c r="Q147" s="2">
        <v>500</v>
      </c>
      <c r="R147" s="2">
        <v>500</v>
      </c>
      <c r="S147" s="2">
        <v>500</v>
      </c>
      <c r="T147" s="2" t="s">
        <v>28</v>
      </c>
      <c r="U147" s="2" t="b">
        <v>0</v>
      </c>
      <c r="V147" s="2" t="s">
        <v>29</v>
      </c>
      <c r="W147" s="2" t="s">
        <v>104</v>
      </c>
      <c r="X147" s="2" t="s">
        <v>105</v>
      </c>
      <c r="Y147" s="2" t="s">
        <v>541</v>
      </c>
      <c r="Z147" s="2" t="s">
        <v>31</v>
      </c>
      <c r="AA147" s="2"/>
      <c r="AB147" s="2"/>
      <c r="AC147" s="2"/>
      <c r="AD147" s="2"/>
      <c r="AK147" s="8">
        <f t="shared" si="3"/>
        <v>45693</v>
      </c>
    </row>
    <row r="148" spans="1:37" ht="15" customHeight="1">
      <c r="A148" s="2" t="s">
        <v>542</v>
      </c>
      <c r="B148" s="2">
        <v>0</v>
      </c>
      <c r="C148" s="2"/>
      <c r="D148" s="2" t="s">
        <v>265</v>
      </c>
      <c r="E148" s="2" t="s">
        <v>540</v>
      </c>
      <c r="F148" s="3">
        <v>45693</v>
      </c>
      <c r="G148" s="3">
        <v>45693</v>
      </c>
      <c r="H148" s="3">
        <v>45693</v>
      </c>
      <c r="I148" s="2"/>
      <c r="J148" s="2"/>
      <c r="K148" s="2" t="s">
        <v>25</v>
      </c>
      <c r="L148" s="2" t="s">
        <v>26</v>
      </c>
      <c r="M148" s="2"/>
      <c r="N148" s="2" t="s">
        <v>27</v>
      </c>
      <c r="O148" s="2">
        <v>57.2</v>
      </c>
      <c r="P148" s="2">
        <v>10.3</v>
      </c>
      <c r="Q148" s="2">
        <v>67.5</v>
      </c>
      <c r="R148" s="2">
        <v>67.5</v>
      </c>
      <c r="S148" s="2">
        <v>67.5</v>
      </c>
      <c r="T148" s="2" t="s">
        <v>28</v>
      </c>
      <c r="U148" s="2" t="b">
        <v>0</v>
      </c>
      <c r="V148" s="2" t="s">
        <v>29</v>
      </c>
      <c r="W148" s="2" t="s">
        <v>104</v>
      </c>
      <c r="X148" s="2" t="s">
        <v>105</v>
      </c>
      <c r="Y148" s="2" t="s">
        <v>543</v>
      </c>
      <c r="Z148" s="2" t="s">
        <v>31</v>
      </c>
      <c r="AA148" s="2"/>
      <c r="AB148" s="2"/>
      <c r="AC148" s="2"/>
      <c r="AD148" s="2"/>
      <c r="AK148" s="8">
        <f t="shared" si="3"/>
        <v>45693</v>
      </c>
    </row>
    <row r="149" spans="1:37" ht="15" customHeight="1">
      <c r="A149" s="2" t="s">
        <v>544</v>
      </c>
      <c r="B149" s="2">
        <v>0</v>
      </c>
      <c r="C149" s="2"/>
      <c r="D149" s="2" t="s">
        <v>265</v>
      </c>
      <c r="E149" s="2" t="s">
        <v>540</v>
      </c>
      <c r="F149" s="3">
        <v>45693</v>
      </c>
      <c r="G149" s="3">
        <v>45693</v>
      </c>
      <c r="H149" s="3">
        <v>45693</v>
      </c>
      <c r="I149" s="2"/>
      <c r="J149" s="2"/>
      <c r="K149" s="2" t="s">
        <v>25</v>
      </c>
      <c r="L149" s="2" t="s">
        <v>26</v>
      </c>
      <c r="M149" s="2"/>
      <c r="N149" s="2" t="s">
        <v>27</v>
      </c>
      <c r="O149" s="2">
        <v>33.47</v>
      </c>
      <c r="P149" s="2">
        <v>6.03</v>
      </c>
      <c r="Q149" s="2">
        <v>39.5</v>
      </c>
      <c r="R149" s="2">
        <v>39.5</v>
      </c>
      <c r="S149" s="2">
        <v>39.5</v>
      </c>
      <c r="T149" s="2" t="s">
        <v>28</v>
      </c>
      <c r="U149" s="2" t="b">
        <v>0</v>
      </c>
      <c r="V149" s="2" t="s">
        <v>29</v>
      </c>
      <c r="W149" s="2" t="s">
        <v>104</v>
      </c>
      <c r="X149" s="2" t="s">
        <v>105</v>
      </c>
      <c r="Y149" s="2" t="s">
        <v>545</v>
      </c>
      <c r="Z149" s="2" t="s">
        <v>31</v>
      </c>
      <c r="AA149" s="2"/>
      <c r="AB149" s="2"/>
      <c r="AC149" s="2"/>
      <c r="AD149" s="2"/>
      <c r="AK149" s="8">
        <f t="shared" si="3"/>
        <v>45693</v>
      </c>
    </row>
    <row r="150" spans="1:37" ht="15" customHeight="1">
      <c r="A150" s="2" t="s">
        <v>546</v>
      </c>
      <c r="B150" s="2">
        <v>0</v>
      </c>
      <c r="C150" s="2"/>
      <c r="D150" s="2" t="s">
        <v>265</v>
      </c>
      <c r="E150" s="2" t="s">
        <v>547</v>
      </c>
      <c r="F150" s="3">
        <v>45693</v>
      </c>
      <c r="G150" s="3">
        <v>45693</v>
      </c>
      <c r="H150" s="3">
        <v>45693</v>
      </c>
      <c r="I150" s="2"/>
      <c r="J150" s="2"/>
      <c r="K150" s="2" t="s">
        <v>25</v>
      </c>
      <c r="L150" s="2" t="s">
        <v>26</v>
      </c>
      <c r="M150" s="2"/>
      <c r="N150" s="2" t="s">
        <v>27</v>
      </c>
      <c r="O150" s="2">
        <v>5</v>
      </c>
      <c r="P150" s="2">
        <v>0.9</v>
      </c>
      <c r="Q150" s="2">
        <v>5.9</v>
      </c>
      <c r="R150" s="2">
        <v>5.9</v>
      </c>
      <c r="S150" s="2">
        <v>5.9</v>
      </c>
      <c r="T150" s="2" t="s">
        <v>28</v>
      </c>
      <c r="U150" s="2" t="b">
        <v>0</v>
      </c>
      <c r="V150" s="2" t="s">
        <v>29</v>
      </c>
      <c r="W150" s="2" t="s">
        <v>104</v>
      </c>
      <c r="X150" s="2" t="s">
        <v>105</v>
      </c>
      <c r="Y150" s="2" t="s">
        <v>548</v>
      </c>
      <c r="Z150" s="2" t="s">
        <v>31</v>
      </c>
      <c r="AA150" s="2"/>
      <c r="AB150" s="2"/>
      <c r="AC150" s="2"/>
      <c r="AD150" s="2"/>
      <c r="AK150" s="8">
        <f t="shared" si="3"/>
        <v>45693</v>
      </c>
    </row>
    <row r="151" spans="1:37" ht="15" customHeight="1">
      <c r="A151" s="2" t="s">
        <v>549</v>
      </c>
      <c r="B151" s="2">
        <v>0</v>
      </c>
      <c r="C151" s="2"/>
      <c r="D151" s="2" t="s">
        <v>265</v>
      </c>
      <c r="E151" s="2" t="s">
        <v>547</v>
      </c>
      <c r="F151" s="3">
        <v>45693</v>
      </c>
      <c r="G151" s="3">
        <v>45693</v>
      </c>
      <c r="H151" s="3">
        <v>45693</v>
      </c>
      <c r="I151" s="2"/>
      <c r="J151" s="2"/>
      <c r="K151" s="2" t="s">
        <v>25</v>
      </c>
      <c r="L151" s="2" t="s">
        <v>26</v>
      </c>
      <c r="M151" s="2"/>
      <c r="N151" s="2" t="s">
        <v>27</v>
      </c>
      <c r="O151" s="2">
        <v>275.32</v>
      </c>
      <c r="P151" s="2">
        <v>49.56</v>
      </c>
      <c r="Q151" s="2">
        <v>324.88</v>
      </c>
      <c r="R151" s="2">
        <v>324.88</v>
      </c>
      <c r="S151" s="2">
        <v>324.88</v>
      </c>
      <c r="T151" s="2" t="s">
        <v>28</v>
      </c>
      <c r="U151" s="2" t="b">
        <v>0</v>
      </c>
      <c r="V151" s="2" t="s">
        <v>29</v>
      </c>
      <c r="W151" s="2" t="s">
        <v>104</v>
      </c>
      <c r="X151" s="2" t="s">
        <v>105</v>
      </c>
      <c r="Y151" s="2" t="s">
        <v>550</v>
      </c>
      <c r="Z151" s="2" t="s">
        <v>31</v>
      </c>
      <c r="AA151" s="2"/>
      <c r="AB151" s="2"/>
      <c r="AC151" s="2"/>
      <c r="AD151" s="2"/>
      <c r="AK151" s="8">
        <f t="shared" si="3"/>
        <v>45693</v>
      </c>
    </row>
    <row r="152" spans="1:37" ht="15" customHeight="1">
      <c r="A152" s="2" t="s">
        <v>551</v>
      </c>
      <c r="B152" s="2">
        <v>0</v>
      </c>
      <c r="C152" s="2"/>
      <c r="D152" s="2" t="s">
        <v>265</v>
      </c>
      <c r="E152" s="2" t="s">
        <v>547</v>
      </c>
      <c r="F152" s="3">
        <v>45693</v>
      </c>
      <c r="G152" s="3">
        <v>45693</v>
      </c>
      <c r="H152" s="3">
        <v>45693</v>
      </c>
      <c r="I152" s="2"/>
      <c r="J152" s="2"/>
      <c r="K152" s="2" t="s">
        <v>25</v>
      </c>
      <c r="L152" s="2" t="s">
        <v>26</v>
      </c>
      <c r="M152" s="2"/>
      <c r="N152" s="2" t="s">
        <v>27</v>
      </c>
      <c r="O152" s="2">
        <v>165.5</v>
      </c>
      <c r="P152" s="2">
        <v>29.79</v>
      </c>
      <c r="Q152" s="2">
        <v>195.29</v>
      </c>
      <c r="R152" s="2">
        <v>195.29</v>
      </c>
      <c r="S152" s="2">
        <v>195.29</v>
      </c>
      <c r="T152" s="2" t="s">
        <v>28</v>
      </c>
      <c r="U152" s="2" t="b">
        <v>0</v>
      </c>
      <c r="V152" s="2" t="s">
        <v>29</v>
      </c>
      <c r="W152" s="2" t="s">
        <v>104</v>
      </c>
      <c r="X152" s="2" t="s">
        <v>105</v>
      </c>
      <c r="Y152" s="2" t="s">
        <v>552</v>
      </c>
      <c r="Z152" s="2" t="s">
        <v>31</v>
      </c>
      <c r="AA152" s="2"/>
      <c r="AB152" s="2"/>
      <c r="AC152" s="2"/>
      <c r="AD152" s="2"/>
      <c r="AK152" s="8">
        <f t="shared" si="3"/>
        <v>45693</v>
      </c>
    </row>
    <row r="153" spans="1:37" ht="15" customHeight="1">
      <c r="A153" s="2" t="s">
        <v>553</v>
      </c>
      <c r="B153" s="2">
        <v>0</v>
      </c>
      <c r="C153" s="2"/>
      <c r="D153" s="2" t="s">
        <v>265</v>
      </c>
      <c r="E153" s="2" t="s">
        <v>554</v>
      </c>
      <c r="F153" s="3">
        <v>45693</v>
      </c>
      <c r="G153" s="3">
        <v>45693</v>
      </c>
      <c r="H153" s="3">
        <v>45693</v>
      </c>
      <c r="I153" s="2"/>
      <c r="J153" s="2"/>
      <c r="K153" s="2" t="s">
        <v>25</v>
      </c>
      <c r="L153" s="2" t="s">
        <v>26</v>
      </c>
      <c r="M153" s="2"/>
      <c r="N153" s="2" t="s">
        <v>27</v>
      </c>
      <c r="O153" s="2">
        <v>20</v>
      </c>
      <c r="P153" s="2">
        <v>3.6</v>
      </c>
      <c r="Q153" s="2">
        <v>23.6</v>
      </c>
      <c r="R153" s="2">
        <v>23.6</v>
      </c>
      <c r="S153" s="2">
        <v>23.6</v>
      </c>
      <c r="T153" s="2" t="s">
        <v>28</v>
      </c>
      <c r="U153" s="2" t="b">
        <v>0</v>
      </c>
      <c r="V153" s="2" t="s">
        <v>29</v>
      </c>
      <c r="W153" s="2" t="s">
        <v>104</v>
      </c>
      <c r="X153" s="2" t="s">
        <v>105</v>
      </c>
      <c r="Y153" s="2" t="s">
        <v>555</v>
      </c>
      <c r="Z153" s="2" t="s">
        <v>31</v>
      </c>
      <c r="AA153" s="2"/>
      <c r="AB153" s="2"/>
      <c r="AC153" s="2"/>
      <c r="AD153" s="2"/>
      <c r="AK153" s="8">
        <f t="shared" si="3"/>
        <v>45693</v>
      </c>
    </row>
    <row r="154" spans="1:37" ht="15" customHeight="1">
      <c r="A154" s="2" t="s">
        <v>556</v>
      </c>
      <c r="B154" s="2">
        <v>0</v>
      </c>
      <c r="C154" s="2"/>
      <c r="D154" s="2" t="s">
        <v>265</v>
      </c>
      <c r="E154" s="2" t="s">
        <v>554</v>
      </c>
      <c r="F154" s="3">
        <v>45693</v>
      </c>
      <c r="G154" s="3">
        <v>45693</v>
      </c>
      <c r="H154" s="3">
        <v>45693</v>
      </c>
      <c r="I154" s="2"/>
      <c r="J154" s="2"/>
      <c r="K154" s="2" t="s">
        <v>25</v>
      </c>
      <c r="L154" s="2" t="s">
        <v>26</v>
      </c>
      <c r="M154" s="2"/>
      <c r="N154" s="2" t="s">
        <v>27</v>
      </c>
      <c r="O154" s="2">
        <v>8.93</v>
      </c>
      <c r="P154" s="2">
        <v>1.61</v>
      </c>
      <c r="Q154" s="2">
        <v>10.54</v>
      </c>
      <c r="R154" s="2">
        <v>10.54</v>
      </c>
      <c r="S154" s="2">
        <v>10.54</v>
      </c>
      <c r="T154" s="2" t="s">
        <v>28</v>
      </c>
      <c r="U154" s="2" t="b">
        <v>0</v>
      </c>
      <c r="V154" s="2" t="s">
        <v>29</v>
      </c>
      <c r="W154" s="2" t="s">
        <v>104</v>
      </c>
      <c r="X154" s="2" t="s">
        <v>105</v>
      </c>
      <c r="Y154" s="2" t="s">
        <v>557</v>
      </c>
      <c r="Z154" s="2" t="s">
        <v>31</v>
      </c>
      <c r="AA154" s="2"/>
      <c r="AB154" s="2"/>
      <c r="AC154" s="2"/>
      <c r="AD154" s="2"/>
      <c r="AK154" s="8">
        <f t="shared" si="3"/>
        <v>45693</v>
      </c>
    </row>
    <row r="155" spans="1:37" ht="15" customHeight="1">
      <c r="A155" s="2" t="s">
        <v>558</v>
      </c>
      <c r="B155" s="2">
        <v>0</v>
      </c>
      <c r="C155" s="2"/>
      <c r="D155" s="2" t="s">
        <v>265</v>
      </c>
      <c r="E155" s="2" t="s">
        <v>554</v>
      </c>
      <c r="F155" s="3">
        <v>45693</v>
      </c>
      <c r="G155" s="3">
        <v>45693</v>
      </c>
      <c r="H155" s="3">
        <v>45693</v>
      </c>
      <c r="I155" s="2"/>
      <c r="J155" s="2"/>
      <c r="K155" s="2" t="s">
        <v>25</v>
      </c>
      <c r="L155" s="2" t="s">
        <v>26</v>
      </c>
      <c r="M155" s="2"/>
      <c r="N155" s="2" t="s">
        <v>27</v>
      </c>
      <c r="O155" s="2">
        <v>7.98</v>
      </c>
      <c r="P155" s="2">
        <v>1.44</v>
      </c>
      <c r="Q155" s="2">
        <v>9.42</v>
      </c>
      <c r="R155" s="2">
        <v>9.42</v>
      </c>
      <c r="S155" s="2">
        <v>9.42</v>
      </c>
      <c r="T155" s="2" t="s">
        <v>28</v>
      </c>
      <c r="U155" s="2" t="b">
        <v>0</v>
      </c>
      <c r="V155" s="2" t="s">
        <v>29</v>
      </c>
      <c r="W155" s="2" t="s">
        <v>104</v>
      </c>
      <c r="X155" s="2" t="s">
        <v>105</v>
      </c>
      <c r="Y155" s="2" t="s">
        <v>559</v>
      </c>
      <c r="Z155" s="2" t="s">
        <v>31</v>
      </c>
      <c r="AA155" s="2"/>
      <c r="AB155" s="2"/>
      <c r="AC155" s="2"/>
      <c r="AD155" s="2"/>
      <c r="AK155" s="8">
        <f t="shared" si="3"/>
        <v>45693</v>
      </c>
    </row>
    <row r="156" spans="1:37" ht="15" customHeight="1">
      <c r="A156" s="2" t="s">
        <v>560</v>
      </c>
      <c r="B156" s="2">
        <v>0</v>
      </c>
      <c r="C156" s="2"/>
      <c r="D156" s="2" t="s">
        <v>265</v>
      </c>
      <c r="E156" s="2" t="s">
        <v>561</v>
      </c>
      <c r="F156" s="3">
        <v>45693</v>
      </c>
      <c r="G156" s="3">
        <v>45693</v>
      </c>
      <c r="H156" s="3">
        <v>45693</v>
      </c>
      <c r="I156" s="2"/>
      <c r="J156" s="2"/>
      <c r="K156" s="2" t="s">
        <v>25</v>
      </c>
      <c r="L156" s="2" t="s">
        <v>26</v>
      </c>
      <c r="M156" s="2"/>
      <c r="N156" s="2" t="s">
        <v>27</v>
      </c>
      <c r="O156" s="2">
        <v>3.48</v>
      </c>
      <c r="P156" s="2">
        <v>0.63</v>
      </c>
      <c r="Q156" s="2">
        <v>4.1100000000000003</v>
      </c>
      <c r="R156" s="2">
        <v>4.1100000000000003</v>
      </c>
      <c r="S156" s="2">
        <v>4.1100000000000003</v>
      </c>
      <c r="T156" s="2" t="s">
        <v>28</v>
      </c>
      <c r="U156" s="2" t="b">
        <v>0</v>
      </c>
      <c r="V156" s="2" t="s">
        <v>29</v>
      </c>
      <c r="W156" s="2" t="s">
        <v>104</v>
      </c>
      <c r="X156" s="2" t="s">
        <v>105</v>
      </c>
      <c r="Y156" s="2" t="s">
        <v>562</v>
      </c>
      <c r="Z156" s="2" t="s">
        <v>31</v>
      </c>
      <c r="AA156" s="2"/>
      <c r="AB156" s="2"/>
      <c r="AC156" s="2"/>
      <c r="AD156" s="2"/>
      <c r="AK156" s="8">
        <f t="shared" si="3"/>
        <v>45693</v>
      </c>
    </row>
    <row r="157" spans="1:37" ht="15" customHeight="1">
      <c r="A157" s="2" t="s">
        <v>563</v>
      </c>
      <c r="B157" s="2">
        <v>0</v>
      </c>
      <c r="C157" s="2"/>
      <c r="D157" s="2" t="s">
        <v>265</v>
      </c>
      <c r="E157" s="2" t="s">
        <v>561</v>
      </c>
      <c r="F157" s="3">
        <v>45693</v>
      </c>
      <c r="G157" s="3">
        <v>45693</v>
      </c>
      <c r="H157" s="3">
        <v>45693</v>
      </c>
      <c r="I157" s="2"/>
      <c r="J157" s="2"/>
      <c r="K157" s="2" t="s">
        <v>25</v>
      </c>
      <c r="L157" s="2" t="s">
        <v>26</v>
      </c>
      <c r="M157" s="2"/>
      <c r="N157" s="2" t="s">
        <v>27</v>
      </c>
      <c r="O157" s="2">
        <v>3</v>
      </c>
      <c r="P157" s="2">
        <v>0.54</v>
      </c>
      <c r="Q157" s="2">
        <v>3.54</v>
      </c>
      <c r="R157" s="2">
        <v>3.54</v>
      </c>
      <c r="S157" s="2">
        <v>3.54</v>
      </c>
      <c r="T157" s="2" t="s">
        <v>28</v>
      </c>
      <c r="U157" s="2" t="b">
        <v>0</v>
      </c>
      <c r="V157" s="2" t="s">
        <v>29</v>
      </c>
      <c r="W157" s="2" t="s">
        <v>104</v>
      </c>
      <c r="X157" s="2" t="s">
        <v>105</v>
      </c>
      <c r="Y157" s="2" t="s">
        <v>564</v>
      </c>
      <c r="Z157" s="2" t="s">
        <v>31</v>
      </c>
      <c r="AA157" s="2"/>
      <c r="AB157" s="2"/>
      <c r="AC157" s="2"/>
      <c r="AD157" s="2"/>
      <c r="AK157" s="8">
        <f t="shared" si="3"/>
        <v>45693</v>
      </c>
    </row>
    <row r="158" spans="1:37" ht="15" customHeight="1">
      <c r="A158" s="2" t="s">
        <v>565</v>
      </c>
      <c r="B158" s="2">
        <v>0</v>
      </c>
      <c r="C158" s="2"/>
      <c r="D158" s="2" t="s">
        <v>265</v>
      </c>
      <c r="E158" s="2" t="s">
        <v>566</v>
      </c>
      <c r="F158" s="3">
        <v>45693</v>
      </c>
      <c r="G158" s="3">
        <v>45693</v>
      </c>
      <c r="H158" s="3">
        <v>45693</v>
      </c>
      <c r="I158" s="2"/>
      <c r="J158" s="2"/>
      <c r="K158" s="2" t="s">
        <v>25</v>
      </c>
      <c r="L158" s="2" t="s">
        <v>26</v>
      </c>
      <c r="M158" s="2"/>
      <c r="N158" s="2" t="s">
        <v>27</v>
      </c>
      <c r="O158" s="2">
        <v>799.58</v>
      </c>
      <c r="P158" s="2">
        <v>143.91999999999999</v>
      </c>
      <c r="Q158" s="2">
        <v>943.5</v>
      </c>
      <c r="R158" s="2">
        <v>943.5</v>
      </c>
      <c r="S158" s="2">
        <v>943.5</v>
      </c>
      <c r="T158" s="2" t="s">
        <v>28</v>
      </c>
      <c r="U158" s="2" t="b">
        <v>0</v>
      </c>
      <c r="V158" s="2" t="s">
        <v>29</v>
      </c>
      <c r="W158" s="2" t="s">
        <v>104</v>
      </c>
      <c r="X158" s="2" t="s">
        <v>105</v>
      </c>
      <c r="Y158" s="2" t="s">
        <v>567</v>
      </c>
      <c r="Z158" s="2" t="s">
        <v>31</v>
      </c>
      <c r="AA158" s="2"/>
      <c r="AB158" s="2"/>
      <c r="AC158" s="2"/>
      <c r="AD158" s="2"/>
      <c r="AK158" s="8">
        <f t="shared" si="3"/>
        <v>45693</v>
      </c>
    </row>
    <row r="159" spans="1:37" ht="15" customHeight="1">
      <c r="A159" s="2" t="s">
        <v>568</v>
      </c>
      <c r="B159" s="2">
        <v>0</v>
      </c>
      <c r="C159" s="2"/>
      <c r="D159" s="2" t="s">
        <v>265</v>
      </c>
      <c r="E159" s="2" t="s">
        <v>566</v>
      </c>
      <c r="F159" s="3">
        <v>45693</v>
      </c>
      <c r="G159" s="3">
        <v>45693</v>
      </c>
      <c r="H159" s="3">
        <v>45693</v>
      </c>
      <c r="I159" s="2"/>
      <c r="J159" s="2"/>
      <c r="K159" s="2" t="s">
        <v>25</v>
      </c>
      <c r="L159" s="2" t="s">
        <v>26</v>
      </c>
      <c r="M159" s="2"/>
      <c r="N159" s="2" t="s">
        <v>27</v>
      </c>
      <c r="O159" s="2">
        <v>614.24</v>
      </c>
      <c r="P159" s="2">
        <v>110.56</v>
      </c>
      <c r="Q159" s="2">
        <v>724.8</v>
      </c>
      <c r="R159" s="2">
        <v>724.8</v>
      </c>
      <c r="S159" s="2">
        <v>724.8</v>
      </c>
      <c r="T159" s="2" t="s">
        <v>28</v>
      </c>
      <c r="U159" s="2" t="b">
        <v>0</v>
      </c>
      <c r="V159" s="2" t="s">
        <v>29</v>
      </c>
      <c r="W159" s="2" t="s">
        <v>104</v>
      </c>
      <c r="X159" s="2" t="s">
        <v>105</v>
      </c>
      <c r="Y159" s="2" t="s">
        <v>569</v>
      </c>
      <c r="Z159" s="2" t="s">
        <v>31</v>
      </c>
      <c r="AA159" s="2"/>
      <c r="AB159" s="2"/>
      <c r="AC159" s="2"/>
      <c r="AD159" s="2"/>
      <c r="AK159" s="8">
        <f t="shared" si="3"/>
        <v>45693</v>
      </c>
    </row>
    <row r="160" spans="1:37" ht="15" customHeight="1">
      <c r="A160" s="2" t="s">
        <v>570</v>
      </c>
      <c r="B160" s="2">
        <v>0</v>
      </c>
      <c r="C160" s="2"/>
      <c r="D160" s="2" t="s">
        <v>265</v>
      </c>
      <c r="E160" s="2" t="s">
        <v>566</v>
      </c>
      <c r="F160" s="3">
        <v>45693</v>
      </c>
      <c r="G160" s="3">
        <v>45693</v>
      </c>
      <c r="H160" s="3">
        <v>45693</v>
      </c>
      <c r="I160" s="2"/>
      <c r="J160" s="2"/>
      <c r="K160" s="2" t="s">
        <v>25</v>
      </c>
      <c r="L160" s="2" t="s">
        <v>26</v>
      </c>
      <c r="M160" s="2"/>
      <c r="N160" s="2" t="s">
        <v>27</v>
      </c>
      <c r="O160" s="2">
        <v>272.2</v>
      </c>
      <c r="P160" s="2">
        <v>49</v>
      </c>
      <c r="Q160" s="2">
        <v>321.2</v>
      </c>
      <c r="R160" s="2">
        <v>321.2</v>
      </c>
      <c r="S160" s="2">
        <v>321.2</v>
      </c>
      <c r="T160" s="2" t="s">
        <v>28</v>
      </c>
      <c r="U160" s="2" t="b">
        <v>0</v>
      </c>
      <c r="V160" s="2" t="s">
        <v>29</v>
      </c>
      <c r="W160" s="2" t="s">
        <v>104</v>
      </c>
      <c r="X160" s="2" t="s">
        <v>105</v>
      </c>
      <c r="Y160" s="2" t="s">
        <v>571</v>
      </c>
      <c r="Z160" s="2" t="s">
        <v>31</v>
      </c>
      <c r="AA160" s="2"/>
      <c r="AB160" s="2"/>
      <c r="AC160" s="2"/>
      <c r="AD160" s="2"/>
      <c r="AK160" s="8">
        <f t="shared" si="3"/>
        <v>45693</v>
      </c>
    </row>
    <row r="161" spans="1:37" ht="15" customHeight="1">
      <c r="A161" s="2" t="s">
        <v>572</v>
      </c>
      <c r="B161" s="2">
        <v>0</v>
      </c>
      <c r="C161" s="2"/>
      <c r="D161" s="2" t="s">
        <v>265</v>
      </c>
      <c r="E161" s="2" t="s">
        <v>566</v>
      </c>
      <c r="F161" s="3">
        <v>45693</v>
      </c>
      <c r="G161" s="3">
        <v>45693</v>
      </c>
      <c r="H161" s="3">
        <v>45693</v>
      </c>
      <c r="I161" s="2"/>
      <c r="J161" s="2"/>
      <c r="K161" s="2" t="s">
        <v>25</v>
      </c>
      <c r="L161" s="2" t="s">
        <v>26</v>
      </c>
      <c r="M161" s="2"/>
      <c r="N161" s="2" t="s">
        <v>27</v>
      </c>
      <c r="O161" s="2">
        <v>222.71</v>
      </c>
      <c r="P161" s="2">
        <v>40.090000000000003</v>
      </c>
      <c r="Q161" s="2">
        <v>262.8</v>
      </c>
      <c r="R161" s="2">
        <v>262.8</v>
      </c>
      <c r="S161" s="2">
        <v>262.8</v>
      </c>
      <c r="T161" s="2" t="s">
        <v>28</v>
      </c>
      <c r="U161" s="2" t="b">
        <v>0</v>
      </c>
      <c r="V161" s="2" t="s">
        <v>29</v>
      </c>
      <c r="W161" s="2" t="s">
        <v>104</v>
      </c>
      <c r="X161" s="2" t="s">
        <v>105</v>
      </c>
      <c r="Y161" s="2" t="s">
        <v>573</v>
      </c>
      <c r="Z161" s="2" t="s">
        <v>31</v>
      </c>
      <c r="AA161" s="2"/>
      <c r="AB161" s="2"/>
      <c r="AC161" s="2"/>
      <c r="AD161" s="2"/>
      <c r="AK161" s="8">
        <f t="shared" si="3"/>
        <v>45693</v>
      </c>
    </row>
    <row r="162" spans="1:37" ht="15" customHeight="1">
      <c r="A162" s="2" t="s">
        <v>574</v>
      </c>
      <c r="B162" s="2">
        <v>0</v>
      </c>
      <c r="C162" s="2"/>
      <c r="D162" s="2" t="s">
        <v>265</v>
      </c>
      <c r="E162" s="2" t="s">
        <v>335</v>
      </c>
      <c r="F162" s="3">
        <v>45693</v>
      </c>
      <c r="G162" s="3">
        <v>45693</v>
      </c>
      <c r="H162" s="3">
        <v>45693</v>
      </c>
      <c r="I162" s="2"/>
      <c r="J162" s="2"/>
      <c r="K162" s="2" t="s">
        <v>25</v>
      </c>
      <c r="L162" s="2" t="s">
        <v>26</v>
      </c>
      <c r="M162" s="2"/>
      <c r="N162" s="2" t="s">
        <v>27</v>
      </c>
      <c r="O162" s="2">
        <v>1885.17</v>
      </c>
      <c r="P162" s="2">
        <v>339.33</v>
      </c>
      <c r="Q162" s="2">
        <v>2224.5</v>
      </c>
      <c r="R162" s="2">
        <v>2224.5</v>
      </c>
      <c r="S162" s="2">
        <v>2224.5</v>
      </c>
      <c r="T162" s="2" t="s">
        <v>28</v>
      </c>
      <c r="U162" s="2" t="b">
        <v>0</v>
      </c>
      <c r="V162" s="2" t="s">
        <v>29</v>
      </c>
      <c r="W162" s="2" t="s">
        <v>104</v>
      </c>
      <c r="X162" s="2" t="s">
        <v>105</v>
      </c>
      <c r="Y162" s="2" t="s">
        <v>575</v>
      </c>
      <c r="Z162" s="2" t="s">
        <v>31</v>
      </c>
      <c r="AA162" s="2"/>
      <c r="AB162" s="2"/>
      <c r="AC162" s="2"/>
      <c r="AD162" s="2"/>
      <c r="AK162" s="8">
        <f t="shared" si="3"/>
        <v>45693</v>
      </c>
    </row>
    <row r="163" spans="1:37" ht="15" customHeight="1">
      <c r="A163" s="2" t="s">
        <v>576</v>
      </c>
      <c r="B163" s="2">
        <v>0</v>
      </c>
      <c r="C163" s="2"/>
      <c r="D163" s="2" t="s">
        <v>265</v>
      </c>
      <c r="E163" s="2" t="s">
        <v>335</v>
      </c>
      <c r="F163" s="3">
        <v>45693</v>
      </c>
      <c r="G163" s="3">
        <v>45693</v>
      </c>
      <c r="H163" s="3">
        <v>45693</v>
      </c>
      <c r="I163" s="2"/>
      <c r="J163" s="2"/>
      <c r="K163" s="2" t="s">
        <v>25</v>
      </c>
      <c r="L163" s="2" t="s">
        <v>26</v>
      </c>
      <c r="M163" s="2"/>
      <c r="N163" s="2" t="s">
        <v>27</v>
      </c>
      <c r="O163" s="2">
        <v>2021.19</v>
      </c>
      <c r="P163" s="2">
        <v>363.81</v>
      </c>
      <c r="Q163" s="2">
        <v>2385</v>
      </c>
      <c r="R163" s="2">
        <v>2385</v>
      </c>
      <c r="S163" s="2">
        <v>2385</v>
      </c>
      <c r="T163" s="2" t="s">
        <v>28</v>
      </c>
      <c r="U163" s="2" t="b">
        <v>0</v>
      </c>
      <c r="V163" s="2" t="s">
        <v>29</v>
      </c>
      <c r="W163" s="2" t="s">
        <v>104</v>
      </c>
      <c r="X163" s="2" t="s">
        <v>105</v>
      </c>
      <c r="Y163" s="2" t="s">
        <v>577</v>
      </c>
      <c r="Z163" s="2" t="s">
        <v>31</v>
      </c>
      <c r="AA163" s="2"/>
      <c r="AB163" s="2"/>
      <c r="AC163" s="2"/>
      <c r="AD163" s="2"/>
      <c r="AK163" s="8">
        <f t="shared" si="3"/>
        <v>45693</v>
      </c>
    </row>
    <row r="164" spans="1:37" ht="15" customHeight="1">
      <c r="A164" s="2" t="s">
        <v>578</v>
      </c>
      <c r="B164" s="2">
        <v>0</v>
      </c>
      <c r="C164" s="2"/>
      <c r="D164" s="2" t="s">
        <v>265</v>
      </c>
      <c r="E164" s="2" t="s">
        <v>335</v>
      </c>
      <c r="F164" s="3">
        <v>45693</v>
      </c>
      <c r="G164" s="3">
        <v>45693</v>
      </c>
      <c r="H164" s="3">
        <v>45693</v>
      </c>
      <c r="I164" s="2"/>
      <c r="J164" s="2"/>
      <c r="K164" s="2" t="s">
        <v>25</v>
      </c>
      <c r="L164" s="2" t="s">
        <v>26</v>
      </c>
      <c r="M164" s="2"/>
      <c r="N164" s="2" t="s">
        <v>27</v>
      </c>
      <c r="O164" s="2">
        <v>32</v>
      </c>
      <c r="P164" s="2">
        <v>5.76</v>
      </c>
      <c r="Q164" s="2">
        <v>37.76</v>
      </c>
      <c r="R164" s="2">
        <v>37.76</v>
      </c>
      <c r="S164" s="2">
        <v>37.76</v>
      </c>
      <c r="T164" s="2" t="s">
        <v>28</v>
      </c>
      <c r="U164" s="2" t="b">
        <v>0</v>
      </c>
      <c r="V164" s="2" t="s">
        <v>29</v>
      </c>
      <c r="W164" s="2" t="s">
        <v>104</v>
      </c>
      <c r="X164" s="2" t="s">
        <v>105</v>
      </c>
      <c r="Y164" s="2" t="s">
        <v>579</v>
      </c>
      <c r="Z164" s="2" t="s">
        <v>31</v>
      </c>
      <c r="AA164" s="2"/>
      <c r="AB164" s="2"/>
      <c r="AC164" s="2"/>
      <c r="AD164" s="2"/>
      <c r="AK164" s="8">
        <f t="shared" si="3"/>
        <v>45693</v>
      </c>
    </row>
    <row r="165" spans="1:37" ht="15" customHeight="1">
      <c r="A165" s="2" t="s">
        <v>580</v>
      </c>
      <c r="B165" s="2">
        <v>0</v>
      </c>
      <c r="C165" s="2"/>
      <c r="D165" s="2" t="s">
        <v>265</v>
      </c>
      <c r="E165" s="2" t="s">
        <v>335</v>
      </c>
      <c r="F165" s="3">
        <v>45693</v>
      </c>
      <c r="G165" s="3">
        <v>45693</v>
      </c>
      <c r="H165" s="3">
        <v>45693</v>
      </c>
      <c r="I165" s="2"/>
      <c r="J165" s="2"/>
      <c r="K165" s="2" t="s">
        <v>25</v>
      </c>
      <c r="L165" s="2" t="s">
        <v>26</v>
      </c>
      <c r="M165" s="2"/>
      <c r="N165" s="2" t="s">
        <v>27</v>
      </c>
      <c r="O165" s="2">
        <v>300</v>
      </c>
      <c r="P165" s="2">
        <v>54</v>
      </c>
      <c r="Q165" s="2">
        <v>354</v>
      </c>
      <c r="R165" s="2">
        <v>354</v>
      </c>
      <c r="S165" s="2">
        <v>354</v>
      </c>
      <c r="T165" s="2" t="s">
        <v>28</v>
      </c>
      <c r="U165" s="2" t="b">
        <v>0</v>
      </c>
      <c r="V165" s="2" t="s">
        <v>29</v>
      </c>
      <c r="W165" s="2" t="s">
        <v>104</v>
      </c>
      <c r="X165" s="2" t="s">
        <v>105</v>
      </c>
      <c r="Y165" s="2" t="s">
        <v>581</v>
      </c>
      <c r="Z165" s="2" t="s">
        <v>31</v>
      </c>
      <c r="AA165" s="2"/>
      <c r="AB165" s="2"/>
      <c r="AC165" s="2"/>
      <c r="AD165" s="2"/>
      <c r="AK165" s="8">
        <f t="shared" si="3"/>
        <v>45693</v>
      </c>
    </row>
    <row r="166" spans="1:37" ht="15" customHeight="1">
      <c r="A166" s="2" t="s">
        <v>582</v>
      </c>
      <c r="B166" s="2">
        <v>0</v>
      </c>
      <c r="C166" s="2"/>
      <c r="D166" s="2" t="s">
        <v>265</v>
      </c>
      <c r="E166" s="2" t="s">
        <v>335</v>
      </c>
      <c r="F166" s="3">
        <v>45693</v>
      </c>
      <c r="G166" s="3">
        <v>45693</v>
      </c>
      <c r="H166" s="3">
        <v>45693</v>
      </c>
      <c r="I166" s="2"/>
      <c r="J166" s="2"/>
      <c r="K166" s="2" t="s">
        <v>25</v>
      </c>
      <c r="L166" s="2" t="s">
        <v>26</v>
      </c>
      <c r="M166" s="2"/>
      <c r="N166" s="2" t="s">
        <v>27</v>
      </c>
      <c r="O166" s="2">
        <v>100</v>
      </c>
      <c r="P166" s="2">
        <v>18</v>
      </c>
      <c r="Q166" s="2">
        <v>118</v>
      </c>
      <c r="R166" s="2">
        <v>118</v>
      </c>
      <c r="S166" s="2">
        <v>118</v>
      </c>
      <c r="T166" s="2" t="s">
        <v>28</v>
      </c>
      <c r="U166" s="2" t="b">
        <v>0</v>
      </c>
      <c r="V166" s="2" t="s">
        <v>29</v>
      </c>
      <c r="W166" s="2" t="s">
        <v>104</v>
      </c>
      <c r="X166" s="2" t="s">
        <v>105</v>
      </c>
      <c r="Y166" s="2" t="s">
        <v>583</v>
      </c>
      <c r="Z166" s="2" t="s">
        <v>31</v>
      </c>
      <c r="AA166" s="2"/>
      <c r="AB166" s="2"/>
      <c r="AC166" s="2"/>
      <c r="AD166" s="2"/>
      <c r="AK166" s="8">
        <f t="shared" si="3"/>
        <v>45693</v>
      </c>
    </row>
    <row r="167" spans="1:37" ht="15" customHeight="1">
      <c r="A167" s="2" t="s">
        <v>584</v>
      </c>
      <c r="B167" s="2">
        <v>0</v>
      </c>
      <c r="C167" s="2"/>
      <c r="D167" s="2" t="s">
        <v>265</v>
      </c>
      <c r="E167" s="2" t="s">
        <v>335</v>
      </c>
      <c r="F167" s="3">
        <v>45693</v>
      </c>
      <c r="G167" s="3">
        <v>45693</v>
      </c>
      <c r="H167" s="3">
        <v>45693</v>
      </c>
      <c r="I167" s="2"/>
      <c r="J167" s="2"/>
      <c r="K167" s="2" t="s">
        <v>25</v>
      </c>
      <c r="L167" s="2" t="s">
        <v>26</v>
      </c>
      <c r="M167" s="2"/>
      <c r="N167" s="2" t="s">
        <v>27</v>
      </c>
      <c r="O167" s="2">
        <v>930</v>
      </c>
      <c r="P167" s="2">
        <v>167.4</v>
      </c>
      <c r="Q167" s="2">
        <v>1097.4000000000001</v>
      </c>
      <c r="R167" s="2">
        <v>1097.4000000000001</v>
      </c>
      <c r="S167" s="2">
        <v>1097.4000000000001</v>
      </c>
      <c r="T167" s="2" t="s">
        <v>28</v>
      </c>
      <c r="U167" s="2" t="b">
        <v>0</v>
      </c>
      <c r="V167" s="2" t="s">
        <v>29</v>
      </c>
      <c r="W167" s="2" t="s">
        <v>104</v>
      </c>
      <c r="X167" s="2" t="s">
        <v>105</v>
      </c>
      <c r="Y167" s="2" t="s">
        <v>585</v>
      </c>
      <c r="Z167" s="2" t="s">
        <v>31</v>
      </c>
      <c r="AA167" s="2"/>
      <c r="AB167" s="2"/>
      <c r="AC167" s="2"/>
      <c r="AD167" s="2"/>
      <c r="AK167" s="8">
        <f t="shared" si="3"/>
        <v>45693</v>
      </c>
    </row>
    <row r="168" spans="1:37" ht="15" customHeight="1">
      <c r="A168" s="2" t="s">
        <v>586</v>
      </c>
      <c r="B168" s="2">
        <v>0</v>
      </c>
      <c r="C168" s="2"/>
      <c r="D168" s="2" t="s">
        <v>298</v>
      </c>
      <c r="E168" s="2" t="s">
        <v>415</v>
      </c>
      <c r="F168" s="3">
        <v>45692</v>
      </c>
      <c r="G168" s="3">
        <v>45692</v>
      </c>
      <c r="H168" s="3">
        <v>45692</v>
      </c>
      <c r="I168" s="2"/>
      <c r="J168" s="2"/>
      <c r="K168" s="2" t="s">
        <v>25</v>
      </c>
      <c r="L168" s="2" t="s">
        <v>26</v>
      </c>
      <c r="M168" s="2"/>
      <c r="N168" s="2" t="s">
        <v>27</v>
      </c>
      <c r="O168" s="2">
        <v>20</v>
      </c>
      <c r="P168" s="2">
        <v>3.6</v>
      </c>
      <c r="Q168" s="2">
        <v>23.6</v>
      </c>
      <c r="R168" s="2">
        <v>23.6</v>
      </c>
      <c r="S168" s="2">
        <v>23.6</v>
      </c>
      <c r="T168" s="2" t="s">
        <v>28</v>
      </c>
      <c r="U168" s="2" t="b">
        <v>0</v>
      </c>
      <c r="V168" s="2" t="s">
        <v>29</v>
      </c>
      <c r="W168" s="2" t="s">
        <v>104</v>
      </c>
      <c r="X168" s="2" t="s">
        <v>105</v>
      </c>
      <c r="Y168" s="2" t="s">
        <v>587</v>
      </c>
      <c r="Z168" s="2" t="s">
        <v>31</v>
      </c>
      <c r="AA168" s="2"/>
      <c r="AB168" s="2"/>
      <c r="AC168" s="2"/>
      <c r="AD168" s="2"/>
      <c r="AK168" s="8">
        <f t="shared" si="3"/>
        <v>45692</v>
      </c>
    </row>
    <row r="169" spans="1:37" ht="15" customHeight="1">
      <c r="A169" s="2" t="s">
        <v>588</v>
      </c>
      <c r="B169" s="2">
        <v>0</v>
      </c>
      <c r="C169" s="2"/>
      <c r="D169" s="2" t="s">
        <v>298</v>
      </c>
      <c r="E169" s="2" t="s">
        <v>376</v>
      </c>
      <c r="F169" s="3">
        <v>45691</v>
      </c>
      <c r="G169" s="3">
        <v>45691</v>
      </c>
      <c r="H169" s="3">
        <v>45691</v>
      </c>
      <c r="I169" s="2"/>
      <c r="J169" s="2"/>
      <c r="K169" s="2" t="s">
        <v>25</v>
      </c>
      <c r="L169" s="2" t="s">
        <v>26</v>
      </c>
      <c r="M169" s="2"/>
      <c r="N169" s="2" t="s">
        <v>27</v>
      </c>
      <c r="O169" s="2">
        <v>830</v>
      </c>
      <c r="P169" s="2">
        <v>149.4</v>
      </c>
      <c r="Q169" s="2">
        <v>979.4</v>
      </c>
      <c r="R169" s="2">
        <v>979.4</v>
      </c>
      <c r="S169" s="2">
        <v>979.4</v>
      </c>
      <c r="T169" s="2" t="s">
        <v>28</v>
      </c>
      <c r="U169" s="2" t="b">
        <v>0</v>
      </c>
      <c r="V169" s="2" t="s">
        <v>29</v>
      </c>
      <c r="W169" s="2" t="s">
        <v>104</v>
      </c>
      <c r="X169" s="2" t="s">
        <v>105</v>
      </c>
      <c r="Y169" s="2" t="s">
        <v>589</v>
      </c>
      <c r="Z169" s="2" t="s">
        <v>31</v>
      </c>
      <c r="AA169" s="2"/>
      <c r="AB169" s="2"/>
      <c r="AC169" s="2"/>
      <c r="AD169" s="2"/>
      <c r="AK169" s="8">
        <f t="shared" si="3"/>
        <v>45691</v>
      </c>
    </row>
    <row r="170" spans="1:37" ht="15" customHeight="1">
      <c r="A170" s="2" t="s">
        <v>590</v>
      </c>
      <c r="B170" s="2">
        <v>0</v>
      </c>
      <c r="C170" s="2"/>
      <c r="D170" s="2" t="s">
        <v>298</v>
      </c>
      <c r="E170" s="2" t="s">
        <v>591</v>
      </c>
      <c r="F170" s="3">
        <v>45688</v>
      </c>
      <c r="G170" s="3">
        <v>45688</v>
      </c>
      <c r="H170" s="3">
        <v>45688</v>
      </c>
      <c r="I170" s="2"/>
      <c r="J170" s="2"/>
      <c r="K170" s="2" t="s">
        <v>25</v>
      </c>
      <c r="L170" s="2" t="s">
        <v>26</v>
      </c>
      <c r="M170" s="2"/>
      <c r="N170" s="2" t="s">
        <v>27</v>
      </c>
      <c r="O170" s="2">
        <v>212.8</v>
      </c>
      <c r="P170" s="2">
        <v>38.299999999999997</v>
      </c>
      <c r="Q170" s="2">
        <v>251.1</v>
      </c>
      <c r="R170" s="2">
        <v>251.1</v>
      </c>
      <c r="S170" s="2">
        <v>251.1</v>
      </c>
      <c r="T170" s="2" t="s">
        <v>28</v>
      </c>
      <c r="U170" s="2" t="b">
        <v>0</v>
      </c>
      <c r="V170" s="2" t="s">
        <v>29</v>
      </c>
      <c r="W170" s="2" t="s">
        <v>104</v>
      </c>
      <c r="X170" s="2" t="s">
        <v>105</v>
      </c>
      <c r="Y170" s="2" t="s">
        <v>592</v>
      </c>
      <c r="Z170" s="2" t="s">
        <v>31</v>
      </c>
      <c r="AA170" s="2"/>
      <c r="AB170" s="2"/>
      <c r="AC170" s="2"/>
      <c r="AD170" s="2"/>
      <c r="AK170" s="8">
        <f t="shared" si="3"/>
        <v>45688</v>
      </c>
    </row>
    <row r="171" spans="1:37" ht="15" customHeight="1">
      <c r="A171" s="2" t="s">
        <v>593</v>
      </c>
      <c r="B171" s="2">
        <v>0</v>
      </c>
      <c r="C171" s="2"/>
      <c r="D171" s="2" t="s">
        <v>298</v>
      </c>
      <c r="E171" s="2" t="s">
        <v>591</v>
      </c>
      <c r="F171" s="3">
        <v>45688</v>
      </c>
      <c r="G171" s="3">
        <v>45688</v>
      </c>
      <c r="H171" s="3">
        <v>45688</v>
      </c>
      <c r="I171" s="2"/>
      <c r="J171" s="2"/>
      <c r="K171" s="2" t="s">
        <v>25</v>
      </c>
      <c r="L171" s="2" t="s">
        <v>26</v>
      </c>
      <c r="M171" s="2"/>
      <c r="N171" s="2" t="s">
        <v>27</v>
      </c>
      <c r="O171" s="2">
        <v>125.25</v>
      </c>
      <c r="P171" s="2">
        <v>22.55</v>
      </c>
      <c r="Q171" s="2">
        <v>147.80000000000001</v>
      </c>
      <c r="R171" s="2">
        <v>147.80000000000001</v>
      </c>
      <c r="S171" s="2">
        <v>147.80000000000001</v>
      </c>
      <c r="T171" s="2" t="s">
        <v>28</v>
      </c>
      <c r="U171" s="2" t="b">
        <v>0</v>
      </c>
      <c r="V171" s="2" t="s">
        <v>29</v>
      </c>
      <c r="W171" s="2" t="s">
        <v>104</v>
      </c>
      <c r="X171" s="2" t="s">
        <v>105</v>
      </c>
      <c r="Y171" s="2" t="s">
        <v>594</v>
      </c>
      <c r="Z171" s="2" t="s">
        <v>31</v>
      </c>
      <c r="AA171" s="2"/>
      <c r="AB171" s="2"/>
      <c r="AC171" s="2"/>
      <c r="AD171" s="2"/>
      <c r="AK171" s="8">
        <f t="shared" si="3"/>
        <v>45688</v>
      </c>
    </row>
    <row r="172" spans="1:37" ht="15" customHeight="1">
      <c r="A172" s="2" t="s">
        <v>595</v>
      </c>
      <c r="B172" s="2">
        <v>0</v>
      </c>
      <c r="C172" s="2"/>
      <c r="D172" s="2" t="s">
        <v>265</v>
      </c>
      <c r="E172" s="2" t="s">
        <v>596</v>
      </c>
      <c r="F172" s="3">
        <v>45688</v>
      </c>
      <c r="G172" s="3">
        <v>45688</v>
      </c>
      <c r="H172" s="3">
        <v>45688</v>
      </c>
      <c r="I172" s="2"/>
      <c r="J172" s="2"/>
      <c r="K172" s="2" t="s">
        <v>25</v>
      </c>
      <c r="L172" s="2" t="s">
        <v>26</v>
      </c>
      <c r="M172" s="2"/>
      <c r="N172" s="2" t="s">
        <v>27</v>
      </c>
      <c r="O172" s="2">
        <v>24.56</v>
      </c>
      <c r="P172" s="2">
        <v>4.42</v>
      </c>
      <c r="Q172" s="2">
        <v>28.98</v>
      </c>
      <c r="R172" s="2">
        <v>28.98</v>
      </c>
      <c r="S172" s="2">
        <v>28.98</v>
      </c>
      <c r="T172" s="2" t="s">
        <v>28</v>
      </c>
      <c r="U172" s="2" t="b">
        <v>0</v>
      </c>
      <c r="V172" s="2" t="s">
        <v>29</v>
      </c>
      <c r="W172" s="2" t="s">
        <v>104</v>
      </c>
      <c r="X172" s="2" t="s">
        <v>105</v>
      </c>
      <c r="Y172" s="2" t="s">
        <v>597</v>
      </c>
      <c r="Z172" s="2" t="s">
        <v>31</v>
      </c>
      <c r="AA172" s="2"/>
      <c r="AB172" s="2"/>
      <c r="AC172" s="2"/>
      <c r="AD172" s="2"/>
      <c r="AK172" s="8">
        <f t="shared" si="3"/>
        <v>45688</v>
      </c>
    </row>
    <row r="173" spans="1:37" ht="15" customHeight="1">
      <c r="A173" s="2" t="s">
        <v>598</v>
      </c>
      <c r="B173" s="2">
        <v>0</v>
      </c>
      <c r="C173" s="2"/>
      <c r="D173" s="2" t="s">
        <v>265</v>
      </c>
      <c r="E173" s="2" t="s">
        <v>596</v>
      </c>
      <c r="F173" s="3">
        <v>45688</v>
      </c>
      <c r="G173" s="3">
        <v>45688</v>
      </c>
      <c r="H173" s="3">
        <v>45688</v>
      </c>
      <c r="I173" s="2"/>
      <c r="J173" s="2"/>
      <c r="K173" s="2" t="s">
        <v>25</v>
      </c>
      <c r="L173" s="2" t="s">
        <v>26</v>
      </c>
      <c r="M173" s="2"/>
      <c r="N173" s="2" t="s">
        <v>27</v>
      </c>
      <c r="O173" s="2">
        <v>26.45</v>
      </c>
      <c r="P173" s="2">
        <v>4.76</v>
      </c>
      <c r="Q173" s="2">
        <v>31.21</v>
      </c>
      <c r="R173" s="2">
        <v>31.21</v>
      </c>
      <c r="S173" s="2">
        <v>31.21</v>
      </c>
      <c r="T173" s="2" t="s">
        <v>28</v>
      </c>
      <c r="U173" s="2" t="b">
        <v>0</v>
      </c>
      <c r="V173" s="2" t="s">
        <v>29</v>
      </c>
      <c r="W173" s="2" t="s">
        <v>104</v>
      </c>
      <c r="X173" s="2" t="s">
        <v>105</v>
      </c>
      <c r="Y173" s="2" t="s">
        <v>599</v>
      </c>
      <c r="Z173" s="2" t="s">
        <v>31</v>
      </c>
      <c r="AA173" s="2"/>
      <c r="AB173" s="2"/>
      <c r="AC173" s="2"/>
      <c r="AD173" s="2"/>
      <c r="AK173" s="8">
        <f t="shared" si="3"/>
        <v>45688</v>
      </c>
    </row>
    <row r="174" spans="1:37" ht="15" customHeight="1">
      <c r="A174" s="2" t="s">
        <v>600</v>
      </c>
      <c r="B174" s="2">
        <v>0</v>
      </c>
      <c r="C174" s="2"/>
      <c r="D174" s="2" t="s">
        <v>265</v>
      </c>
      <c r="E174" s="2" t="s">
        <v>601</v>
      </c>
      <c r="F174" s="3">
        <v>45688</v>
      </c>
      <c r="G174" s="3">
        <v>45688</v>
      </c>
      <c r="H174" s="3">
        <v>45688</v>
      </c>
      <c r="I174" s="2"/>
      <c r="J174" s="2"/>
      <c r="K174" s="2" t="s">
        <v>25</v>
      </c>
      <c r="L174" s="2" t="s">
        <v>26</v>
      </c>
      <c r="M174" s="2"/>
      <c r="N174" s="2" t="s">
        <v>27</v>
      </c>
      <c r="O174" s="2">
        <v>117.97</v>
      </c>
      <c r="P174" s="2">
        <v>21.23</v>
      </c>
      <c r="Q174" s="2">
        <v>139.19999999999999</v>
      </c>
      <c r="R174" s="2">
        <v>139.19999999999999</v>
      </c>
      <c r="S174" s="2">
        <v>139.19999999999999</v>
      </c>
      <c r="T174" s="2" t="s">
        <v>28</v>
      </c>
      <c r="U174" s="2" t="b">
        <v>0</v>
      </c>
      <c r="V174" s="2" t="s">
        <v>29</v>
      </c>
      <c r="W174" s="2" t="s">
        <v>104</v>
      </c>
      <c r="X174" s="2" t="s">
        <v>105</v>
      </c>
      <c r="Y174" s="2" t="s">
        <v>602</v>
      </c>
      <c r="Z174" s="2" t="s">
        <v>31</v>
      </c>
      <c r="AA174" s="2"/>
      <c r="AB174" s="2"/>
      <c r="AC174" s="2"/>
      <c r="AD174" s="2"/>
      <c r="AK174" s="8">
        <f t="shared" si="3"/>
        <v>45688</v>
      </c>
    </row>
    <row r="175" spans="1:37" ht="15" customHeight="1">
      <c r="A175" s="2" t="s">
        <v>603</v>
      </c>
      <c r="B175" s="2">
        <v>0</v>
      </c>
      <c r="C175" s="2"/>
      <c r="D175" s="2" t="s">
        <v>265</v>
      </c>
      <c r="E175" s="2" t="s">
        <v>601</v>
      </c>
      <c r="F175" s="3">
        <v>45688</v>
      </c>
      <c r="G175" s="3">
        <v>45688</v>
      </c>
      <c r="H175" s="3">
        <v>45688</v>
      </c>
      <c r="I175" s="2"/>
      <c r="J175" s="2"/>
      <c r="K175" s="2" t="s">
        <v>25</v>
      </c>
      <c r="L175" s="2" t="s">
        <v>26</v>
      </c>
      <c r="M175" s="2"/>
      <c r="N175" s="2" t="s">
        <v>27</v>
      </c>
      <c r="O175" s="2">
        <v>96.1</v>
      </c>
      <c r="P175" s="2">
        <v>17.3</v>
      </c>
      <c r="Q175" s="2">
        <v>113.4</v>
      </c>
      <c r="R175" s="2">
        <v>113.4</v>
      </c>
      <c r="S175" s="2">
        <v>113.4</v>
      </c>
      <c r="T175" s="2" t="s">
        <v>28</v>
      </c>
      <c r="U175" s="2" t="b">
        <v>0</v>
      </c>
      <c r="V175" s="2" t="s">
        <v>29</v>
      </c>
      <c r="W175" s="2" t="s">
        <v>104</v>
      </c>
      <c r="X175" s="2" t="s">
        <v>105</v>
      </c>
      <c r="Y175" s="2" t="s">
        <v>604</v>
      </c>
      <c r="Z175" s="2" t="s">
        <v>31</v>
      </c>
      <c r="AA175" s="2"/>
      <c r="AB175" s="2"/>
      <c r="AC175" s="2"/>
      <c r="AD175" s="2"/>
      <c r="AK175" s="8">
        <f t="shared" si="3"/>
        <v>45688</v>
      </c>
    </row>
    <row r="176" spans="1:37" ht="15" customHeight="1">
      <c r="A176" s="2" t="s">
        <v>605</v>
      </c>
      <c r="B176" s="2">
        <v>0</v>
      </c>
      <c r="C176" s="2"/>
      <c r="D176" s="2" t="s">
        <v>265</v>
      </c>
      <c r="E176" s="2" t="s">
        <v>566</v>
      </c>
      <c r="F176" s="3">
        <v>45687</v>
      </c>
      <c r="G176" s="3">
        <v>45687</v>
      </c>
      <c r="H176" s="3">
        <v>45687</v>
      </c>
      <c r="I176" s="2"/>
      <c r="J176" s="2"/>
      <c r="K176" s="2" t="s">
        <v>25</v>
      </c>
      <c r="L176" s="2" t="s">
        <v>26</v>
      </c>
      <c r="M176" s="2"/>
      <c r="N176" s="2" t="s">
        <v>27</v>
      </c>
      <c r="O176" s="2">
        <v>374.24</v>
      </c>
      <c r="P176" s="2">
        <v>67.36</v>
      </c>
      <c r="Q176" s="2">
        <v>441.6</v>
      </c>
      <c r="R176" s="2">
        <v>441.6</v>
      </c>
      <c r="S176" s="2">
        <v>441.6</v>
      </c>
      <c r="T176" s="2" t="s">
        <v>28</v>
      </c>
      <c r="U176" s="2" t="b">
        <v>0</v>
      </c>
      <c r="V176" s="2" t="s">
        <v>29</v>
      </c>
      <c r="W176" s="2" t="s">
        <v>104</v>
      </c>
      <c r="X176" s="2" t="s">
        <v>105</v>
      </c>
      <c r="Y176" s="2" t="s">
        <v>606</v>
      </c>
      <c r="Z176" s="2" t="s">
        <v>31</v>
      </c>
      <c r="AA176" s="2"/>
      <c r="AB176" s="2"/>
      <c r="AC176" s="2"/>
      <c r="AD176" s="2"/>
      <c r="AK176" s="8">
        <f t="shared" si="3"/>
        <v>45687</v>
      </c>
    </row>
    <row r="177" spans="1:37" ht="15" customHeight="1">
      <c r="A177" s="2" t="s">
        <v>607</v>
      </c>
      <c r="B177" s="2">
        <v>0</v>
      </c>
      <c r="C177" s="2"/>
      <c r="D177" s="2" t="s">
        <v>265</v>
      </c>
      <c r="E177" s="2" t="s">
        <v>566</v>
      </c>
      <c r="F177" s="3">
        <v>45687</v>
      </c>
      <c r="G177" s="3">
        <v>45687</v>
      </c>
      <c r="H177" s="3">
        <v>45687</v>
      </c>
      <c r="I177" s="2"/>
      <c r="J177" s="2"/>
      <c r="K177" s="2" t="s">
        <v>25</v>
      </c>
      <c r="L177" s="2" t="s">
        <v>26</v>
      </c>
      <c r="M177" s="2"/>
      <c r="N177" s="2" t="s">
        <v>27</v>
      </c>
      <c r="O177" s="2">
        <v>279.66000000000003</v>
      </c>
      <c r="P177" s="2">
        <v>50.34</v>
      </c>
      <c r="Q177" s="2">
        <v>330</v>
      </c>
      <c r="R177" s="2">
        <v>330</v>
      </c>
      <c r="S177" s="2">
        <v>330</v>
      </c>
      <c r="T177" s="2" t="s">
        <v>28</v>
      </c>
      <c r="U177" s="2" t="b">
        <v>0</v>
      </c>
      <c r="V177" s="2" t="s">
        <v>29</v>
      </c>
      <c r="W177" s="2" t="s">
        <v>104</v>
      </c>
      <c r="X177" s="2" t="s">
        <v>105</v>
      </c>
      <c r="Y177" s="2" t="s">
        <v>608</v>
      </c>
      <c r="Z177" s="2" t="s">
        <v>31</v>
      </c>
      <c r="AA177" s="2"/>
      <c r="AB177" s="2"/>
      <c r="AC177" s="2"/>
      <c r="AD177" s="2"/>
      <c r="AK177" s="8">
        <f t="shared" si="3"/>
        <v>45687</v>
      </c>
    </row>
    <row r="178" spans="1:37" ht="15" customHeight="1">
      <c r="A178" s="2" t="s">
        <v>609</v>
      </c>
      <c r="B178" s="2">
        <v>0</v>
      </c>
      <c r="C178" s="2"/>
      <c r="D178" s="2" t="s">
        <v>265</v>
      </c>
      <c r="E178" s="2" t="s">
        <v>610</v>
      </c>
      <c r="F178" s="3">
        <v>45687</v>
      </c>
      <c r="G178" s="3">
        <v>45687</v>
      </c>
      <c r="H178" s="3">
        <v>45687</v>
      </c>
      <c r="I178" s="2"/>
      <c r="J178" s="2"/>
      <c r="K178" s="2" t="s">
        <v>25</v>
      </c>
      <c r="L178" s="2" t="s">
        <v>26</v>
      </c>
      <c r="M178" s="2"/>
      <c r="N178" s="2" t="s">
        <v>27</v>
      </c>
      <c r="O178" s="2">
        <v>32.5</v>
      </c>
      <c r="P178" s="2">
        <v>5.85</v>
      </c>
      <c r="Q178" s="2">
        <v>38.35</v>
      </c>
      <c r="R178" s="2">
        <v>38.35</v>
      </c>
      <c r="S178" s="2">
        <v>38.35</v>
      </c>
      <c r="T178" s="2" t="s">
        <v>28</v>
      </c>
      <c r="U178" s="2" t="b">
        <v>0</v>
      </c>
      <c r="V178" s="2" t="s">
        <v>29</v>
      </c>
      <c r="W178" s="2" t="s">
        <v>104</v>
      </c>
      <c r="X178" s="2" t="s">
        <v>105</v>
      </c>
      <c r="Y178" s="2" t="s">
        <v>611</v>
      </c>
      <c r="Z178" s="2" t="s">
        <v>31</v>
      </c>
      <c r="AA178" s="2"/>
      <c r="AB178" s="2"/>
      <c r="AC178" s="2"/>
      <c r="AD178" s="2"/>
      <c r="AK178" s="8">
        <f t="shared" si="3"/>
        <v>45687</v>
      </c>
    </row>
    <row r="179" spans="1:37" ht="15" customHeight="1">
      <c r="A179" s="2" t="s">
        <v>612</v>
      </c>
      <c r="B179" s="2">
        <v>0</v>
      </c>
      <c r="C179" s="2"/>
      <c r="D179" s="2" t="s">
        <v>265</v>
      </c>
      <c r="E179" s="2" t="s">
        <v>610</v>
      </c>
      <c r="F179" s="3">
        <v>45687</v>
      </c>
      <c r="G179" s="3">
        <v>45687</v>
      </c>
      <c r="H179" s="3">
        <v>45687</v>
      </c>
      <c r="I179" s="2"/>
      <c r="J179" s="2"/>
      <c r="K179" s="2" t="s">
        <v>25</v>
      </c>
      <c r="L179" s="2" t="s">
        <v>26</v>
      </c>
      <c r="M179" s="2"/>
      <c r="N179" s="2" t="s">
        <v>27</v>
      </c>
      <c r="O179" s="2">
        <v>4.83</v>
      </c>
      <c r="P179" s="2">
        <v>0.87</v>
      </c>
      <c r="Q179" s="2">
        <v>5.7</v>
      </c>
      <c r="R179" s="2">
        <v>5.7</v>
      </c>
      <c r="S179" s="2">
        <v>5.7</v>
      </c>
      <c r="T179" s="2" t="s">
        <v>28</v>
      </c>
      <c r="U179" s="2" t="b">
        <v>0</v>
      </c>
      <c r="V179" s="2" t="s">
        <v>29</v>
      </c>
      <c r="W179" s="2" t="s">
        <v>104</v>
      </c>
      <c r="X179" s="2" t="s">
        <v>105</v>
      </c>
      <c r="Y179" s="2" t="s">
        <v>613</v>
      </c>
      <c r="Z179" s="2" t="s">
        <v>31</v>
      </c>
      <c r="AA179" s="2"/>
      <c r="AB179" s="2"/>
      <c r="AC179" s="2"/>
      <c r="AD179" s="2"/>
      <c r="AK179" s="8">
        <f t="shared" si="3"/>
        <v>45687</v>
      </c>
    </row>
    <row r="180" spans="1:37" ht="15" customHeight="1">
      <c r="A180" s="2" t="s">
        <v>614</v>
      </c>
      <c r="B180" s="2">
        <v>0</v>
      </c>
      <c r="C180" s="2"/>
      <c r="D180" s="2" t="s">
        <v>265</v>
      </c>
      <c r="E180" s="2" t="s">
        <v>610</v>
      </c>
      <c r="F180" s="3">
        <v>45687</v>
      </c>
      <c r="G180" s="3">
        <v>45687</v>
      </c>
      <c r="H180" s="3">
        <v>45687</v>
      </c>
      <c r="I180" s="2"/>
      <c r="J180" s="2"/>
      <c r="K180" s="2" t="s">
        <v>25</v>
      </c>
      <c r="L180" s="2" t="s">
        <v>26</v>
      </c>
      <c r="M180" s="2"/>
      <c r="N180" s="2" t="s">
        <v>27</v>
      </c>
      <c r="O180" s="2">
        <v>35.549999999999997</v>
      </c>
      <c r="P180" s="2">
        <v>6.4</v>
      </c>
      <c r="Q180" s="2">
        <v>41.95</v>
      </c>
      <c r="R180" s="2">
        <v>41.95</v>
      </c>
      <c r="S180" s="2">
        <v>41.95</v>
      </c>
      <c r="T180" s="2" t="s">
        <v>28</v>
      </c>
      <c r="U180" s="2" t="b">
        <v>0</v>
      </c>
      <c r="V180" s="2" t="s">
        <v>29</v>
      </c>
      <c r="W180" s="2" t="s">
        <v>104</v>
      </c>
      <c r="X180" s="2" t="s">
        <v>105</v>
      </c>
      <c r="Y180" s="2" t="s">
        <v>615</v>
      </c>
      <c r="Z180" s="2" t="s">
        <v>31</v>
      </c>
      <c r="AA180" s="2"/>
      <c r="AB180" s="2"/>
      <c r="AC180" s="2"/>
      <c r="AD180" s="2"/>
      <c r="AK180" s="8">
        <f t="shared" si="3"/>
        <v>45687</v>
      </c>
    </row>
    <row r="181" spans="1:37" ht="15" customHeight="1">
      <c r="A181" s="2" t="s">
        <v>616</v>
      </c>
      <c r="B181" s="2">
        <v>0</v>
      </c>
      <c r="C181" s="2"/>
      <c r="D181" s="2" t="s">
        <v>265</v>
      </c>
      <c r="E181" s="2" t="s">
        <v>617</v>
      </c>
      <c r="F181" s="3">
        <v>45687</v>
      </c>
      <c r="G181" s="3">
        <v>45687</v>
      </c>
      <c r="H181" s="3">
        <v>45687</v>
      </c>
      <c r="I181" s="2"/>
      <c r="J181" s="2"/>
      <c r="K181" s="2" t="s">
        <v>25</v>
      </c>
      <c r="L181" s="2" t="s">
        <v>26</v>
      </c>
      <c r="M181" s="2"/>
      <c r="N181" s="2" t="s">
        <v>27</v>
      </c>
      <c r="O181" s="2">
        <v>370.08</v>
      </c>
      <c r="P181" s="2">
        <v>66.62</v>
      </c>
      <c r="Q181" s="2">
        <v>436.7</v>
      </c>
      <c r="R181" s="2">
        <v>436.7</v>
      </c>
      <c r="S181" s="2">
        <v>436.7</v>
      </c>
      <c r="T181" s="2" t="s">
        <v>28</v>
      </c>
      <c r="U181" s="2" t="b">
        <v>0</v>
      </c>
      <c r="V181" s="2" t="s">
        <v>29</v>
      </c>
      <c r="W181" s="2" t="s">
        <v>104</v>
      </c>
      <c r="X181" s="2" t="s">
        <v>105</v>
      </c>
      <c r="Y181" s="2" t="s">
        <v>618</v>
      </c>
      <c r="Z181" s="2" t="s">
        <v>31</v>
      </c>
      <c r="AA181" s="2"/>
      <c r="AB181" s="2"/>
      <c r="AC181" s="2"/>
      <c r="AD181" s="2"/>
      <c r="AK181" s="8">
        <f t="shared" si="3"/>
        <v>45687</v>
      </c>
    </row>
    <row r="182" spans="1:37" ht="15" customHeight="1">
      <c r="A182" s="2" t="s">
        <v>619</v>
      </c>
      <c r="B182" s="2">
        <v>0</v>
      </c>
      <c r="C182" s="2"/>
      <c r="D182" s="2" t="s">
        <v>265</v>
      </c>
      <c r="E182" s="2" t="s">
        <v>617</v>
      </c>
      <c r="F182" s="3">
        <v>45687</v>
      </c>
      <c r="G182" s="3">
        <v>45687</v>
      </c>
      <c r="H182" s="3">
        <v>45687</v>
      </c>
      <c r="I182" s="2"/>
      <c r="J182" s="2"/>
      <c r="K182" s="2" t="s">
        <v>25</v>
      </c>
      <c r="L182" s="2" t="s">
        <v>26</v>
      </c>
      <c r="M182" s="2"/>
      <c r="N182" s="2" t="s">
        <v>27</v>
      </c>
      <c r="O182" s="2">
        <v>283.73</v>
      </c>
      <c r="P182" s="2">
        <v>51.07</v>
      </c>
      <c r="Q182" s="2">
        <v>334.8</v>
      </c>
      <c r="R182" s="2">
        <v>334.8</v>
      </c>
      <c r="S182" s="2">
        <v>334.8</v>
      </c>
      <c r="T182" s="2" t="s">
        <v>28</v>
      </c>
      <c r="U182" s="2" t="b">
        <v>0</v>
      </c>
      <c r="V182" s="2" t="s">
        <v>29</v>
      </c>
      <c r="W182" s="2" t="s">
        <v>104</v>
      </c>
      <c r="X182" s="2" t="s">
        <v>105</v>
      </c>
      <c r="Y182" s="2" t="s">
        <v>620</v>
      </c>
      <c r="Z182" s="2" t="s">
        <v>31</v>
      </c>
      <c r="AA182" s="2"/>
      <c r="AB182" s="2"/>
      <c r="AC182" s="2"/>
      <c r="AD182" s="2"/>
      <c r="AK182" s="8">
        <f t="shared" si="3"/>
        <v>45687</v>
      </c>
    </row>
    <row r="183" spans="1:37" ht="15" customHeight="1">
      <c r="A183" s="2" t="s">
        <v>621</v>
      </c>
      <c r="B183" s="2">
        <v>0</v>
      </c>
      <c r="C183" s="2"/>
      <c r="D183" s="2" t="s">
        <v>298</v>
      </c>
      <c r="E183" s="2" t="s">
        <v>622</v>
      </c>
      <c r="F183" s="3">
        <v>45686</v>
      </c>
      <c r="G183" s="3">
        <v>45686</v>
      </c>
      <c r="H183" s="3">
        <v>45686</v>
      </c>
      <c r="I183" s="2"/>
      <c r="J183" s="2"/>
      <c r="K183" s="2" t="s">
        <v>25</v>
      </c>
      <c r="L183" s="2" t="s">
        <v>26</v>
      </c>
      <c r="M183" s="2"/>
      <c r="N183" s="2" t="s">
        <v>27</v>
      </c>
      <c r="O183" s="2">
        <v>53.56</v>
      </c>
      <c r="P183" s="2">
        <v>9.64</v>
      </c>
      <c r="Q183" s="2">
        <v>63.2</v>
      </c>
      <c r="R183" s="2">
        <v>63.2</v>
      </c>
      <c r="S183" s="2">
        <v>63.2</v>
      </c>
      <c r="T183" s="2" t="s">
        <v>28</v>
      </c>
      <c r="U183" s="2" t="b">
        <v>0</v>
      </c>
      <c r="V183" s="2" t="s">
        <v>29</v>
      </c>
      <c r="W183" s="2" t="s">
        <v>104</v>
      </c>
      <c r="X183" s="2" t="s">
        <v>105</v>
      </c>
      <c r="Y183" s="2" t="s">
        <v>623</v>
      </c>
      <c r="Z183" s="2" t="s">
        <v>31</v>
      </c>
      <c r="AA183" s="2"/>
      <c r="AB183" s="2"/>
      <c r="AC183" s="2"/>
      <c r="AD183" s="2"/>
      <c r="AK183" s="8">
        <f t="shared" si="3"/>
        <v>45686</v>
      </c>
    </row>
    <row r="184" spans="1:37" ht="15" customHeight="1">
      <c r="A184" s="2" t="s">
        <v>624</v>
      </c>
      <c r="B184" s="2">
        <v>0</v>
      </c>
      <c r="C184" s="2"/>
      <c r="D184" s="2" t="s">
        <v>298</v>
      </c>
      <c r="E184" s="2" t="s">
        <v>622</v>
      </c>
      <c r="F184" s="3">
        <v>45686</v>
      </c>
      <c r="G184" s="3">
        <v>45686</v>
      </c>
      <c r="H184" s="3">
        <v>45686</v>
      </c>
      <c r="I184" s="2"/>
      <c r="J184" s="2"/>
      <c r="K184" s="2" t="s">
        <v>25</v>
      </c>
      <c r="L184" s="2" t="s">
        <v>26</v>
      </c>
      <c r="M184" s="2"/>
      <c r="N184" s="2" t="s">
        <v>27</v>
      </c>
      <c r="O184" s="2">
        <v>34.75</v>
      </c>
      <c r="P184" s="2">
        <v>6.25</v>
      </c>
      <c r="Q184" s="2">
        <v>41</v>
      </c>
      <c r="R184" s="2">
        <v>41</v>
      </c>
      <c r="S184" s="2">
        <v>41</v>
      </c>
      <c r="T184" s="2" t="s">
        <v>28</v>
      </c>
      <c r="U184" s="2" t="b">
        <v>0</v>
      </c>
      <c r="V184" s="2" t="s">
        <v>29</v>
      </c>
      <c r="W184" s="2" t="s">
        <v>104</v>
      </c>
      <c r="X184" s="2" t="s">
        <v>105</v>
      </c>
      <c r="Y184" s="2" t="s">
        <v>625</v>
      </c>
      <c r="Z184" s="2" t="s">
        <v>31</v>
      </c>
      <c r="AA184" s="2"/>
      <c r="AB184" s="2"/>
      <c r="AC184" s="2"/>
      <c r="AD184" s="2"/>
      <c r="AK184" s="8">
        <f t="shared" si="3"/>
        <v>45686</v>
      </c>
    </row>
    <row r="185" spans="1:37" ht="15" customHeight="1">
      <c r="A185" s="2" t="s">
        <v>626</v>
      </c>
      <c r="B185" s="2">
        <v>0</v>
      </c>
      <c r="C185" s="2"/>
      <c r="D185" s="2" t="s">
        <v>298</v>
      </c>
      <c r="E185" s="2" t="s">
        <v>627</v>
      </c>
      <c r="F185" s="3">
        <v>45686</v>
      </c>
      <c r="G185" s="3">
        <v>45686</v>
      </c>
      <c r="H185" s="3">
        <v>45686</v>
      </c>
      <c r="I185" s="2"/>
      <c r="J185" s="2"/>
      <c r="K185" s="2" t="s">
        <v>25</v>
      </c>
      <c r="L185" s="2" t="s">
        <v>26</v>
      </c>
      <c r="M185" s="2"/>
      <c r="N185" s="2" t="s">
        <v>27</v>
      </c>
      <c r="O185" s="2">
        <v>423.73</v>
      </c>
      <c r="P185" s="2">
        <v>76.27</v>
      </c>
      <c r="Q185" s="2">
        <v>500</v>
      </c>
      <c r="R185" s="2">
        <v>500</v>
      </c>
      <c r="S185" s="2">
        <v>500</v>
      </c>
      <c r="T185" s="2" t="s">
        <v>28</v>
      </c>
      <c r="U185" s="2" t="b">
        <v>0</v>
      </c>
      <c r="V185" s="2" t="s">
        <v>29</v>
      </c>
      <c r="W185" s="2" t="s">
        <v>104</v>
      </c>
      <c r="X185" s="2" t="s">
        <v>105</v>
      </c>
      <c r="Y185" s="2" t="s">
        <v>628</v>
      </c>
      <c r="Z185" s="2" t="s">
        <v>31</v>
      </c>
      <c r="AA185" s="2"/>
      <c r="AB185" s="2"/>
      <c r="AC185" s="2"/>
      <c r="AD185" s="2"/>
      <c r="AK185" s="8">
        <f t="shared" si="3"/>
        <v>45686</v>
      </c>
    </row>
    <row r="186" spans="1:37" ht="15" customHeight="1">
      <c r="A186" s="2" t="s">
        <v>629</v>
      </c>
      <c r="B186" s="2">
        <v>0</v>
      </c>
      <c r="C186" s="2"/>
      <c r="D186" s="2" t="s">
        <v>298</v>
      </c>
      <c r="E186" s="2" t="s">
        <v>627</v>
      </c>
      <c r="F186" s="3">
        <v>45686</v>
      </c>
      <c r="G186" s="3">
        <v>45686</v>
      </c>
      <c r="H186" s="3">
        <v>45686</v>
      </c>
      <c r="I186" s="2"/>
      <c r="J186" s="2"/>
      <c r="K186" s="2" t="s">
        <v>25</v>
      </c>
      <c r="L186" s="2" t="s">
        <v>26</v>
      </c>
      <c r="M186" s="2"/>
      <c r="N186" s="2" t="s">
        <v>27</v>
      </c>
      <c r="O186" s="2">
        <v>30</v>
      </c>
      <c r="P186" s="2">
        <v>5.4</v>
      </c>
      <c r="Q186" s="2">
        <v>35.4</v>
      </c>
      <c r="R186" s="2">
        <v>35.4</v>
      </c>
      <c r="S186" s="2">
        <v>35.4</v>
      </c>
      <c r="T186" s="2" t="s">
        <v>28</v>
      </c>
      <c r="U186" s="2" t="b">
        <v>0</v>
      </c>
      <c r="V186" s="2" t="s">
        <v>29</v>
      </c>
      <c r="W186" s="2" t="s">
        <v>104</v>
      </c>
      <c r="X186" s="2" t="s">
        <v>105</v>
      </c>
      <c r="Y186" s="2" t="s">
        <v>630</v>
      </c>
      <c r="Z186" s="2" t="s">
        <v>31</v>
      </c>
      <c r="AA186" s="2"/>
      <c r="AB186" s="2"/>
      <c r="AC186" s="2"/>
      <c r="AD186" s="2"/>
      <c r="AK186" s="8">
        <f t="shared" si="3"/>
        <v>45686</v>
      </c>
    </row>
    <row r="187" spans="1:37" ht="15" customHeight="1">
      <c r="A187" s="2" t="s">
        <v>631</v>
      </c>
      <c r="B187" s="2">
        <v>0</v>
      </c>
      <c r="C187" s="2"/>
      <c r="D187" s="2" t="s">
        <v>298</v>
      </c>
      <c r="E187" s="2" t="s">
        <v>627</v>
      </c>
      <c r="F187" s="3">
        <v>45686</v>
      </c>
      <c r="G187" s="3">
        <v>45686</v>
      </c>
      <c r="H187" s="3">
        <v>45686</v>
      </c>
      <c r="I187" s="2"/>
      <c r="J187" s="2"/>
      <c r="K187" s="2" t="s">
        <v>25</v>
      </c>
      <c r="L187" s="2" t="s">
        <v>26</v>
      </c>
      <c r="M187" s="2"/>
      <c r="N187" s="2" t="s">
        <v>27</v>
      </c>
      <c r="O187" s="2">
        <v>150</v>
      </c>
      <c r="P187" s="2">
        <v>27</v>
      </c>
      <c r="Q187" s="2">
        <v>177</v>
      </c>
      <c r="R187" s="2">
        <v>177</v>
      </c>
      <c r="S187" s="2">
        <v>177</v>
      </c>
      <c r="T187" s="2" t="s">
        <v>28</v>
      </c>
      <c r="U187" s="2" t="b">
        <v>0</v>
      </c>
      <c r="V187" s="2" t="s">
        <v>29</v>
      </c>
      <c r="W187" s="2" t="s">
        <v>104</v>
      </c>
      <c r="X187" s="2" t="s">
        <v>105</v>
      </c>
      <c r="Y187" s="2" t="s">
        <v>632</v>
      </c>
      <c r="Z187" s="2" t="s">
        <v>31</v>
      </c>
      <c r="AA187" s="2"/>
      <c r="AB187" s="2"/>
      <c r="AC187" s="2"/>
      <c r="AD187" s="2"/>
      <c r="AK187" s="8">
        <f t="shared" si="3"/>
        <v>45686</v>
      </c>
    </row>
    <row r="188" spans="1:37" ht="15" customHeight="1">
      <c r="A188" s="2" t="s">
        <v>633</v>
      </c>
      <c r="B188" s="2">
        <v>0</v>
      </c>
      <c r="C188" s="2"/>
      <c r="D188" s="2" t="s">
        <v>298</v>
      </c>
      <c r="E188" s="2" t="s">
        <v>627</v>
      </c>
      <c r="F188" s="3">
        <v>45686</v>
      </c>
      <c r="G188" s="3">
        <v>45686</v>
      </c>
      <c r="H188" s="3">
        <v>45686</v>
      </c>
      <c r="I188" s="2"/>
      <c r="J188" s="2"/>
      <c r="K188" s="2" t="s">
        <v>25</v>
      </c>
      <c r="L188" s="2" t="s">
        <v>26</v>
      </c>
      <c r="M188" s="2"/>
      <c r="N188" s="2" t="s">
        <v>27</v>
      </c>
      <c r="O188" s="2">
        <v>1608.31</v>
      </c>
      <c r="P188" s="2">
        <v>289.49</v>
      </c>
      <c r="Q188" s="2">
        <v>1897.8</v>
      </c>
      <c r="R188" s="2">
        <v>1897.8</v>
      </c>
      <c r="S188" s="2">
        <v>1897.8</v>
      </c>
      <c r="T188" s="2" t="s">
        <v>28</v>
      </c>
      <c r="U188" s="2" t="b">
        <v>0</v>
      </c>
      <c r="V188" s="2" t="s">
        <v>29</v>
      </c>
      <c r="W188" s="2" t="s">
        <v>104</v>
      </c>
      <c r="X188" s="2" t="s">
        <v>105</v>
      </c>
      <c r="Y188" s="2" t="s">
        <v>634</v>
      </c>
      <c r="Z188" s="2" t="s">
        <v>31</v>
      </c>
      <c r="AA188" s="2"/>
      <c r="AB188" s="2"/>
      <c r="AC188" s="2"/>
      <c r="AD188" s="2"/>
      <c r="AK188" s="8">
        <f t="shared" si="3"/>
        <v>45686</v>
      </c>
    </row>
    <row r="189" spans="1:37" ht="15" customHeight="1">
      <c r="A189" s="2" t="s">
        <v>635</v>
      </c>
      <c r="B189" s="2">
        <v>0</v>
      </c>
      <c r="C189" s="2"/>
      <c r="D189" s="2" t="s">
        <v>298</v>
      </c>
      <c r="E189" s="2" t="s">
        <v>627</v>
      </c>
      <c r="F189" s="3">
        <v>45686</v>
      </c>
      <c r="G189" s="3">
        <v>45686</v>
      </c>
      <c r="H189" s="3">
        <v>45686</v>
      </c>
      <c r="I189" s="2"/>
      <c r="J189" s="2"/>
      <c r="K189" s="2" t="s">
        <v>25</v>
      </c>
      <c r="L189" s="2" t="s">
        <v>26</v>
      </c>
      <c r="M189" s="2"/>
      <c r="N189" s="2" t="s">
        <v>27</v>
      </c>
      <c r="O189" s="2">
        <v>991.19</v>
      </c>
      <c r="P189" s="2">
        <v>178.41</v>
      </c>
      <c r="Q189" s="2">
        <v>1169.5999999999999</v>
      </c>
      <c r="R189" s="2">
        <v>1169.5999999999999</v>
      </c>
      <c r="S189" s="2">
        <v>1169.5999999999999</v>
      </c>
      <c r="T189" s="2" t="s">
        <v>28</v>
      </c>
      <c r="U189" s="2" t="b">
        <v>0</v>
      </c>
      <c r="V189" s="2" t="s">
        <v>29</v>
      </c>
      <c r="W189" s="2" t="s">
        <v>104</v>
      </c>
      <c r="X189" s="2" t="s">
        <v>105</v>
      </c>
      <c r="Y189" s="2" t="s">
        <v>636</v>
      </c>
      <c r="Z189" s="2" t="s">
        <v>31</v>
      </c>
      <c r="AA189" s="2"/>
      <c r="AB189" s="2"/>
      <c r="AC189" s="2"/>
      <c r="AD189" s="2"/>
      <c r="AK189" s="8">
        <f t="shared" si="3"/>
        <v>45686</v>
      </c>
    </row>
    <row r="190" spans="1:37" ht="15" customHeight="1">
      <c r="A190" s="2" t="s">
        <v>637</v>
      </c>
      <c r="B190" s="2">
        <v>0</v>
      </c>
      <c r="C190" s="2"/>
      <c r="D190" s="2" t="s">
        <v>298</v>
      </c>
      <c r="E190" s="2" t="s">
        <v>627</v>
      </c>
      <c r="F190" s="3">
        <v>45686</v>
      </c>
      <c r="G190" s="3">
        <v>45686</v>
      </c>
      <c r="H190" s="3">
        <v>45686</v>
      </c>
      <c r="I190" s="2"/>
      <c r="J190" s="2"/>
      <c r="K190" s="2" t="s">
        <v>25</v>
      </c>
      <c r="L190" s="2" t="s">
        <v>26</v>
      </c>
      <c r="M190" s="2"/>
      <c r="N190" s="2" t="s">
        <v>27</v>
      </c>
      <c r="O190" s="2">
        <v>423.73</v>
      </c>
      <c r="P190" s="2">
        <v>76.27</v>
      </c>
      <c r="Q190" s="2">
        <v>500</v>
      </c>
      <c r="R190" s="2">
        <v>500</v>
      </c>
      <c r="S190" s="2">
        <v>500</v>
      </c>
      <c r="T190" s="2" t="s">
        <v>28</v>
      </c>
      <c r="U190" s="2" t="b">
        <v>0</v>
      </c>
      <c r="V190" s="2" t="s">
        <v>29</v>
      </c>
      <c r="W190" s="2" t="s">
        <v>104</v>
      </c>
      <c r="X190" s="2" t="s">
        <v>105</v>
      </c>
      <c r="Y190" s="2" t="s">
        <v>638</v>
      </c>
      <c r="Z190" s="2" t="s">
        <v>31</v>
      </c>
      <c r="AA190" s="2"/>
      <c r="AB190" s="2"/>
      <c r="AC190" s="2"/>
      <c r="AD190" s="2"/>
      <c r="AK190" s="8">
        <f t="shared" si="3"/>
        <v>45686</v>
      </c>
    </row>
    <row r="191" spans="1:37" ht="15" customHeight="1">
      <c r="A191" s="2" t="s">
        <v>639</v>
      </c>
      <c r="B191" s="2">
        <v>0</v>
      </c>
      <c r="C191" s="2"/>
      <c r="D191" s="2" t="s">
        <v>298</v>
      </c>
      <c r="E191" s="2" t="s">
        <v>627</v>
      </c>
      <c r="F191" s="3">
        <v>45686</v>
      </c>
      <c r="G191" s="3">
        <v>45686</v>
      </c>
      <c r="H191" s="3">
        <v>45686</v>
      </c>
      <c r="I191" s="2"/>
      <c r="J191" s="2"/>
      <c r="K191" s="2" t="s">
        <v>25</v>
      </c>
      <c r="L191" s="2" t="s">
        <v>26</v>
      </c>
      <c r="M191" s="2"/>
      <c r="N191" s="2" t="s">
        <v>27</v>
      </c>
      <c r="O191" s="2">
        <v>418.22</v>
      </c>
      <c r="P191" s="2">
        <v>75.28</v>
      </c>
      <c r="Q191" s="2">
        <v>493.5</v>
      </c>
      <c r="R191" s="2">
        <v>493.5</v>
      </c>
      <c r="S191" s="2">
        <v>493.5</v>
      </c>
      <c r="T191" s="2" t="s">
        <v>28</v>
      </c>
      <c r="U191" s="2" t="b">
        <v>0</v>
      </c>
      <c r="V191" s="2" t="s">
        <v>29</v>
      </c>
      <c r="W191" s="2" t="s">
        <v>104</v>
      </c>
      <c r="X191" s="2" t="s">
        <v>105</v>
      </c>
      <c r="Y191" s="2" t="s">
        <v>640</v>
      </c>
      <c r="Z191" s="2" t="s">
        <v>31</v>
      </c>
      <c r="AA191" s="2"/>
      <c r="AB191" s="2"/>
      <c r="AC191" s="2"/>
      <c r="AD191" s="2"/>
      <c r="AK191" s="8">
        <f t="shared" si="3"/>
        <v>45686</v>
      </c>
    </row>
    <row r="192" spans="1:37" ht="15" customHeight="1">
      <c r="A192" s="2" t="s">
        <v>641</v>
      </c>
      <c r="B192" s="2">
        <v>0</v>
      </c>
      <c r="C192" s="2"/>
      <c r="D192" s="2" t="s">
        <v>298</v>
      </c>
      <c r="E192" s="2" t="s">
        <v>627</v>
      </c>
      <c r="F192" s="3">
        <v>45686</v>
      </c>
      <c r="G192" s="3">
        <v>45686</v>
      </c>
      <c r="H192" s="3">
        <v>45686</v>
      </c>
      <c r="I192" s="2"/>
      <c r="J192" s="2"/>
      <c r="K192" s="2" t="s">
        <v>25</v>
      </c>
      <c r="L192" s="2" t="s">
        <v>26</v>
      </c>
      <c r="M192" s="2"/>
      <c r="N192" s="2" t="s">
        <v>27</v>
      </c>
      <c r="O192" s="2">
        <v>250.51</v>
      </c>
      <c r="P192" s="2">
        <v>45.09</v>
      </c>
      <c r="Q192" s="2">
        <v>295.60000000000002</v>
      </c>
      <c r="R192" s="2">
        <v>295.60000000000002</v>
      </c>
      <c r="S192" s="2">
        <v>295.60000000000002</v>
      </c>
      <c r="T192" s="2" t="s">
        <v>28</v>
      </c>
      <c r="U192" s="2" t="b">
        <v>0</v>
      </c>
      <c r="V192" s="2" t="s">
        <v>29</v>
      </c>
      <c r="W192" s="2" t="s">
        <v>104</v>
      </c>
      <c r="X192" s="2" t="s">
        <v>105</v>
      </c>
      <c r="Y192" s="2" t="s">
        <v>642</v>
      </c>
      <c r="Z192" s="2" t="s">
        <v>31</v>
      </c>
      <c r="AA192" s="2"/>
      <c r="AB192" s="2"/>
      <c r="AC192" s="2"/>
      <c r="AD192" s="2"/>
      <c r="AK192" s="8">
        <f t="shared" si="3"/>
        <v>45686</v>
      </c>
    </row>
    <row r="193" spans="1:37" ht="15" customHeight="1">
      <c r="A193" s="2" t="s">
        <v>643</v>
      </c>
      <c r="B193" s="2">
        <v>0</v>
      </c>
      <c r="C193" s="2"/>
      <c r="D193" s="2" t="s">
        <v>298</v>
      </c>
      <c r="E193" s="2" t="s">
        <v>627</v>
      </c>
      <c r="F193" s="3">
        <v>45686</v>
      </c>
      <c r="G193" s="3">
        <v>45686</v>
      </c>
      <c r="H193" s="3">
        <v>45686</v>
      </c>
      <c r="I193" s="2"/>
      <c r="J193" s="2"/>
      <c r="K193" s="2" t="s">
        <v>25</v>
      </c>
      <c r="L193" s="2" t="s">
        <v>26</v>
      </c>
      <c r="M193" s="2"/>
      <c r="N193" s="2" t="s">
        <v>27</v>
      </c>
      <c r="O193" s="2">
        <v>438.73</v>
      </c>
      <c r="P193" s="2">
        <v>78.97</v>
      </c>
      <c r="Q193" s="2">
        <v>517.70000000000005</v>
      </c>
      <c r="R193" s="2">
        <v>517.70000000000005</v>
      </c>
      <c r="S193" s="2">
        <v>517.70000000000005</v>
      </c>
      <c r="T193" s="2" t="s">
        <v>28</v>
      </c>
      <c r="U193" s="2" t="b">
        <v>0</v>
      </c>
      <c r="V193" s="2" t="s">
        <v>29</v>
      </c>
      <c r="W193" s="2" t="s">
        <v>104</v>
      </c>
      <c r="X193" s="2" t="s">
        <v>105</v>
      </c>
      <c r="Y193" s="2" t="s">
        <v>644</v>
      </c>
      <c r="Z193" s="2" t="s">
        <v>31</v>
      </c>
      <c r="AA193" s="2"/>
      <c r="AB193" s="2"/>
      <c r="AC193" s="2"/>
      <c r="AD193" s="2"/>
      <c r="AK193" s="8">
        <f t="shared" si="3"/>
        <v>45686</v>
      </c>
    </row>
    <row r="194" spans="1:37" ht="15" customHeight="1">
      <c r="A194" s="2" t="s">
        <v>645</v>
      </c>
      <c r="B194" s="2">
        <v>0</v>
      </c>
      <c r="C194" s="2"/>
      <c r="D194" s="2" t="s">
        <v>298</v>
      </c>
      <c r="E194" s="2" t="s">
        <v>627</v>
      </c>
      <c r="F194" s="3">
        <v>45686</v>
      </c>
      <c r="G194" s="3">
        <v>45686</v>
      </c>
      <c r="H194" s="3">
        <v>45686</v>
      </c>
      <c r="I194" s="2"/>
      <c r="J194" s="2"/>
      <c r="K194" s="2" t="s">
        <v>25</v>
      </c>
      <c r="L194" s="2" t="s">
        <v>26</v>
      </c>
      <c r="M194" s="2"/>
      <c r="N194" s="2" t="s">
        <v>27</v>
      </c>
      <c r="O194" s="2">
        <v>139.75</v>
      </c>
      <c r="P194" s="2">
        <v>25.15</v>
      </c>
      <c r="Q194" s="2">
        <v>164.9</v>
      </c>
      <c r="R194" s="2">
        <v>164.9</v>
      </c>
      <c r="S194" s="2">
        <v>164.9</v>
      </c>
      <c r="T194" s="2" t="s">
        <v>28</v>
      </c>
      <c r="U194" s="2" t="b">
        <v>0</v>
      </c>
      <c r="V194" s="2" t="s">
        <v>29</v>
      </c>
      <c r="W194" s="2" t="s">
        <v>104</v>
      </c>
      <c r="X194" s="2" t="s">
        <v>105</v>
      </c>
      <c r="Y194" s="2" t="s">
        <v>646</v>
      </c>
      <c r="Z194" s="2" t="s">
        <v>31</v>
      </c>
      <c r="AA194" s="2"/>
      <c r="AB194" s="2"/>
      <c r="AC194" s="2"/>
      <c r="AD194" s="2"/>
      <c r="AK194" s="8">
        <f t="shared" si="3"/>
        <v>45686</v>
      </c>
    </row>
    <row r="195" spans="1:37" ht="15" customHeight="1">
      <c r="A195" s="2" t="s">
        <v>647</v>
      </c>
      <c r="B195" s="2">
        <v>0</v>
      </c>
      <c r="C195" s="2"/>
      <c r="D195" s="2" t="s">
        <v>298</v>
      </c>
      <c r="E195" s="2" t="s">
        <v>627</v>
      </c>
      <c r="F195" s="3">
        <v>45686</v>
      </c>
      <c r="G195" s="3">
        <v>45686</v>
      </c>
      <c r="H195" s="3">
        <v>45686</v>
      </c>
      <c r="I195" s="2"/>
      <c r="J195" s="2"/>
      <c r="K195" s="2" t="s">
        <v>25</v>
      </c>
      <c r="L195" s="2" t="s">
        <v>26</v>
      </c>
      <c r="M195" s="2"/>
      <c r="N195" s="2" t="s">
        <v>27</v>
      </c>
      <c r="O195" s="2">
        <v>79.150000000000006</v>
      </c>
      <c r="P195" s="2">
        <v>14.25</v>
      </c>
      <c r="Q195" s="2">
        <v>93.4</v>
      </c>
      <c r="R195" s="2">
        <v>93.4</v>
      </c>
      <c r="S195" s="2">
        <v>93.4</v>
      </c>
      <c r="T195" s="2" t="s">
        <v>28</v>
      </c>
      <c r="U195" s="2" t="b">
        <v>0</v>
      </c>
      <c r="V195" s="2" t="s">
        <v>29</v>
      </c>
      <c r="W195" s="2" t="s">
        <v>104</v>
      </c>
      <c r="X195" s="2" t="s">
        <v>105</v>
      </c>
      <c r="Y195" s="2" t="s">
        <v>648</v>
      </c>
      <c r="Z195" s="2" t="s">
        <v>31</v>
      </c>
      <c r="AA195" s="2"/>
      <c r="AB195" s="2"/>
      <c r="AC195" s="2"/>
      <c r="AD195" s="2"/>
      <c r="AK195" s="8">
        <f t="shared" si="3"/>
        <v>45686</v>
      </c>
    </row>
    <row r="196" spans="1:37" ht="15" customHeight="1">
      <c r="A196" s="2" t="s">
        <v>649</v>
      </c>
      <c r="B196" s="2">
        <v>0</v>
      </c>
      <c r="C196" s="2"/>
      <c r="D196" s="2" t="s">
        <v>298</v>
      </c>
      <c r="E196" s="2" t="s">
        <v>627</v>
      </c>
      <c r="F196" s="3">
        <v>45686</v>
      </c>
      <c r="G196" s="3">
        <v>45686</v>
      </c>
      <c r="H196" s="3">
        <v>45686</v>
      </c>
      <c r="I196" s="2"/>
      <c r="J196" s="2"/>
      <c r="K196" s="2" t="s">
        <v>25</v>
      </c>
      <c r="L196" s="2" t="s">
        <v>26</v>
      </c>
      <c r="M196" s="2"/>
      <c r="N196" s="2" t="s">
        <v>27</v>
      </c>
      <c r="O196" s="2">
        <v>447.73</v>
      </c>
      <c r="P196" s="2">
        <v>80.59</v>
      </c>
      <c r="Q196" s="2">
        <v>528.32000000000005</v>
      </c>
      <c r="R196" s="2">
        <v>528.32000000000005</v>
      </c>
      <c r="S196" s="2">
        <v>528.32000000000005</v>
      </c>
      <c r="T196" s="2" t="s">
        <v>28</v>
      </c>
      <c r="U196" s="2" t="b">
        <v>0</v>
      </c>
      <c r="V196" s="2" t="s">
        <v>29</v>
      </c>
      <c r="W196" s="2" t="s">
        <v>104</v>
      </c>
      <c r="X196" s="2" t="s">
        <v>105</v>
      </c>
      <c r="Y196" s="2" t="s">
        <v>650</v>
      </c>
      <c r="Z196" s="2" t="s">
        <v>31</v>
      </c>
      <c r="AA196" s="2"/>
      <c r="AB196" s="2"/>
      <c r="AC196" s="2"/>
      <c r="AD196" s="2"/>
      <c r="AK196" s="8">
        <f t="shared" si="3"/>
        <v>45686</v>
      </c>
    </row>
    <row r="197" spans="1:37" ht="15" customHeight="1">
      <c r="A197" s="2" t="s">
        <v>651</v>
      </c>
      <c r="B197" s="2">
        <v>0</v>
      </c>
      <c r="C197" s="2"/>
      <c r="D197" s="2" t="s">
        <v>298</v>
      </c>
      <c r="E197" s="2" t="s">
        <v>627</v>
      </c>
      <c r="F197" s="3">
        <v>45686</v>
      </c>
      <c r="G197" s="3">
        <v>45686</v>
      </c>
      <c r="H197" s="3">
        <v>45686</v>
      </c>
      <c r="I197" s="2"/>
      <c r="J197" s="2"/>
      <c r="K197" s="2" t="s">
        <v>25</v>
      </c>
      <c r="L197" s="2" t="s">
        <v>26</v>
      </c>
      <c r="M197" s="2"/>
      <c r="N197" s="2" t="s">
        <v>27</v>
      </c>
      <c r="O197" s="2">
        <v>150</v>
      </c>
      <c r="P197" s="2">
        <v>27</v>
      </c>
      <c r="Q197" s="2">
        <v>177</v>
      </c>
      <c r="R197" s="2">
        <v>177</v>
      </c>
      <c r="S197" s="2">
        <v>177</v>
      </c>
      <c r="T197" s="2" t="s">
        <v>28</v>
      </c>
      <c r="U197" s="2" t="b">
        <v>0</v>
      </c>
      <c r="V197" s="2" t="s">
        <v>29</v>
      </c>
      <c r="W197" s="2" t="s">
        <v>104</v>
      </c>
      <c r="X197" s="2" t="s">
        <v>105</v>
      </c>
      <c r="Y197" s="2" t="s">
        <v>652</v>
      </c>
      <c r="Z197" s="2" t="s">
        <v>31</v>
      </c>
      <c r="AA197" s="2"/>
      <c r="AB197" s="2"/>
      <c r="AC197" s="2"/>
      <c r="AD197" s="2"/>
      <c r="AK197" s="8">
        <f t="shared" si="3"/>
        <v>45686</v>
      </c>
    </row>
    <row r="198" spans="1:37" ht="15" customHeight="1">
      <c r="A198" s="2" t="s">
        <v>653</v>
      </c>
      <c r="B198" s="2">
        <v>0</v>
      </c>
      <c r="C198" s="2"/>
      <c r="D198" s="2" t="s">
        <v>298</v>
      </c>
      <c r="E198" s="2" t="s">
        <v>627</v>
      </c>
      <c r="F198" s="3">
        <v>45686</v>
      </c>
      <c r="G198" s="3">
        <v>45686</v>
      </c>
      <c r="H198" s="3">
        <v>45686</v>
      </c>
      <c r="I198" s="2"/>
      <c r="J198" s="2"/>
      <c r="K198" s="2" t="s">
        <v>25</v>
      </c>
      <c r="L198" s="2" t="s">
        <v>26</v>
      </c>
      <c r="M198" s="2"/>
      <c r="N198" s="2" t="s">
        <v>27</v>
      </c>
      <c r="O198" s="2">
        <v>2377.37</v>
      </c>
      <c r="P198" s="2">
        <v>427.93</v>
      </c>
      <c r="Q198" s="2">
        <v>2805.3</v>
      </c>
      <c r="R198" s="2">
        <v>2805.3</v>
      </c>
      <c r="S198" s="2">
        <v>2805.3</v>
      </c>
      <c r="T198" s="2" t="s">
        <v>28</v>
      </c>
      <c r="U198" s="2" t="b">
        <v>0</v>
      </c>
      <c r="V198" s="2" t="s">
        <v>29</v>
      </c>
      <c r="W198" s="2" t="s">
        <v>104</v>
      </c>
      <c r="X198" s="2" t="s">
        <v>105</v>
      </c>
      <c r="Y198" s="2" t="s">
        <v>654</v>
      </c>
      <c r="Z198" s="2" t="s">
        <v>31</v>
      </c>
      <c r="AA198" s="2"/>
      <c r="AB198" s="2"/>
      <c r="AC198" s="2"/>
      <c r="AD198" s="2"/>
      <c r="AK198" s="8">
        <f t="shared" si="3"/>
        <v>45686</v>
      </c>
    </row>
    <row r="199" spans="1:37" ht="15" customHeight="1">
      <c r="A199" s="2" t="s">
        <v>655</v>
      </c>
      <c r="B199" s="2">
        <v>0</v>
      </c>
      <c r="C199" s="2"/>
      <c r="D199" s="2" t="s">
        <v>298</v>
      </c>
      <c r="E199" s="2" t="s">
        <v>627</v>
      </c>
      <c r="F199" s="3">
        <v>45686</v>
      </c>
      <c r="G199" s="3">
        <v>45686</v>
      </c>
      <c r="H199" s="3">
        <v>45686</v>
      </c>
      <c r="I199" s="2"/>
      <c r="J199" s="2"/>
      <c r="K199" s="2" t="s">
        <v>25</v>
      </c>
      <c r="L199" s="2" t="s">
        <v>26</v>
      </c>
      <c r="M199" s="2"/>
      <c r="N199" s="2" t="s">
        <v>27</v>
      </c>
      <c r="O199" s="2">
        <v>1467.71</v>
      </c>
      <c r="P199" s="2">
        <v>264.19</v>
      </c>
      <c r="Q199" s="2">
        <v>1731.9</v>
      </c>
      <c r="R199" s="2">
        <v>1731.9</v>
      </c>
      <c r="S199" s="2">
        <v>1731.9</v>
      </c>
      <c r="T199" s="2" t="s">
        <v>28</v>
      </c>
      <c r="U199" s="2" t="b">
        <v>0</v>
      </c>
      <c r="V199" s="2" t="s">
        <v>29</v>
      </c>
      <c r="W199" s="2" t="s">
        <v>104</v>
      </c>
      <c r="X199" s="2" t="s">
        <v>105</v>
      </c>
      <c r="Y199" s="2" t="s">
        <v>656</v>
      </c>
      <c r="Z199" s="2" t="s">
        <v>31</v>
      </c>
      <c r="AA199" s="2"/>
      <c r="AB199" s="2"/>
      <c r="AC199" s="2"/>
      <c r="AD199" s="2"/>
      <c r="AK199" s="8">
        <f t="shared" ref="AK199:AK262" si="4">+IF(AE199&lt;&gt;"",AE199,F199)</f>
        <v>45686</v>
      </c>
    </row>
    <row r="200" spans="1:37" ht="15" customHeight="1">
      <c r="A200" s="2" t="s">
        <v>657</v>
      </c>
      <c r="B200" s="2">
        <v>0</v>
      </c>
      <c r="C200" s="2"/>
      <c r="D200" s="2" t="s">
        <v>298</v>
      </c>
      <c r="E200" s="2" t="s">
        <v>627</v>
      </c>
      <c r="F200" s="3">
        <v>45686</v>
      </c>
      <c r="G200" s="3">
        <v>45686</v>
      </c>
      <c r="H200" s="3">
        <v>45686</v>
      </c>
      <c r="I200" s="2"/>
      <c r="J200" s="2"/>
      <c r="K200" s="2" t="s">
        <v>25</v>
      </c>
      <c r="L200" s="2" t="s">
        <v>26</v>
      </c>
      <c r="M200" s="2"/>
      <c r="N200" s="2" t="s">
        <v>27</v>
      </c>
      <c r="O200" s="2">
        <v>423.73</v>
      </c>
      <c r="P200" s="2">
        <v>76.27</v>
      </c>
      <c r="Q200" s="2">
        <v>500</v>
      </c>
      <c r="R200" s="2">
        <v>500</v>
      </c>
      <c r="S200" s="2">
        <v>500</v>
      </c>
      <c r="T200" s="2" t="s">
        <v>28</v>
      </c>
      <c r="U200" s="2" t="b">
        <v>0</v>
      </c>
      <c r="V200" s="2" t="s">
        <v>29</v>
      </c>
      <c r="W200" s="2" t="s">
        <v>104</v>
      </c>
      <c r="X200" s="2" t="s">
        <v>105</v>
      </c>
      <c r="Y200" s="2" t="s">
        <v>658</v>
      </c>
      <c r="Z200" s="2" t="s">
        <v>31</v>
      </c>
      <c r="AA200" s="2"/>
      <c r="AB200" s="2"/>
      <c r="AC200" s="2"/>
      <c r="AD200" s="2"/>
      <c r="AK200" s="8">
        <f t="shared" si="4"/>
        <v>45686</v>
      </c>
    </row>
    <row r="201" spans="1:37" ht="15" customHeight="1">
      <c r="A201" s="2" t="s">
        <v>659</v>
      </c>
      <c r="B201" s="2">
        <v>0</v>
      </c>
      <c r="C201" s="2"/>
      <c r="D201" s="2" t="s">
        <v>298</v>
      </c>
      <c r="E201" s="2" t="s">
        <v>627</v>
      </c>
      <c r="F201" s="3">
        <v>45686</v>
      </c>
      <c r="G201" s="3">
        <v>45686</v>
      </c>
      <c r="H201" s="3">
        <v>45686</v>
      </c>
      <c r="I201" s="2"/>
      <c r="J201" s="2"/>
      <c r="K201" s="2" t="s">
        <v>25</v>
      </c>
      <c r="L201" s="2" t="s">
        <v>26</v>
      </c>
      <c r="M201" s="2"/>
      <c r="N201" s="2" t="s">
        <v>27</v>
      </c>
      <c r="O201" s="2">
        <v>526.1</v>
      </c>
      <c r="P201" s="2">
        <v>94.7</v>
      </c>
      <c r="Q201" s="2">
        <v>620.79999999999995</v>
      </c>
      <c r="R201" s="2">
        <v>620.79999999999995</v>
      </c>
      <c r="S201" s="2">
        <v>620.79999999999995</v>
      </c>
      <c r="T201" s="2" t="s">
        <v>28</v>
      </c>
      <c r="U201" s="2" t="b">
        <v>0</v>
      </c>
      <c r="V201" s="2" t="s">
        <v>29</v>
      </c>
      <c r="W201" s="2" t="s">
        <v>104</v>
      </c>
      <c r="X201" s="2" t="s">
        <v>105</v>
      </c>
      <c r="Y201" s="2" t="s">
        <v>660</v>
      </c>
      <c r="Z201" s="2" t="s">
        <v>31</v>
      </c>
      <c r="AA201" s="2"/>
      <c r="AB201" s="2"/>
      <c r="AC201" s="2"/>
      <c r="AD201" s="2"/>
      <c r="AK201" s="8">
        <f t="shared" si="4"/>
        <v>45686</v>
      </c>
    </row>
    <row r="202" spans="1:37" ht="15" customHeight="1">
      <c r="A202" s="2" t="s">
        <v>661</v>
      </c>
      <c r="B202" s="2">
        <v>0</v>
      </c>
      <c r="C202" s="2"/>
      <c r="D202" s="2" t="s">
        <v>298</v>
      </c>
      <c r="E202" s="2" t="s">
        <v>627</v>
      </c>
      <c r="F202" s="3">
        <v>45686</v>
      </c>
      <c r="G202" s="3">
        <v>45686</v>
      </c>
      <c r="H202" s="3">
        <v>45686</v>
      </c>
      <c r="I202" s="2"/>
      <c r="J202" s="2"/>
      <c r="K202" s="2" t="s">
        <v>25</v>
      </c>
      <c r="L202" s="2" t="s">
        <v>26</v>
      </c>
      <c r="M202" s="2"/>
      <c r="N202" s="2" t="s">
        <v>27</v>
      </c>
      <c r="O202" s="2">
        <v>304.83</v>
      </c>
      <c r="P202" s="2">
        <v>54.87</v>
      </c>
      <c r="Q202" s="2">
        <v>359.7</v>
      </c>
      <c r="R202" s="2">
        <v>359.7</v>
      </c>
      <c r="S202" s="2">
        <v>359.7</v>
      </c>
      <c r="T202" s="2" t="s">
        <v>28</v>
      </c>
      <c r="U202" s="2" t="b">
        <v>0</v>
      </c>
      <c r="V202" s="2" t="s">
        <v>29</v>
      </c>
      <c r="W202" s="2" t="s">
        <v>104</v>
      </c>
      <c r="X202" s="2" t="s">
        <v>105</v>
      </c>
      <c r="Y202" s="2" t="s">
        <v>662</v>
      </c>
      <c r="Z202" s="2" t="s">
        <v>31</v>
      </c>
      <c r="AA202" s="2"/>
      <c r="AB202" s="2"/>
      <c r="AC202" s="2"/>
      <c r="AD202" s="2"/>
      <c r="AK202" s="8">
        <f t="shared" si="4"/>
        <v>45686</v>
      </c>
    </row>
    <row r="203" spans="1:37" ht="15" customHeight="1">
      <c r="A203" s="2" t="s">
        <v>663</v>
      </c>
      <c r="B203" s="2">
        <v>0</v>
      </c>
      <c r="C203" s="2"/>
      <c r="D203" s="2" t="s">
        <v>298</v>
      </c>
      <c r="E203" s="2" t="s">
        <v>627</v>
      </c>
      <c r="F203" s="3">
        <v>45686</v>
      </c>
      <c r="G203" s="3">
        <v>45686</v>
      </c>
      <c r="H203" s="3">
        <v>45686</v>
      </c>
      <c r="I203" s="2"/>
      <c r="J203" s="2"/>
      <c r="K203" s="2" t="s">
        <v>25</v>
      </c>
      <c r="L203" s="2" t="s">
        <v>26</v>
      </c>
      <c r="M203" s="2"/>
      <c r="N203" s="2" t="s">
        <v>27</v>
      </c>
      <c r="O203" s="2">
        <v>423.73</v>
      </c>
      <c r="P203" s="2">
        <v>76.27</v>
      </c>
      <c r="Q203" s="2">
        <v>500</v>
      </c>
      <c r="R203" s="2">
        <v>500</v>
      </c>
      <c r="S203" s="2">
        <v>500</v>
      </c>
      <c r="T203" s="2" t="s">
        <v>28</v>
      </c>
      <c r="U203" s="2" t="b">
        <v>0</v>
      </c>
      <c r="V203" s="2" t="s">
        <v>29</v>
      </c>
      <c r="W203" s="2" t="s">
        <v>104</v>
      </c>
      <c r="X203" s="2" t="s">
        <v>105</v>
      </c>
      <c r="Y203" s="2" t="s">
        <v>664</v>
      </c>
      <c r="Z203" s="2" t="s">
        <v>31</v>
      </c>
      <c r="AA203" s="2"/>
      <c r="AB203" s="2"/>
      <c r="AC203" s="2"/>
      <c r="AD203" s="2"/>
      <c r="AK203" s="8">
        <f t="shared" si="4"/>
        <v>45686</v>
      </c>
    </row>
    <row r="204" spans="1:37" ht="15" customHeight="1">
      <c r="A204" s="2" t="s">
        <v>665</v>
      </c>
      <c r="B204" s="2">
        <v>0</v>
      </c>
      <c r="C204" s="2"/>
      <c r="D204" s="2" t="s">
        <v>298</v>
      </c>
      <c r="E204" s="2" t="s">
        <v>627</v>
      </c>
      <c r="F204" s="3">
        <v>45686</v>
      </c>
      <c r="G204" s="3">
        <v>45686</v>
      </c>
      <c r="H204" s="3">
        <v>45686</v>
      </c>
      <c r="I204" s="2"/>
      <c r="J204" s="2"/>
      <c r="K204" s="2" t="s">
        <v>25</v>
      </c>
      <c r="L204" s="2" t="s">
        <v>26</v>
      </c>
      <c r="M204" s="2"/>
      <c r="N204" s="2" t="s">
        <v>27</v>
      </c>
      <c r="O204" s="2">
        <v>10</v>
      </c>
      <c r="P204" s="2">
        <v>1.8</v>
      </c>
      <c r="Q204" s="2">
        <v>11.8</v>
      </c>
      <c r="R204" s="2">
        <v>11.8</v>
      </c>
      <c r="S204" s="2">
        <v>11.8</v>
      </c>
      <c r="T204" s="2" t="s">
        <v>28</v>
      </c>
      <c r="U204" s="2" t="b">
        <v>0</v>
      </c>
      <c r="V204" s="2" t="s">
        <v>29</v>
      </c>
      <c r="W204" s="2" t="s">
        <v>104</v>
      </c>
      <c r="X204" s="2" t="s">
        <v>105</v>
      </c>
      <c r="Y204" s="2" t="s">
        <v>666</v>
      </c>
      <c r="Z204" s="2" t="s">
        <v>31</v>
      </c>
      <c r="AA204" s="2"/>
      <c r="AB204" s="2"/>
      <c r="AC204" s="2"/>
      <c r="AD204" s="2"/>
      <c r="AK204" s="8">
        <f t="shared" si="4"/>
        <v>45686</v>
      </c>
    </row>
    <row r="205" spans="1:37" ht="15" customHeight="1">
      <c r="A205" s="2" t="s">
        <v>667</v>
      </c>
      <c r="B205" s="2">
        <v>0</v>
      </c>
      <c r="C205" s="2"/>
      <c r="D205" s="2" t="s">
        <v>298</v>
      </c>
      <c r="E205" s="2" t="s">
        <v>627</v>
      </c>
      <c r="F205" s="3">
        <v>45686</v>
      </c>
      <c r="G205" s="3">
        <v>45686</v>
      </c>
      <c r="H205" s="3">
        <v>45686</v>
      </c>
      <c r="I205" s="2"/>
      <c r="J205" s="2"/>
      <c r="K205" s="2" t="s">
        <v>25</v>
      </c>
      <c r="L205" s="2" t="s">
        <v>26</v>
      </c>
      <c r="M205" s="2"/>
      <c r="N205" s="2" t="s">
        <v>27</v>
      </c>
      <c r="O205" s="2">
        <v>300</v>
      </c>
      <c r="P205" s="2">
        <v>54</v>
      </c>
      <c r="Q205" s="2">
        <v>354</v>
      </c>
      <c r="R205" s="2">
        <v>354</v>
      </c>
      <c r="S205" s="2">
        <v>354</v>
      </c>
      <c r="T205" s="2" t="s">
        <v>28</v>
      </c>
      <c r="U205" s="2" t="b">
        <v>0</v>
      </c>
      <c r="V205" s="2" t="s">
        <v>29</v>
      </c>
      <c r="W205" s="2" t="s">
        <v>104</v>
      </c>
      <c r="X205" s="2" t="s">
        <v>105</v>
      </c>
      <c r="Y205" s="2" t="s">
        <v>668</v>
      </c>
      <c r="Z205" s="2" t="s">
        <v>31</v>
      </c>
      <c r="AA205" s="2"/>
      <c r="AB205" s="2"/>
      <c r="AC205" s="2"/>
      <c r="AD205" s="2"/>
      <c r="AK205" s="8">
        <f t="shared" si="4"/>
        <v>45686</v>
      </c>
    </row>
    <row r="206" spans="1:37" ht="15" customHeight="1">
      <c r="A206" s="2" t="s">
        <v>669</v>
      </c>
      <c r="B206" s="2">
        <v>0</v>
      </c>
      <c r="C206" s="2"/>
      <c r="D206" s="2" t="s">
        <v>298</v>
      </c>
      <c r="E206" s="2" t="s">
        <v>627</v>
      </c>
      <c r="F206" s="3">
        <v>45686</v>
      </c>
      <c r="G206" s="3">
        <v>45686</v>
      </c>
      <c r="H206" s="3">
        <v>45686</v>
      </c>
      <c r="I206" s="2"/>
      <c r="J206" s="2"/>
      <c r="K206" s="2" t="s">
        <v>25</v>
      </c>
      <c r="L206" s="2" t="s">
        <v>26</v>
      </c>
      <c r="M206" s="2"/>
      <c r="N206" s="2" t="s">
        <v>27</v>
      </c>
      <c r="O206" s="2">
        <v>3637.63</v>
      </c>
      <c r="P206" s="2">
        <v>654.77</v>
      </c>
      <c r="Q206" s="2">
        <v>4292.3999999999996</v>
      </c>
      <c r="R206" s="2">
        <v>4292.3999999999996</v>
      </c>
      <c r="S206" s="2">
        <v>4292.3999999999996</v>
      </c>
      <c r="T206" s="2" t="s">
        <v>28</v>
      </c>
      <c r="U206" s="2" t="b">
        <v>0</v>
      </c>
      <c r="V206" s="2" t="s">
        <v>29</v>
      </c>
      <c r="W206" s="2" t="s">
        <v>104</v>
      </c>
      <c r="X206" s="2" t="s">
        <v>105</v>
      </c>
      <c r="Y206" s="2" t="s">
        <v>670</v>
      </c>
      <c r="Z206" s="2" t="s">
        <v>31</v>
      </c>
      <c r="AA206" s="2"/>
      <c r="AB206" s="2"/>
      <c r="AC206" s="2"/>
      <c r="AD206" s="2"/>
      <c r="AK206" s="8">
        <f t="shared" si="4"/>
        <v>45686</v>
      </c>
    </row>
    <row r="207" spans="1:37" ht="15" customHeight="1">
      <c r="A207" s="2" t="s">
        <v>671</v>
      </c>
      <c r="B207" s="2">
        <v>0</v>
      </c>
      <c r="C207" s="2"/>
      <c r="D207" s="2" t="s">
        <v>298</v>
      </c>
      <c r="E207" s="2" t="s">
        <v>627</v>
      </c>
      <c r="F207" s="3">
        <v>45686</v>
      </c>
      <c r="G207" s="3">
        <v>45686</v>
      </c>
      <c r="H207" s="3">
        <v>45686</v>
      </c>
      <c r="I207" s="2"/>
      <c r="J207" s="2"/>
      <c r="K207" s="2" t="s">
        <v>25</v>
      </c>
      <c r="L207" s="2" t="s">
        <v>26</v>
      </c>
      <c r="M207" s="2"/>
      <c r="N207" s="2" t="s">
        <v>27</v>
      </c>
      <c r="O207" s="2">
        <v>2347.0300000000002</v>
      </c>
      <c r="P207" s="2">
        <v>422.47</v>
      </c>
      <c r="Q207" s="2">
        <v>2769.5</v>
      </c>
      <c r="R207" s="2">
        <v>2769.5</v>
      </c>
      <c r="S207" s="2">
        <v>2769.5</v>
      </c>
      <c r="T207" s="2" t="s">
        <v>28</v>
      </c>
      <c r="U207" s="2" t="b">
        <v>0</v>
      </c>
      <c r="V207" s="2" t="s">
        <v>29</v>
      </c>
      <c r="W207" s="2" t="s">
        <v>104</v>
      </c>
      <c r="X207" s="2" t="s">
        <v>105</v>
      </c>
      <c r="Y207" s="2" t="s">
        <v>672</v>
      </c>
      <c r="Z207" s="2" t="s">
        <v>31</v>
      </c>
      <c r="AA207" s="2"/>
      <c r="AB207" s="2"/>
      <c r="AC207" s="2"/>
      <c r="AD207" s="2"/>
      <c r="AK207" s="8">
        <f t="shared" si="4"/>
        <v>45686</v>
      </c>
    </row>
    <row r="208" spans="1:37" ht="15" customHeight="1">
      <c r="A208" s="2" t="s">
        <v>673</v>
      </c>
      <c r="B208" s="2">
        <v>0</v>
      </c>
      <c r="C208" s="2"/>
      <c r="D208" s="2" t="s">
        <v>265</v>
      </c>
      <c r="E208" s="2" t="s">
        <v>674</v>
      </c>
      <c r="F208" s="3">
        <v>45686</v>
      </c>
      <c r="G208" s="3">
        <v>45686</v>
      </c>
      <c r="H208" s="3">
        <v>45686</v>
      </c>
      <c r="I208" s="2"/>
      <c r="J208" s="2"/>
      <c r="K208" s="2" t="s">
        <v>25</v>
      </c>
      <c r="L208" s="2" t="s">
        <v>26</v>
      </c>
      <c r="M208" s="2"/>
      <c r="N208" s="2" t="s">
        <v>27</v>
      </c>
      <c r="O208" s="2">
        <v>483.73</v>
      </c>
      <c r="P208" s="2">
        <v>87.07</v>
      </c>
      <c r="Q208" s="2">
        <v>570.79999999999995</v>
      </c>
      <c r="R208" s="2">
        <v>570.79999999999995</v>
      </c>
      <c r="S208" s="2">
        <v>570.79999999999995</v>
      </c>
      <c r="T208" s="2" t="s">
        <v>28</v>
      </c>
      <c r="U208" s="2" t="b">
        <v>0</v>
      </c>
      <c r="V208" s="2" t="s">
        <v>29</v>
      </c>
      <c r="W208" s="2" t="s">
        <v>104</v>
      </c>
      <c r="X208" s="2" t="s">
        <v>105</v>
      </c>
      <c r="Y208" s="2" t="s">
        <v>675</v>
      </c>
      <c r="Z208" s="2" t="s">
        <v>31</v>
      </c>
      <c r="AA208" s="2"/>
      <c r="AB208" s="2"/>
      <c r="AC208" s="2"/>
      <c r="AD208" s="2"/>
      <c r="AK208" s="8">
        <f t="shared" si="4"/>
        <v>45686</v>
      </c>
    </row>
    <row r="209" spans="1:37" ht="15" customHeight="1">
      <c r="A209" s="2" t="s">
        <v>676</v>
      </c>
      <c r="B209" s="2">
        <v>0</v>
      </c>
      <c r="C209" s="2"/>
      <c r="D209" s="2" t="s">
        <v>265</v>
      </c>
      <c r="E209" s="2" t="s">
        <v>674</v>
      </c>
      <c r="F209" s="3">
        <v>45686</v>
      </c>
      <c r="G209" s="3">
        <v>45686</v>
      </c>
      <c r="H209" s="3">
        <v>45686</v>
      </c>
      <c r="I209" s="2"/>
      <c r="J209" s="2"/>
      <c r="K209" s="2" t="s">
        <v>25</v>
      </c>
      <c r="L209" s="2" t="s">
        <v>26</v>
      </c>
      <c r="M209" s="2"/>
      <c r="N209" s="2" t="s">
        <v>27</v>
      </c>
      <c r="O209" s="2">
        <v>3100</v>
      </c>
      <c r="P209" s="2">
        <v>558</v>
      </c>
      <c r="Q209" s="2">
        <v>3658</v>
      </c>
      <c r="R209" s="2">
        <v>3658</v>
      </c>
      <c r="S209" s="2">
        <v>3658</v>
      </c>
      <c r="T209" s="2" t="s">
        <v>28</v>
      </c>
      <c r="U209" s="2" t="b">
        <v>0</v>
      </c>
      <c r="V209" s="2" t="s">
        <v>29</v>
      </c>
      <c r="W209" s="2" t="s">
        <v>104</v>
      </c>
      <c r="X209" s="2" t="s">
        <v>105</v>
      </c>
      <c r="Y209" s="2" t="s">
        <v>677</v>
      </c>
      <c r="Z209" s="2" t="s">
        <v>31</v>
      </c>
      <c r="AA209" s="2"/>
      <c r="AB209" s="2"/>
      <c r="AC209" s="2"/>
      <c r="AD209" s="2"/>
      <c r="AK209" s="8">
        <f t="shared" si="4"/>
        <v>45686</v>
      </c>
    </row>
    <row r="210" spans="1:37" ht="15" customHeight="1">
      <c r="A210" s="2" t="s">
        <v>678</v>
      </c>
      <c r="B210" s="2">
        <v>0</v>
      </c>
      <c r="C210" s="2"/>
      <c r="D210" s="2" t="s">
        <v>265</v>
      </c>
      <c r="E210" s="2" t="s">
        <v>674</v>
      </c>
      <c r="F210" s="3">
        <v>45686</v>
      </c>
      <c r="G210" s="3">
        <v>45686</v>
      </c>
      <c r="H210" s="3">
        <v>45686</v>
      </c>
      <c r="I210" s="2"/>
      <c r="J210" s="2"/>
      <c r="K210" s="2" t="s">
        <v>25</v>
      </c>
      <c r="L210" s="2" t="s">
        <v>26</v>
      </c>
      <c r="M210" s="2"/>
      <c r="N210" s="2" t="s">
        <v>27</v>
      </c>
      <c r="O210" s="2">
        <v>5235.68</v>
      </c>
      <c r="P210" s="2">
        <v>942.42</v>
      </c>
      <c r="Q210" s="2">
        <v>6178.1</v>
      </c>
      <c r="R210" s="2">
        <v>6178.1</v>
      </c>
      <c r="S210" s="2">
        <v>6178.1</v>
      </c>
      <c r="T210" s="2" t="s">
        <v>28</v>
      </c>
      <c r="U210" s="2" t="b">
        <v>0</v>
      </c>
      <c r="V210" s="2" t="s">
        <v>29</v>
      </c>
      <c r="W210" s="2" t="s">
        <v>104</v>
      </c>
      <c r="X210" s="2" t="s">
        <v>105</v>
      </c>
      <c r="Y210" s="2" t="s">
        <v>679</v>
      </c>
      <c r="Z210" s="2" t="s">
        <v>31</v>
      </c>
      <c r="AA210" s="2"/>
      <c r="AB210" s="2"/>
      <c r="AC210" s="2"/>
      <c r="AD210" s="2"/>
      <c r="AK210" s="8">
        <f t="shared" si="4"/>
        <v>45686</v>
      </c>
    </row>
    <row r="211" spans="1:37" ht="15" customHeight="1">
      <c r="A211" s="2" t="s">
        <v>680</v>
      </c>
      <c r="B211" s="2">
        <v>0</v>
      </c>
      <c r="C211" s="2"/>
      <c r="D211" s="2" t="s">
        <v>265</v>
      </c>
      <c r="E211" s="2" t="s">
        <v>674</v>
      </c>
      <c r="F211" s="3">
        <v>45686</v>
      </c>
      <c r="G211" s="3">
        <v>45686</v>
      </c>
      <c r="H211" s="3">
        <v>45686</v>
      </c>
      <c r="I211" s="2"/>
      <c r="J211" s="2"/>
      <c r="K211" s="2" t="s">
        <v>25</v>
      </c>
      <c r="L211" s="2" t="s">
        <v>26</v>
      </c>
      <c r="M211" s="2"/>
      <c r="N211" s="2" t="s">
        <v>27</v>
      </c>
      <c r="O211" s="2">
        <v>4611.78</v>
      </c>
      <c r="P211" s="2">
        <v>830.12</v>
      </c>
      <c r="Q211" s="2">
        <v>5441.9</v>
      </c>
      <c r="R211" s="2">
        <v>5441.9</v>
      </c>
      <c r="S211" s="2">
        <v>5441.9</v>
      </c>
      <c r="T211" s="2" t="s">
        <v>28</v>
      </c>
      <c r="U211" s="2" t="b">
        <v>0</v>
      </c>
      <c r="V211" s="2" t="s">
        <v>29</v>
      </c>
      <c r="W211" s="2" t="s">
        <v>104</v>
      </c>
      <c r="X211" s="2" t="s">
        <v>105</v>
      </c>
      <c r="Y211" s="2" t="s">
        <v>681</v>
      </c>
      <c r="Z211" s="2" t="s">
        <v>31</v>
      </c>
      <c r="AA211" s="2"/>
      <c r="AB211" s="2"/>
      <c r="AC211" s="2"/>
      <c r="AD211" s="2"/>
      <c r="AK211" s="8">
        <f t="shared" si="4"/>
        <v>45686</v>
      </c>
    </row>
    <row r="212" spans="1:37" ht="15" customHeight="1">
      <c r="A212" s="2" t="s">
        <v>682</v>
      </c>
      <c r="B212" s="2">
        <v>0</v>
      </c>
      <c r="C212" s="2"/>
      <c r="D212" s="2" t="s">
        <v>298</v>
      </c>
      <c r="E212" s="2" t="s">
        <v>376</v>
      </c>
      <c r="F212" s="3">
        <v>45685</v>
      </c>
      <c r="G212" s="3">
        <v>45685</v>
      </c>
      <c r="H212" s="3">
        <v>45685</v>
      </c>
      <c r="I212" s="2"/>
      <c r="J212" s="2"/>
      <c r="K212" s="2" t="s">
        <v>25</v>
      </c>
      <c r="L212" s="2" t="s">
        <v>26</v>
      </c>
      <c r="M212" s="2"/>
      <c r="N212" s="2" t="s">
        <v>27</v>
      </c>
      <c r="O212" s="2">
        <v>2080</v>
      </c>
      <c r="P212" s="2">
        <v>374.4</v>
      </c>
      <c r="Q212" s="2">
        <v>2454.4</v>
      </c>
      <c r="R212" s="2">
        <v>2454.4</v>
      </c>
      <c r="S212" s="2">
        <v>2454.4</v>
      </c>
      <c r="T212" s="2" t="s">
        <v>28</v>
      </c>
      <c r="U212" s="2" t="b">
        <v>0</v>
      </c>
      <c r="V212" s="2" t="s">
        <v>29</v>
      </c>
      <c r="W212" s="2" t="s">
        <v>104</v>
      </c>
      <c r="X212" s="2" t="s">
        <v>105</v>
      </c>
      <c r="Y212" s="2" t="s">
        <v>683</v>
      </c>
      <c r="Z212" s="2" t="s">
        <v>31</v>
      </c>
      <c r="AA212" s="2"/>
      <c r="AB212" s="2"/>
      <c r="AC212" s="2"/>
      <c r="AD212" s="2"/>
      <c r="AK212" s="8">
        <f t="shared" si="4"/>
        <v>45685</v>
      </c>
    </row>
    <row r="213" spans="1:37" ht="15" customHeight="1">
      <c r="A213" s="2" t="s">
        <v>684</v>
      </c>
      <c r="B213" s="2">
        <v>0</v>
      </c>
      <c r="C213" s="2"/>
      <c r="D213" s="2" t="s">
        <v>298</v>
      </c>
      <c r="E213" s="2" t="s">
        <v>415</v>
      </c>
      <c r="F213" s="3">
        <v>45685</v>
      </c>
      <c r="G213" s="3">
        <v>45685</v>
      </c>
      <c r="H213" s="3">
        <v>45685</v>
      </c>
      <c r="I213" s="2"/>
      <c r="J213" s="2"/>
      <c r="K213" s="2" t="s">
        <v>25</v>
      </c>
      <c r="L213" s="2" t="s">
        <v>26</v>
      </c>
      <c r="M213" s="2"/>
      <c r="N213" s="2" t="s">
        <v>27</v>
      </c>
      <c r="O213" s="2">
        <v>5</v>
      </c>
      <c r="P213" s="2">
        <v>0.9</v>
      </c>
      <c r="Q213" s="2">
        <v>5.9</v>
      </c>
      <c r="R213" s="2">
        <v>5.9</v>
      </c>
      <c r="S213" s="2">
        <v>5.9</v>
      </c>
      <c r="T213" s="2" t="s">
        <v>28</v>
      </c>
      <c r="U213" s="2" t="b">
        <v>0</v>
      </c>
      <c r="V213" s="2" t="s">
        <v>29</v>
      </c>
      <c r="W213" s="2" t="s">
        <v>104</v>
      </c>
      <c r="X213" s="2" t="s">
        <v>105</v>
      </c>
      <c r="Y213" s="2" t="s">
        <v>685</v>
      </c>
      <c r="Z213" s="2" t="s">
        <v>31</v>
      </c>
      <c r="AA213" s="2"/>
      <c r="AB213" s="2"/>
      <c r="AC213" s="2"/>
      <c r="AD213" s="2"/>
      <c r="AK213" s="8">
        <f t="shared" si="4"/>
        <v>45685</v>
      </c>
    </row>
    <row r="214" spans="1:37" ht="15" customHeight="1">
      <c r="A214" s="2" t="s">
        <v>686</v>
      </c>
      <c r="B214" s="2">
        <v>0</v>
      </c>
      <c r="C214" s="2"/>
      <c r="D214" s="2" t="s">
        <v>298</v>
      </c>
      <c r="E214" s="2" t="s">
        <v>415</v>
      </c>
      <c r="F214" s="3">
        <v>45685</v>
      </c>
      <c r="G214" s="3">
        <v>45685</v>
      </c>
      <c r="H214" s="3">
        <v>45685</v>
      </c>
      <c r="I214" s="2"/>
      <c r="J214" s="2"/>
      <c r="K214" s="2" t="s">
        <v>25</v>
      </c>
      <c r="L214" s="2" t="s">
        <v>26</v>
      </c>
      <c r="M214" s="2"/>
      <c r="N214" s="2" t="s">
        <v>27</v>
      </c>
      <c r="O214" s="2">
        <v>1200</v>
      </c>
      <c r="P214" s="2">
        <v>216</v>
      </c>
      <c r="Q214" s="2">
        <v>1416</v>
      </c>
      <c r="R214" s="2">
        <v>1416</v>
      </c>
      <c r="S214" s="2">
        <v>1416</v>
      </c>
      <c r="T214" s="2" t="s">
        <v>28</v>
      </c>
      <c r="U214" s="2" t="b">
        <v>0</v>
      </c>
      <c r="V214" s="2" t="s">
        <v>29</v>
      </c>
      <c r="W214" s="2" t="s">
        <v>104</v>
      </c>
      <c r="X214" s="2" t="s">
        <v>105</v>
      </c>
      <c r="Y214" s="2" t="s">
        <v>687</v>
      </c>
      <c r="Z214" s="2" t="s">
        <v>31</v>
      </c>
      <c r="AA214" s="2"/>
      <c r="AB214" s="2"/>
      <c r="AC214" s="2"/>
      <c r="AD214" s="2"/>
      <c r="AK214" s="8">
        <f t="shared" si="4"/>
        <v>45685</v>
      </c>
    </row>
    <row r="215" spans="1:37" ht="15" customHeight="1">
      <c r="A215" s="2" t="s">
        <v>688</v>
      </c>
      <c r="B215" s="2">
        <v>0</v>
      </c>
      <c r="C215" s="2"/>
      <c r="D215" s="2" t="s">
        <v>298</v>
      </c>
      <c r="E215" s="2" t="s">
        <v>415</v>
      </c>
      <c r="F215" s="3">
        <v>45685</v>
      </c>
      <c r="G215" s="3">
        <v>45685</v>
      </c>
      <c r="H215" s="3">
        <v>45685</v>
      </c>
      <c r="I215" s="2"/>
      <c r="J215" s="2"/>
      <c r="K215" s="2" t="s">
        <v>25</v>
      </c>
      <c r="L215" s="2" t="s">
        <v>26</v>
      </c>
      <c r="M215" s="2"/>
      <c r="N215" s="2" t="s">
        <v>27</v>
      </c>
      <c r="O215" s="2">
        <v>872.71</v>
      </c>
      <c r="P215" s="2">
        <v>157.09</v>
      </c>
      <c r="Q215" s="2">
        <v>1029.8</v>
      </c>
      <c r="R215" s="2">
        <v>1029.8</v>
      </c>
      <c r="S215" s="2">
        <v>1029.8</v>
      </c>
      <c r="T215" s="2" t="s">
        <v>28</v>
      </c>
      <c r="U215" s="2" t="b">
        <v>0</v>
      </c>
      <c r="V215" s="2" t="s">
        <v>29</v>
      </c>
      <c r="W215" s="2" t="s">
        <v>104</v>
      </c>
      <c r="X215" s="2" t="s">
        <v>105</v>
      </c>
      <c r="Y215" s="2" t="s">
        <v>689</v>
      </c>
      <c r="Z215" s="2" t="s">
        <v>31</v>
      </c>
      <c r="AA215" s="2"/>
      <c r="AB215" s="2"/>
      <c r="AC215" s="2"/>
      <c r="AD215" s="2"/>
      <c r="AK215" s="8">
        <f t="shared" si="4"/>
        <v>45685</v>
      </c>
    </row>
    <row r="216" spans="1:37" ht="15" customHeight="1">
      <c r="A216" s="2" t="s">
        <v>690</v>
      </c>
      <c r="B216" s="2">
        <v>0</v>
      </c>
      <c r="C216" s="2"/>
      <c r="D216" s="2" t="s">
        <v>298</v>
      </c>
      <c r="E216" s="2" t="s">
        <v>415</v>
      </c>
      <c r="F216" s="3">
        <v>45685</v>
      </c>
      <c r="G216" s="3">
        <v>45685</v>
      </c>
      <c r="H216" s="3">
        <v>45685</v>
      </c>
      <c r="I216" s="2"/>
      <c r="J216" s="2"/>
      <c r="K216" s="2" t="s">
        <v>25</v>
      </c>
      <c r="L216" s="2" t="s">
        <v>26</v>
      </c>
      <c r="M216" s="2"/>
      <c r="N216" s="2" t="s">
        <v>27</v>
      </c>
      <c r="O216" s="2">
        <v>526.1</v>
      </c>
      <c r="P216" s="2">
        <v>94.7</v>
      </c>
      <c r="Q216" s="2">
        <v>620.79999999999995</v>
      </c>
      <c r="R216" s="2">
        <v>620.79999999999995</v>
      </c>
      <c r="S216" s="2">
        <v>620.79999999999995</v>
      </c>
      <c r="T216" s="2" t="s">
        <v>28</v>
      </c>
      <c r="U216" s="2" t="b">
        <v>0</v>
      </c>
      <c r="V216" s="2" t="s">
        <v>29</v>
      </c>
      <c r="W216" s="2" t="s">
        <v>104</v>
      </c>
      <c r="X216" s="2" t="s">
        <v>105</v>
      </c>
      <c r="Y216" s="2" t="s">
        <v>691</v>
      </c>
      <c r="Z216" s="2" t="s">
        <v>31</v>
      </c>
      <c r="AA216" s="2"/>
      <c r="AB216" s="2"/>
      <c r="AC216" s="2"/>
      <c r="AD216" s="2"/>
      <c r="AK216" s="8">
        <f t="shared" si="4"/>
        <v>45685</v>
      </c>
    </row>
    <row r="217" spans="1:37" ht="15" customHeight="1">
      <c r="A217" s="2" t="s">
        <v>692</v>
      </c>
      <c r="B217" s="2">
        <v>0</v>
      </c>
      <c r="C217" s="2"/>
      <c r="D217" s="2" t="s">
        <v>298</v>
      </c>
      <c r="E217" s="2" t="s">
        <v>424</v>
      </c>
      <c r="F217" s="3">
        <v>45685</v>
      </c>
      <c r="G217" s="3">
        <v>45685</v>
      </c>
      <c r="H217" s="3">
        <v>45685</v>
      </c>
      <c r="I217" s="2"/>
      <c r="J217" s="2"/>
      <c r="K217" s="2" t="s">
        <v>25</v>
      </c>
      <c r="L217" s="2" t="s">
        <v>26</v>
      </c>
      <c r="M217" s="2"/>
      <c r="N217" s="2" t="s">
        <v>27</v>
      </c>
      <c r="O217" s="2">
        <v>20</v>
      </c>
      <c r="P217" s="2">
        <v>3.6</v>
      </c>
      <c r="Q217" s="2">
        <v>23.6</v>
      </c>
      <c r="R217" s="2">
        <v>23.6</v>
      </c>
      <c r="S217" s="2">
        <v>23.6</v>
      </c>
      <c r="T217" s="2" t="s">
        <v>28</v>
      </c>
      <c r="U217" s="2" t="b">
        <v>0</v>
      </c>
      <c r="V217" s="2" t="s">
        <v>29</v>
      </c>
      <c r="W217" s="2" t="s">
        <v>104</v>
      </c>
      <c r="X217" s="2" t="s">
        <v>105</v>
      </c>
      <c r="Y217" s="2" t="s">
        <v>693</v>
      </c>
      <c r="Z217" s="2" t="s">
        <v>31</v>
      </c>
      <c r="AA217" s="2"/>
      <c r="AB217" s="2"/>
      <c r="AC217" s="2"/>
      <c r="AD217" s="2"/>
      <c r="AK217" s="8">
        <f t="shared" si="4"/>
        <v>45685</v>
      </c>
    </row>
    <row r="218" spans="1:37" ht="15" customHeight="1">
      <c r="A218" s="2" t="s">
        <v>694</v>
      </c>
      <c r="B218" s="2">
        <v>0</v>
      </c>
      <c r="C218" s="2"/>
      <c r="D218" s="2" t="s">
        <v>298</v>
      </c>
      <c r="E218" s="2" t="s">
        <v>424</v>
      </c>
      <c r="F218" s="3">
        <v>45685</v>
      </c>
      <c r="G218" s="3">
        <v>45685</v>
      </c>
      <c r="H218" s="3">
        <v>45685</v>
      </c>
      <c r="I218" s="2"/>
      <c r="J218" s="2"/>
      <c r="K218" s="2" t="s">
        <v>25</v>
      </c>
      <c r="L218" s="2" t="s">
        <v>26</v>
      </c>
      <c r="M218" s="2"/>
      <c r="N218" s="2" t="s">
        <v>27</v>
      </c>
      <c r="O218" s="2">
        <v>750</v>
      </c>
      <c r="P218" s="2">
        <v>135</v>
      </c>
      <c r="Q218" s="2">
        <v>885</v>
      </c>
      <c r="R218" s="2">
        <v>885</v>
      </c>
      <c r="S218" s="2">
        <v>885</v>
      </c>
      <c r="T218" s="2" t="s">
        <v>28</v>
      </c>
      <c r="U218" s="2" t="b">
        <v>0</v>
      </c>
      <c r="V218" s="2" t="s">
        <v>29</v>
      </c>
      <c r="W218" s="2" t="s">
        <v>104</v>
      </c>
      <c r="X218" s="2" t="s">
        <v>105</v>
      </c>
      <c r="Y218" s="2" t="s">
        <v>695</v>
      </c>
      <c r="Z218" s="2" t="s">
        <v>31</v>
      </c>
      <c r="AA218" s="2"/>
      <c r="AB218" s="2"/>
      <c r="AC218" s="2"/>
      <c r="AD218" s="2"/>
      <c r="AK218" s="8">
        <f t="shared" si="4"/>
        <v>45685</v>
      </c>
    </row>
    <row r="219" spans="1:37" ht="15" customHeight="1">
      <c r="A219" s="2" t="s">
        <v>696</v>
      </c>
      <c r="B219" s="2">
        <v>0</v>
      </c>
      <c r="C219" s="2"/>
      <c r="D219" s="2" t="s">
        <v>298</v>
      </c>
      <c r="E219" s="2" t="s">
        <v>424</v>
      </c>
      <c r="F219" s="3">
        <v>45685</v>
      </c>
      <c r="G219" s="3">
        <v>45685</v>
      </c>
      <c r="H219" s="3">
        <v>45685</v>
      </c>
      <c r="I219" s="2"/>
      <c r="J219" s="2"/>
      <c r="K219" s="2" t="s">
        <v>25</v>
      </c>
      <c r="L219" s="2" t="s">
        <v>26</v>
      </c>
      <c r="M219" s="2"/>
      <c r="N219" s="2" t="s">
        <v>27</v>
      </c>
      <c r="O219" s="2">
        <v>1575</v>
      </c>
      <c r="P219" s="2">
        <v>283.5</v>
      </c>
      <c r="Q219" s="2">
        <v>1858.5</v>
      </c>
      <c r="R219" s="2">
        <v>1858.5</v>
      </c>
      <c r="S219" s="2">
        <v>1858.5</v>
      </c>
      <c r="T219" s="2" t="s">
        <v>28</v>
      </c>
      <c r="U219" s="2" t="b">
        <v>0</v>
      </c>
      <c r="V219" s="2" t="s">
        <v>29</v>
      </c>
      <c r="W219" s="2" t="s">
        <v>104</v>
      </c>
      <c r="X219" s="2" t="s">
        <v>105</v>
      </c>
      <c r="Y219" s="2" t="s">
        <v>697</v>
      </c>
      <c r="Z219" s="2" t="s">
        <v>31</v>
      </c>
      <c r="AA219" s="2"/>
      <c r="AB219" s="2"/>
      <c r="AC219" s="2"/>
      <c r="AD219" s="2"/>
      <c r="AK219" s="8">
        <f t="shared" si="4"/>
        <v>45685</v>
      </c>
    </row>
    <row r="220" spans="1:37" ht="15" customHeight="1">
      <c r="A220" s="2" t="s">
        <v>698</v>
      </c>
      <c r="B220" s="2">
        <v>0</v>
      </c>
      <c r="C220" s="2"/>
      <c r="D220" s="2" t="s">
        <v>298</v>
      </c>
      <c r="E220" s="2" t="s">
        <v>424</v>
      </c>
      <c r="F220" s="3">
        <v>45685</v>
      </c>
      <c r="G220" s="3">
        <v>45685</v>
      </c>
      <c r="H220" s="3">
        <v>45685</v>
      </c>
      <c r="I220" s="2"/>
      <c r="J220" s="2"/>
      <c r="K220" s="2" t="s">
        <v>25</v>
      </c>
      <c r="L220" s="2" t="s">
        <v>26</v>
      </c>
      <c r="M220" s="2"/>
      <c r="N220" s="2" t="s">
        <v>27</v>
      </c>
      <c r="O220" s="2">
        <v>3585.68</v>
      </c>
      <c r="P220" s="2">
        <v>645.41999999999996</v>
      </c>
      <c r="Q220" s="2">
        <v>4231.1000000000004</v>
      </c>
      <c r="R220" s="2">
        <v>4231.1000000000004</v>
      </c>
      <c r="S220" s="2">
        <v>4231.1000000000004</v>
      </c>
      <c r="T220" s="2" t="s">
        <v>28</v>
      </c>
      <c r="U220" s="2" t="b">
        <v>0</v>
      </c>
      <c r="V220" s="2" t="s">
        <v>29</v>
      </c>
      <c r="W220" s="2" t="s">
        <v>104</v>
      </c>
      <c r="X220" s="2" t="s">
        <v>105</v>
      </c>
      <c r="Y220" s="2" t="s">
        <v>699</v>
      </c>
      <c r="Z220" s="2" t="s">
        <v>31</v>
      </c>
      <c r="AA220" s="2"/>
      <c r="AB220" s="2"/>
      <c r="AC220" s="2"/>
      <c r="AD220" s="2"/>
      <c r="AK220" s="8">
        <f t="shared" si="4"/>
        <v>45685</v>
      </c>
    </row>
    <row r="221" spans="1:37" ht="15" customHeight="1">
      <c r="A221" s="2" t="s">
        <v>700</v>
      </c>
      <c r="B221" s="2">
        <v>0</v>
      </c>
      <c r="C221" s="2"/>
      <c r="D221" s="2" t="s">
        <v>298</v>
      </c>
      <c r="E221" s="2" t="s">
        <v>424</v>
      </c>
      <c r="F221" s="3">
        <v>45685</v>
      </c>
      <c r="G221" s="3">
        <v>45685</v>
      </c>
      <c r="H221" s="3">
        <v>45685</v>
      </c>
      <c r="I221" s="2"/>
      <c r="J221" s="2"/>
      <c r="K221" s="2" t="s">
        <v>25</v>
      </c>
      <c r="L221" s="2" t="s">
        <v>26</v>
      </c>
      <c r="M221" s="2"/>
      <c r="N221" s="2" t="s">
        <v>27</v>
      </c>
      <c r="O221" s="2">
        <v>2103.31</v>
      </c>
      <c r="P221" s="2">
        <v>378.59</v>
      </c>
      <c r="Q221" s="2">
        <v>2481.9</v>
      </c>
      <c r="R221" s="2">
        <v>2481.9</v>
      </c>
      <c r="S221" s="2">
        <v>2481.9</v>
      </c>
      <c r="T221" s="2" t="s">
        <v>28</v>
      </c>
      <c r="U221" s="2" t="b">
        <v>0</v>
      </c>
      <c r="V221" s="2" t="s">
        <v>29</v>
      </c>
      <c r="W221" s="2" t="s">
        <v>104</v>
      </c>
      <c r="X221" s="2" t="s">
        <v>105</v>
      </c>
      <c r="Y221" s="2" t="s">
        <v>701</v>
      </c>
      <c r="Z221" s="2" t="s">
        <v>31</v>
      </c>
      <c r="AA221" s="2"/>
      <c r="AB221" s="2"/>
      <c r="AC221" s="2"/>
      <c r="AD221" s="2"/>
      <c r="AK221" s="8">
        <f t="shared" si="4"/>
        <v>45685</v>
      </c>
    </row>
    <row r="222" spans="1:37" ht="15" customHeight="1">
      <c r="A222" s="2" t="s">
        <v>702</v>
      </c>
      <c r="B222" s="2">
        <v>0</v>
      </c>
      <c r="C222" s="2"/>
      <c r="D222" s="2" t="s">
        <v>298</v>
      </c>
      <c r="E222" s="2" t="s">
        <v>485</v>
      </c>
      <c r="F222" s="3">
        <v>45685</v>
      </c>
      <c r="G222" s="3">
        <v>45685</v>
      </c>
      <c r="H222" s="3">
        <v>45685</v>
      </c>
      <c r="I222" s="2"/>
      <c r="J222" s="2"/>
      <c r="K222" s="2" t="s">
        <v>25</v>
      </c>
      <c r="L222" s="2" t="s">
        <v>26</v>
      </c>
      <c r="M222" s="2"/>
      <c r="N222" s="2" t="s">
        <v>27</v>
      </c>
      <c r="O222" s="2">
        <v>16.809999999999999</v>
      </c>
      <c r="P222" s="2">
        <v>3.03</v>
      </c>
      <c r="Q222" s="2">
        <v>19.84</v>
      </c>
      <c r="R222" s="2">
        <v>19.84</v>
      </c>
      <c r="S222" s="2">
        <v>19.84</v>
      </c>
      <c r="T222" s="2" t="s">
        <v>28</v>
      </c>
      <c r="U222" s="2" t="b">
        <v>0</v>
      </c>
      <c r="V222" s="2" t="s">
        <v>29</v>
      </c>
      <c r="W222" s="2" t="s">
        <v>104</v>
      </c>
      <c r="X222" s="2" t="s">
        <v>105</v>
      </c>
      <c r="Y222" s="2" t="s">
        <v>703</v>
      </c>
      <c r="Z222" s="2" t="s">
        <v>31</v>
      </c>
      <c r="AA222" s="2"/>
      <c r="AB222" s="2"/>
      <c r="AC222" s="2"/>
      <c r="AD222" s="2"/>
      <c r="AK222" s="8">
        <f t="shared" si="4"/>
        <v>45685</v>
      </c>
    </row>
    <row r="223" spans="1:37" ht="15" customHeight="1">
      <c r="A223" s="2" t="s">
        <v>704</v>
      </c>
      <c r="B223" s="2">
        <v>0</v>
      </c>
      <c r="C223" s="2"/>
      <c r="D223" s="2" t="s">
        <v>298</v>
      </c>
      <c r="E223" s="2" t="s">
        <v>485</v>
      </c>
      <c r="F223" s="3">
        <v>45685</v>
      </c>
      <c r="G223" s="3">
        <v>45685</v>
      </c>
      <c r="H223" s="3">
        <v>45685</v>
      </c>
      <c r="I223" s="2"/>
      <c r="J223" s="2"/>
      <c r="K223" s="2" t="s">
        <v>25</v>
      </c>
      <c r="L223" s="2" t="s">
        <v>26</v>
      </c>
      <c r="M223" s="2"/>
      <c r="N223" s="2" t="s">
        <v>27</v>
      </c>
      <c r="O223" s="2">
        <v>16</v>
      </c>
      <c r="P223" s="2">
        <v>2.88</v>
      </c>
      <c r="Q223" s="2">
        <v>18.88</v>
      </c>
      <c r="R223" s="2">
        <v>18.88</v>
      </c>
      <c r="S223" s="2">
        <v>18.88</v>
      </c>
      <c r="T223" s="2" t="s">
        <v>28</v>
      </c>
      <c r="U223" s="2" t="b">
        <v>0</v>
      </c>
      <c r="V223" s="2" t="s">
        <v>29</v>
      </c>
      <c r="W223" s="2" t="s">
        <v>104</v>
      </c>
      <c r="X223" s="2" t="s">
        <v>105</v>
      </c>
      <c r="Y223" s="2" t="s">
        <v>705</v>
      </c>
      <c r="Z223" s="2" t="s">
        <v>31</v>
      </c>
      <c r="AA223" s="2"/>
      <c r="AB223" s="2"/>
      <c r="AC223" s="2"/>
      <c r="AD223" s="2"/>
      <c r="AK223" s="8">
        <f t="shared" si="4"/>
        <v>45685</v>
      </c>
    </row>
    <row r="224" spans="1:37" ht="15" customHeight="1">
      <c r="A224" s="2" t="s">
        <v>706</v>
      </c>
      <c r="B224" s="2">
        <v>0</v>
      </c>
      <c r="C224" s="2"/>
      <c r="D224" s="2" t="s">
        <v>298</v>
      </c>
      <c r="E224" s="2" t="s">
        <v>490</v>
      </c>
      <c r="F224" s="3">
        <v>45685</v>
      </c>
      <c r="G224" s="3">
        <v>45685</v>
      </c>
      <c r="H224" s="3">
        <v>45685</v>
      </c>
      <c r="I224" s="2"/>
      <c r="J224" s="2"/>
      <c r="K224" s="2" t="s">
        <v>25</v>
      </c>
      <c r="L224" s="2" t="s">
        <v>26</v>
      </c>
      <c r="M224" s="2"/>
      <c r="N224" s="2" t="s">
        <v>27</v>
      </c>
      <c r="O224" s="2">
        <v>11.44</v>
      </c>
      <c r="P224" s="2">
        <v>2.06</v>
      </c>
      <c r="Q224" s="2">
        <v>13.5</v>
      </c>
      <c r="R224" s="2">
        <v>13.5</v>
      </c>
      <c r="S224" s="2">
        <v>13.5</v>
      </c>
      <c r="T224" s="2" t="s">
        <v>28</v>
      </c>
      <c r="U224" s="2" t="b">
        <v>0</v>
      </c>
      <c r="V224" s="2" t="s">
        <v>29</v>
      </c>
      <c r="W224" s="2" t="s">
        <v>104</v>
      </c>
      <c r="X224" s="2" t="s">
        <v>105</v>
      </c>
      <c r="Y224" s="2" t="s">
        <v>707</v>
      </c>
      <c r="Z224" s="2" t="s">
        <v>31</v>
      </c>
      <c r="AA224" s="2"/>
      <c r="AB224" s="2"/>
      <c r="AC224" s="2"/>
      <c r="AD224" s="2"/>
      <c r="AK224" s="8">
        <f t="shared" si="4"/>
        <v>45685</v>
      </c>
    </row>
    <row r="225" spans="1:37" ht="15" customHeight="1">
      <c r="A225" s="2" t="s">
        <v>708</v>
      </c>
      <c r="B225" s="2">
        <v>0</v>
      </c>
      <c r="C225" s="2"/>
      <c r="D225" s="2" t="s">
        <v>298</v>
      </c>
      <c r="E225" s="2" t="s">
        <v>490</v>
      </c>
      <c r="F225" s="3">
        <v>45685</v>
      </c>
      <c r="G225" s="3">
        <v>45685</v>
      </c>
      <c r="H225" s="3">
        <v>45685</v>
      </c>
      <c r="I225" s="2"/>
      <c r="J225" s="2"/>
      <c r="K225" s="2" t="s">
        <v>25</v>
      </c>
      <c r="L225" s="2" t="s">
        <v>26</v>
      </c>
      <c r="M225" s="2"/>
      <c r="N225" s="2" t="s">
        <v>27</v>
      </c>
      <c r="O225" s="2">
        <v>6.36</v>
      </c>
      <c r="P225" s="2">
        <v>1.1399999999999999</v>
      </c>
      <c r="Q225" s="2">
        <v>7.5</v>
      </c>
      <c r="R225" s="2">
        <v>7.5</v>
      </c>
      <c r="S225" s="2">
        <v>7.5</v>
      </c>
      <c r="T225" s="2" t="s">
        <v>28</v>
      </c>
      <c r="U225" s="2" t="b">
        <v>0</v>
      </c>
      <c r="V225" s="2" t="s">
        <v>29</v>
      </c>
      <c r="W225" s="2" t="s">
        <v>104</v>
      </c>
      <c r="X225" s="2" t="s">
        <v>105</v>
      </c>
      <c r="Y225" s="2" t="s">
        <v>709</v>
      </c>
      <c r="Z225" s="2" t="s">
        <v>31</v>
      </c>
      <c r="AA225" s="2"/>
      <c r="AB225" s="2"/>
      <c r="AC225" s="2"/>
      <c r="AD225" s="2"/>
      <c r="AK225" s="8">
        <f t="shared" si="4"/>
        <v>45685</v>
      </c>
    </row>
    <row r="226" spans="1:37" ht="15" customHeight="1">
      <c r="A226" s="2" t="s">
        <v>710</v>
      </c>
      <c r="B226" s="2">
        <v>0</v>
      </c>
      <c r="C226" s="2"/>
      <c r="D226" s="2" t="s">
        <v>298</v>
      </c>
      <c r="E226" s="2" t="s">
        <v>462</v>
      </c>
      <c r="F226" s="3">
        <v>45685</v>
      </c>
      <c r="G226" s="3">
        <v>45685</v>
      </c>
      <c r="H226" s="3">
        <v>45685</v>
      </c>
      <c r="I226" s="2"/>
      <c r="J226" s="2"/>
      <c r="K226" s="2" t="s">
        <v>25</v>
      </c>
      <c r="L226" s="2" t="s">
        <v>26</v>
      </c>
      <c r="M226" s="2"/>
      <c r="N226" s="2" t="s">
        <v>27</v>
      </c>
      <c r="O226" s="2">
        <v>41.1</v>
      </c>
      <c r="P226" s="2">
        <v>7.4</v>
      </c>
      <c r="Q226" s="2">
        <v>48.5</v>
      </c>
      <c r="R226" s="2">
        <v>48.5</v>
      </c>
      <c r="S226" s="2">
        <v>48.5</v>
      </c>
      <c r="T226" s="2" t="s">
        <v>28</v>
      </c>
      <c r="U226" s="2" t="b">
        <v>0</v>
      </c>
      <c r="V226" s="2" t="s">
        <v>29</v>
      </c>
      <c r="W226" s="2" t="s">
        <v>104</v>
      </c>
      <c r="X226" s="2" t="s">
        <v>105</v>
      </c>
      <c r="Y226" s="2" t="s">
        <v>711</v>
      </c>
      <c r="Z226" s="2" t="s">
        <v>31</v>
      </c>
      <c r="AA226" s="2"/>
      <c r="AB226" s="2"/>
      <c r="AC226" s="2"/>
      <c r="AD226" s="2"/>
      <c r="AK226" s="8">
        <f t="shared" si="4"/>
        <v>45685</v>
      </c>
    </row>
    <row r="227" spans="1:37" ht="15" customHeight="1">
      <c r="A227" s="2" t="s">
        <v>712</v>
      </c>
      <c r="B227" s="2">
        <v>0</v>
      </c>
      <c r="C227" s="2"/>
      <c r="D227" s="2" t="s">
        <v>298</v>
      </c>
      <c r="E227" s="2" t="s">
        <v>462</v>
      </c>
      <c r="F227" s="3">
        <v>45685</v>
      </c>
      <c r="G227" s="3">
        <v>45685</v>
      </c>
      <c r="H227" s="3">
        <v>45685</v>
      </c>
      <c r="I227" s="2"/>
      <c r="J227" s="2"/>
      <c r="K227" s="2" t="s">
        <v>25</v>
      </c>
      <c r="L227" s="2" t="s">
        <v>26</v>
      </c>
      <c r="M227" s="2"/>
      <c r="N227" s="2" t="s">
        <v>27</v>
      </c>
      <c r="O227" s="2">
        <v>27.46</v>
      </c>
      <c r="P227" s="2">
        <v>4.9400000000000004</v>
      </c>
      <c r="Q227" s="2">
        <v>32.4</v>
      </c>
      <c r="R227" s="2">
        <v>32.4</v>
      </c>
      <c r="S227" s="2">
        <v>32.4</v>
      </c>
      <c r="T227" s="2" t="s">
        <v>28</v>
      </c>
      <c r="U227" s="2" t="b">
        <v>0</v>
      </c>
      <c r="V227" s="2" t="s">
        <v>29</v>
      </c>
      <c r="W227" s="2" t="s">
        <v>104</v>
      </c>
      <c r="X227" s="2" t="s">
        <v>105</v>
      </c>
      <c r="Y227" s="2" t="s">
        <v>713</v>
      </c>
      <c r="Z227" s="2" t="s">
        <v>31</v>
      </c>
      <c r="AA227" s="2"/>
      <c r="AB227" s="2"/>
      <c r="AC227" s="2"/>
      <c r="AD227" s="2"/>
      <c r="AK227" s="8">
        <f t="shared" si="4"/>
        <v>45685</v>
      </c>
    </row>
    <row r="228" spans="1:37" ht="15" customHeight="1">
      <c r="A228" s="2" t="s">
        <v>714</v>
      </c>
      <c r="B228" s="2">
        <v>0</v>
      </c>
      <c r="C228" s="2"/>
      <c r="D228" s="2" t="s">
        <v>298</v>
      </c>
      <c r="E228" s="2" t="s">
        <v>715</v>
      </c>
      <c r="F228" s="3">
        <v>45685</v>
      </c>
      <c r="G228" s="3">
        <v>45685</v>
      </c>
      <c r="H228" s="3">
        <v>45685</v>
      </c>
      <c r="I228" s="2"/>
      <c r="J228" s="2"/>
      <c r="K228" s="2" t="s">
        <v>25</v>
      </c>
      <c r="L228" s="2" t="s">
        <v>26</v>
      </c>
      <c r="M228" s="2"/>
      <c r="N228" s="2" t="s">
        <v>27</v>
      </c>
      <c r="O228" s="2">
        <v>274.92</v>
      </c>
      <c r="P228" s="2">
        <v>49.48</v>
      </c>
      <c r="Q228" s="2">
        <v>324.39999999999998</v>
      </c>
      <c r="R228" s="2">
        <v>324.39999999999998</v>
      </c>
      <c r="S228" s="2">
        <v>324.39999999999998</v>
      </c>
      <c r="T228" s="2" t="s">
        <v>28</v>
      </c>
      <c r="U228" s="2" t="b">
        <v>0</v>
      </c>
      <c r="V228" s="2" t="s">
        <v>29</v>
      </c>
      <c r="W228" s="2" t="s">
        <v>104</v>
      </c>
      <c r="X228" s="2" t="s">
        <v>105</v>
      </c>
      <c r="Y228" s="2" t="s">
        <v>716</v>
      </c>
      <c r="Z228" s="2" t="s">
        <v>31</v>
      </c>
      <c r="AA228" s="2"/>
      <c r="AB228" s="2"/>
      <c r="AC228" s="2"/>
      <c r="AD228" s="2"/>
      <c r="AK228" s="8">
        <f t="shared" si="4"/>
        <v>45685</v>
      </c>
    </row>
    <row r="229" spans="1:37" ht="15" customHeight="1">
      <c r="A229" s="2" t="s">
        <v>717</v>
      </c>
      <c r="B229" s="2">
        <v>0</v>
      </c>
      <c r="C229" s="2"/>
      <c r="D229" s="2" t="s">
        <v>298</v>
      </c>
      <c r="E229" s="2" t="s">
        <v>715</v>
      </c>
      <c r="F229" s="3">
        <v>45685</v>
      </c>
      <c r="G229" s="3">
        <v>45685</v>
      </c>
      <c r="H229" s="3">
        <v>45685</v>
      </c>
      <c r="I229" s="2"/>
      <c r="J229" s="2"/>
      <c r="K229" s="2" t="s">
        <v>25</v>
      </c>
      <c r="L229" s="2" t="s">
        <v>26</v>
      </c>
      <c r="M229" s="2"/>
      <c r="N229" s="2" t="s">
        <v>27</v>
      </c>
      <c r="O229" s="2">
        <v>159.29</v>
      </c>
      <c r="P229" s="2">
        <v>28.67</v>
      </c>
      <c r="Q229" s="2">
        <v>187.96</v>
      </c>
      <c r="R229" s="2">
        <v>187.96</v>
      </c>
      <c r="S229" s="2">
        <v>187.96</v>
      </c>
      <c r="T229" s="2" t="s">
        <v>28</v>
      </c>
      <c r="U229" s="2" t="b">
        <v>0</v>
      </c>
      <c r="V229" s="2" t="s">
        <v>29</v>
      </c>
      <c r="W229" s="2" t="s">
        <v>104</v>
      </c>
      <c r="X229" s="2" t="s">
        <v>105</v>
      </c>
      <c r="Y229" s="2" t="s">
        <v>718</v>
      </c>
      <c r="Z229" s="2" t="s">
        <v>31</v>
      </c>
      <c r="AA229" s="2"/>
      <c r="AB229" s="2"/>
      <c r="AC229" s="2"/>
      <c r="AD229" s="2"/>
      <c r="AK229" s="8">
        <f t="shared" si="4"/>
        <v>45685</v>
      </c>
    </row>
    <row r="230" spans="1:37" ht="15" customHeight="1">
      <c r="A230" s="2" t="s">
        <v>719</v>
      </c>
      <c r="B230" s="2">
        <v>0</v>
      </c>
      <c r="C230" s="2"/>
      <c r="D230" s="2" t="s">
        <v>298</v>
      </c>
      <c r="E230" s="2" t="s">
        <v>720</v>
      </c>
      <c r="F230" s="3">
        <v>45685</v>
      </c>
      <c r="G230" s="3">
        <v>45685</v>
      </c>
      <c r="H230" s="3">
        <v>45685</v>
      </c>
      <c r="I230" s="2"/>
      <c r="J230" s="2"/>
      <c r="K230" s="2" t="s">
        <v>25</v>
      </c>
      <c r="L230" s="2" t="s">
        <v>26</v>
      </c>
      <c r="M230" s="2"/>
      <c r="N230" s="2" t="s">
        <v>27</v>
      </c>
      <c r="O230" s="2">
        <v>967.12</v>
      </c>
      <c r="P230" s="2">
        <v>174.08</v>
      </c>
      <c r="Q230" s="2">
        <v>1141.2</v>
      </c>
      <c r="R230" s="2">
        <v>1141.2</v>
      </c>
      <c r="S230" s="2">
        <v>1141.2</v>
      </c>
      <c r="T230" s="2" t="s">
        <v>28</v>
      </c>
      <c r="U230" s="2" t="b">
        <v>0</v>
      </c>
      <c r="V230" s="2" t="s">
        <v>29</v>
      </c>
      <c r="W230" s="2" t="s">
        <v>104</v>
      </c>
      <c r="X230" s="2" t="s">
        <v>105</v>
      </c>
      <c r="Y230" s="2" t="s">
        <v>721</v>
      </c>
      <c r="Z230" s="2" t="s">
        <v>31</v>
      </c>
      <c r="AA230" s="2"/>
      <c r="AB230" s="2"/>
      <c r="AC230" s="2"/>
      <c r="AD230" s="2"/>
      <c r="AK230" s="8">
        <f t="shared" si="4"/>
        <v>45685</v>
      </c>
    </row>
    <row r="231" spans="1:37" ht="15" customHeight="1">
      <c r="A231" s="2" t="s">
        <v>722</v>
      </c>
      <c r="B231" s="2">
        <v>0</v>
      </c>
      <c r="C231" s="2"/>
      <c r="D231" s="2" t="s">
        <v>298</v>
      </c>
      <c r="E231" s="2" t="s">
        <v>720</v>
      </c>
      <c r="F231" s="3">
        <v>45685</v>
      </c>
      <c r="G231" s="3">
        <v>45685</v>
      </c>
      <c r="H231" s="3">
        <v>45685</v>
      </c>
      <c r="I231" s="2"/>
      <c r="J231" s="2"/>
      <c r="K231" s="2" t="s">
        <v>25</v>
      </c>
      <c r="L231" s="2" t="s">
        <v>26</v>
      </c>
      <c r="M231" s="2"/>
      <c r="N231" s="2" t="s">
        <v>27</v>
      </c>
      <c r="O231" s="2">
        <v>777.2</v>
      </c>
      <c r="P231" s="2">
        <v>139.9</v>
      </c>
      <c r="Q231" s="2">
        <v>917.1</v>
      </c>
      <c r="R231" s="2">
        <v>917.1</v>
      </c>
      <c r="S231" s="2">
        <v>917.1</v>
      </c>
      <c r="T231" s="2" t="s">
        <v>28</v>
      </c>
      <c r="U231" s="2" t="b">
        <v>0</v>
      </c>
      <c r="V231" s="2" t="s">
        <v>29</v>
      </c>
      <c r="W231" s="2" t="s">
        <v>104</v>
      </c>
      <c r="X231" s="2" t="s">
        <v>105</v>
      </c>
      <c r="Y231" s="2" t="s">
        <v>723</v>
      </c>
      <c r="Z231" s="2" t="s">
        <v>31</v>
      </c>
      <c r="AA231" s="2"/>
      <c r="AB231" s="2"/>
      <c r="AC231" s="2"/>
      <c r="AD231" s="2"/>
      <c r="AK231" s="8">
        <f t="shared" si="4"/>
        <v>45685</v>
      </c>
    </row>
    <row r="232" spans="1:37" ht="15" customHeight="1">
      <c r="A232" s="2" t="s">
        <v>724</v>
      </c>
      <c r="B232" s="2">
        <v>0</v>
      </c>
      <c r="C232" s="2"/>
      <c r="D232" s="2" t="s">
        <v>298</v>
      </c>
      <c r="E232" s="2" t="s">
        <v>725</v>
      </c>
      <c r="F232" s="3">
        <v>45685</v>
      </c>
      <c r="G232" s="3">
        <v>45685</v>
      </c>
      <c r="H232" s="3">
        <v>45685</v>
      </c>
      <c r="I232" s="2"/>
      <c r="J232" s="2"/>
      <c r="K232" s="2" t="s">
        <v>25</v>
      </c>
      <c r="L232" s="2" t="s">
        <v>26</v>
      </c>
      <c r="M232" s="2"/>
      <c r="N232" s="2" t="s">
        <v>27</v>
      </c>
      <c r="O232" s="2">
        <v>2</v>
      </c>
      <c r="P232" s="2">
        <v>0.36</v>
      </c>
      <c r="Q232" s="2">
        <v>2.36</v>
      </c>
      <c r="R232" s="2">
        <v>2.36</v>
      </c>
      <c r="S232" s="2">
        <v>2.36</v>
      </c>
      <c r="T232" s="2" t="s">
        <v>28</v>
      </c>
      <c r="U232" s="2" t="b">
        <v>0</v>
      </c>
      <c r="V232" s="2" t="s">
        <v>29</v>
      </c>
      <c r="W232" s="2" t="s">
        <v>104</v>
      </c>
      <c r="X232" s="2" t="s">
        <v>105</v>
      </c>
      <c r="Y232" s="2" t="s">
        <v>726</v>
      </c>
      <c r="Z232" s="2" t="s">
        <v>31</v>
      </c>
      <c r="AA232" s="2"/>
      <c r="AB232" s="2"/>
      <c r="AC232" s="2"/>
      <c r="AD232" s="2"/>
      <c r="AK232" s="8">
        <f t="shared" si="4"/>
        <v>45685</v>
      </c>
    </row>
    <row r="233" spans="1:37" ht="15" customHeight="1">
      <c r="A233" s="2" t="s">
        <v>727</v>
      </c>
      <c r="B233" s="2">
        <v>0</v>
      </c>
      <c r="C233" s="2"/>
      <c r="D233" s="2" t="s">
        <v>298</v>
      </c>
      <c r="E233" s="2" t="s">
        <v>725</v>
      </c>
      <c r="F233" s="3">
        <v>45685</v>
      </c>
      <c r="G233" s="3">
        <v>45685</v>
      </c>
      <c r="H233" s="3">
        <v>45685</v>
      </c>
      <c r="I233" s="2"/>
      <c r="J233" s="2"/>
      <c r="K233" s="2" t="s">
        <v>25</v>
      </c>
      <c r="L233" s="2" t="s">
        <v>26</v>
      </c>
      <c r="M233" s="2"/>
      <c r="N233" s="2" t="s">
        <v>27</v>
      </c>
      <c r="O233" s="2">
        <v>276.52999999999997</v>
      </c>
      <c r="P233" s="2">
        <v>49.77</v>
      </c>
      <c r="Q233" s="2">
        <v>326.3</v>
      </c>
      <c r="R233" s="2">
        <v>326.3</v>
      </c>
      <c r="S233" s="2">
        <v>326.3</v>
      </c>
      <c r="T233" s="2" t="s">
        <v>28</v>
      </c>
      <c r="U233" s="2" t="b">
        <v>0</v>
      </c>
      <c r="V233" s="2" t="s">
        <v>29</v>
      </c>
      <c r="W233" s="2" t="s">
        <v>104</v>
      </c>
      <c r="X233" s="2" t="s">
        <v>105</v>
      </c>
      <c r="Y233" s="2" t="s">
        <v>728</v>
      </c>
      <c r="Z233" s="2" t="s">
        <v>31</v>
      </c>
      <c r="AA233" s="2"/>
      <c r="AB233" s="2"/>
      <c r="AC233" s="2"/>
      <c r="AD233" s="2"/>
      <c r="AK233" s="8">
        <f t="shared" si="4"/>
        <v>45685</v>
      </c>
    </row>
    <row r="234" spans="1:37" ht="15" customHeight="1">
      <c r="A234" s="2" t="s">
        <v>729</v>
      </c>
      <c r="B234" s="2">
        <v>0</v>
      </c>
      <c r="C234" s="2"/>
      <c r="D234" s="2" t="s">
        <v>298</v>
      </c>
      <c r="E234" s="2" t="s">
        <v>725</v>
      </c>
      <c r="F234" s="3">
        <v>45685</v>
      </c>
      <c r="G234" s="3">
        <v>45685</v>
      </c>
      <c r="H234" s="3">
        <v>45685</v>
      </c>
      <c r="I234" s="2"/>
      <c r="J234" s="2"/>
      <c r="K234" s="2" t="s">
        <v>25</v>
      </c>
      <c r="L234" s="2" t="s">
        <v>26</v>
      </c>
      <c r="M234" s="2"/>
      <c r="N234" s="2" t="s">
        <v>27</v>
      </c>
      <c r="O234" s="2">
        <v>177.63</v>
      </c>
      <c r="P234" s="2">
        <v>31.97</v>
      </c>
      <c r="Q234" s="2">
        <v>209.6</v>
      </c>
      <c r="R234" s="2">
        <v>209.6</v>
      </c>
      <c r="S234" s="2">
        <v>209.6</v>
      </c>
      <c r="T234" s="2" t="s">
        <v>28</v>
      </c>
      <c r="U234" s="2" t="b">
        <v>0</v>
      </c>
      <c r="V234" s="2" t="s">
        <v>29</v>
      </c>
      <c r="W234" s="2" t="s">
        <v>104</v>
      </c>
      <c r="X234" s="2" t="s">
        <v>105</v>
      </c>
      <c r="Y234" s="2" t="s">
        <v>730</v>
      </c>
      <c r="Z234" s="2" t="s">
        <v>31</v>
      </c>
      <c r="AA234" s="2"/>
      <c r="AB234" s="2"/>
      <c r="AC234" s="2"/>
      <c r="AD234" s="2"/>
      <c r="AK234" s="8">
        <f t="shared" si="4"/>
        <v>45685</v>
      </c>
    </row>
    <row r="235" spans="1:37" ht="15" customHeight="1">
      <c r="A235" s="2" t="s">
        <v>731</v>
      </c>
      <c r="B235" s="2">
        <v>0</v>
      </c>
      <c r="C235" s="2"/>
      <c r="D235" s="2" t="s">
        <v>265</v>
      </c>
      <c r="E235" s="2" t="s">
        <v>732</v>
      </c>
      <c r="F235" s="3">
        <v>45685</v>
      </c>
      <c r="G235" s="3">
        <v>45685</v>
      </c>
      <c r="H235" s="3">
        <v>45685</v>
      </c>
      <c r="I235" s="2"/>
      <c r="J235" s="2"/>
      <c r="K235" s="2" t="s">
        <v>25</v>
      </c>
      <c r="L235" s="2" t="s">
        <v>26</v>
      </c>
      <c r="M235" s="2"/>
      <c r="N235" s="2" t="s">
        <v>27</v>
      </c>
      <c r="O235" s="2">
        <v>34.32</v>
      </c>
      <c r="P235" s="2">
        <v>6.18</v>
      </c>
      <c r="Q235" s="2">
        <v>40.5</v>
      </c>
      <c r="R235" s="2">
        <v>40.5</v>
      </c>
      <c r="S235" s="2">
        <v>40.5</v>
      </c>
      <c r="T235" s="2" t="s">
        <v>28</v>
      </c>
      <c r="U235" s="2" t="b">
        <v>0</v>
      </c>
      <c r="V235" s="2" t="s">
        <v>29</v>
      </c>
      <c r="W235" s="2" t="s">
        <v>104</v>
      </c>
      <c r="X235" s="2" t="s">
        <v>105</v>
      </c>
      <c r="Y235" s="2" t="s">
        <v>733</v>
      </c>
      <c r="Z235" s="2" t="s">
        <v>31</v>
      </c>
      <c r="AA235" s="2"/>
      <c r="AB235" s="2"/>
      <c r="AC235" s="2"/>
      <c r="AD235" s="2"/>
      <c r="AK235" s="8">
        <f t="shared" si="4"/>
        <v>45685</v>
      </c>
    </row>
    <row r="236" spans="1:37" ht="15" customHeight="1">
      <c r="A236" s="2" t="s">
        <v>734</v>
      </c>
      <c r="B236" s="2">
        <v>0</v>
      </c>
      <c r="C236" s="2"/>
      <c r="D236" s="2" t="s">
        <v>265</v>
      </c>
      <c r="E236" s="2" t="s">
        <v>732</v>
      </c>
      <c r="F236" s="3">
        <v>45685</v>
      </c>
      <c r="G236" s="3">
        <v>45685</v>
      </c>
      <c r="H236" s="3">
        <v>45685</v>
      </c>
      <c r="I236" s="2"/>
      <c r="J236" s="2"/>
      <c r="K236" s="2" t="s">
        <v>25</v>
      </c>
      <c r="L236" s="2" t="s">
        <v>26</v>
      </c>
      <c r="M236" s="2"/>
      <c r="N236" s="2" t="s">
        <v>27</v>
      </c>
      <c r="O236" s="2">
        <v>19.07</v>
      </c>
      <c r="P236" s="2">
        <v>3.43</v>
      </c>
      <c r="Q236" s="2">
        <v>22.5</v>
      </c>
      <c r="R236" s="2">
        <v>22.5</v>
      </c>
      <c r="S236" s="2">
        <v>22.5</v>
      </c>
      <c r="T236" s="2" t="s">
        <v>28</v>
      </c>
      <c r="U236" s="2" t="b">
        <v>0</v>
      </c>
      <c r="V236" s="2" t="s">
        <v>29</v>
      </c>
      <c r="W236" s="2" t="s">
        <v>104</v>
      </c>
      <c r="X236" s="2" t="s">
        <v>105</v>
      </c>
      <c r="Y236" s="2" t="s">
        <v>735</v>
      </c>
      <c r="Z236" s="2" t="s">
        <v>31</v>
      </c>
      <c r="AA236" s="2"/>
      <c r="AB236" s="2"/>
      <c r="AC236" s="2"/>
      <c r="AD236" s="2"/>
      <c r="AK236" s="8">
        <f t="shared" si="4"/>
        <v>45685</v>
      </c>
    </row>
    <row r="237" spans="1:37" ht="15" customHeight="1">
      <c r="A237" s="2" t="s">
        <v>736</v>
      </c>
      <c r="B237" s="2">
        <v>0</v>
      </c>
      <c r="C237" s="2"/>
      <c r="D237" s="2" t="s">
        <v>265</v>
      </c>
      <c r="E237" s="2" t="s">
        <v>737</v>
      </c>
      <c r="F237" s="3">
        <v>45685</v>
      </c>
      <c r="G237" s="3">
        <v>45685</v>
      </c>
      <c r="H237" s="3">
        <v>45685</v>
      </c>
      <c r="I237" s="2"/>
      <c r="J237" s="2"/>
      <c r="K237" s="2" t="s">
        <v>25</v>
      </c>
      <c r="L237" s="2" t="s">
        <v>26</v>
      </c>
      <c r="M237" s="2"/>
      <c r="N237" s="2" t="s">
        <v>27</v>
      </c>
      <c r="O237" s="2">
        <v>240.25</v>
      </c>
      <c r="P237" s="2">
        <v>43.25</v>
      </c>
      <c r="Q237" s="2">
        <v>283.5</v>
      </c>
      <c r="R237" s="2">
        <v>283.5</v>
      </c>
      <c r="S237" s="2">
        <v>283.5</v>
      </c>
      <c r="T237" s="2" t="s">
        <v>28</v>
      </c>
      <c r="U237" s="2" t="b">
        <v>0</v>
      </c>
      <c r="V237" s="2" t="s">
        <v>29</v>
      </c>
      <c r="W237" s="2" t="s">
        <v>104</v>
      </c>
      <c r="X237" s="2" t="s">
        <v>105</v>
      </c>
      <c r="Y237" s="2" t="s">
        <v>738</v>
      </c>
      <c r="Z237" s="2" t="s">
        <v>31</v>
      </c>
      <c r="AA237" s="2"/>
      <c r="AB237" s="2"/>
      <c r="AC237" s="2"/>
      <c r="AD237" s="2"/>
      <c r="AK237" s="8">
        <f t="shared" si="4"/>
        <v>45685</v>
      </c>
    </row>
    <row r="238" spans="1:37" ht="15" customHeight="1">
      <c r="A238" s="2" t="s">
        <v>739</v>
      </c>
      <c r="B238" s="2">
        <v>0</v>
      </c>
      <c r="C238" s="2"/>
      <c r="D238" s="2" t="s">
        <v>265</v>
      </c>
      <c r="E238" s="2" t="s">
        <v>737</v>
      </c>
      <c r="F238" s="3">
        <v>45685</v>
      </c>
      <c r="G238" s="3">
        <v>45685</v>
      </c>
      <c r="H238" s="3">
        <v>45685</v>
      </c>
      <c r="I238" s="2"/>
      <c r="J238" s="2"/>
      <c r="K238" s="2" t="s">
        <v>25</v>
      </c>
      <c r="L238" s="2" t="s">
        <v>26</v>
      </c>
      <c r="M238" s="2"/>
      <c r="N238" s="2" t="s">
        <v>27</v>
      </c>
      <c r="O238" s="2">
        <v>133.47</v>
      </c>
      <c r="P238" s="2">
        <v>24.03</v>
      </c>
      <c r="Q238" s="2">
        <v>157.5</v>
      </c>
      <c r="R238" s="2">
        <v>157.5</v>
      </c>
      <c r="S238" s="2">
        <v>157.5</v>
      </c>
      <c r="T238" s="2" t="s">
        <v>28</v>
      </c>
      <c r="U238" s="2" t="b">
        <v>0</v>
      </c>
      <c r="V238" s="2" t="s">
        <v>29</v>
      </c>
      <c r="W238" s="2" t="s">
        <v>104</v>
      </c>
      <c r="X238" s="2" t="s">
        <v>105</v>
      </c>
      <c r="Y238" s="2" t="s">
        <v>740</v>
      </c>
      <c r="Z238" s="2" t="s">
        <v>31</v>
      </c>
      <c r="AA238" s="2"/>
      <c r="AB238" s="2"/>
      <c r="AC238" s="2"/>
      <c r="AD238" s="2"/>
      <c r="AK238" s="8">
        <f t="shared" si="4"/>
        <v>45685</v>
      </c>
    </row>
    <row r="239" spans="1:37" ht="15" customHeight="1">
      <c r="A239" s="2" t="s">
        <v>741</v>
      </c>
      <c r="B239" s="2">
        <v>0</v>
      </c>
      <c r="C239" s="2"/>
      <c r="D239" s="2" t="s">
        <v>265</v>
      </c>
      <c r="E239" s="2" t="s">
        <v>742</v>
      </c>
      <c r="F239" s="3">
        <v>45685</v>
      </c>
      <c r="G239" s="3">
        <v>45685</v>
      </c>
      <c r="H239" s="3">
        <v>45685</v>
      </c>
      <c r="I239" s="2"/>
      <c r="J239" s="2"/>
      <c r="K239" s="2" t="s">
        <v>25</v>
      </c>
      <c r="L239" s="2" t="s">
        <v>26</v>
      </c>
      <c r="M239" s="2"/>
      <c r="N239" s="2" t="s">
        <v>27</v>
      </c>
      <c r="O239" s="2">
        <v>1346.2</v>
      </c>
      <c r="P239" s="2">
        <v>242.32</v>
      </c>
      <c r="Q239" s="2">
        <v>1588.52</v>
      </c>
      <c r="R239" s="2">
        <v>1588.52</v>
      </c>
      <c r="S239" s="2">
        <v>1588.52</v>
      </c>
      <c r="T239" s="2" t="s">
        <v>28</v>
      </c>
      <c r="U239" s="2" t="b">
        <v>0</v>
      </c>
      <c r="V239" s="2" t="s">
        <v>29</v>
      </c>
      <c r="W239" s="2" t="s">
        <v>104</v>
      </c>
      <c r="X239" s="2" t="s">
        <v>105</v>
      </c>
      <c r="Y239" s="2" t="s">
        <v>743</v>
      </c>
      <c r="Z239" s="2" t="s">
        <v>31</v>
      </c>
      <c r="AA239" s="2"/>
      <c r="AB239" s="2"/>
      <c r="AC239" s="2"/>
      <c r="AD239" s="2"/>
      <c r="AK239" s="8">
        <f t="shared" si="4"/>
        <v>45685</v>
      </c>
    </row>
    <row r="240" spans="1:37" ht="15" customHeight="1">
      <c r="A240" s="2" t="s">
        <v>744</v>
      </c>
      <c r="B240" s="2">
        <v>0</v>
      </c>
      <c r="C240" s="2"/>
      <c r="D240" s="2" t="s">
        <v>265</v>
      </c>
      <c r="E240" s="2" t="s">
        <v>742</v>
      </c>
      <c r="F240" s="3">
        <v>45685</v>
      </c>
      <c r="G240" s="3">
        <v>45685</v>
      </c>
      <c r="H240" s="3">
        <v>45685</v>
      </c>
      <c r="I240" s="2"/>
      <c r="J240" s="2"/>
      <c r="K240" s="2" t="s">
        <v>25</v>
      </c>
      <c r="L240" s="2" t="s">
        <v>26</v>
      </c>
      <c r="M240" s="2"/>
      <c r="N240" s="2" t="s">
        <v>27</v>
      </c>
      <c r="O240" s="2">
        <v>824.87</v>
      </c>
      <c r="P240" s="2">
        <v>148.47999999999999</v>
      </c>
      <c r="Q240" s="2">
        <v>973.35</v>
      </c>
      <c r="R240" s="2">
        <v>973.35</v>
      </c>
      <c r="S240" s="2">
        <v>973.35</v>
      </c>
      <c r="T240" s="2" t="s">
        <v>28</v>
      </c>
      <c r="U240" s="2" t="b">
        <v>0</v>
      </c>
      <c r="V240" s="2" t="s">
        <v>29</v>
      </c>
      <c r="W240" s="2" t="s">
        <v>104</v>
      </c>
      <c r="X240" s="2" t="s">
        <v>105</v>
      </c>
      <c r="Y240" s="2" t="s">
        <v>745</v>
      </c>
      <c r="Z240" s="2" t="s">
        <v>31</v>
      </c>
      <c r="AA240" s="2"/>
      <c r="AB240" s="2"/>
      <c r="AC240" s="2"/>
      <c r="AD240" s="2"/>
      <c r="AK240" s="8">
        <f t="shared" si="4"/>
        <v>45685</v>
      </c>
    </row>
    <row r="241" spans="1:37" ht="15" customHeight="1">
      <c r="A241" s="2" t="s">
        <v>746</v>
      </c>
      <c r="B241" s="2">
        <v>0</v>
      </c>
      <c r="C241" s="2"/>
      <c r="D241" s="2" t="s">
        <v>265</v>
      </c>
      <c r="E241" s="2" t="s">
        <v>747</v>
      </c>
      <c r="F241" s="3">
        <v>45685</v>
      </c>
      <c r="G241" s="3">
        <v>45685</v>
      </c>
      <c r="H241" s="3">
        <v>45685</v>
      </c>
      <c r="I241" s="2"/>
      <c r="J241" s="2"/>
      <c r="K241" s="2" t="s">
        <v>25</v>
      </c>
      <c r="L241" s="2" t="s">
        <v>26</v>
      </c>
      <c r="M241" s="2"/>
      <c r="N241" s="2" t="s">
        <v>27</v>
      </c>
      <c r="O241" s="2">
        <v>96.1</v>
      </c>
      <c r="P241" s="2">
        <v>17.3</v>
      </c>
      <c r="Q241" s="2">
        <v>113.4</v>
      </c>
      <c r="R241" s="2">
        <v>113.4</v>
      </c>
      <c r="S241" s="2">
        <v>113.4</v>
      </c>
      <c r="T241" s="2" t="s">
        <v>28</v>
      </c>
      <c r="U241" s="2" t="b">
        <v>0</v>
      </c>
      <c r="V241" s="2" t="s">
        <v>29</v>
      </c>
      <c r="W241" s="2" t="s">
        <v>104</v>
      </c>
      <c r="X241" s="2" t="s">
        <v>105</v>
      </c>
      <c r="Y241" s="2" t="s">
        <v>748</v>
      </c>
      <c r="Z241" s="2" t="s">
        <v>31</v>
      </c>
      <c r="AA241" s="2"/>
      <c r="AB241" s="2"/>
      <c r="AC241" s="2"/>
      <c r="AD241" s="2"/>
      <c r="AK241" s="8">
        <f t="shared" si="4"/>
        <v>45685</v>
      </c>
    </row>
    <row r="242" spans="1:37" ht="15" customHeight="1">
      <c r="A242" s="2" t="s">
        <v>749</v>
      </c>
      <c r="B242" s="2">
        <v>0</v>
      </c>
      <c r="C242" s="2"/>
      <c r="D242" s="2" t="s">
        <v>265</v>
      </c>
      <c r="E242" s="2" t="s">
        <v>747</v>
      </c>
      <c r="F242" s="3">
        <v>45685</v>
      </c>
      <c r="G242" s="3">
        <v>45685</v>
      </c>
      <c r="H242" s="3">
        <v>45685</v>
      </c>
      <c r="I242" s="2"/>
      <c r="J242" s="2"/>
      <c r="K242" s="2" t="s">
        <v>25</v>
      </c>
      <c r="L242" s="2" t="s">
        <v>26</v>
      </c>
      <c r="M242" s="2"/>
      <c r="N242" s="2" t="s">
        <v>27</v>
      </c>
      <c r="O242" s="2">
        <v>95.97</v>
      </c>
      <c r="P242" s="2">
        <v>17.27</v>
      </c>
      <c r="Q242" s="2">
        <v>113.24</v>
      </c>
      <c r="R242" s="2">
        <v>113.24</v>
      </c>
      <c r="S242" s="2">
        <v>113.24</v>
      </c>
      <c r="T242" s="2" t="s">
        <v>28</v>
      </c>
      <c r="U242" s="2" t="b">
        <v>0</v>
      </c>
      <c r="V242" s="2" t="s">
        <v>29</v>
      </c>
      <c r="W242" s="2" t="s">
        <v>104</v>
      </c>
      <c r="X242" s="2" t="s">
        <v>105</v>
      </c>
      <c r="Y242" s="2" t="s">
        <v>750</v>
      </c>
      <c r="Z242" s="2" t="s">
        <v>31</v>
      </c>
      <c r="AA242" s="2"/>
      <c r="AB242" s="2"/>
      <c r="AC242" s="2"/>
      <c r="AD242" s="2"/>
      <c r="AK242" s="8">
        <f t="shared" si="4"/>
        <v>45685</v>
      </c>
    </row>
    <row r="243" spans="1:37" ht="15" customHeight="1">
      <c r="A243" s="2" t="s">
        <v>751</v>
      </c>
      <c r="B243" s="2">
        <v>0</v>
      </c>
      <c r="C243" s="2"/>
      <c r="D243" s="2" t="s">
        <v>298</v>
      </c>
      <c r="E243" s="2" t="s">
        <v>34</v>
      </c>
      <c r="F243" s="3">
        <v>45684</v>
      </c>
      <c r="G243" s="3">
        <v>45684</v>
      </c>
      <c r="H243" s="3">
        <v>45684</v>
      </c>
      <c r="I243" s="2"/>
      <c r="J243" s="2"/>
      <c r="K243" s="2" t="s">
        <v>25</v>
      </c>
      <c r="L243" s="2" t="s">
        <v>26</v>
      </c>
      <c r="M243" s="2"/>
      <c r="N243" s="2" t="s">
        <v>27</v>
      </c>
      <c r="O243" s="2">
        <v>800</v>
      </c>
      <c r="P243" s="2">
        <v>144</v>
      </c>
      <c r="Q243" s="2">
        <v>944</v>
      </c>
      <c r="R243" s="2">
        <v>944</v>
      </c>
      <c r="S243" s="2">
        <v>944</v>
      </c>
      <c r="T243" s="2" t="s">
        <v>28</v>
      </c>
      <c r="U243" s="2" t="b">
        <v>0</v>
      </c>
      <c r="V243" s="2" t="s">
        <v>29</v>
      </c>
      <c r="W243" s="2" t="s">
        <v>104</v>
      </c>
      <c r="X243" s="2" t="s">
        <v>105</v>
      </c>
      <c r="Y243" s="2" t="s">
        <v>752</v>
      </c>
      <c r="Z243" s="2" t="s">
        <v>31</v>
      </c>
      <c r="AA243" s="2"/>
      <c r="AB243" s="2"/>
      <c r="AC243" s="2"/>
      <c r="AD243" s="2"/>
      <c r="AK243" s="8">
        <f t="shared" si="4"/>
        <v>45684</v>
      </c>
    </row>
    <row r="244" spans="1:37" ht="15" customHeight="1">
      <c r="A244" s="2" t="s">
        <v>753</v>
      </c>
      <c r="B244" s="2">
        <v>0</v>
      </c>
      <c r="C244" s="2"/>
      <c r="D244" s="2" t="s">
        <v>298</v>
      </c>
      <c r="E244" s="2" t="s">
        <v>34</v>
      </c>
      <c r="F244" s="3">
        <v>45680</v>
      </c>
      <c r="G244" s="3">
        <v>45680</v>
      </c>
      <c r="H244" s="3">
        <v>45680</v>
      </c>
      <c r="I244" s="2"/>
      <c r="J244" s="2"/>
      <c r="K244" s="2" t="s">
        <v>25</v>
      </c>
      <c r="L244" s="2" t="s">
        <v>26</v>
      </c>
      <c r="M244" s="2"/>
      <c r="N244" s="2" t="s">
        <v>27</v>
      </c>
      <c r="O244" s="2">
        <v>910</v>
      </c>
      <c r="P244" s="2">
        <v>163.80000000000001</v>
      </c>
      <c r="Q244" s="2">
        <v>1073.8</v>
      </c>
      <c r="R244" s="2">
        <v>1073.8</v>
      </c>
      <c r="S244" s="2">
        <v>1073.8</v>
      </c>
      <c r="T244" s="2" t="s">
        <v>28</v>
      </c>
      <c r="U244" s="2" t="b">
        <v>0</v>
      </c>
      <c r="V244" s="2" t="s">
        <v>29</v>
      </c>
      <c r="W244" s="2" t="s">
        <v>104</v>
      </c>
      <c r="X244" s="2" t="s">
        <v>105</v>
      </c>
      <c r="Y244" s="2" t="s">
        <v>754</v>
      </c>
      <c r="Z244" s="2" t="s">
        <v>31</v>
      </c>
      <c r="AA244" s="2"/>
      <c r="AB244" s="2"/>
      <c r="AC244" s="2"/>
      <c r="AD244" s="2"/>
      <c r="AK244" s="8">
        <f t="shared" si="4"/>
        <v>45680</v>
      </c>
    </row>
    <row r="245" spans="1:37" ht="15" customHeight="1">
      <c r="A245" s="2" t="s">
        <v>755</v>
      </c>
      <c r="B245" s="2">
        <v>0</v>
      </c>
      <c r="C245" s="2"/>
      <c r="D245" s="2" t="s">
        <v>298</v>
      </c>
      <c r="E245" s="2" t="s">
        <v>756</v>
      </c>
      <c r="F245" s="3">
        <v>45680</v>
      </c>
      <c r="G245" s="3">
        <v>45680</v>
      </c>
      <c r="H245" s="3">
        <v>45680</v>
      </c>
      <c r="I245" s="2"/>
      <c r="J245" s="2"/>
      <c r="K245" s="2" t="s">
        <v>25</v>
      </c>
      <c r="L245" s="2" t="s">
        <v>26</v>
      </c>
      <c r="M245" s="2"/>
      <c r="N245" s="2" t="s">
        <v>27</v>
      </c>
      <c r="O245" s="2">
        <v>25.35</v>
      </c>
      <c r="P245" s="2">
        <v>4.5599999999999996</v>
      </c>
      <c r="Q245" s="2">
        <v>29.91</v>
      </c>
      <c r="R245" s="2">
        <v>29.91</v>
      </c>
      <c r="S245" s="2">
        <v>29.91</v>
      </c>
      <c r="T245" s="2" t="s">
        <v>28</v>
      </c>
      <c r="U245" s="2" t="b">
        <v>0</v>
      </c>
      <c r="V245" s="2" t="s">
        <v>29</v>
      </c>
      <c r="W245" s="2" t="s">
        <v>104</v>
      </c>
      <c r="X245" s="2" t="s">
        <v>105</v>
      </c>
      <c r="Y245" s="2" t="s">
        <v>757</v>
      </c>
      <c r="Z245" s="2" t="s">
        <v>31</v>
      </c>
      <c r="AA245" s="2"/>
      <c r="AB245" s="2"/>
      <c r="AC245" s="2"/>
      <c r="AD245" s="2"/>
      <c r="AK245" s="8">
        <f t="shared" si="4"/>
        <v>45680</v>
      </c>
    </row>
    <row r="246" spans="1:37" ht="15" customHeight="1">
      <c r="A246" s="2" t="s">
        <v>758</v>
      </c>
      <c r="B246" s="2">
        <v>0</v>
      </c>
      <c r="C246" s="2"/>
      <c r="D246" s="2" t="s">
        <v>298</v>
      </c>
      <c r="E246" s="2" t="s">
        <v>756</v>
      </c>
      <c r="F246" s="3">
        <v>45680</v>
      </c>
      <c r="G246" s="3">
        <v>45680</v>
      </c>
      <c r="H246" s="3">
        <v>45680</v>
      </c>
      <c r="I246" s="2"/>
      <c r="J246" s="2"/>
      <c r="K246" s="2" t="s">
        <v>25</v>
      </c>
      <c r="L246" s="2" t="s">
        <v>26</v>
      </c>
      <c r="M246" s="2"/>
      <c r="N246" s="2" t="s">
        <v>27</v>
      </c>
      <c r="O246" s="2">
        <v>100</v>
      </c>
      <c r="P246" s="2">
        <v>18</v>
      </c>
      <c r="Q246" s="2">
        <v>118</v>
      </c>
      <c r="R246" s="2">
        <v>118</v>
      </c>
      <c r="S246" s="2">
        <v>118</v>
      </c>
      <c r="T246" s="2" t="s">
        <v>28</v>
      </c>
      <c r="U246" s="2" t="b">
        <v>0</v>
      </c>
      <c r="V246" s="2" t="s">
        <v>29</v>
      </c>
      <c r="W246" s="2" t="s">
        <v>104</v>
      </c>
      <c r="X246" s="2" t="s">
        <v>105</v>
      </c>
      <c r="Y246" s="2" t="s">
        <v>759</v>
      </c>
      <c r="Z246" s="2" t="s">
        <v>31</v>
      </c>
      <c r="AA246" s="2"/>
      <c r="AB246" s="2"/>
      <c r="AC246" s="2"/>
      <c r="AD246" s="2"/>
      <c r="AK246" s="8">
        <f t="shared" si="4"/>
        <v>45680</v>
      </c>
    </row>
    <row r="247" spans="1:37" ht="15" customHeight="1">
      <c r="A247" s="2" t="s">
        <v>760</v>
      </c>
      <c r="B247" s="2">
        <v>0</v>
      </c>
      <c r="C247" s="2"/>
      <c r="D247" s="2" t="s">
        <v>298</v>
      </c>
      <c r="E247" s="2" t="s">
        <v>756</v>
      </c>
      <c r="F247" s="3">
        <v>45680</v>
      </c>
      <c r="G247" s="3">
        <v>45680</v>
      </c>
      <c r="H247" s="3">
        <v>45680</v>
      </c>
      <c r="I247" s="2"/>
      <c r="J247" s="2"/>
      <c r="K247" s="2" t="s">
        <v>25</v>
      </c>
      <c r="L247" s="2" t="s">
        <v>26</v>
      </c>
      <c r="M247" s="2"/>
      <c r="N247" s="2" t="s">
        <v>27</v>
      </c>
      <c r="O247" s="2">
        <v>100</v>
      </c>
      <c r="P247" s="2">
        <v>18</v>
      </c>
      <c r="Q247" s="2">
        <v>118</v>
      </c>
      <c r="R247" s="2">
        <v>118</v>
      </c>
      <c r="S247" s="2">
        <v>118</v>
      </c>
      <c r="T247" s="2" t="s">
        <v>28</v>
      </c>
      <c r="U247" s="2" t="b">
        <v>0</v>
      </c>
      <c r="V247" s="2" t="s">
        <v>29</v>
      </c>
      <c r="W247" s="2" t="s">
        <v>104</v>
      </c>
      <c r="X247" s="2" t="s">
        <v>105</v>
      </c>
      <c r="Y247" s="2" t="s">
        <v>761</v>
      </c>
      <c r="Z247" s="2" t="s">
        <v>31</v>
      </c>
      <c r="AA247" s="2"/>
      <c r="AB247" s="2"/>
      <c r="AC247" s="2"/>
      <c r="AD247" s="2"/>
      <c r="AK247" s="8">
        <f t="shared" si="4"/>
        <v>45680</v>
      </c>
    </row>
    <row r="248" spans="1:37" ht="15" customHeight="1">
      <c r="A248" s="2" t="s">
        <v>762</v>
      </c>
      <c r="B248" s="2">
        <v>0</v>
      </c>
      <c r="C248" s="2"/>
      <c r="D248" s="2" t="s">
        <v>298</v>
      </c>
      <c r="E248" s="2" t="s">
        <v>756</v>
      </c>
      <c r="F248" s="3">
        <v>45680</v>
      </c>
      <c r="G248" s="3">
        <v>45680</v>
      </c>
      <c r="H248" s="3">
        <v>45680</v>
      </c>
      <c r="I248" s="2"/>
      <c r="J248" s="2"/>
      <c r="K248" s="2" t="s">
        <v>25</v>
      </c>
      <c r="L248" s="2" t="s">
        <v>26</v>
      </c>
      <c r="M248" s="2"/>
      <c r="N248" s="2" t="s">
        <v>27</v>
      </c>
      <c r="O248" s="2">
        <v>6508.39</v>
      </c>
      <c r="P248" s="2">
        <v>1171.51</v>
      </c>
      <c r="Q248" s="2">
        <v>7679.9</v>
      </c>
      <c r="R248" s="2">
        <v>7679.9</v>
      </c>
      <c r="S248" s="2">
        <v>7679.9</v>
      </c>
      <c r="T248" s="2" t="s">
        <v>28</v>
      </c>
      <c r="U248" s="2" t="b">
        <v>0</v>
      </c>
      <c r="V248" s="2" t="s">
        <v>29</v>
      </c>
      <c r="W248" s="2" t="s">
        <v>104</v>
      </c>
      <c r="X248" s="2" t="s">
        <v>105</v>
      </c>
      <c r="Y248" s="2" t="s">
        <v>763</v>
      </c>
      <c r="Z248" s="2" t="s">
        <v>31</v>
      </c>
      <c r="AA248" s="2"/>
      <c r="AB248" s="2"/>
      <c r="AC248" s="2"/>
      <c r="AD248" s="2"/>
      <c r="AK248" s="8">
        <f t="shared" si="4"/>
        <v>45680</v>
      </c>
    </row>
    <row r="249" spans="1:37" ht="15" customHeight="1">
      <c r="A249" s="2" t="s">
        <v>764</v>
      </c>
      <c r="B249" s="2">
        <v>0</v>
      </c>
      <c r="C249" s="2"/>
      <c r="D249" s="2" t="s">
        <v>298</v>
      </c>
      <c r="E249" s="2" t="s">
        <v>756</v>
      </c>
      <c r="F249" s="3">
        <v>45680</v>
      </c>
      <c r="G249" s="3">
        <v>45680</v>
      </c>
      <c r="H249" s="3">
        <v>45680</v>
      </c>
      <c r="I249" s="2"/>
      <c r="J249" s="2"/>
      <c r="K249" s="2" t="s">
        <v>25</v>
      </c>
      <c r="L249" s="2" t="s">
        <v>26</v>
      </c>
      <c r="M249" s="2"/>
      <c r="N249" s="2" t="s">
        <v>27</v>
      </c>
      <c r="O249" s="2">
        <v>5640.85</v>
      </c>
      <c r="P249" s="2">
        <v>1015.35</v>
      </c>
      <c r="Q249" s="2">
        <v>6656.2</v>
      </c>
      <c r="R249" s="2">
        <v>6656.2</v>
      </c>
      <c r="S249" s="2">
        <v>6656.2</v>
      </c>
      <c r="T249" s="2" t="s">
        <v>28</v>
      </c>
      <c r="U249" s="2" t="b">
        <v>0</v>
      </c>
      <c r="V249" s="2" t="s">
        <v>29</v>
      </c>
      <c r="W249" s="2" t="s">
        <v>104</v>
      </c>
      <c r="X249" s="2" t="s">
        <v>105</v>
      </c>
      <c r="Y249" s="2" t="s">
        <v>765</v>
      </c>
      <c r="Z249" s="2" t="s">
        <v>31</v>
      </c>
      <c r="AA249" s="2"/>
      <c r="AB249" s="2"/>
      <c r="AC249" s="2"/>
      <c r="AD249" s="2"/>
      <c r="AK249" s="8">
        <f t="shared" si="4"/>
        <v>45680</v>
      </c>
    </row>
    <row r="250" spans="1:37" ht="15" customHeight="1">
      <c r="A250" s="2" t="s">
        <v>766</v>
      </c>
      <c r="B250" s="2">
        <v>0</v>
      </c>
      <c r="C250" s="2"/>
      <c r="D250" s="2" t="s">
        <v>298</v>
      </c>
      <c r="E250" s="2" t="s">
        <v>394</v>
      </c>
      <c r="F250" s="3">
        <v>45680</v>
      </c>
      <c r="G250" s="3">
        <v>45680</v>
      </c>
      <c r="H250" s="3">
        <v>45680</v>
      </c>
      <c r="I250" s="2"/>
      <c r="J250" s="2"/>
      <c r="K250" s="2" t="s">
        <v>25</v>
      </c>
      <c r="L250" s="2" t="s">
        <v>26</v>
      </c>
      <c r="M250" s="2"/>
      <c r="N250" s="2" t="s">
        <v>27</v>
      </c>
      <c r="O250" s="2">
        <v>170</v>
      </c>
      <c r="P250" s="2">
        <v>30.6</v>
      </c>
      <c r="Q250" s="2">
        <v>200.6</v>
      </c>
      <c r="R250" s="2">
        <v>200.6</v>
      </c>
      <c r="S250" s="2">
        <v>200.6</v>
      </c>
      <c r="T250" s="2" t="s">
        <v>28</v>
      </c>
      <c r="U250" s="2" t="b">
        <v>0</v>
      </c>
      <c r="V250" s="2" t="s">
        <v>29</v>
      </c>
      <c r="W250" s="2" t="s">
        <v>104</v>
      </c>
      <c r="X250" s="2" t="s">
        <v>105</v>
      </c>
      <c r="Y250" s="2" t="s">
        <v>767</v>
      </c>
      <c r="Z250" s="2" t="s">
        <v>31</v>
      </c>
      <c r="AA250" s="2"/>
      <c r="AB250" s="2"/>
      <c r="AC250" s="2"/>
      <c r="AD250" s="2"/>
      <c r="AK250" s="8">
        <f t="shared" si="4"/>
        <v>45680</v>
      </c>
    </row>
    <row r="251" spans="1:37" ht="15" customHeight="1">
      <c r="A251" s="2" t="s">
        <v>768</v>
      </c>
      <c r="B251" s="2">
        <v>0</v>
      </c>
      <c r="C251" s="2"/>
      <c r="D251" s="2" t="s">
        <v>298</v>
      </c>
      <c r="E251" s="2" t="s">
        <v>394</v>
      </c>
      <c r="F251" s="3">
        <v>45680</v>
      </c>
      <c r="G251" s="3">
        <v>45680</v>
      </c>
      <c r="H251" s="3">
        <v>45680</v>
      </c>
      <c r="I251" s="2"/>
      <c r="J251" s="2"/>
      <c r="K251" s="2" t="s">
        <v>25</v>
      </c>
      <c r="L251" s="2" t="s">
        <v>26</v>
      </c>
      <c r="M251" s="2"/>
      <c r="N251" s="2" t="s">
        <v>27</v>
      </c>
      <c r="O251" s="2">
        <v>187.63</v>
      </c>
      <c r="P251" s="2">
        <v>33.770000000000003</v>
      </c>
      <c r="Q251" s="2">
        <v>221.4</v>
      </c>
      <c r="R251" s="2">
        <v>221.4</v>
      </c>
      <c r="S251" s="2">
        <v>221.4</v>
      </c>
      <c r="T251" s="2" t="s">
        <v>28</v>
      </c>
      <c r="U251" s="2" t="b">
        <v>0</v>
      </c>
      <c r="V251" s="2" t="s">
        <v>29</v>
      </c>
      <c r="W251" s="2" t="s">
        <v>104</v>
      </c>
      <c r="X251" s="2" t="s">
        <v>105</v>
      </c>
      <c r="Y251" s="2" t="s">
        <v>769</v>
      </c>
      <c r="Z251" s="2" t="s">
        <v>31</v>
      </c>
      <c r="AA251" s="2"/>
      <c r="AB251" s="2"/>
      <c r="AC251" s="2"/>
      <c r="AD251" s="2"/>
      <c r="AK251" s="8">
        <f t="shared" si="4"/>
        <v>45680</v>
      </c>
    </row>
    <row r="252" spans="1:37" ht="15" customHeight="1">
      <c r="A252" s="2" t="s">
        <v>770</v>
      </c>
      <c r="B252" s="2">
        <v>0</v>
      </c>
      <c r="C252" s="2"/>
      <c r="D252" s="2" t="s">
        <v>298</v>
      </c>
      <c r="E252" s="2" t="s">
        <v>462</v>
      </c>
      <c r="F252" s="3">
        <v>45680</v>
      </c>
      <c r="G252" s="3">
        <v>45680</v>
      </c>
      <c r="H252" s="3">
        <v>45680</v>
      </c>
      <c r="I252" s="2"/>
      <c r="J252" s="2"/>
      <c r="K252" s="2" t="s">
        <v>25</v>
      </c>
      <c r="L252" s="2" t="s">
        <v>26</v>
      </c>
      <c r="M252" s="2"/>
      <c r="N252" s="2" t="s">
        <v>27</v>
      </c>
      <c r="O252" s="2">
        <v>5</v>
      </c>
      <c r="P252" s="2">
        <v>0.9</v>
      </c>
      <c r="Q252" s="2">
        <v>5.9</v>
      </c>
      <c r="R252" s="2">
        <v>5.9</v>
      </c>
      <c r="S252" s="2">
        <v>5.9</v>
      </c>
      <c r="T252" s="2" t="s">
        <v>28</v>
      </c>
      <c r="U252" s="2" t="b">
        <v>0</v>
      </c>
      <c r="V252" s="2" t="s">
        <v>29</v>
      </c>
      <c r="W252" s="2" t="s">
        <v>104</v>
      </c>
      <c r="X252" s="2" t="s">
        <v>105</v>
      </c>
      <c r="Y252" s="2" t="s">
        <v>771</v>
      </c>
      <c r="Z252" s="2" t="s">
        <v>31</v>
      </c>
      <c r="AA252" s="2"/>
      <c r="AB252" s="2"/>
      <c r="AC252" s="2"/>
      <c r="AD252" s="2"/>
      <c r="AK252" s="8">
        <f t="shared" si="4"/>
        <v>45680</v>
      </c>
    </row>
    <row r="253" spans="1:37" ht="15" customHeight="1">
      <c r="A253" s="2" t="s">
        <v>772</v>
      </c>
      <c r="B253" s="2">
        <v>0</v>
      </c>
      <c r="C253" s="2"/>
      <c r="D253" s="2" t="s">
        <v>298</v>
      </c>
      <c r="E253" s="2" t="s">
        <v>462</v>
      </c>
      <c r="F253" s="3">
        <v>45680</v>
      </c>
      <c r="G253" s="3">
        <v>45680</v>
      </c>
      <c r="H253" s="3">
        <v>45680</v>
      </c>
      <c r="I253" s="2"/>
      <c r="J253" s="2"/>
      <c r="K253" s="2" t="s">
        <v>25</v>
      </c>
      <c r="L253" s="2" t="s">
        <v>26</v>
      </c>
      <c r="M253" s="2"/>
      <c r="N253" s="2" t="s">
        <v>27</v>
      </c>
      <c r="O253" s="2">
        <v>400.93</v>
      </c>
      <c r="P253" s="2">
        <v>72.17</v>
      </c>
      <c r="Q253" s="2">
        <v>473.1</v>
      </c>
      <c r="R253" s="2">
        <v>473.1</v>
      </c>
      <c r="S253" s="2">
        <v>473.1</v>
      </c>
      <c r="T253" s="2" t="s">
        <v>28</v>
      </c>
      <c r="U253" s="2" t="b">
        <v>0</v>
      </c>
      <c r="V253" s="2" t="s">
        <v>29</v>
      </c>
      <c r="W253" s="2" t="s">
        <v>104</v>
      </c>
      <c r="X253" s="2" t="s">
        <v>105</v>
      </c>
      <c r="Y253" s="2" t="s">
        <v>773</v>
      </c>
      <c r="Z253" s="2" t="s">
        <v>31</v>
      </c>
      <c r="AA253" s="2"/>
      <c r="AB253" s="2"/>
      <c r="AC253" s="2"/>
      <c r="AD253" s="2"/>
      <c r="AK253" s="8">
        <f t="shared" si="4"/>
        <v>45680</v>
      </c>
    </row>
    <row r="254" spans="1:37" ht="15" customHeight="1">
      <c r="A254" s="2" t="s">
        <v>774</v>
      </c>
      <c r="B254" s="2">
        <v>0</v>
      </c>
      <c r="C254" s="2"/>
      <c r="D254" s="2" t="s">
        <v>298</v>
      </c>
      <c r="E254" s="2" t="s">
        <v>462</v>
      </c>
      <c r="F254" s="3">
        <v>45680</v>
      </c>
      <c r="G254" s="3">
        <v>45680</v>
      </c>
      <c r="H254" s="3">
        <v>45680</v>
      </c>
      <c r="I254" s="2"/>
      <c r="J254" s="2"/>
      <c r="K254" s="2" t="s">
        <v>25</v>
      </c>
      <c r="L254" s="2" t="s">
        <v>26</v>
      </c>
      <c r="M254" s="2"/>
      <c r="N254" s="2" t="s">
        <v>27</v>
      </c>
      <c r="O254" s="2">
        <v>289.32</v>
      </c>
      <c r="P254" s="2">
        <v>52.08</v>
      </c>
      <c r="Q254" s="2">
        <v>341.4</v>
      </c>
      <c r="R254" s="2">
        <v>341.4</v>
      </c>
      <c r="S254" s="2">
        <v>341.4</v>
      </c>
      <c r="T254" s="2" t="s">
        <v>28</v>
      </c>
      <c r="U254" s="2" t="b">
        <v>0</v>
      </c>
      <c r="V254" s="2" t="s">
        <v>29</v>
      </c>
      <c r="W254" s="2" t="s">
        <v>104</v>
      </c>
      <c r="X254" s="2" t="s">
        <v>105</v>
      </c>
      <c r="Y254" s="2" t="s">
        <v>775</v>
      </c>
      <c r="Z254" s="2" t="s">
        <v>31</v>
      </c>
      <c r="AA254" s="2"/>
      <c r="AB254" s="2"/>
      <c r="AC254" s="2"/>
      <c r="AD254" s="2"/>
      <c r="AK254" s="8">
        <f t="shared" si="4"/>
        <v>45680</v>
      </c>
    </row>
    <row r="255" spans="1:37" ht="15" customHeight="1">
      <c r="A255" s="2" t="s">
        <v>776</v>
      </c>
      <c r="B255" s="2">
        <v>0</v>
      </c>
      <c r="C255" s="2"/>
      <c r="D255" s="2" t="s">
        <v>298</v>
      </c>
      <c r="E255" s="2" t="s">
        <v>442</v>
      </c>
      <c r="F255" s="3">
        <v>45680</v>
      </c>
      <c r="G255" s="3">
        <v>45680</v>
      </c>
      <c r="H255" s="3">
        <v>45680</v>
      </c>
      <c r="I255" s="2"/>
      <c r="J255" s="2"/>
      <c r="K255" s="2" t="s">
        <v>25</v>
      </c>
      <c r="L255" s="2" t="s">
        <v>26</v>
      </c>
      <c r="M255" s="2"/>
      <c r="N255" s="2" t="s">
        <v>27</v>
      </c>
      <c r="O255" s="2">
        <v>106.95</v>
      </c>
      <c r="P255" s="2">
        <v>19.25</v>
      </c>
      <c r="Q255" s="2">
        <v>126.2</v>
      </c>
      <c r="R255" s="2">
        <v>126.2</v>
      </c>
      <c r="S255" s="2">
        <v>126.2</v>
      </c>
      <c r="T255" s="2" t="s">
        <v>28</v>
      </c>
      <c r="U255" s="2" t="b">
        <v>0</v>
      </c>
      <c r="V255" s="2" t="s">
        <v>29</v>
      </c>
      <c r="W255" s="2" t="s">
        <v>104</v>
      </c>
      <c r="X255" s="2" t="s">
        <v>105</v>
      </c>
      <c r="Y255" s="2" t="s">
        <v>777</v>
      </c>
      <c r="Z255" s="2" t="s">
        <v>31</v>
      </c>
      <c r="AA255" s="2"/>
      <c r="AB255" s="2"/>
      <c r="AC255" s="2"/>
      <c r="AD255" s="2"/>
      <c r="AK255" s="8">
        <f t="shared" si="4"/>
        <v>45680</v>
      </c>
    </row>
    <row r="256" spans="1:37" ht="15" customHeight="1">
      <c r="A256" s="2" t="s">
        <v>778</v>
      </c>
      <c r="B256" s="2">
        <v>0</v>
      </c>
      <c r="C256" s="2"/>
      <c r="D256" s="2" t="s">
        <v>298</v>
      </c>
      <c r="E256" s="2" t="s">
        <v>442</v>
      </c>
      <c r="F256" s="3">
        <v>45680</v>
      </c>
      <c r="G256" s="3">
        <v>45680</v>
      </c>
      <c r="H256" s="3">
        <v>45680</v>
      </c>
      <c r="I256" s="2"/>
      <c r="J256" s="2"/>
      <c r="K256" s="2" t="s">
        <v>25</v>
      </c>
      <c r="L256" s="2" t="s">
        <v>26</v>
      </c>
      <c r="M256" s="2"/>
      <c r="N256" s="2" t="s">
        <v>27</v>
      </c>
      <c r="O256" s="2">
        <v>66.69</v>
      </c>
      <c r="P256" s="2">
        <v>12.01</v>
      </c>
      <c r="Q256" s="2">
        <v>78.7</v>
      </c>
      <c r="R256" s="2">
        <v>78.7</v>
      </c>
      <c r="S256" s="2">
        <v>78.7</v>
      </c>
      <c r="T256" s="2" t="s">
        <v>28</v>
      </c>
      <c r="U256" s="2" t="b">
        <v>0</v>
      </c>
      <c r="V256" s="2" t="s">
        <v>29</v>
      </c>
      <c r="W256" s="2" t="s">
        <v>104</v>
      </c>
      <c r="X256" s="2" t="s">
        <v>105</v>
      </c>
      <c r="Y256" s="2" t="s">
        <v>779</v>
      </c>
      <c r="Z256" s="2" t="s">
        <v>31</v>
      </c>
      <c r="AA256" s="2"/>
      <c r="AB256" s="2"/>
      <c r="AC256" s="2"/>
      <c r="AD256" s="2"/>
      <c r="AK256" s="8">
        <f t="shared" si="4"/>
        <v>45680</v>
      </c>
    </row>
    <row r="257" spans="1:37" ht="15" customHeight="1">
      <c r="A257" s="2" t="s">
        <v>780</v>
      </c>
      <c r="B257" s="2">
        <v>0</v>
      </c>
      <c r="C257" s="2"/>
      <c r="D257" s="2" t="s">
        <v>298</v>
      </c>
      <c r="E257" s="2" t="s">
        <v>452</v>
      </c>
      <c r="F257" s="3">
        <v>45680</v>
      </c>
      <c r="G257" s="3">
        <v>45680</v>
      </c>
      <c r="H257" s="3">
        <v>45680</v>
      </c>
      <c r="I257" s="2"/>
      <c r="J257" s="2"/>
      <c r="K257" s="2" t="s">
        <v>25</v>
      </c>
      <c r="L257" s="2" t="s">
        <v>26</v>
      </c>
      <c r="M257" s="2"/>
      <c r="N257" s="2" t="s">
        <v>27</v>
      </c>
      <c r="O257" s="2">
        <v>54.75</v>
      </c>
      <c r="P257" s="2">
        <v>9.85</v>
      </c>
      <c r="Q257" s="2">
        <v>64.599999999999994</v>
      </c>
      <c r="R257" s="2">
        <v>64.599999999999994</v>
      </c>
      <c r="S257" s="2">
        <v>64.599999999999994</v>
      </c>
      <c r="T257" s="2" t="s">
        <v>28</v>
      </c>
      <c r="U257" s="2" t="b">
        <v>0</v>
      </c>
      <c r="V257" s="2" t="s">
        <v>29</v>
      </c>
      <c r="W257" s="2" t="s">
        <v>104</v>
      </c>
      <c r="X257" s="2" t="s">
        <v>105</v>
      </c>
      <c r="Y257" s="2" t="s">
        <v>781</v>
      </c>
      <c r="Z257" s="2" t="s">
        <v>31</v>
      </c>
      <c r="AA257" s="2"/>
      <c r="AB257" s="2"/>
      <c r="AC257" s="2"/>
      <c r="AD257" s="2"/>
      <c r="AK257" s="8">
        <f t="shared" si="4"/>
        <v>45680</v>
      </c>
    </row>
    <row r="258" spans="1:37" ht="15" customHeight="1">
      <c r="A258" s="2" t="s">
        <v>782</v>
      </c>
      <c r="B258" s="2">
        <v>0</v>
      </c>
      <c r="C258" s="2"/>
      <c r="D258" s="2" t="s">
        <v>298</v>
      </c>
      <c r="E258" s="2" t="s">
        <v>452</v>
      </c>
      <c r="F258" s="3">
        <v>45680</v>
      </c>
      <c r="G258" s="3">
        <v>45680</v>
      </c>
      <c r="H258" s="3">
        <v>45680</v>
      </c>
      <c r="I258" s="2"/>
      <c r="J258" s="2"/>
      <c r="K258" s="2" t="s">
        <v>25</v>
      </c>
      <c r="L258" s="2" t="s">
        <v>26</v>
      </c>
      <c r="M258" s="2"/>
      <c r="N258" s="2" t="s">
        <v>27</v>
      </c>
      <c r="O258" s="2">
        <v>33.22</v>
      </c>
      <c r="P258" s="2">
        <v>5.98</v>
      </c>
      <c r="Q258" s="2">
        <v>39.200000000000003</v>
      </c>
      <c r="R258" s="2">
        <v>39.200000000000003</v>
      </c>
      <c r="S258" s="2">
        <v>39.200000000000003</v>
      </c>
      <c r="T258" s="2" t="s">
        <v>28</v>
      </c>
      <c r="U258" s="2" t="b">
        <v>0</v>
      </c>
      <c r="V258" s="2" t="s">
        <v>29</v>
      </c>
      <c r="W258" s="2" t="s">
        <v>104</v>
      </c>
      <c r="X258" s="2" t="s">
        <v>105</v>
      </c>
      <c r="Y258" s="2" t="s">
        <v>783</v>
      </c>
      <c r="Z258" s="2" t="s">
        <v>31</v>
      </c>
      <c r="AA258" s="2"/>
      <c r="AB258" s="2"/>
      <c r="AC258" s="2"/>
      <c r="AD258" s="2"/>
      <c r="AK258" s="8">
        <f t="shared" si="4"/>
        <v>45680</v>
      </c>
    </row>
    <row r="259" spans="1:37" ht="15" customHeight="1">
      <c r="A259" s="2" t="s">
        <v>784</v>
      </c>
      <c r="B259" s="2">
        <v>0</v>
      </c>
      <c r="C259" s="2"/>
      <c r="D259" s="2" t="s">
        <v>298</v>
      </c>
      <c r="E259" s="2" t="s">
        <v>785</v>
      </c>
      <c r="F259" s="3">
        <v>45680</v>
      </c>
      <c r="G259" s="3">
        <v>45680</v>
      </c>
      <c r="H259" s="3">
        <v>45680</v>
      </c>
      <c r="I259" s="2"/>
      <c r="J259" s="2"/>
      <c r="K259" s="2" t="s">
        <v>25</v>
      </c>
      <c r="L259" s="2" t="s">
        <v>26</v>
      </c>
      <c r="M259" s="2"/>
      <c r="N259" s="2" t="s">
        <v>27</v>
      </c>
      <c r="O259" s="2">
        <v>97.37</v>
      </c>
      <c r="P259" s="2">
        <v>17.53</v>
      </c>
      <c r="Q259" s="2">
        <v>114.9</v>
      </c>
      <c r="R259" s="2">
        <v>114.9</v>
      </c>
      <c r="S259" s="2">
        <v>114.9</v>
      </c>
      <c r="T259" s="2" t="s">
        <v>28</v>
      </c>
      <c r="U259" s="2" t="b">
        <v>0</v>
      </c>
      <c r="V259" s="2" t="s">
        <v>29</v>
      </c>
      <c r="W259" s="2" t="s">
        <v>104</v>
      </c>
      <c r="X259" s="2" t="s">
        <v>105</v>
      </c>
      <c r="Y259" s="2" t="s">
        <v>786</v>
      </c>
      <c r="Z259" s="2" t="s">
        <v>31</v>
      </c>
      <c r="AA259" s="2"/>
      <c r="AB259" s="2"/>
      <c r="AC259" s="2"/>
      <c r="AD259" s="2"/>
      <c r="AK259" s="8">
        <f t="shared" si="4"/>
        <v>45680</v>
      </c>
    </row>
    <row r="260" spans="1:37" ht="15" customHeight="1">
      <c r="A260" s="2" t="s">
        <v>787</v>
      </c>
      <c r="B260" s="2">
        <v>0</v>
      </c>
      <c r="C260" s="2"/>
      <c r="D260" s="2" t="s">
        <v>298</v>
      </c>
      <c r="E260" s="2" t="s">
        <v>785</v>
      </c>
      <c r="F260" s="3">
        <v>45680</v>
      </c>
      <c r="G260" s="3">
        <v>45680</v>
      </c>
      <c r="H260" s="3">
        <v>45680</v>
      </c>
      <c r="I260" s="2"/>
      <c r="J260" s="2"/>
      <c r="K260" s="2" t="s">
        <v>25</v>
      </c>
      <c r="L260" s="2" t="s">
        <v>26</v>
      </c>
      <c r="M260" s="2"/>
      <c r="N260" s="2" t="s">
        <v>27</v>
      </c>
      <c r="O260" s="2">
        <v>59.07</v>
      </c>
      <c r="P260" s="2">
        <v>10.63</v>
      </c>
      <c r="Q260" s="2">
        <v>69.7</v>
      </c>
      <c r="R260" s="2">
        <v>69.7</v>
      </c>
      <c r="S260" s="2">
        <v>69.7</v>
      </c>
      <c r="T260" s="2" t="s">
        <v>28</v>
      </c>
      <c r="U260" s="2" t="b">
        <v>0</v>
      </c>
      <c r="V260" s="2" t="s">
        <v>29</v>
      </c>
      <c r="W260" s="2" t="s">
        <v>104</v>
      </c>
      <c r="X260" s="2" t="s">
        <v>105</v>
      </c>
      <c r="Y260" s="2" t="s">
        <v>788</v>
      </c>
      <c r="Z260" s="2" t="s">
        <v>31</v>
      </c>
      <c r="AA260" s="2"/>
      <c r="AB260" s="2"/>
      <c r="AC260" s="2"/>
      <c r="AD260" s="2"/>
      <c r="AK260" s="8">
        <f t="shared" si="4"/>
        <v>45680</v>
      </c>
    </row>
    <row r="261" spans="1:37" ht="15" customHeight="1">
      <c r="A261" s="2" t="s">
        <v>789</v>
      </c>
      <c r="B261" s="2">
        <v>0</v>
      </c>
      <c r="C261" s="2"/>
      <c r="D261" s="2" t="s">
        <v>298</v>
      </c>
      <c r="E261" s="2" t="s">
        <v>415</v>
      </c>
      <c r="F261" s="3">
        <v>45680</v>
      </c>
      <c r="G261" s="3">
        <v>45680</v>
      </c>
      <c r="H261" s="3">
        <v>45680</v>
      </c>
      <c r="I261" s="2"/>
      <c r="J261" s="2"/>
      <c r="K261" s="2" t="s">
        <v>25</v>
      </c>
      <c r="L261" s="2" t="s">
        <v>26</v>
      </c>
      <c r="M261" s="2"/>
      <c r="N261" s="2" t="s">
        <v>27</v>
      </c>
      <c r="O261" s="2">
        <v>1</v>
      </c>
      <c r="P261" s="2">
        <v>0.18</v>
      </c>
      <c r="Q261" s="2">
        <v>1.18</v>
      </c>
      <c r="R261" s="2">
        <v>1.18</v>
      </c>
      <c r="S261" s="2">
        <v>1.18</v>
      </c>
      <c r="T261" s="2" t="s">
        <v>28</v>
      </c>
      <c r="U261" s="2" t="b">
        <v>0</v>
      </c>
      <c r="V261" s="2" t="s">
        <v>29</v>
      </c>
      <c r="W261" s="2" t="s">
        <v>104</v>
      </c>
      <c r="X261" s="2" t="s">
        <v>105</v>
      </c>
      <c r="Y261" s="2" t="s">
        <v>790</v>
      </c>
      <c r="Z261" s="2" t="s">
        <v>31</v>
      </c>
      <c r="AA261" s="2"/>
      <c r="AB261" s="2"/>
      <c r="AC261" s="2"/>
      <c r="AD261" s="2"/>
      <c r="AK261" s="8">
        <f t="shared" si="4"/>
        <v>45680</v>
      </c>
    </row>
    <row r="262" spans="1:37" ht="15" customHeight="1">
      <c r="A262" s="2" t="s">
        <v>791</v>
      </c>
      <c r="B262" s="2">
        <v>0</v>
      </c>
      <c r="C262" s="2"/>
      <c r="D262" s="2" t="s">
        <v>298</v>
      </c>
      <c r="E262" s="2" t="s">
        <v>415</v>
      </c>
      <c r="F262" s="3">
        <v>45680</v>
      </c>
      <c r="G262" s="3">
        <v>45680</v>
      </c>
      <c r="H262" s="3">
        <v>45680</v>
      </c>
      <c r="I262" s="2"/>
      <c r="J262" s="2"/>
      <c r="K262" s="2" t="s">
        <v>25</v>
      </c>
      <c r="L262" s="2" t="s">
        <v>26</v>
      </c>
      <c r="M262" s="2"/>
      <c r="N262" s="2" t="s">
        <v>27</v>
      </c>
      <c r="O262" s="2">
        <v>1400</v>
      </c>
      <c r="P262" s="2">
        <v>252</v>
      </c>
      <c r="Q262" s="2">
        <v>1652</v>
      </c>
      <c r="R262" s="2">
        <v>1652</v>
      </c>
      <c r="S262" s="2">
        <v>1652</v>
      </c>
      <c r="T262" s="2" t="s">
        <v>28</v>
      </c>
      <c r="U262" s="2" t="b">
        <v>0</v>
      </c>
      <c r="V262" s="2" t="s">
        <v>29</v>
      </c>
      <c r="W262" s="2" t="s">
        <v>104</v>
      </c>
      <c r="X262" s="2" t="s">
        <v>105</v>
      </c>
      <c r="Y262" s="2" t="s">
        <v>792</v>
      </c>
      <c r="Z262" s="2" t="s">
        <v>31</v>
      </c>
      <c r="AA262" s="2"/>
      <c r="AB262" s="2"/>
      <c r="AC262" s="2"/>
      <c r="AD262" s="2"/>
      <c r="AK262" s="8">
        <f t="shared" si="4"/>
        <v>45680</v>
      </c>
    </row>
    <row r="263" spans="1:37" ht="15" customHeight="1">
      <c r="A263" s="2" t="s">
        <v>793</v>
      </c>
      <c r="B263" s="2">
        <v>0</v>
      </c>
      <c r="C263" s="2"/>
      <c r="D263" s="2" t="s">
        <v>298</v>
      </c>
      <c r="E263" s="2" t="s">
        <v>415</v>
      </c>
      <c r="F263" s="3">
        <v>45680</v>
      </c>
      <c r="G263" s="3">
        <v>45680</v>
      </c>
      <c r="H263" s="3">
        <v>45680</v>
      </c>
      <c r="I263" s="2"/>
      <c r="J263" s="2"/>
      <c r="K263" s="2" t="s">
        <v>25</v>
      </c>
      <c r="L263" s="2" t="s">
        <v>26</v>
      </c>
      <c r="M263" s="2"/>
      <c r="N263" s="2" t="s">
        <v>27</v>
      </c>
      <c r="O263" s="2">
        <v>1400</v>
      </c>
      <c r="P263" s="2">
        <v>252</v>
      </c>
      <c r="Q263" s="2">
        <v>1652</v>
      </c>
      <c r="R263" s="2">
        <v>1652</v>
      </c>
      <c r="S263" s="2">
        <v>1652</v>
      </c>
      <c r="T263" s="2" t="s">
        <v>28</v>
      </c>
      <c r="U263" s="2" t="b">
        <v>0</v>
      </c>
      <c r="V263" s="2" t="s">
        <v>29</v>
      </c>
      <c r="W263" s="2" t="s">
        <v>104</v>
      </c>
      <c r="X263" s="2" t="s">
        <v>105</v>
      </c>
      <c r="Y263" s="2" t="s">
        <v>794</v>
      </c>
      <c r="Z263" s="2" t="s">
        <v>31</v>
      </c>
      <c r="AA263" s="2"/>
      <c r="AB263" s="2"/>
      <c r="AC263" s="2"/>
      <c r="AD263" s="2"/>
      <c r="AK263" s="8">
        <f t="shared" ref="AK263:AK326" si="5">+IF(AE263&lt;&gt;"",AE263,F263)</f>
        <v>45680</v>
      </c>
    </row>
    <row r="264" spans="1:37" ht="15" customHeight="1">
      <c r="A264" s="2" t="s">
        <v>795</v>
      </c>
      <c r="B264" s="2">
        <v>0</v>
      </c>
      <c r="C264" s="2"/>
      <c r="D264" s="2" t="s">
        <v>298</v>
      </c>
      <c r="E264" s="2" t="s">
        <v>415</v>
      </c>
      <c r="F264" s="3">
        <v>45680</v>
      </c>
      <c r="G264" s="3">
        <v>45680</v>
      </c>
      <c r="H264" s="3">
        <v>45680</v>
      </c>
      <c r="I264" s="2"/>
      <c r="J264" s="2"/>
      <c r="K264" s="2" t="s">
        <v>25</v>
      </c>
      <c r="L264" s="2" t="s">
        <v>26</v>
      </c>
      <c r="M264" s="2"/>
      <c r="N264" s="2" t="s">
        <v>27</v>
      </c>
      <c r="O264" s="2">
        <v>3754.15</v>
      </c>
      <c r="P264" s="2">
        <v>675.75</v>
      </c>
      <c r="Q264" s="2">
        <v>4429.8999999999996</v>
      </c>
      <c r="R264" s="2">
        <v>4429.8999999999996</v>
      </c>
      <c r="S264" s="2">
        <v>4429.8999999999996</v>
      </c>
      <c r="T264" s="2" t="s">
        <v>28</v>
      </c>
      <c r="U264" s="2" t="b">
        <v>0</v>
      </c>
      <c r="V264" s="2" t="s">
        <v>29</v>
      </c>
      <c r="W264" s="2" t="s">
        <v>104</v>
      </c>
      <c r="X264" s="2" t="s">
        <v>105</v>
      </c>
      <c r="Y264" s="2" t="s">
        <v>796</v>
      </c>
      <c r="Z264" s="2" t="s">
        <v>31</v>
      </c>
      <c r="AA264" s="2"/>
      <c r="AB264" s="2"/>
      <c r="AC264" s="2"/>
      <c r="AD264" s="2"/>
      <c r="AK264" s="8">
        <f t="shared" si="5"/>
        <v>45680</v>
      </c>
    </row>
    <row r="265" spans="1:37" ht="15" customHeight="1">
      <c r="A265" s="2" t="s">
        <v>797</v>
      </c>
      <c r="B265" s="2">
        <v>0</v>
      </c>
      <c r="C265" s="2"/>
      <c r="D265" s="2" t="s">
        <v>298</v>
      </c>
      <c r="E265" s="2" t="s">
        <v>415</v>
      </c>
      <c r="F265" s="3">
        <v>45680</v>
      </c>
      <c r="G265" s="3">
        <v>45680</v>
      </c>
      <c r="H265" s="3">
        <v>45680</v>
      </c>
      <c r="I265" s="2"/>
      <c r="J265" s="2"/>
      <c r="K265" s="2" t="s">
        <v>25</v>
      </c>
      <c r="L265" s="2" t="s">
        <v>26</v>
      </c>
      <c r="M265" s="2"/>
      <c r="N265" s="2" t="s">
        <v>27</v>
      </c>
      <c r="O265" s="2">
        <v>288.14</v>
      </c>
      <c r="P265" s="2">
        <v>51.86</v>
      </c>
      <c r="Q265" s="2">
        <v>340</v>
      </c>
      <c r="R265" s="2">
        <v>340</v>
      </c>
      <c r="S265" s="2">
        <v>340</v>
      </c>
      <c r="T265" s="2" t="s">
        <v>28</v>
      </c>
      <c r="U265" s="2" t="b">
        <v>0</v>
      </c>
      <c r="V265" s="2" t="s">
        <v>29</v>
      </c>
      <c r="W265" s="2" t="s">
        <v>104</v>
      </c>
      <c r="X265" s="2" t="s">
        <v>105</v>
      </c>
      <c r="Y265" s="2" t="s">
        <v>798</v>
      </c>
      <c r="Z265" s="2" t="s">
        <v>31</v>
      </c>
      <c r="AA265" s="2"/>
      <c r="AB265" s="2"/>
      <c r="AC265" s="2"/>
      <c r="AD265" s="2"/>
      <c r="AK265" s="8">
        <f t="shared" si="5"/>
        <v>45680</v>
      </c>
    </row>
    <row r="266" spans="1:37" ht="15" customHeight="1">
      <c r="A266" s="2" t="s">
        <v>799</v>
      </c>
      <c r="B266" s="2">
        <v>0</v>
      </c>
      <c r="C266" s="2"/>
      <c r="D266" s="2" t="s">
        <v>298</v>
      </c>
      <c r="E266" s="2" t="s">
        <v>415</v>
      </c>
      <c r="F266" s="3">
        <v>45680</v>
      </c>
      <c r="G266" s="3">
        <v>45680</v>
      </c>
      <c r="H266" s="3">
        <v>45680</v>
      </c>
      <c r="I266" s="2"/>
      <c r="J266" s="2"/>
      <c r="K266" s="2" t="s">
        <v>25</v>
      </c>
      <c r="L266" s="2" t="s">
        <v>26</v>
      </c>
      <c r="M266" s="2"/>
      <c r="N266" s="2" t="s">
        <v>27</v>
      </c>
      <c r="O266" s="2">
        <v>1</v>
      </c>
      <c r="P266" s="2">
        <v>0.18</v>
      </c>
      <c r="Q266" s="2">
        <v>1.18</v>
      </c>
      <c r="R266" s="2">
        <v>1.18</v>
      </c>
      <c r="S266" s="2">
        <v>1.18</v>
      </c>
      <c r="T266" s="2" t="s">
        <v>28</v>
      </c>
      <c r="U266" s="2" t="b">
        <v>0</v>
      </c>
      <c r="V266" s="2" t="s">
        <v>29</v>
      </c>
      <c r="W266" s="2" t="s">
        <v>104</v>
      </c>
      <c r="X266" s="2" t="s">
        <v>105</v>
      </c>
      <c r="Y266" s="2" t="s">
        <v>800</v>
      </c>
      <c r="Z266" s="2" t="s">
        <v>31</v>
      </c>
      <c r="AA266" s="2"/>
      <c r="AB266" s="2"/>
      <c r="AC266" s="2"/>
      <c r="AD266" s="2"/>
      <c r="AK266" s="8">
        <f t="shared" si="5"/>
        <v>45680</v>
      </c>
    </row>
    <row r="267" spans="1:37" ht="15" customHeight="1">
      <c r="A267" s="2" t="s">
        <v>801</v>
      </c>
      <c r="B267" s="2">
        <v>0</v>
      </c>
      <c r="C267" s="2"/>
      <c r="D267" s="2" t="s">
        <v>298</v>
      </c>
      <c r="E267" s="2" t="s">
        <v>415</v>
      </c>
      <c r="F267" s="3">
        <v>45680</v>
      </c>
      <c r="G267" s="3">
        <v>45680</v>
      </c>
      <c r="H267" s="3">
        <v>45680</v>
      </c>
      <c r="I267" s="2"/>
      <c r="J267" s="2"/>
      <c r="K267" s="2" t="s">
        <v>25</v>
      </c>
      <c r="L267" s="2" t="s">
        <v>26</v>
      </c>
      <c r="M267" s="2"/>
      <c r="N267" s="2" t="s">
        <v>27</v>
      </c>
      <c r="O267" s="2">
        <v>2400</v>
      </c>
      <c r="P267" s="2">
        <v>432</v>
      </c>
      <c r="Q267" s="2">
        <v>2832</v>
      </c>
      <c r="R267" s="2">
        <v>2832</v>
      </c>
      <c r="S267" s="2">
        <v>2832</v>
      </c>
      <c r="T267" s="2" t="s">
        <v>28</v>
      </c>
      <c r="U267" s="2" t="b">
        <v>0</v>
      </c>
      <c r="V267" s="2" t="s">
        <v>29</v>
      </c>
      <c r="W267" s="2" t="s">
        <v>104</v>
      </c>
      <c r="X267" s="2" t="s">
        <v>105</v>
      </c>
      <c r="Y267" s="2" t="s">
        <v>802</v>
      </c>
      <c r="Z267" s="2" t="s">
        <v>31</v>
      </c>
      <c r="AA267" s="2"/>
      <c r="AB267" s="2"/>
      <c r="AC267" s="2"/>
      <c r="AD267" s="2"/>
      <c r="AK267" s="8">
        <f t="shared" si="5"/>
        <v>45680</v>
      </c>
    </row>
    <row r="268" spans="1:37" ht="15" customHeight="1">
      <c r="A268" s="2" t="s">
        <v>803</v>
      </c>
      <c r="B268" s="2">
        <v>0</v>
      </c>
      <c r="C268" s="2"/>
      <c r="D268" s="2" t="s">
        <v>298</v>
      </c>
      <c r="E268" s="2" t="s">
        <v>415</v>
      </c>
      <c r="F268" s="3">
        <v>45680</v>
      </c>
      <c r="G268" s="3">
        <v>45680</v>
      </c>
      <c r="H268" s="3">
        <v>45680</v>
      </c>
      <c r="I268" s="2"/>
      <c r="J268" s="2"/>
      <c r="K268" s="2" t="s">
        <v>25</v>
      </c>
      <c r="L268" s="2" t="s">
        <v>26</v>
      </c>
      <c r="M268" s="2"/>
      <c r="N268" s="2" t="s">
        <v>27</v>
      </c>
      <c r="O268" s="2">
        <v>800</v>
      </c>
      <c r="P268" s="2">
        <v>144</v>
      </c>
      <c r="Q268" s="2">
        <v>944</v>
      </c>
      <c r="R268" s="2">
        <v>944</v>
      </c>
      <c r="S268" s="2">
        <v>944</v>
      </c>
      <c r="T268" s="2" t="s">
        <v>28</v>
      </c>
      <c r="U268" s="2" t="b">
        <v>0</v>
      </c>
      <c r="V268" s="2" t="s">
        <v>29</v>
      </c>
      <c r="W268" s="2" t="s">
        <v>104</v>
      </c>
      <c r="X268" s="2" t="s">
        <v>105</v>
      </c>
      <c r="Y268" s="2" t="s">
        <v>804</v>
      </c>
      <c r="Z268" s="2" t="s">
        <v>31</v>
      </c>
      <c r="AA268" s="2"/>
      <c r="AB268" s="2"/>
      <c r="AC268" s="2"/>
      <c r="AD268" s="2"/>
      <c r="AK268" s="8">
        <f t="shared" si="5"/>
        <v>45680</v>
      </c>
    </row>
    <row r="269" spans="1:37" ht="15" customHeight="1">
      <c r="A269" s="2" t="s">
        <v>805</v>
      </c>
      <c r="B269" s="2">
        <v>0</v>
      </c>
      <c r="C269" s="2"/>
      <c r="D269" s="2" t="s">
        <v>298</v>
      </c>
      <c r="E269" s="2" t="s">
        <v>415</v>
      </c>
      <c r="F269" s="3">
        <v>45680</v>
      </c>
      <c r="G269" s="3">
        <v>45680</v>
      </c>
      <c r="H269" s="3">
        <v>45680</v>
      </c>
      <c r="I269" s="2"/>
      <c r="J269" s="2"/>
      <c r="K269" s="2" t="s">
        <v>25</v>
      </c>
      <c r="L269" s="2" t="s">
        <v>26</v>
      </c>
      <c r="M269" s="2"/>
      <c r="N269" s="2" t="s">
        <v>27</v>
      </c>
      <c r="O269" s="2">
        <v>800</v>
      </c>
      <c r="P269" s="2">
        <v>144</v>
      </c>
      <c r="Q269" s="2">
        <v>944</v>
      </c>
      <c r="R269" s="2">
        <v>944</v>
      </c>
      <c r="S269" s="2">
        <v>944</v>
      </c>
      <c r="T269" s="2" t="s">
        <v>28</v>
      </c>
      <c r="U269" s="2" t="b">
        <v>0</v>
      </c>
      <c r="V269" s="2" t="s">
        <v>29</v>
      </c>
      <c r="W269" s="2" t="s">
        <v>104</v>
      </c>
      <c r="X269" s="2" t="s">
        <v>105</v>
      </c>
      <c r="Y269" s="2" t="s">
        <v>806</v>
      </c>
      <c r="Z269" s="2" t="s">
        <v>31</v>
      </c>
      <c r="AA269" s="2"/>
      <c r="AB269" s="2"/>
      <c r="AC269" s="2"/>
      <c r="AD269" s="2"/>
      <c r="AK269" s="8">
        <f t="shared" si="5"/>
        <v>45680</v>
      </c>
    </row>
    <row r="270" spans="1:37" ht="15" customHeight="1">
      <c r="A270" s="2" t="s">
        <v>807</v>
      </c>
      <c r="B270" s="2">
        <v>0</v>
      </c>
      <c r="C270" s="2"/>
      <c r="D270" s="2" t="s">
        <v>298</v>
      </c>
      <c r="E270" s="2" t="s">
        <v>415</v>
      </c>
      <c r="F270" s="3">
        <v>45680</v>
      </c>
      <c r="G270" s="3">
        <v>45680</v>
      </c>
      <c r="H270" s="3">
        <v>45680</v>
      </c>
      <c r="I270" s="2"/>
      <c r="J270" s="2"/>
      <c r="K270" s="2" t="s">
        <v>25</v>
      </c>
      <c r="L270" s="2" t="s">
        <v>26</v>
      </c>
      <c r="M270" s="2"/>
      <c r="N270" s="2" t="s">
        <v>27</v>
      </c>
      <c r="O270" s="2">
        <v>800</v>
      </c>
      <c r="P270" s="2">
        <v>144</v>
      </c>
      <c r="Q270" s="2">
        <v>944</v>
      </c>
      <c r="R270" s="2">
        <v>944</v>
      </c>
      <c r="S270" s="2">
        <v>944</v>
      </c>
      <c r="T270" s="2" t="s">
        <v>28</v>
      </c>
      <c r="U270" s="2" t="b">
        <v>0</v>
      </c>
      <c r="V270" s="2" t="s">
        <v>29</v>
      </c>
      <c r="W270" s="2" t="s">
        <v>104</v>
      </c>
      <c r="X270" s="2" t="s">
        <v>105</v>
      </c>
      <c r="Y270" s="2" t="s">
        <v>808</v>
      </c>
      <c r="Z270" s="2" t="s">
        <v>31</v>
      </c>
      <c r="AA270" s="2"/>
      <c r="AB270" s="2"/>
      <c r="AC270" s="2"/>
      <c r="AD270" s="2"/>
      <c r="AK270" s="8">
        <f t="shared" si="5"/>
        <v>45680</v>
      </c>
    </row>
    <row r="271" spans="1:37" ht="15" customHeight="1">
      <c r="A271" s="2" t="s">
        <v>809</v>
      </c>
      <c r="B271" s="2">
        <v>0</v>
      </c>
      <c r="C271" s="2"/>
      <c r="D271" s="2" t="s">
        <v>298</v>
      </c>
      <c r="E271" s="2" t="s">
        <v>415</v>
      </c>
      <c r="F271" s="3">
        <v>45680</v>
      </c>
      <c r="G271" s="3">
        <v>45680</v>
      </c>
      <c r="H271" s="3">
        <v>45680</v>
      </c>
      <c r="I271" s="2"/>
      <c r="J271" s="2"/>
      <c r="K271" s="2" t="s">
        <v>25</v>
      </c>
      <c r="L271" s="2" t="s">
        <v>26</v>
      </c>
      <c r="M271" s="2"/>
      <c r="N271" s="2" t="s">
        <v>27</v>
      </c>
      <c r="O271" s="2">
        <v>2200</v>
      </c>
      <c r="P271" s="2">
        <v>396</v>
      </c>
      <c r="Q271" s="2">
        <v>2596</v>
      </c>
      <c r="R271" s="2">
        <v>2596</v>
      </c>
      <c r="S271" s="2">
        <v>2596</v>
      </c>
      <c r="T271" s="2" t="s">
        <v>28</v>
      </c>
      <c r="U271" s="2" t="b">
        <v>0</v>
      </c>
      <c r="V271" s="2" t="s">
        <v>29</v>
      </c>
      <c r="W271" s="2" t="s">
        <v>104</v>
      </c>
      <c r="X271" s="2" t="s">
        <v>105</v>
      </c>
      <c r="Y271" s="2" t="s">
        <v>810</v>
      </c>
      <c r="Z271" s="2" t="s">
        <v>31</v>
      </c>
      <c r="AA271" s="2"/>
      <c r="AB271" s="2"/>
      <c r="AC271" s="2"/>
      <c r="AD271" s="2"/>
      <c r="AK271" s="8">
        <f t="shared" si="5"/>
        <v>45680</v>
      </c>
    </row>
    <row r="272" spans="1:37" ht="15" customHeight="1">
      <c r="A272" s="2" t="s">
        <v>811</v>
      </c>
      <c r="B272" s="2">
        <v>0</v>
      </c>
      <c r="C272" s="2"/>
      <c r="D272" s="2" t="s">
        <v>298</v>
      </c>
      <c r="E272" s="2" t="s">
        <v>415</v>
      </c>
      <c r="F272" s="3">
        <v>45680</v>
      </c>
      <c r="G272" s="3">
        <v>45680</v>
      </c>
      <c r="H272" s="3">
        <v>45680</v>
      </c>
      <c r="I272" s="2"/>
      <c r="J272" s="2"/>
      <c r="K272" s="2" t="s">
        <v>25</v>
      </c>
      <c r="L272" s="2" t="s">
        <v>26</v>
      </c>
      <c r="M272" s="2"/>
      <c r="N272" s="2" t="s">
        <v>27</v>
      </c>
      <c r="O272" s="2">
        <v>5158.5600000000004</v>
      </c>
      <c r="P272" s="2">
        <v>928.54</v>
      </c>
      <c r="Q272" s="2">
        <v>6087.1</v>
      </c>
      <c r="R272" s="2">
        <v>6087.1</v>
      </c>
      <c r="S272" s="2">
        <v>6087.1</v>
      </c>
      <c r="T272" s="2" t="s">
        <v>28</v>
      </c>
      <c r="U272" s="2" t="b">
        <v>0</v>
      </c>
      <c r="V272" s="2" t="s">
        <v>29</v>
      </c>
      <c r="W272" s="2" t="s">
        <v>104</v>
      </c>
      <c r="X272" s="2" t="s">
        <v>105</v>
      </c>
      <c r="Y272" s="2" t="s">
        <v>812</v>
      </c>
      <c r="Z272" s="2" t="s">
        <v>31</v>
      </c>
      <c r="AA272" s="2"/>
      <c r="AB272" s="2"/>
      <c r="AC272" s="2"/>
      <c r="AD272" s="2"/>
      <c r="AK272" s="8">
        <f t="shared" si="5"/>
        <v>45680</v>
      </c>
    </row>
    <row r="273" spans="1:37" ht="15" customHeight="1">
      <c r="A273" s="2" t="s">
        <v>813</v>
      </c>
      <c r="B273" s="2">
        <v>0</v>
      </c>
      <c r="C273" s="2"/>
      <c r="D273" s="2" t="s">
        <v>298</v>
      </c>
      <c r="E273" s="2" t="s">
        <v>415</v>
      </c>
      <c r="F273" s="3">
        <v>45680</v>
      </c>
      <c r="G273" s="3">
        <v>45680</v>
      </c>
      <c r="H273" s="3">
        <v>45680</v>
      </c>
      <c r="I273" s="2"/>
      <c r="J273" s="2"/>
      <c r="K273" s="2" t="s">
        <v>25</v>
      </c>
      <c r="L273" s="2" t="s">
        <v>26</v>
      </c>
      <c r="M273" s="2"/>
      <c r="N273" s="2" t="s">
        <v>27</v>
      </c>
      <c r="O273" s="2">
        <v>3246.44</v>
      </c>
      <c r="P273" s="2">
        <v>584.36</v>
      </c>
      <c r="Q273" s="2">
        <v>3830.8</v>
      </c>
      <c r="R273" s="2">
        <v>3830.8</v>
      </c>
      <c r="S273" s="2">
        <v>3830.8</v>
      </c>
      <c r="T273" s="2" t="s">
        <v>28</v>
      </c>
      <c r="U273" s="2" t="b">
        <v>0</v>
      </c>
      <c r="V273" s="2" t="s">
        <v>29</v>
      </c>
      <c r="W273" s="2" t="s">
        <v>104</v>
      </c>
      <c r="X273" s="2" t="s">
        <v>105</v>
      </c>
      <c r="Y273" s="2" t="s">
        <v>814</v>
      </c>
      <c r="Z273" s="2" t="s">
        <v>31</v>
      </c>
      <c r="AA273" s="2"/>
      <c r="AB273" s="2"/>
      <c r="AC273" s="2"/>
      <c r="AD273" s="2"/>
      <c r="AK273" s="8">
        <f t="shared" si="5"/>
        <v>45680</v>
      </c>
    </row>
    <row r="274" spans="1:37" ht="15" customHeight="1">
      <c r="A274" s="2" t="s">
        <v>815</v>
      </c>
      <c r="B274" s="2">
        <v>0</v>
      </c>
      <c r="C274" s="2"/>
      <c r="D274" s="2" t="s">
        <v>298</v>
      </c>
      <c r="E274" s="2" t="s">
        <v>490</v>
      </c>
      <c r="F274" s="3">
        <v>45680</v>
      </c>
      <c r="G274" s="3">
        <v>45680</v>
      </c>
      <c r="H274" s="3">
        <v>45680</v>
      </c>
      <c r="I274" s="2"/>
      <c r="J274" s="2"/>
      <c r="K274" s="2" t="s">
        <v>25</v>
      </c>
      <c r="L274" s="2" t="s">
        <v>26</v>
      </c>
      <c r="M274" s="2"/>
      <c r="N274" s="2" t="s">
        <v>27</v>
      </c>
      <c r="O274" s="2">
        <v>25.34</v>
      </c>
      <c r="P274" s="2">
        <v>4.5599999999999996</v>
      </c>
      <c r="Q274" s="2">
        <v>29.9</v>
      </c>
      <c r="R274" s="2">
        <v>29.9</v>
      </c>
      <c r="S274" s="2">
        <v>29.9</v>
      </c>
      <c r="T274" s="2" t="s">
        <v>28</v>
      </c>
      <c r="U274" s="2" t="b">
        <v>0</v>
      </c>
      <c r="V274" s="2" t="s">
        <v>29</v>
      </c>
      <c r="W274" s="2" t="s">
        <v>104</v>
      </c>
      <c r="X274" s="2" t="s">
        <v>105</v>
      </c>
      <c r="Y274" s="2" t="s">
        <v>816</v>
      </c>
      <c r="Z274" s="2" t="s">
        <v>31</v>
      </c>
      <c r="AA274" s="2"/>
      <c r="AB274" s="2"/>
      <c r="AC274" s="2"/>
      <c r="AD274" s="2"/>
      <c r="AK274" s="8">
        <f t="shared" si="5"/>
        <v>45680</v>
      </c>
    </row>
    <row r="275" spans="1:37" ht="15" customHeight="1">
      <c r="A275" s="2" t="s">
        <v>817</v>
      </c>
      <c r="B275" s="2">
        <v>0</v>
      </c>
      <c r="C275" s="2"/>
      <c r="D275" s="2" t="s">
        <v>298</v>
      </c>
      <c r="E275" s="2" t="s">
        <v>490</v>
      </c>
      <c r="F275" s="3">
        <v>45680</v>
      </c>
      <c r="G275" s="3">
        <v>45680</v>
      </c>
      <c r="H275" s="3">
        <v>45680</v>
      </c>
      <c r="I275" s="2"/>
      <c r="J275" s="2"/>
      <c r="K275" s="2" t="s">
        <v>25</v>
      </c>
      <c r="L275" s="2" t="s">
        <v>26</v>
      </c>
      <c r="M275" s="2"/>
      <c r="N275" s="2" t="s">
        <v>27</v>
      </c>
      <c r="O275" s="2">
        <v>18.05</v>
      </c>
      <c r="P275" s="2">
        <v>3.25</v>
      </c>
      <c r="Q275" s="2">
        <v>21.3</v>
      </c>
      <c r="R275" s="2">
        <v>21.3</v>
      </c>
      <c r="S275" s="2">
        <v>21.3</v>
      </c>
      <c r="T275" s="2" t="s">
        <v>28</v>
      </c>
      <c r="U275" s="2" t="b">
        <v>0</v>
      </c>
      <c r="V275" s="2" t="s">
        <v>29</v>
      </c>
      <c r="W275" s="2" t="s">
        <v>104</v>
      </c>
      <c r="X275" s="2" t="s">
        <v>105</v>
      </c>
      <c r="Y275" s="2" t="s">
        <v>818</v>
      </c>
      <c r="Z275" s="2" t="s">
        <v>31</v>
      </c>
      <c r="AA275" s="2"/>
      <c r="AB275" s="2"/>
      <c r="AC275" s="2"/>
      <c r="AD275" s="2"/>
      <c r="AK275" s="8">
        <f t="shared" si="5"/>
        <v>45680</v>
      </c>
    </row>
    <row r="276" spans="1:37" ht="15" customHeight="1">
      <c r="A276" s="2" t="s">
        <v>819</v>
      </c>
      <c r="B276" s="2">
        <v>0</v>
      </c>
      <c r="C276" s="2"/>
      <c r="D276" s="2" t="s">
        <v>298</v>
      </c>
      <c r="E276" s="2" t="s">
        <v>424</v>
      </c>
      <c r="F276" s="3">
        <v>45680</v>
      </c>
      <c r="G276" s="3">
        <v>45680</v>
      </c>
      <c r="H276" s="3">
        <v>45680</v>
      </c>
      <c r="I276" s="2"/>
      <c r="J276" s="2"/>
      <c r="K276" s="2" t="s">
        <v>25</v>
      </c>
      <c r="L276" s="2" t="s">
        <v>26</v>
      </c>
      <c r="M276" s="2"/>
      <c r="N276" s="2" t="s">
        <v>27</v>
      </c>
      <c r="O276" s="2">
        <v>600</v>
      </c>
      <c r="P276" s="2">
        <v>108</v>
      </c>
      <c r="Q276" s="2">
        <v>708</v>
      </c>
      <c r="R276" s="2">
        <v>708</v>
      </c>
      <c r="S276" s="2">
        <v>708</v>
      </c>
      <c r="T276" s="2" t="s">
        <v>28</v>
      </c>
      <c r="U276" s="2" t="b">
        <v>0</v>
      </c>
      <c r="V276" s="2" t="s">
        <v>29</v>
      </c>
      <c r="W276" s="2" t="s">
        <v>104</v>
      </c>
      <c r="X276" s="2" t="s">
        <v>105</v>
      </c>
      <c r="Y276" s="2" t="s">
        <v>820</v>
      </c>
      <c r="Z276" s="2" t="s">
        <v>31</v>
      </c>
      <c r="AA276" s="2"/>
      <c r="AB276" s="2"/>
      <c r="AC276" s="2"/>
      <c r="AD276" s="2"/>
      <c r="AK276" s="8">
        <f t="shared" si="5"/>
        <v>45680</v>
      </c>
    </row>
    <row r="277" spans="1:37" ht="15" customHeight="1">
      <c r="A277" s="2" t="s">
        <v>821</v>
      </c>
      <c r="B277" s="2">
        <v>0</v>
      </c>
      <c r="C277" s="2"/>
      <c r="D277" s="2" t="s">
        <v>298</v>
      </c>
      <c r="E277" s="2" t="s">
        <v>424</v>
      </c>
      <c r="F277" s="3">
        <v>45680</v>
      </c>
      <c r="G277" s="3">
        <v>45680</v>
      </c>
      <c r="H277" s="3">
        <v>45680</v>
      </c>
      <c r="I277" s="2"/>
      <c r="J277" s="2"/>
      <c r="K277" s="2" t="s">
        <v>25</v>
      </c>
      <c r="L277" s="2" t="s">
        <v>26</v>
      </c>
      <c r="M277" s="2"/>
      <c r="N277" s="2" t="s">
        <v>27</v>
      </c>
      <c r="O277" s="2">
        <v>1000</v>
      </c>
      <c r="P277" s="2">
        <v>180</v>
      </c>
      <c r="Q277" s="2">
        <v>1180</v>
      </c>
      <c r="R277" s="2">
        <v>1180</v>
      </c>
      <c r="S277" s="2">
        <v>1180</v>
      </c>
      <c r="T277" s="2" t="s">
        <v>28</v>
      </c>
      <c r="U277" s="2" t="b">
        <v>0</v>
      </c>
      <c r="V277" s="2" t="s">
        <v>29</v>
      </c>
      <c r="W277" s="2" t="s">
        <v>104</v>
      </c>
      <c r="X277" s="2" t="s">
        <v>105</v>
      </c>
      <c r="Y277" s="2" t="s">
        <v>822</v>
      </c>
      <c r="Z277" s="2" t="s">
        <v>31</v>
      </c>
      <c r="AA277" s="2"/>
      <c r="AB277" s="2"/>
      <c r="AC277" s="2"/>
      <c r="AD277" s="2"/>
      <c r="AK277" s="8">
        <f t="shared" si="5"/>
        <v>45680</v>
      </c>
    </row>
    <row r="278" spans="1:37" ht="15" customHeight="1">
      <c r="A278" s="2" t="s">
        <v>823</v>
      </c>
      <c r="B278" s="2">
        <v>0</v>
      </c>
      <c r="C278" s="2"/>
      <c r="D278" s="2" t="s">
        <v>298</v>
      </c>
      <c r="E278" s="2" t="s">
        <v>424</v>
      </c>
      <c r="F278" s="3">
        <v>45680</v>
      </c>
      <c r="G278" s="3">
        <v>45680</v>
      </c>
      <c r="H278" s="3">
        <v>45680</v>
      </c>
      <c r="I278" s="2"/>
      <c r="J278" s="2"/>
      <c r="K278" s="2" t="s">
        <v>25</v>
      </c>
      <c r="L278" s="2" t="s">
        <v>26</v>
      </c>
      <c r="M278" s="2"/>
      <c r="N278" s="2" t="s">
        <v>27</v>
      </c>
      <c r="O278" s="2">
        <v>3384.15</v>
      </c>
      <c r="P278" s="2">
        <v>609.15</v>
      </c>
      <c r="Q278" s="2">
        <v>3993.3</v>
      </c>
      <c r="R278" s="2">
        <v>3993.3</v>
      </c>
      <c r="S278" s="2">
        <v>3993.3</v>
      </c>
      <c r="T278" s="2" t="s">
        <v>28</v>
      </c>
      <c r="U278" s="2" t="b">
        <v>0</v>
      </c>
      <c r="V278" s="2" t="s">
        <v>29</v>
      </c>
      <c r="W278" s="2" t="s">
        <v>104</v>
      </c>
      <c r="X278" s="2" t="s">
        <v>105</v>
      </c>
      <c r="Y278" s="2" t="s">
        <v>824</v>
      </c>
      <c r="Z278" s="2" t="s">
        <v>31</v>
      </c>
      <c r="AA278" s="2"/>
      <c r="AB278" s="2"/>
      <c r="AC278" s="2"/>
      <c r="AD278" s="2"/>
      <c r="AK278" s="8">
        <f t="shared" si="5"/>
        <v>45680</v>
      </c>
    </row>
    <row r="279" spans="1:37" ht="15" customHeight="1">
      <c r="A279" s="2" t="s">
        <v>825</v>
      </c>
      <c r="B279" s="2">
        <v>0</v>
      </c>
      <c r="C279" s="2"/>
      <c r="D279" s="2" t="s">
        <v>298</v>
      </c>
      <c r="E279" s="2" t="s">
        <v>424</v>
      </c>
      <c r="F279" s="3">
        <v>45680</v>
      </c>
      <c r="G279" s="3">
        <v>45680</v>
      </c>
      <c r="H279" s="3">
        <v>45680</v>
      </c>
      <c r="I279" s="2"/>
      <c r="J279" s="2"/>
      <c r="K279" s="2" t="s">
        <v>25</v>
      </c>
      <c r="L279" s="2" t="s">
        <v>26</v>
      </c>
      <c r="M279" s="2"/>
      <c r="N279" s="2" t="s">
        <v>27</v>
      </c>
      <c r="O279" s="2">
        <v>1669.75</v>
      </c>
      <c r="P279" s="2">
        <v>300.55</v>
      </c>
      <c r="Q279" s="2">
        <v>1970.3</v>
      </c>
      <c r="R279" s="2">
        <v>1970.3</v>
      </c>
      <c r="S279" s="2">
        <v>1970.3</v>
      </c>
      <c r="T279" s="2" t="s">
        <v>28</v>
      </c>
      <c r="U279" s="2" t="b">
        <v>0</v>
      </c>
      <c r="V279" s="2" t="s">
        <v>29</v>
      </c>
      <c r="W279" s="2" t="s">
        <v>104</v>
      </c>
      <c r="X279" s="2" t="s">
        <v>105</v>
      </c>
      <c r="Y279" s="2" t="s">
        <v>826</v>
      </c>
      <c r="Z279" s="2" t="s">
        <v>31</v>
      </c>
      <c r="AA279" s="2"/>
      <c r="AB279" s="2"/>
      <c r="AC279" s="2"/>
      <c r="AD279" s="2"/>
      <c r="AK279" s="8">
        <f t="shared" si="5"/>
        <v>45680</v>
      </c>
    </row>
    <row r="280" spans="1:37" ht="15" customHeight="1">
      <c r="A280" s="2" t="s">
        <v>827</v>
      </c>
      <c r="B280" s="2">
        <v>0</v>
      </c>
      <c r="C280" s="2"/>
      <c r="D280" s="2" t="s">
        <v>298</v>
      </c>
      <c r="E280" s="2" t="s">
        <v>415</v>
      </c>
      <c r="F280" s="3">
        <v>45680</v>
      </c>
      <c r="G280" s="3">
        <v>45680</v>
      </c>
      <c r="H280" s="3">
        <v>45680</v>
      </c>
      <c r="I280" s="2"/>
      <c r="J280" s="2"/>
      <c r="K280" s="2" t="s">
        <v>25</v>
      </c>
      <c r="L280" s="2" t="s">
        <v>26</v>
      </c>
      <c r="M280" s="2"/>
      <c r="N280" s="2" t="s">
        <v>27</v>
      </c>
      <c r="O280" s="2">
        <v>1</v>
      </c>
      <c r="P280" s="2">
        <v>0.18</v>
      </c>
      <c r="Q280" s="2">
        <v>1.18</v>
      </c>
      <c r="R280" s="2">
        <v>1.18</v>
      </c>
      <c r="S280" s="2">
        <v>1.18</v>
      </c>
      <c r="T280" s="2" t="s">
        <v>28</v>
      </c>
      <c r="U280" s="2" t="b">
        <v>0</v>
      </c>
      <c r="V280" s="2" t="s">
        <v>29</v>
      </c>
      <c r="W280" s="2" t="s">
        <v>104</v>
      </c>
      <c r="X280" s="2" t="s">
        <v>105</v>
      </c>
      <c r="Y280" s="2" t="s">
        <v>828</v>
      </c>
      <c r="Z280" s="2" t="s">
        <v>31</v>
      </c>
      <c r="AA280" s="2"/>
      <c r="AB280" s="2"/>
      <c r="AC280" s="2"/>
      <c r="AD280" s="2"/>
      <c r="AK280" s="8">
        <f t="shared" si="5"/>
        <v>45680</v>
      </c>
    </row>
    <row r="281" spans="1:37" ht="15" customHeight="1">
      <c r="A281" s="2" t="s">
        <v>829</v>
      </c>
      <c r="B281" s="2">
        <v>0</v>
      </c>
      <c r="C281" s="2"/>
      <c r="D281" s="2" t="s">
        <v>298</v>
      </c>
      <c r="E281" s="2" t="s">
        <v>415</v>
      </c>
      <c r="F281" s="3">
        <v>45680</v>
      </c>
      <c r="G281" s="3">
        <v>45680</v>
      </c>
      <c r="H281" s="3">
        <v>45680</v>
      </c>
      <c r="I281" s="2"/>
      <c r="J281" s="2"/>
      <c r="K281" s="2" t="s">
        <v>25</v>
      </c>
      <c r="L281" s="2" t="s">
        <v>26</v>
      </c>
      <c r="M281" s="2"/>
      <c r="N281" s="2" t="s">
        <v>27</v>
      </c>
      <c r="O281" s="2">
        <v>1400</v>
      </c>
      <c r="P281" s="2">
        <v>252</v>
      </c>
      <c r="Q281" s="2">
        <v>1652</v>
      </c>
      <c r="R281" s="2">
        <v>1652</v>
      </c>
      <c r="S281" s="2">
        <v>1652</v>
      </c>
      <c r="T281" s="2" t="s">
        <v>28</v>
      </c>
      <c r="U281" s="2" t="b">
        <v>0</v>
      </c>
      <c r="V281" s="2" t="s">
        <v>29</v>
      </c>
      <c r="W281" s="2" t="s">
        <v>104</v>
      </c>
      <c r="X281" s="2" t="s">
        <v>105</v>
      </c>
      <c r="Y281" s="2" t="s">
        <v>830</v>
      </c>
      <c r="Z281" s="2" t="s">
        <v>31</v>
      </c>
      <c r="AA281" s="2"/>
      <c r="AB281" s="2"/>
      <c r="AC281" s="2"/>
      <c r="AD281" s="2"/>
      <c r="AK281" s="8">
        <f t="shared" si="5"/>
        <v>45680</v>
      </c>
    </row>
    <row r="282" spans="1:37" ht="15" customHeight="1">
      <c r="A282" s="2" t="s">
        <v>831</v>
      </c>
      <c r="B282" s="2">
        <v>0</v>
      </c>
      <c r="C282" s="2"/>
      <c r="D282" s="2" t="s">
        <v>298</v>
      </c>
      <c r="E282" s="2" t="s">
        <v>415</v>
      </c>
      <c r="F282" s="3">
        <v>45680</v>
      </c>
      <c r="G282" s="3">
        <v>45680</v>
      </c>
      <c r="H282" s="3">
        <v>45680</v>
      </c>
      <c r="I282" s="2"/>
      <c r="J282" s="2"/>
      <c r="K282" s="2" t="s">
        <v>25</v>
      </c>
      <c r="L282" s="2" t="s">
        <v>26</v>
      </c>
      <c r="M282" s="2"/>
      <c r="N282" s="2" t="s">
        <v>27</v>
      </c>
      <c r="O282" s="2">
        <v>2372.2399999999998</v>
      </c>
      <c r="P282" s="2">
        <v>427</v>
      </c>
      <c r="Q282" s="2">
        <v>2799.24</v>
      </c>
      <c r="R282" s="2">
        <v>2799.24</v>
      </c>
      <c r="S282" s="2">
        <v>2799.24</v>
      </c>
      <c r="T282" s="2" t="s">
        <v>28</v>
      </c>
      <c r="U282" s="2" t="b">
        <v>0</v>
      </c>
      <c r="V282" s="2" t="s">
        <v>29</v>
      </c>
      <c r="W282" s="2" t="s">
        <v>104</v>
      </c>
      <c r="X282" s="2" t="s">
        <v>105</v>
      </c>
      <c r="Y282" s="2" t="s">
        <v>832</v>
      </c>
      <c r="Z282" s="2" t="s">
        <v>31</v>
      </c>
      <c r="AA282" s="2"/>
      <c r="AB282" s="2"/>
      <c r="AC282" s="2"/>
      <c r="AD282" s="2"/>
      <c r="AK282" s="8">
        <f t="shared" si="5"/>
        <v>45680</v>
      </c>
    </row>
    <row r="283" spans="1:37" ht="15" customHeight="1">
      <c r="A283" s="2" t="s">
        <v>833</v>
      </c>
      <c r="B283" s="2">
        <v>0</v>
      </c>
      <c r="C283" s="2"/>
      <c r="D283" s="2" t="s">
        <v>298</v>
      </c>
      <c r="E283" s="2" t="s">
        <v>415</v>
      </c>
      <c r="F283" s="3">
        <v>45680</v>
      </c>
      <c r="G283" s="3">
        <v>45680</v>
      </c>
      <c r="H283" s="3">
        <v>45680</v>
      </c>
      <c r="I283" s="2"/>
      <c r="J283" s="2"/>
      <c r="K283" s="2" t="s">
        <v>25</v>
      </c>
      <c r="L283" s="2" t="s">
        <v>26</v>
      </c>
      <c r="M283" s="2"/>
      <c r="N283" s="2" t="s">
        <v>27</v>
      </c>
      <c r="O283" s="2">
        <v>1467.44</v>
      </c>
      <c r="P283" s="2">
        <v>264.14</v>
      </c>
      <c r="Q283" s="2">
        <v>1731.58</v>
      </c>
      <c r="R283" s="2">
        <v>1731.58</v>
      </c>
      <c r="S283" s="2">
        <v>1731.58</v>
      </c>
      <c r="T283" s="2" t="s">
        <v>28</v>
      </c>
      <c r="U283" s="2" t="b">
        <v>0</v>
      </c>
      <c r="V283" s="2" t="s">
        <v>29</v>
      </c>
      <c r="W283" s="2" t="s">
        <v>104</v>
      </c>
      <c r="X283" s="2" t="s">
        <v>105</v>
      </c>
      <c r="Y283" s="2" t="s">
        <v>834</v>
      </c>
      <c r="Z283" s="2" t="s">
        <v>31</v>
      </c>
      <c r="AA283" s="2"/>
      <c r="AB283" s="2"/>
      <c r="AC283" s="2"/>
      <c r="AD283" s="2"/>
      <c r="AK283" s="8">
        <f t="shared" si="5"/>
        <v>45680</v>
      </c>
    </row>
    <row r="284" spans="1:37" ht="15" customHeight="1">
      <c r="A284" s="2" t="s">
        <v>835</v>
      </c>
      <c r="B284" s="2">
        <v>0</v>
      </c>
      <c r="C284" s="2"/>
      <c r="D284" s="2" t="s">
        <v>298</v>
      </c>
      <c r="E284" s="2" t="s">
        <v>415</v>
      </c>
      <c r="F284" s="3">
        <v>45680</v>
      </c>
      <c r="G284" s="3">
        <v>45680</v>
      </c>
      <c r="H284" s="3">
        <v>45680</v>
      </c>
      <c r="I284" s="2"/>
      <c r="J284" s="2"/>
      <c r="K284" s="2" t="s">
        <v>25</v>
      </c>
      <c r="L284" s="2" t="s">
        <v>26</v>
      </c>
      <c r="M284" s="2"/>
      <c r="N284" s="2" t="s">
        <v>27</v>
      </c>
      <c r="O284" s="2">
        <v>1</v>
      </c>
      <c r="P284" s="2">
        <v>0.18</v>
      </c>
      <c r="Q284" s="2">
        <v>1.18</v>
      </c>
      <c r="R284" s="2">
        <v>1.18</v>
      </c>
      <c r="S284" s="2">
        <v>1.18</v>
      </c>
      <c r="T284" s="2" t="s">
        <v>28</v>
      </c>
      <c r="U284" s="2" t="b">
        <v>0</v>
      </c>
      <c r="V284" s="2" t="s">
        <v>29</v>
      </c>
      <c r="W284" s="2" t="s">
        <v>104</v>
      </c>
      <c r="X284" s="2" t="s">
        <v>105</v>
      </c>
      <c r="Y284" s="2" t="s">
        <v>836</v>
      </c>
      <c r="Z284" s="2" t="s">
        <v>31</v>
      </c>
      <c r="AA284" s="2"/>
      <c r="AB284" s="2"/>
      <c r="AC284" s="2"/>
      <c r="AD284" s="2"/>
      <c r="AK284" s="8">
        <f t="shared" si="5"/>
        <v>45680</v>
      </c>
    </row>
    <row r="285" spans="1:37" ht="15" customHeight="1">
      <c r="A285" s="2" t="s">
        <v>837</v>
      </c>
      <c r="B285" s="2">
        <v>0</v>
      </c>
      <c r="C285" s="2"/>
      <c r="D285" s="2" t="s">
        <v>298</v>
      </c>
      <c r="E285" s="2" t="s">
        <v>415</v>
      </c>
      <c r="F285" s="3">
        <v>45680</v>
      </c>
      <c r="G285" s="3">
        <v>45680</v>
      </c>
      <c r="H285" s="3">
        <v>45680</v>
      </c>
      <c r="I285" s="2"/>
      <c r="J285" s="2"/>
      <c r="K285" s="2" t="s">
        <v>25</v>
      </c>
      <c r="L285" s="2" t="s">
        <v>26</v>
      </c>
      <c r="M285" s="2"/>
      <c r="N285" s="2" t="s">
        <v>27</v>
      </c>
      <c r="O285" s="2">
        <v>1400</v>
      </c>
      <c r="P285" s="2">
        <v>252</v>
      </c>
      <c r="Q285" s="2">
        <v>1652</v>
      </c>
      <c r="R285" s="2">
        <v>1652</v>
      </c>
      <c r="S285" s="2">
        <v>1652</v>
      </c>
      <c r="T285" s="2" t="s">
        <v>28</v>
      </c>
      <c r="U285" s="2" t="b">
        <v>0</v>
      </c>
      <c r="V285" s="2" t="s">
        <v>29</v>
      </c>
      <c r="W285" s="2" t="s">
        <v>104</v>
      </c>
      <c r="X285" s="2" t="s">
        <v>105</v>
      </c>
      <c r="Y285" s="2" t="s">
        <v>838</v>
      </c>
      <c r="Z285" s="2" t="s">
        <v>31</v>
      </c>
      <c r="AA285" s="2"/>
      <c r="AB285" s="2"/>
      <c r="AC285" s="2"/>
      <c r="AD285" s="2"/>
      <c r="AK285" s="8">
        <f t="shared" si="5"/>
        <v>45680</v>
      </c>
    </row>
    <row r="286" spans="1:37" ht="15" customHeight="1">
      <c r="A286" s="2" t="s">
        <v>839</v>
      </c>
      <c r="B286" s="2">
        <v>0</v>
      </c>
      <c r="C286" s="2"/>
      <c r="D286" s="2" t="s">
        <v>298</v>
      </c>
      <c r="E286" s="2" t="s">
        <v>415</v>
      </c>
      <c r="F286" s="3">
        <v>45680</v>
      </c>
      <c r="G286" s="3">
        <v>45680</v>
      </c>
      <c r="H286" s="3">
        <v>45680</v>
      </c>
      <c r="I286" s="2"/>
      <c r="J286" s="2"/>
      <c r="K286" s="2" t="s">
        <v>25</v>
      </c>
      <c r="L286" s="2" t="s">
        <v>26</v>
      </c>
      <c r="M286" s="2"/>
      <c r="N286" s="2" t="s">
        <v>27</v>
      </c>
      <c r="O286" s="2">
        <v>2382.31</v>
      </c>
      <c r="P286" s="2">
        <v>428.81</v>
      </c>
      <c r="Q286" s="2">
        <v>2811.12</v>
      </c>
      <c r="R286" s="2">
        <v>2811.12</v>
      </c>
      <c r="S286" s="2">
        <v>2811.12</v>
      </c>
      <c r="T286" s="2" t="s">
        <v>28</v>
      </c>
      <c r="U286" s="2" t="b">
        <v>0</v>
      </c>
      <c r="V286" s="2" t="s">
        <v>29</v>
      </c>
      <c r="W286" s="2" t="s">
        <v>104</v>
      </c>
      <c r="X286" s="2" t="s">
        <v>105</v>
      </c>
      <c r="Y286" s="2" t="s">
        <v>840</v>
      </c>
      <c r="Z286" s="2" t="s">
        <v>31</v>
      </c>
      <c r="AA286" s="2"/>
      <c r="AB286" s="2"/>
      <c r="AC286" s="2"/>
      <c r="AD286" s="2"/>
      <c r="AK286" s="8">
        <f t="shared" si="5"/>
        <v>45680</v>
      </c>
    </row>
    <row r="287" spans="1:37" ht="15" customHeight="1">
      <c r="A287" s="2" t="s">
        <v>841</v>
      </c>
      <c r="B287" s="2">
        <v>0</v>
      </c>
      <c r="C287" s="2"/>
      <c r="D287" s="2" t="s">
        <v>298</v>
      </c>
      <c r="E287" s="2" t="s">
        <v>415</v>
      </c>
      <c r="F287" s="3">
        <v>45680</v>
      </c>
      <c r="G287" s="3">
        <v>45680</v>
      </c>
      <c r="H287" s="3">
        <v>45680</v>
      </c>
      <c r="I287" s="2"/>
      <c r="J287" s="2"/>
      <c r="K287" s="2" t="s">
        <v>25</v>
      </c>
      <c r="L287" s="2" t="s">
        <v>26</v>
      </c>
      <c r="M287" s="2"/>
      <c r="N287" s="2" t="s">
        <v>27</v>
      </c>
      <c r="O287" s="2">
        <v>1468.68</v>
      </c>
      <c r="P287" s="2">
        <v>264.36</v>
      </c>
      <c r="Q287" s="2">
        <v>1733.04</v>
      </c>
      <c r="R287" s="2">
        <v>1733.04</v>
      </c>
      <c r="S287" s="2">
        <v>1733.04</v>
      </c>
      <c r="T287" s="2" t="s">
        <v>28</v>
      </c>
      <c r="U287" s="2" t="b">
        <v>0</v>
      </c>
      <c r="V287" s="2" t="s">
        <v>29</v>
      </c>
      <c r="W287" s="2" t="s">
        <v>104</v>
      </c>
      <c r="X287" s="2" t="s">
        <v>105</v>
      </c>
      <c r="Y287" s="2" t="s">
        <v>842</v>
      </c>
      <c r="Z287" s="2" t="s">
        <v>31</v>
      </c>
      <c r="AA287" s="2"/>
      <c r="AB287" s="2"/>
      <c r="AC287" s="2"/>
      <c r="AD287" s="2"/>
      <c r="AK287" s="8">
        <f t="shared" si="5"/>
        <v>45680</v>
      </c>
    </row>
    <row r="288" spans="1:37" ht="15" customHeight="1">
      <c r="A288" s="2" t="s">
        <v>843</v>
      </c>
      <c r="B288" s="2">
        <v>0</v>
      </c>
      <c r="C288" s="2"/>
      <c r="D288" s="2" t="s">
        <v>298</v>
      </c>
      <c r="E288" s="2" t="s">
        <v>485</v>
      </c>
      <c r="F288" s="3">
        <v>45680</v>
      </c>
      <c r="G288" s="3">
        <v>45680</v>
      </c>
      <c r="H288" s="3">
        <v>45680</v>
      </c>
      <c r="I288" s="2"/>
      <c r="J288" s="2"/>
      <c r="K288" s="2" t="s">
        <v>25</v>
      </c>
      <c r="L288" s="2" t="s">
        <v>26</v>
      </c>
      <c r="M288" s="2"/>
      <c r="N288" s="2" t="s">
        <v>27</v>
      </c>
      <c r="O288" s="2">
        <v>22</v>
      </c>
      <c r="P288" s="2">
        <v>3.96</v>
      </c>
      <c r="Q288" s="2">
        <v>25.96</v>
      </c>
      <c r="R288" s="2">
        <v>25.96</v>
      </c>
      <c r="S288" s="2">
        <v>25.96</v>
      </c>
      <c r="T288" s="2" t="s">
        <v>28</v>
      </c>
      <c r="U288" s="2" t="b">
        <v>0</v>
      </c>
      <c r="V288" s="2" t="s">
        <v>29</v>
      </c>
      <c r="W288" s="2" t="s">
        <v>104</v>
      </c>
      <c r="X288" s="2" t="s">
        <v>105</v>
      </c>
      <c r="Y288" s="2" t="s">
        <v>844</v>
      </c>
      <c r="Z288" s="2" t="s">
        <v>31</v>
      </c>
      <c r="AA288" s="2"/>
      <c r="AB288" s="2"/>
      <c r="AC288" s="2"/>
      <c r="AD288" s="2"/>
      <c r="AK288" s="8">
        <f t="shared" si="5"/>
        <v>45680</v>
      </c>
    </row>
    <row r="289" spans="1:37" ht="15" customHeight="1">
      <c r="A289" s="2" t="s">
        <v>845</v>
      </c>
      <c r="B289" s="2">
        <v>0</v>
      </c>
      <c r="C289" s="2"/>
      <c r="D289" s="2" t="s">
        <v>298</v>
      </c>
      <c r="E289" s="2" t="s">
        <v>485</v>
      </c>
      <c r="F289" s="3">
        <v>45680</v>
      </c>
      <c r="G289" s="3">
        <v>45680</v>
      </c>
      <c r="H289" s="3">
        <v>45680</v>
      </c>
      <c r="I289" s="2"/>
      <c r="J289" s="2"/>
      <c r="K289" s="2" t="s">
        <v>25</v>
      </c>
      <c r="L289" s="2" t="s">
        <v>26</v>
      </c>
      <c r="M289" s="2"/>
      <c r="N289" s="2" t="s">
        <v>27</v>
      </c>
      <c r="O289" s="2">
        <v>20.5</v>
      </c>
      <c r="P289" s="2">
        <v>3.69</v>
      </c>
      <c r="Q289" s="2">
        <v>24.19</v>
      </c>
      <c r="R289" s="2">
        <v>24.19</v>
      </c>
      <c r="S289" s="2">
        <v>24.19</v>
      </c>
      <c r="T289" s="2" t="s">
        <v>28</v>
      </c>
      <c r="U289" s="2" t="b">
        <v>0</v>
      </c>
      <c r="V289" s="2" t="s">
        <v>29</v>
      </c>
      <c r="W289" s="2" t="s">
        <v>104</v>
      </c>
      <c r="X289" s="2" t="s">
        <v>105</v>
      </c>
      <c r="Y289" s="2" t="s">
        <v>846</v>
      </c>
      <c r="Z289" s="2" t="s">
        <v>31</v>
      </c>
      <c r="AA289" s="2"/>
      <c r="AB289" s="2"/>
      <c r="AC289" s="2"/>
      <c r="AD289" s="2"/>
      <c r="AK289" s="8">
        <f t="shared" si="5"/>
        <v>45680</v>
      </c>
    </row>
    <row r="290" spans="1:37" ht="15" customHeight="1">
      <c r="A290" s="2" t="s">
        <v>847</v>
      </c>
      <c r="B290" s="2">
        <v>0</v>
      </c>
      <c r="C290" s="2"/>
      <c r="D290" s="2" t="s">
        <v>298</v>
      </c>
      <c r="E290" s="2" t="s">
        <v>848</v>
      </c>
      <c r="F290" s="3">
        <v>45680</v>
      </c>
      <c r="G290" s="3">
        <v>45680</v>
      </c>
      <c r="H290" s="3">
        <v>45680</v>
      </c>
      <c r="I290" s="2"/>
      <c r="J290" s="2"/>
      <c r="K290" s="2" t="s">
        <v>25</v>
      </c>
      <c r="L290" s="2" t="s">
        <v>26</v>
      </c>
      <c r="M290" s="2"/>
      <c r="N290" s="2" t="s">
        <v>27</v>
      </c>
      <c r="O290" s="2">
        <v>52.29</v>
      </c>
      <c r="P290" s="2">
        <v>9.41</v>
      </c>
      <c r="Q290" s="2">
        <v>61.7</v>
      </c>
      <c r="R290" s="2">
        <v>61.7</v>
      </c>
      <c r="S290" s="2">
        <v>61.7</v>
      </c>
      <c r="T290" s="2" t="s">
        <v>28</v>
      </c>
      <c r="U290" s="2" t="b">
        <v>0</v>
      </c>
      <c r="V290" s="2" t="s">
        <v>29</v>
      </c>
      <c r="W290" s="2" t="s">
        <v>104</v>
      </c>
      <c r="X290" s="2" t="s">
        <v>105</v>
      </c>
      <c r="Y290" s="2" t="s">
        <v>849</v>
      </c>
      <c r="Z290" s="2" t="s">
        <v>31</v>
      </c>
      <c r="AA290" s="2"/>
      <c r="AB290" s="2"/>
      <c r="AC290" s="2"/>
      <c r="AD290" s="2"/>
      <c r="AK290" s="8">
        <f t="shared" si="5"/>
        <v>45680</v>
      </c>
    </row>
    <row r="291" spans="1:37" ht="15" customHeight="1">
      <c r="A291" s="2" t="s">
        <v>850</v>
      </c>
      <c r="B291" s="2">
        <v>0</v>
      </c>
      <c r="C291" s="2"/>
      <c r="D291" s="2" t="s">
        <v>298</v>
      </c>
      <c r="E291" s="2" t="s">
        <v>848</v>
      </c>
      <c r="F291" s="3">
        <v>45680</v>
      </c>
      <c r="G291" s="3">
        <v>45680</v>
      </c>
      <c r="H291" s="3">
        <v>45680</v>
      </c>
      <c r="I291" s="2"/>
      <c r="J291" s="2"/>
      <c r="K291" s="2" t="s">
        <v>25</v>
      </c>
      <c r="L291" s="2" t="s">
        <v>26</v>
      </c>
      <c r="M291" s="2"/>
      <c r="N291" s="2" t="s">
        <v>27</v>
      </c>
      <c r="O291" s="2">
        <v>32.200000000000003</v>
      </c>
      <c r="P291" s="2">
        <v>5.8</v>
      </c>
      <c r="Q291" s="2">
        <v>38</v>
      </c>
      <c r="R291" s="2">
        <v>38</v>
      </c>
      <c r="S291" s="2">
        <v>38</v>
      </c>
      <c r="T291" s="2" t="s">
        <v>28</v>
      </c>
      <c r="U291" s="2" t="b">
        <v>0</v>
      </c>
      <c r="V291" s="2" t="s">
        <v>29</v>
      </c>
      <c r="W291" s="2" t="s">
        <v>104</v>
      </c>
      <c r="X291" s="2" t="s">
        <v>105</v>
      </c>
      <c r="Y291" s="2" t="s">
        <v>851</v>
      </c>
      <c r="Z291" s="2" t="s">
        <v>31</v>
      </c>
      <c r="AA291" s="2"/>
      <c r="AB291" s="2"/>
      <c r="AC291" s="2"/>
      <c r="AD291" s="2"/>
      <c r="AK291" s="8">
        <f t="shared" si="5"/>
        <v>45680</v>
      </c>
    </row>
    <row r="292" spans="1:37" ht="15" customHeight="1">
      <c r="A292" s="2" t="s">
        <v>852</v>
      </c>
      <c r="B292" s="2">
        <v>0</v>
      </c>
      <c r="C292" s="2"/>
      <c r="D292" s="2" t="s">
        <v>265</v>
      </c>
      <c r="E292" s="2" t="s">
        <v>519</v>
      </c>
      <c r="F292" s="3">
        <v>45680</v>
      </c>
      <c r="G292" s="3">
        <v>45680</v>
      </c>
      <c r="H292" s="3">
        <v>45680</v>
      </c>
      <c r="I292" s="2"/>
      <c r="J292" s="2"/>
      <c r="K292" s="2" t="s">
        <v>25</v>
      </c>
      <c r="L292" s="2" t="s">
        <v>26</v>
      </c>
      <c r="M292" s="2"/>
      <c r="N292" s="2" t="s">
        <v>27</v>
      </c>
      <c r="O292" s="2">
        <v>1181.29</v>
      </c>
      <c r="P292" s="2">
        <v>212.63</v>
      </c>
      <c r="Q292" s="2">
        <v>1393.92</v>
      </c>
      <c r="R292" s="2">
        <v>1393.92</v>
      </c>
      <c r="S292" s="2">
        <v>1393.92</v>
      </c>
      <c r="T292" s="2" t="s">
        <v>28</v>
      </c>
      <c r="U292" s="2" t="b">
        <v>0</v>
      </c>
      <c r="V292" s="2" t="s">
        <v>29</v>
      </c>
      <c r="W292" s="2" t="s">
        <v>104</v>
      </c>
      <c r="X292" s="2" t="s">
        <v>105</v>
      </c>
      <c r="Y292" s="2" t="s">
        <v>853</v>
      </c>
      <c r="Z292" s="2" t="s">
        <v>31</v>
      </c>
      <c r="AA292" s="2"/>
      <c r="AB292" s="2"/>
      <c r="AC292" s="2"/>
      <c r="AD292" s="2"/>
      <c r="AK292" s="8">
        <f t="shared" si="5"/>
        <v>45680</v>
      </c>
    </row>
    <row r="293" spans="1:37" ht="15" customHeight="1">
      <c r="A293" s="2" t="s">
        <v>854</v>
      </c>
      <c r="B293" s="2">
        <v>0</v>
      </c>
      <c r="C293" s="2"/>
      <c r="D293" s="2" t="s">
        <v>265</v>
      </c>
      <c r="E293" s="2" t="s">
        <v>519</v>
      </c>
      <c r="F293" s="3">
        <v>45680</v>
      </c>
      <c r="G293" s="3">
        <v>45680</v>
      </c>
      <c r="H293" s="3">
        <v>45680</v>
      </c>
      <c r="I293" s="2"/>
      <c r="J293" s="2"/>
      <c r="K293" s="2" t="s">
        <v>25</v>
      </c>
      <c r="L293" s="2" t="s">
        <v>26</v>
      </c>
      <c r="M293" s="2"/>
      <c r="N293" s="2" t="s">
        <v>27</v>
      </c>
      <c r="O293" s="2">
        <v>1028.46</v>
      </c>
      <c r="P293" s="2">
        <v>185.12</v>
      </c>
      <c r="Q293" s="2">
        <v>1213.58</v>
      </c>
      <c r="R293" s="2">
        <v>1213.58</v>
      </c>
      <c r="S293" s="2">
        <v>1213.58</v>
      </c>
      <c r="T293" s="2" t="s">
        <v>28</v>
      </c>
      <c r="U293" s="2" t="b">
        <v>0</v>
      </c>
      <c r="V293" s="2" t="s">
        <v>29</v>
      </c>
      <c r="W293" s="2" t="s">
        <v>104</v>
      </c>
      <c r="X293" s="2" t="s">
        <v>105</v>
      </c>
      <c r="Y293" s="2" t="s">
        <v>855</v>
      </c>
      <c r="Z293" s="2" t="s">
        <v>31</v>
      </c>
      <c r="AA293" s="2"/>
      <c r="AB293" s="2"/>
      <c r="AC293" s="2"/>
      <c r="AD293" s="2"/>
      <c r="AK293" s="8">
        <f t="shared" si="5"/>
        <v>45680</v>
      </c>
    </row>
    <row r="294" spans="1:37" ht="15" customHeight="1">
      <c r="A294" s="2" t="s">
        <v>856</v>
      </c>
      <c r="B294" s="2">
        <v>0</v>
      </c>
      <c r="C294" s="2"/>
      <c r="D294" s="2" t="s">
        <v>265</v>
      </c>
      <c r="E294" s="2" t="s">
        <v>526</v>
      </c>
      <c r="F294" s="3">
        <v>45680</v>
      </c>
      <c r="G294" s="3">
        <v>45680</v>
      </c>
      <c r="H294" s="3">
        <v>45680</v>
      </c>
      <c r="I294" s="2"/>
      <c r="J294" s="2"/>
      <c r="K294" s="2" t="s">
        <v>25</v>
      </c>
      <c r="L294" s="2" t="s">
        <v>26</v>
      </c>
      <c r="M294" s="2"/>
      <c r="N294" s="2" t="s">
        <v>27</v>
      </c>
      <c r="O294" s="2">
        <v>602.70000000000005</v>
      </c>
      <c r="P294" s="2">
        <v>108.49</v>
      </c>
      <c r="Q294" s="2">
        <v>711.19</v>
      </c>
      <c r="R294" s="2">
        <v>711.19</v>
      </c>
      <c r="S294" s="2">
        <v>711.19</v>
      </c>
      <c r="T294" s="2" t="s">
        <v>28</v>
      </c>
      <c r="U294" s="2" t="b">
        <v>0</v>
      </c>
      <c r="V294" s="2" t="s">
        <v>29</v>
      </c>
      <c r="W294" s="2" t="s">
        <v>104</v>
      </c>
      <c r="X294" s="2" t="s">
        <v>105</v>
      </c>
      <c r="Y294" s="2" t="s">
        <v>857</v>
      </c>
      <c r="Z294" s="2" t="s">
        <v>31</v>
      </c>
      <c r="AA294" s="2"/>
      <c r="AB294" s="2"/>
      <c r="AC294" s="2"/>
      <c r="AD294" s="2"/>
      <c r="AK294" s="8">
        <f t="shared" si="5"/>
        <v>45680</v>
      </c>
    </row>
    <row r="295" spans="1:37" ht="15" customHeight="1">
      <c r="A295" s="2" t="s">
        <v>858</v>
      </c>
      <c r="B295" s="2">
        <v>0</v>
      </c>
      <c r="C295" s="2"/>
      <c r="D295" s="2" t="s">
        <v>265</v>
      </c>
      <c r="E295" s="2" t="s">
        <v>526</v>
      </c>
      <c r="F295" s="3">
        <v>45680</v>
      </c>
      <c r="G295" s="3">
        <v>45680</v>
      </c>
      <c r="H295" s="3">
        <v>45680</v>
      </c>
      <c r="I295" s="2"/>
      <c r="J295" s="2"/>
      <c r="K295" s="2" t="s">
        <v>25</v>
      </c>
      <c r="L295" s="2" t="s">
        <v>26</v>
      </c>
      <c r="M295" s="2"/>
      <c r="N295" s="2" t="s">
        <v>27</v>
      </c>
      <c r="O295" s="2">
        <v>524.72</v>
      </c>
      <c r="P295" s="2">
        <v>94.45</v>
      </c>
      <c r="Q295" s="2">
        <v>619.16999999999996</v>
      </c>
      <c r="R295" s="2">
        <v>619.16999999999996</v>
      </c>
      <c r="S295" s="2">
        <v>619.16999999999996</v>
      </c>
      <c r="T295" s="2" t="s">
        <v>28</v>
      </c>
      <c r="U295" s="2" t="b">
        <v>0</v>
      </c>
      <c r="V295" s="2" t="s">
        <v>29</v>
      </c>
      <c r="W295" s="2" t="s">
        <v>104</v>
      </c>
      <c r="X295" s="2" t="s">
        <v>105</v>
      </c>
      <c r="Y295" s="2" t="s">
        <v>859</v>
      </c>
      <c r="Z295" s="2" t="s">
        <v>31</v>
      </c>
      <c r="AA295" s="2"/>
      <c r="AB295" s="2"/>
      <c r="AC295" s="2"/>
      <c r="AD295" s="2"/>
      <c r="AK295" s="8">
        <f t="shared" si="5"/>
        <v>45680</v>
      </c>
    </row>
    <row r="296" spans="1:37" ht="15" customHeight="1">
      <c r="A296" s="2" t="s">
        <v>860</v>
      </c>
      <c r="B296" s="2">
        <v>0</v>
      </c>
      <c r="C296" s="2"/>
      <c r="D296" s="2" t="s">
        <v>265</v>
      </c>
      <c r="E296" s="2" t="s">
        <v>533</v>
      </c>
      <c r="F296" s="3">
        <v>45680</v>
      </c>
      <c r="G296" s="3">
        <v>45680</v>
      </c>
      <c r="H296" s="3">
        <v>45680</v>
      </c>
      <c r="I296" s="2"/>
      <c r="J296" s="2"/>
      <c r="K296" s="2" t="s">
        <v>25</v>
      </c>
      <c r="L296" s="2" t="s">
        <v>26</v>
      </c>
      <c r="M296" s="2"/>
      <c r="N296" s="2" t="s">
        <v>27</v>
      </c>
      <c r="O296" s="2">
        <v>602.70000000000005</v>
      </c>
      <c r="P296" s="2">
        <v>108.49</v>
      </c>
      <c r="Q296" s="2">
        <v>711.19</v>
      </c>
      <c r="R296" s="2">
        <v>711.19</v>
      </c>
      <c r="S296" s="2">
        <v>711.19</v>
      </c>
      <c r="T296" s="2" t="s">
        <v>28</v>
      </c>
      <c r="U296" s="2" t="b">
        <v>0</v>
      </c>
      <c r="V296" s="2" t="s">
        <v>29</v>
      </c>
      <c r="W296" s="2" t="s">
        <v>104</v>
      </c>
      <c r="X296" s="2" t="s">
        <v>105</v>
      </c>
      <c r="Y296" s="2" t="s">
        <v>861</v>
      </c>
      <c r="Z296" s="2" t="s">
        <v>31</v>
      </c>
      <c r="AA296" s="2"/>
      <c r="AB296" s="2"/>
      <c r="AC296" s="2"/>
      <c r="AD296" s="2"/>
      <c r="AK296" s="8">
        <f t="shared" si="5"/>
        <v>45680</v>
      </c>
    </row>
    <row r="297" spans="1:37" ht="15" customHeight="1">
      <c r="A297" s="2" t="s">
        <v>862</v>
      </c>
      <c r="B297" s="2">
        <v>0</v>
      </c>
      <c r="C297" s="2"/>
      <c r="D297" s="2" t="s">
        <v>265</v>
      </c>
      <c r="E297" s="2" t="s">
        <v>533</v>
      </c>
      <c r="F297" s="3">
        <v>45680</v>
      </c>
      <c r="G297" s="3">
        <v>45680</v>
      </c>
      <c r="H297" s="3">
        <v>45680</v>
      </c>
      <c r="I297" s="2"/>
      <c r="J297" s="2"/>
      <c r="K297" s="2" t="s">
        <v>25</v>
      </c>
      <c r="L297" s="2" t="s">
        <v>26</v>
      </c>
      <c r="M297" s="2"/>
      <c r="N297" s="2" t="s">
        <v>27</v>
      </c>
      <c r="O297" s="2">
        <v>524.72</v>
      </c>
      <c r="P297" s="2">
        <v>94.45</v>
      </c>
      <c r="Q297" s="2">
        <v>619.16999999999996</v>
      </c>
      <c r="R297" s="2">
        <v>619.16999999999996</v>
      </c>
      <c r="S297" s="2">
        <v>619.16999999999996</v>
      </c>
      <c r="T297" s="2" t="s">
        <v>28</v>
      </c>
      <c r="U297" s="2" t="b">
        <v>0</v>
      </c>
      <c r="V297" s="2" t="s">
        <v>29</v>
      </c>
      <c r="W297" s="2" t="s">
        <v>104</v>
      </c>
      <c r="X297" s="2" t="s">
        <v>105</v>
      </c>
      <c r="Y297" s="2" t="s">
        <v>863</v>
      </c>
      <c r="Z297" s="2" t="s">
        <v>31</v>
      </c>
      <c r="AA297" s="2"/>
      <c r="AB297" s="2"/>
      <c r="AC297" s="2"/>
      <c r="AD297" s="2"/>
      <c r="AK297" s="8">
        <f t="shared" si="5"/>
        <v>45680</v>
      </c>
    </row>
    <row r="298" spans="1:37" ht="15" customHeight="1">
      <c r="A298" s="2" t="s">
        <v>864</v>
      </c>
      <c r="B298" s="2">
        <v>0</v>
      </c>
      <c r="C298" s="2"/>
      <c r="D298" s="2" t="s">
        <v>265</v>
      </c>
      <c r="E298" s="2" t="s">
        <v>554</v>
      </c>
      <c r="F298" s="3">
        <v>45680</v>
      </c>
      <c r="G298" s="3">
        <v>45680</v>
      </c>
      <c r="H298" s="3">
        <v>45680</v>
      </c>
      <c r="I298" s="2"/>
      <c r="J298" s="2"/>
      <c r="K298" s="2" t="s">
        <v>25</v>
      </c>
      <c r="L298" s="2" t="s">
        <v>26</v>
      </c>
      <c r="M298" s="2"/>
      <c r="N298" s="2" t="s">
        <v>27</v>
      </c>
      <c r="O298" s="2">
        <v>24.11</v>
      </c>
      <c r="P298" s="2">
        <v>4.34</v>
      </c>
      <c r="Q298" s="2">
        <v>28.45</v>
      </c>
      <c r="R298" s="2">
        <v>28.45</v>
      </c>
      <c r="S298" s="2">
        <v>28.45</v>
      </c>
      <c r="T298" s="2" t="s">
        <v>28</v>
      </c>
      <c r="U298" s="2" t="b">
        <v>0</v>
      </c>
      <c r="V298" s="2" t="s">
        <v>29</v>
      </c>
      <c r="W298" s="2" t="s">
        <v>104</v>
      </c>
      <c r="X298" s="2" t="s">
        <v>105</v>
      </c>
      <c r="Y298" s="2" t="s">
        <v>865</v>
      </c>
      <c r="Z298" s="2" t="s">
        <v>31</v>
      </c>
      <c r="AA298" s="2"/>
      <c r="AB298" s="2"/>
      <c r="AC298" s="2"/>
      <c r="AD298" s="2"/>
      <c r="AK298" s="8">
        <f t="shared" si="5"/>
        <v>45680</v>
      </c>
    </row>
    <row r="299" spans="1:37" ht="15" customHeight="1">
      <c r="A299" s="2" t="s">
        <v>866</v>
      </c>
      <c r="B299" s="2">
        <v>0</v>
      </c>
      <c r="C299" s="2"/>
      <c r="D299" s="2" t="s">
        <v>265</v>
      </c>
      <c r="E299" s="2" t="s">
        <v>554</v>
      </c>
      <c r="F299" s="3">
        <v>45680</v>
      </c>
      <c r="G299" s="3">
        <v>45680</v>
      </c>
      <c r="H299" s="3">
        <v>45680</v>
      </c>
      <c r="I299" s="2"/>
      <c r="J299" s="2"/>
      <c r="K299" s="2" t="s">
        <v>25</v>
      </c>
      <c r="L299" s="2" t="s">
        <v>26</v>
      </c>
      <c r="M299" s="2"/>
      <c r="N299" s="2" t="s">
        <v>27</v>
      </c>
      <c r="O299" s="2">
        <v>20.99</v>
      </c>
      <c r="P299" s="2">
        <v>3.78</v>
      </c>
      <c r="Q299" s="2">
        <v>24.77</v>
      </c>
      <c r="R299" s="2">
        <v>24.77</v>
      </c>
      <c r="S299" s="2">
        <v>24.77</v>
      </c>
      <c r="T299" s="2" t="s">
        <v>28</v>
      </c>
      <c r="U299" s="2" t="b">
        <v>0</v>
      </c>
      <c r="V299" s="2" t="s">
        <v>29</v>
      </c>
      <c r="W299" s="2" t="s">
        <v>104</v>
      </c>
      <c r="X299" s="2" t="s">
        <v>105</v>
      </c>
      <c r="Y299" s="2" t="s">
        <v>867</v>
      </c>
      <c r="Z299" s="2" t="s">
        <v>31</v>
      </c>
      <c r="AA299" s="2"/>
      <c r="AB299" s="2"/>
      <c r="AC299" s="2"/>
      <c r="AD299" s="2"/>
      <c r="AK299" s="8">
        <f t="shared" si="5"/>
        <v>45680</v>
      </c>
    </row>
    <row r="300" spans="1:37" ht="15" customHeight="1">
      <c r="A300" s="2" t="s">
        <v>868</v>
      </c>
      <c r="B300" s="2">
        <v>0</v>
      </c>
      <c r="C300" s="2"/>
      <c r="D300" s="2" t="s">
        <v>265</v>
      </c>
      <c r="E300" s="2" t="s">
        <v>519</v>
      </c>
      <c r="F300" s="3">
        <v>45680</v>
      </c>
      <c r="G300" s="3">
        <v>45680</v>
      </c>
      <c r="H300" s="3">
        <v>45680</v>
      </c>
      <c r="I300" s="2"/>
      <c r="J300" s="2"/>
      <c r="K300" s="2" t="s">
        <v>25</v>
      </c>
      <c r="L300" s="2" t="s">
        <v>26</v>
      </c>
      <c r="M300" s="2"/>
      <c r="N300" s="2" t="s">
        <v>27</v>
      </c>
      <c r="O300" s="2">
        <v>1029.3599999999999</v>
      </c>
      <c r="P300" s="2">
        <v>185.28</v>
      </c>
      <c r="Q300" s="2">
        <v>1214.6400000000001</v>
      </c>
      <c r="R300" s="2">
        <v>1214.6400000000001</v>
      </c>
      <c r="S300" s="2">
        <v>1214.6400000000001</v>
      </c>
      <c r="T300" s="2" t="s">
        <v>28</v>
      </c>
      <c r="U300" s="2" t="b">
        <v>0</v>
      </c>
      <c r="V300" s="2" t="s">
        <v>29</v>
      </c>
      <c r="W300" s="2" t="s">
        <v>104</v>
      </c>
      <c r="X300" s="2" t="s">
        <v>105</v>
      </c>
      <c r="Y300" s="2" t="s">
        <v>869</v>
      </c>
      <c r="Z300" s="2" t="s">
        <v>31</v>
      </c>
      <c r="AA300" s="2"/>
      <c r="AB300" s="2"/>
      <c r="AC300" s="2"/>
      <c r="AD300" s="2"/>
      <c r="AK300" s="8">
        <f t="shared" si="5"/>
        <v>45680</v>
      </c>
    </row>
    <row r="301" spans="1:37" ht="15" customHeight="1">
      <c r="A301" s="2" t="s">
        <v>870</v>
      </c>
      <c r="B301" s="2">
        <v>0</v>
      </c>
      <c r="C301" s="2"/>
      <c r="D301" s="2" t="s">
        <v>265</v>
      </c>
      <c r="E301" s="2" t="s">
        <v>519</v>
      </c>
      <c r="F301" s="3">
        <v>45680</v>
      </c>
      <c r="G301" s="3">
        <v>45680</v>
      </c>
      <c r="H301" s="3">
        <v>45680</v>
      </c>
      <c r="I301" s="2"/>
      <c r="J301" s="2"/>
      <c r="K301" s="2" t="s">
        <v>25</v>
      </c>
      <c r="L301" s="2" t="s">
        <v>26</v>
      </c>
      <c r="M301" s="2"/>
      <c r="N301" s="2" t="s">
        <v>27</v>
      </c>
      <c r="O301" s="2">
        <v>886.52</v>
      </c>
      <c r="P301" s="2">
        <v>159.57</v>
      </c>
      <c r="Q301" s="2">
        <v>1046.0899999999999</v>
      </c>
      <c r="R301" s="2">
        <v>1046.0899999999999</v>
      </c>
      <c r="S301" s="2">
        <v>1046.0899999999999</v>
      </c>
      <c r="T301" s="2" t="s">
        <v>28</v>
      </c>
      <c r="U301" s="2" t="b">
        <v>0</v>
      </c>
      <c r="V301" s="2" t="s">
        <v>29</v>
      </c>
      <c r="W301" s="2" t="s">
        <v>104</v>
      </c>
      <c r="X301" s="2" t="s">
        <v>105</v>
      </c>
      <c r="Y301" s="2" t="s">
        <v>871</v>
      </c>
      <c r="Z301" s="2" t="s">
        <v>31</v>
      </c>
      <c r="AA301" s="2"/>
      <c r="AB301" s="2"/>
      <c r="AC301" s="2"/>
      <c r="AD301" s="2"/>
      <c r="AK301" s="8">
        <f t="shared" si="5"/>
        <v>45680</v>
      </c>
    </row>
    <row r="302" spans="1:37" ht="15" customHeight="1">
      <c r="A302" s="2" t="s">
        <v>872</v>
      </c>
      <c r="B302" s="2">
        <v>0</v>
      </c>
      <c r="C302" s="2"/>
      <c r="D302" s="2" t="s">
        <v>265</v>
      </c>
      <c r="E302" s="2" t="s">
        <v>526</v>
      </c>
      <c r="F302" s="3">
        <v>45680</v>
      </c>
      <c r="G302" s="3">
        <v>45680</v>
      </c>
      <c r="H302" s="3">
        <v>45680</v>
      </c>
      <c r="I302" s="2"/>
      <c r="J302" s="2"/>
      <c r="K302" s="2" t="s">
        <v>25</v>
      </c>
      <c r="L302" s="2" t="s">
        <v>26</v>
      </c>
      <c r="M302" s="2"/>
      <c r="N302" s="2" t="s">
        <v>27</v>
      </c>
      <c r="O302" s="2">
        <v>525.17999999999995</v>
      </c>
      <c r="P302" s="2">
        <v>94.53</v>
      </c>
      <c r="Q302" s="2">
        <v>619.71</v>
      </c>
      <c r="R302" s="2">
        <v>619.71</v>
      </c>
      <c r="S302" s="2">
        <v>619.71</v>
      </c>
      <c r="T302" s="2" t="s">
        <v>28</v>
      </c>
      <c r="U302" s="2" t="b">
        <v>0</v>
      </c>
      <c r="V302" s="2" t="s">
        <v>29</v>
      </c>
      <c r="W302" s="2" t="s">
        <v>104</v>
      </c>
      <c r="X302" s="2" t="s">
        <v>105</v>
      </c>
      <c r="Y302" s="2" t="s">
        <v>873</v>
      </c>
      <c r="Z302" s="2" t="s">
        <v>31</v>
      </c>
      <c r="AA302" s="2"/>
      <c r="AB302" s="2"/>
      <c r="AC302" s="2"/>
      <c r="AD302" s="2"/>
      <c r="AK302" s="8">
        <f t="shared" si="5"/>
        <v>45680</v>
      </c>
    </row>
    <row r="303" spans="1:37" ht="15" customHeight="1">
      <c r="A303" s="2" t="s">
        <v>874</v>
      </c>
      <c r="B303" s="2">
        <v>0</v>
      </c>
      <c r="C303" s="2"/>
      <c r="D303" s="2" t="s">
        <v>265</v>
      </c>
      <c r="E303" s="2" t="s">
        <v>526</v>
      </c>
      <c r="F303" s="3">
        <v>45680</v>
      </c>
      <c r="G303" s="3">
        <v>45680</v>
      </c>
      <c r="H303" s="3">
        <v>45680</v>
      </c>
      <c r="I303" s="2"/>
      <c r="J303" s="2"/>
      <c r="K303" s="2" t="s">
        <v>25</v>
      </c>
      <c r="L303" s="2" t="s">
        <v>26</v>
      </c>
      <c r="M303" s="2"/>
      <c r="N303" s="2" t="s">
        <v>27</v>
      </c>
      <c r="O303" s="2">
        <v>452.31</v>
      </c>
      <c r="P303" s="2">
        <v>81.41</v>
      </c>
      <c r="Q303" s="2">
        <v>533.72</v>
      </c>
      <c r="R303" s="2">
        <v>533.72</v>
      </c>
      <c r="S303" s="2">
        <v>533.72</v>
      </c>
      <c r="T303" s="2" t="s">
        <v>28</v>
      </c>
      <c r="U303" s="2" t="b">
        <v>0</v>
      </c>
      <c r="V303" s="2" t="s">
        <v>29</v>
      </c>
      <c r="W303" s="2" t="s">
        <v>104</v>
      </c>
      <c r="X303" s="2" t="s">
        <v>105</v>
      </c>
      <c r="Y303" s="2" t="s">
        <v>875</v>
      </c>
      <c r="Z303" s="2" t="s">
        <v>31</v>
      </c>
      <c r="AA303" s="2"/>
      <c r="AB303" s="2"/>
      <c r="AC303" s="2"/>
      <c r="AD303" s="2"/>
      <c r="AK303" s="8">
        <f t="shared" si="5"/>
        <v>45680</v>
      </c>
    </row>
    <row r="304" spans="1:37" ht="15" customHeight="1">
      <c r="A304" s="2" t="s">
        <v>876</v>
      </c>
      <c r="B304" s="2">
        <v>0</v>
      </c>
      <c r="C304" s="2"/>
      <c r="D304" s="2" t="s">
        <v>265</v>
      </c>
      <c r="E304" s="2" t="s">
        <v>533</v>
      </c>
      <c r="F304" s="3">
        <v>45680</v>
      </c>
      <c r="G304" s="3">
        <v>45680</v>
      </c>
      <c r="H304" s="3">
        <v>45680</v>
      </c>
      <c r="I304" s="2"/>
      <c r="J304" s="2"/>
      <c r="K304" s="2" t="s">
        <v>25</v>
      </c>
      <c r="L304" s="2" t="s">
        <v>26</v>
      </c>
      <c r="M304" s="2"/>
      <c r="N304" s="2" t="s">
        <v>27</v>
      </c>
      <c r="O304" s="2">
        <v>525.17999999999995</v>
      </c>
      <c r="P304" s="2">
        <v>94.53</v>
      </c>
      <c r="Q304" s="2">
        <v>619.71</v>
      </c>
      <c r="R304" s="2">
        <v>619.71</v>
      </c>
      <c r="S304" s="2">
        <v>619.71</v>
      </c>
      <c r="T304" s="2" t="s">
        <v>28</v>
      </c>
      <c r="U304" s="2" t="b">
        <v>0</v>
      </c>
      <c r="V304" s="2" t="s">
        <v>29</v>
      </c>
      <c r="W304" s="2" t="s">
        <v>104</v>
      </c>
      <c r="X304" s="2" t="s">
        <v>105</v>
      </c>
      <c r="Y304" s="2" t="s">
        <v>877</v>
      </c>
      <c r="Z304" s="2" t="s">
        <v>31</v>
      </c>
      <c r="AA304" s="2"/>
      <c r="AB304" s="2"/>
      <c r="AC304" s="2"/>
      <c r="AD304" s="2"/>
      <c r="AK304" s="8">
        <f t="shared" si="5"/>
        <v>45680</v>
      </c>
    </row>
    <row r="305" spans="1:37" ht="15" customHeight="1">
      <c r="A305" s="2" t="s">
        <v>878</v>
      </c>
      <c r="B305" s="2">
        <v>0</v>
      </c>
      <c r="C305" s="2"/>
      <c r="D305" s="2" t="s">
        <v>265</v>
      </c>
      <c r="E305" s="2" t="s">
        <v>533</v>
      </c>
      <c r="F305" s="3">
        <v>45680</v>
      </c>
      <c r="G305" s="3">
        <v>45680</v>
      </c>
      <c r="H305" s="3">
        <v>45680</v>
      </c>
      <c r="I305" s="2"/>
      <c r="J305" s="2"/>
      <c r="K305" s="2" t="s">
        <v>25</v>
      </c>
      <c r="L305" s="2" t="s">
        <v>26</v>
      </c>
      <c r="M305" s="2"/>
      <c r="N305" s="2" t="s">
        <v>27</v>
      </c>
      <c r="O305" s="2">
        <v>452.31</v>
      </c>
      <c r="P305" s="2">
        <v>81.41</v>
      </c>
      <c r="Q305" s="2">
        <v>533.72</v>
      </c>
      <c r="R305" s="2">
        <v>533.72</v>
      </c>
      <c r="S305" s="2">
        <v>533.72</v>
      </c>
      <c r="T305" s="2" t="s">
        <v>28</v>
      </c>
      <c r="U305" s="2" t="b">
        <v>0</v>
      </c>
      <c r="V305" s="2" t="s">
        <v>29</v>
      </c>
      <c r="W305" s="2" t="s">
        <v>104</v>
      </c>
      <c r="X305" s="2" t="s">
        <v>105</v>
      </c>
      <c r="Y305" s="2" t="s">
        <v>879</v>
      </c>
      <c r="Z305" s="2" t="s">
        <v>31</v>
      </c>
      <c r="AA305" s="2"/>
      <c r="AB305" s="2"/>
      <c r="AC305" s="2"/>
      <c r="AD305" s="2"/>
      <c r="AK305" s="8">
        <f t="shared" si="5"/>
        <v>45680</v>
      </c>
    </row>
    <row r="306" spans="1:37" ht="15" customHeight="1">
      <c r="A306" s="2" t="s">
        <v>880</v>
      </c>
      <c r="B306" s="2">
        <v>0</v>
      </c>
      <c r="C306" s="2"/>
      <c r="D306" s="2" t="s">
        <v>265</v>
      </c>
      <c r="E306" s="2" t="s">
        <v>554</v>
      </c>
      <c r="F306" s="3">
        <v>45680</v>
      </c>
      <c r="G306" s="3">
        <v>45680</v>
      </c>
      <c r="H306" s="3">
        <v>45680</v>
      </c>
      <c r="I306" s="2"/>
      <c r="J306" s="2"/>
      <c r="K306" s="2" t="s">
        <v>25</v>
      </c>
      <c r="L306" s="2" t="s">
        <v>26</v>
      </c>
      <c r="M306" s="2"/>
      <c r="N306" s="2" t="s">
        <v>27</v>
      </c>
      <c r="O306" s="2">
        <v>21.01</v>
      </c>
      <c r="P306" s="2">
        <v>3.78</v>
      </c>
      <c r="Q306" s="2">
        <v>24.79</v>
      </c>
      <c r="R306" s="2">
        <v>24.79</v>
      </c>
      <c r="S306" s="2">
        <v>24.79</v>
      </c>
      <c r="T306" s="2" t="s">
        <v>28</v>
      </c>
      <c r="U306" s="2" t="b">
        <v>0</v>
      </c>
      <c r="V306" s="2" t="s">
        <v>29</v>
      </c>
      <c r="W306" s="2" t="s">
        <v>104</v>
      </c>
      <c r="X306" s="2" t="s">
        <v>105</v>
      </c>
      <c r="Y306" s="2" t="s">
        <v>881</v>
      </c>
      <c r="Z306" s="2" t="s">
        <v>31</v>
      </c>
      <c r="AA306" s="2"/>
      <c r="AB306" s="2"/>
      <c r="AC306" s="2"/>
      <c r="AD306" s="2"/>
      <c r="AK306" s="8">
        <f t="shared" si="5"/>
        <v>45680</v>
      </c>
    </row>
    <row r="307" spans="1:37" ht="15" customHeight="1">
      <c r="A307" s="2" t="s">
        <v>882</v>
      </c>
      <c r="B307" s="2">
        <v>0</v>
      </c>
      <c r="C307" s="2"/>
      <c r="D307" s="2" t="s">
        <v>265</v>
      </c>
      <c r="E307" s="2" t="s">
        <v>554</v>
      </c>
      <c r="F307" s="3">
        <v>45680</v>
      </c>
      <c r="G307" s="3">
        <v>45680</v>
      </c>
      <c r="H307" s="3">
        <v>45680</v>
      </c>
      <c r="I307" s="2"/>
      <c r="J307" s="2"/>
      <c r="K307" s="2" t="s">
        <v>25</v>
      </c>
      <c r="L307" s="2" t="s">
        <v>26</v>
      </c>
      <c r="M307" s="2"/>
      <c r="N307" s="2" t="s">
        <v>27</v>
      </c>
      <c r="O307" s="2">
        <v>18.09</v>
      </c>
      <c r="P307" s="2">
        <v>3.26</v>
      </c>
      <c r="Q307" s="2">
        <v>21.35</v>
      </c>
      <c r="R307" s="2">
        <v>21.35</v>
      </c>
      <c r="S307" s="2">
        <v>21.35</v>
      </c>
      <c r="T307" s="2" t="s">
        <v>28</v>
      </c>
      <c r="U307" s="2" t="b">
        <v>0</v>
      </c>
      <c r="V307" s="2" t="s">
        <v>29</v>
      </c>
      <c r="W307" s="2" t="s">
        <v>104</v>
      </c>
      <c r="X307" s="2" t="s">
        <v>105</v>
      </c>
      <c r="Y307" s="2" t="s">
        <v>883</v>
      </c>
      <c r="Z307" s="2" t="s">
        <v>31</v>
      </c>
      <c r="AA307" s="2"/>
      <c r="AB307" s="2"/>
      <c r="AC307" s="2"/>
      <c r="AD307" s="2"/>
      <c r="AK307" s="8">
        <f t="shared" si="5"/>
        <v>45680</v>
      </c>
    </row>
    <row r="308" spans="1:37" ht="15" customHeight="1">
      <c r="A308" s="2" t="s">
        <v>884</v>
      </c>
      <c r="B308" s="2">
        <v>0</v>
      </c>
      <c r="C308" s="2"/>
      <c r="D308" s="2" t="s">
        <v>265</v>
      </c>
      <c r="E308" s="2" t="s">
        <v>519</v>
      </c>
      <c r="F308" s="3">
        <v>45680</v>
      </c>
      <c r="G308" s="3">
        <v>45680</v>
      </c>
      <c r="H308" s="3">
        <v>45680</v>
      </c>
      <c r="I308" s="2"/>
      <c r="J308" s="2"/>
      <c r="K308" s="2" t="s">
        <v>25</v>
      </c>
      <c r="L308" s="2" t="s">
        <v>26</v>
      </c>
      <c r="M308" s="2"/>
      <c r="N308" s="2" t="s">
        <v>27</v>
      </c>
      <c r="O308" s="2">
        <v>293.38</v>
      </c>
      <c r="P308" s="2">
        <v>52.81</v>
      </c>
      <c r="Q308" s="2">
        <v>346.19</v>
      </c>
      <c r="R308" s="2">
        <v>346.19</v>
      </c>
      <c r="S308" s="2">
        <v>346.19</v>
      </c>
      <c r="T308" s="2" t="s">
        <v>28</v>
      </c>
      <c r="U308" s="2" t="b">
        <v>0</v>
      </c>
      <c r="V308" s="2" t="s">
        <v>29</v>
      </c>
      <c r="W308" s="2" t="s">
        <v>104</v>
      </c>
      <c r="X308" s="2" t="s">
        <v>105</v>
      </c>
      <c r="Y308" s="2" t="s">
        <v>885</v>
      </c>
      <c r="Z308" s="2" t="s">
        <v>31</v>
      </c>
      <c r="AA308" s="2"/>
      <c r="AB308" s="2"/>
      <c r="AC308" s="2"/>
      <c r="AD308" s="2"/>
      <c r="AK308" s="8">
        <f t="shared" si="5"/>
        <v>45680</v>
      </c>
    </row>
    <row r="309" spans="1:37" ht="15" customHeight="1">
      <c r="A309" s="2" t="s">
        <v>886</v>
      </c>
      <c r="B309" s="2">
        <v>0</v>
      </c>
      <c r="C309" s="2"/>
      <c r="D309" s="2" t="s">
        <v>265</v>
      </c>
      <c r="E309" s="2" t="s">
        <v>519</v>
      </c>
      <c r="F309" s="3">
        <v>45680</v>
      </c>
      <c r="G309" s="3">
        <v>45680</v>
      </c>
      <c r="H309" s="3">
        <v>45680</v>
      </c>
      <c r="I309" s="2"/>
      <c r="J309" s="2"/>
      <c r="K309" s="2" t="s">
        <v>25</v>
      </c>
      <c r="L309" s="2" t="s">
        <v>26</v>
      </c>
      <c r="M309" s="2"/>
      <c r="N309" s="2" t="s">
        <v>27</v>
      </c>
      <c r="O309" s="2">
        <v>248.53</v>
      </c>
      <c r="P309" s="2">
        <v>44.73</v>
      </c>
      <c r="Q309" s="2">
        <v>293.26</v>
      </c>
      <c r="R309" s="2">
        <v>293.26</v>
      </c>
      <c r="S309" s="2">
        <v>293.26</v>
      </c>
      <c r="T309" s="2" t="s">
        <v>28</v>
      </c>
      <c r="U309" s="2" t="b">
        <v>0</v>
      </c>
      <c r="V309" s="2" t="s">
        <v>29</v>
      </c>
      <c r="W309" s="2" t="s">
        <v>104</v>
      </c>
      <c r="X309" s="2" t="s">
        <v>105</v>
      </c>
      <c r="Y309" s="2" t="s">
        <v>887</v>
      </c>
      <c r="Z309" s="2" t="s">
        <v>31</v>
      </c>
      <c r="AA309" s="2"/>
      <c r="AB309" s="2"/>
      <c r="AC309" s="2"/>
      <c r="AD309" s="2"/>
      <c r="AK309" s="8">
        <f t="shared" si="5"/>
        <v>45680</v>
      </c>
    </row>
    <row r="310" spans="1:37" ht="15" customHeight="1">
      <c r="A310" s="2" t="s">
        <v>888</v>
      </c>
      <c r="B310" s="2">
        <v>0</v>
      </c>
      <c r="C310" s="2"/>
      <c r="D310" s="2" t="s">
        <v>265</v>
      </c>
      <c r="E310" s="2" t="s">
        <v>526</v>
      </c>
      <c r="F310" s="3">
        <v>45680</v>
      </c>
      <c r="G310" s="3">
        <v>45680</v>
      </c>
      <c r="H310" s="3">
        <v>45680</v>
      </c>
      <c r="I310" s="2"/>
      <c r="J310" s="2"/>
      <c r="K310" s="2" t="s">
        <v>25</v>
      </c>
      <c r="L310" s="2" t="s">
        <v>26</v>
      </c>
      <c r="M310" s="2"/>
      <c r="N310" s="2" t="s">
        <v>27</v>
      </c>
      <c r="O310" s="2">
        <v>149.69</v>
      </c>
      <c r="P310" s="2">
        <v>26.94</v>
      </c>
      <c r="Q310" s="2">
        <v>176.63</v>
      </c>
      <c r="R310" s="2">
        <v>176.63</v>
      </c>
      <c r="S310" s="2">
        <v>176.63</v>
      </c>
      <c r="T310" s="2" t="s">
        <v>28</v>
      </c>
      <c r="U310" s="2" t="b">
        <v>0</v>
      </c>
      <c r="V310" s="2" t="s">
        <v>29</v>
      </c>
      <c r="W310" s="2" t="s">
        <v>104</v>
      </c>
      <c r="X310" s="2" t="s">
        <v>105</v>
      </c>
      <c r="Y310" s="2" t="s">
        <v>889</v>
      </c>
      <c r="Z310" s="2" t="s">
        <v>31</v>
      </c>
      <c r="AA310" s="2"/>
      <c r="AB310" s="2"/>
      <c r="AC310" s="2"/>
      <c r="AD310" s="2"/>
      <c r="AK310" s="8">
        <f t="shared" si="5"/>
        <v>45680</v>
      </c>
    </row>
    <row r="311" spans="1:37" ht="15" customHeight="1">
      <c r="A311" s="2" t="s">
        <v>890</v>
      </c>
      <c r="B311" s="2">
        <v>0</v>
      </c>
      <c r="C311" s="2"/>
      <c r="D311" s="2" t="s">
        <v>265</v>
      </c>
      <c r="E311" s="2" t="s">
        <v>526</v>
      </c>
      <c r="F311" s="3">
        <v>45680</v>
      </c>
      <c r="G311" s="3">
        <v>45680</v>
      </c>
      <c r="H311" s="3">
        <v>45680</v>
      </c>
      <c r="I311" s="2"/>
      <c r="J311" s="2"/>
      <c r="K311" s="2" t="s">
        <v>25</v>
      </c>
      <c r="L311" s="2" t="s">
        <v>26</v>
      </c>
      <c r="M311" s="2"/>
      <c r="N311" s="2" t="s">
        <v>27</v>
      </c>
      <c r="O311" s="2">
        <v>126.8</v>
      </c>
      <c r="P311" s="2">
        <v>22.82</v>
      </c>
      <c r="Q311" s="2">
        <v>149.62</v>
      </c>
      <c r="R311" s="2">
        <v>149.62</v>
      </c>
      <c r="S311" s="2">
        <v>149.62</v>
      </c>
      <c r="T311" s="2" t="s">
        <v>28</v>
      </c>
      <c r="U311" s="2" t="b">
        <v>0</v>
      </c>
      <c r="V311" s="2" t="s">
        <v>29</v>
      </c>
      <c r="W311" s="2" t="s">
        <v>104</v>
      </c>
      <c r="X311" s="2" t="s">
        <v>105</v>
      </c>
      <c r="Y311" s="2" t="s">
        <v>891</v>
      </c>
      <c r="Z311" s="2" t="s">
        <v>31</v>
      </c>
      <c r="AA311" s="2"/>
      <c r="AB311" s="2"/>
      <c r="AC311" s="2"/>
      <c r="AD311" s="2"/>
      <c r="AK311" s="8">
        <f t="shared" si="5"/>
        <v>45680</v>
      </c>
    </row>
    <row r="312" spans="1:37" ht="15" customHeight="1">
      <c r="A312" s="2" t="s">
        <v>892</v>
      </c>
      <c r="B312" s="2">
        <v>0</v>
      </c>
      <c r="C312" s="2"/>
      <c r="D312" s="2" t="s">
        <v>265</v>
      </c>
      <c r="E312" s="2" t="s">
        <v>533</v>
      </c>
      <c r="F312" s="3">
        <v>45680</v>
      </c>
      <c r="G312" s="3">
        <v>45680</v>
      </c>
      <c r="H312" s="3">
        <v>45680</v>
      </c>
      <c r="I312" s="2"/>
      <c r="J312" s="2"/>
      <c r="K312" s="2" t="s">
        <v>25</v>
      </c>
      <c r="L312" s="2" t="s">
        <v>26</v>
      </c>
      <c r="M312" s="2"/>
      <c r="N312" s="2" t="s">
        <v>27</v>
      </c>
      <c r="O312" s="2">
        <v>149.69</v>
      </c>
      <c r="P312" s="2">
        <v>26.94</v>
      </c>
      <c r="Q312" s="2">
        <v>176.63</v>
      </c>
      <c r="R312" s="2">
        <v>176.63</v>
      </c>
      <c r="S312" s="2">
        <v>176.63</v>
      </c>
      <c r="T312" s="2" t="s">
        <v>28</v>
      </c>
      <c r="U312" s="2" t="b">
        <v>0</v>
      </c>
      <c r="V312" s="2" t="s">
        <v>29</v>
      </c>
      <c r="W312" s="2" t="s">
        <v>104</v>
      </c>
      <c r="X312" s="2" t="s">
        <v>105</v>
      </c>
      <c r="Y312" s="2" t="s">
        <v>893</v>
      </c>
      <c r="Z312" s="2" t="s">
        <v>31</v>
      </c>
      <c r="AA312" s="2"/>
      <c r="AB312" s="2"/>
      <c r="AC312" s="2"/>
      <c r="AD312" s="2"/>
      <c r="AK312" s="8">
        <f t="shared" si="5"/>
        <v>45680</v>
      </c>
    </row>
    <row r="313" spans="1:37" ht="15" customHeight="1">
      <c r="A313" s="2" t="s">
        <v>894</v>
      </c>
      <c r="B313" s="2">
        <v>0</v>
      </c>
      <c r="C313" s="2"/>
      <c r="D313" s="2" t="s">
        <v>265</v>
      </c>
      <c r="E313" s="2" t="s">
        <v>533</v>
      </c>
      <c r="F313" s="3">
        <v>45680</v>
      </c>
      <c r="G313" s="3">
        <v>45680</v>
      </c>
      <c r="H313" s="3">
        <v>45680</v>
      </c>
      <c r="I313" s="2"/>
      <c r="J313" s="2"/>
      <c r="K313" s="2" t="s">
        <v>25</v>
      </c>
      <c r="L313" s="2" t="s">
        <v>26</v>
      </c>
      <c r="M313" s="2"/>
      <c r="N313" s="2" t="s">
        <v>27</v>
      </c>
      <c r="O313" s="2">
        <v>126.8</v>
      </c>
      <c r="P313" s="2">
        <v>22.82</v>
      </c>
      <c r="Q313" s="2">
        <v>149.62</v>
      </c>
      <c r="R313" s="2">
        <v>149.62</v>
      </c>
      <c r="S313" s="2">
        <v>149.62</v>
      </c>
      <c r="T313" s="2" t="s">
        <v>28</v>
      </c>
      <c r="U313" s="2" t="b">
        <v>0</v>
      </c>
      <c r="V313" s="2" t="s">
        <v>29</v>
      </c>
      <c r="W313" s="2" t="s">
        <v>104</v>
      </c>
      <c r="X313" s="2" t="s">
        <v>105</v>
      </c>
      <c r="Y313" s="2" t="s">
        <v>895</v>
      </c>
      <c r="Z313" s="2" t="s">
        <v>31</v>
      </c>
      <c r="AA313" s="2"/>
      <c r="AB313" s="2"/>
      <c r="AC313" s="2"/>
      <c r="AD313" s="2"/>
      <c r="AK313" s="8">
        <f t="shared" si="5"/>
        <v>45680</v>
      </c>
    </row>
    <row r="314" spans="1:37" ht="15" customHeight="1">
      <c r="A314" s="2" t="s">
        <v>896</v>
      </c>
      <c r="B314" s="2">
        <v>0</v>
      </c>
      <c r="C314" s="2"/>
      <c r="D314" s="2" t="s">
        <v>265</v>
      </c>
      <c r="E314" s="2" t="s">
        <v>554</v>
      </c>
      <c r="F314" s="3">
        <v>45680</v>
      </c>
      <c r="G314" s="3">
        <v>45680</v>
      </c>
      <c r="H314" s="3">
        <v>45680</v>
      </c>
      <c r="I314" s="2"/>
      <c r="J314" s="2"/>
      <c r="K314" s="2" t="s">
        <v>25</v>
      </c>
      <c r="L314" s="2" t="s">
        <v>26</v>
      </c>
      <c r="M314" s="2"/>
      <c r="N314" s="2" t="s">
        <v>27</v>
      </c>
      <c r="O314" s="2">
        <v>5.99</v>
      </c>
      <c r="P314" s="2">
        <v>1.08</v>
      </c>
      <c r="Q314" s="2">
        <v>7.07</v>
      </c>
      <c r="R314" s="2">
        <v>7.07</v>
      </c>
      <c r="S314" s="2">
        <v>7.07</v>
      </c>
      <c r="T314" s="2" t="s">
        <v>28</v>
      </c>
      <c r="U314" s="2" t="b">
        <v>0</v>
      </c>
      <c r="V314" s="2" t="s">
        <v>29</v>
      </c>
      <c r="W314" s="2" t="s">
        <v>104</v>
      </c>
      <c r="X314" s="2" t="s">
        <v>105</v>
      </c>
      <c r="Y314" s="2" t="s">
        <v>897</v>
      </c>
      <c r="Z314" s="2" t="s">
        <v>31</v>
      </c>
      <c r="AA314" s="2"/>
      <c r="AB314" s="2"/>
      <c r="AC314" s="2"/>
      <c r="AD314" s="2"/>
      <c r="AK314" s="8">
        <f t="shared" si="5"/>
        <v>45680</v>
      </c>
    </row>
    <row r="315" spans="1:37" ht="15" customHeight="1">
      <c r="A315" s="2" t="s">
        <v>898</v>
      </c>
      <c r="B315" s="2">
        <v>0</v>
      </c>
      <c r="C315" s="2"/>
      <c r="D315" s="2" t="s">
        <v>265</v>
      </c>
      <c r="E315" s="2" t="s">
        <v>554</v>
      </c>
      <c r="F315" s="3">
        <v>45680</v>
      </c>
      <c r="G315" s="3">
        <v>45680</v>
      </c>
      <c r="H315" s="3">
        <v>45680</v>
      </c>
      <c r="I315" s="2"/>
      <c r="J315" s="2"/>
      <c r="K315" s="2" t="s">
        <v>25</v>
      </c>
      <c r="L315" s="2" t="s">
        <v>26</v>
      </c>
      <c r="M315" s="2"/>
      <c r="N315" s="2" t="s">
        <v>27</v>
      </c>
      <c r="O315" s="2">
        <v>5.07</v>
      </c>
      <c r="P315" s="2">
        <v>0.91</v>
      </c>
      <c r="Q315" s="2">
        <v>5.98</v>
      </c>
      <c r="R315" s="2">
        <v>5.98</v>
      </c>
      <c r="S315" s="2">
        <v>5.98</v>
      </c>
      <c r="T315" s="2" t="s">
        <v>28</v>
      </c>
      <c r="U315" s="2" t="b">
        <v>0</v>
      </c>
      <c r="V315" s="2" t="s">
        <v>29</v>
      </c>
      <c r="W315" s="2" t="s">
        <v>104</v>
      </c>
      <c r="X315" s="2" t="s">
        <v>105</v>
      </c>
      <c r="Y315" s="2" t="s">
        <v>899</v>
      </c>
      <c r="Z315" s="2" t="s">
        <v>31</v>
      </c>
      <c r="AA315" s="2"/>
      <c r="AB315" s="2"/>
      <c r="AC315" s="2"/>
      <c r="AD315" s="2"/>
      <c r="AK315" s="8">
        <f t="shared" si="5"/>
        <v>45680</v>
      </c>
    </row>
    <row r="316" spans="1:37" ht="15" customHeight="1">
      <c r="A316" s="2" t="s">
        <v>900</v>
      </c>
      <c r="B316" s="2">
        <v>0</v>
      </c>
      <c r="C316" s="2"/>
      <c r="D316" s="2" t="s">
        <v>265</v>
      </c>
      <c r="E316" s="2" t="s">
        <v>901</v>
      </c>
      <c r="F316" s="3">
        <v>45680</v>
      </c>
      <c r="G316" s="3">
        <v>45680</v>
      </c>
      <c r="H316" s="3">
        <v>45680</v>
      </c>
      <c r="I316" s="2"/>
      <c r="J316" s="2"/>
      <c r="K316" s="2" t="s">
        <v>25</v>
      </c>
      <c r="L316" s="2" t="s">
        <v>26</v>
      </c>
      <c r="M316" s="2"/>
      <c r="N316" s="2" t="s">
        <v>27</v>
      </c>
      <c r="O316" s="2">
        <v>46.78</v>
      </c>
      <c r="P316" s="2">
        <v>8.42</v>
      </c>
      <c r="Q316" s="2">
        <v>55.2</v>
      </c>
      <c r="R316" s="2">
        <v>55.2</v>
      </c>
      <c r="S316" s="2">
        <v>55.2</v>
      </c>
      <c r="T316" s="2" t="s">
        <v>28</v>
      </c>
      <c r="U316" s="2" t="b">
        <v>0</v>
      </c>
      <c r="V316" s="2" t="s">
        <v>29</v>
      </c>
      <c r="W316" s="2" t="s">
        <v>104</v>
      </c>
      <c r="X316" s="2" t="s">
        <v>105</v>
      </c>
      <c r="Y316" s="2" t="s">
        <v>902</v>
      </c>
      <c r="Z316" s="2" t="s">
        <v>31</v>
      </c>
      <c r="AA316" s="2"/>
      <c r="AB316" s="2"/>
      <c r="AC316" s="2"/>
      <c r="AD316" s="2"/>
      <c r="AK316" s="8">
        <f t="shared" si="5"/>
        <v>45680</v>
      </c>
    </row>
    <row r="317" spans="1:37" ht="15" customHeight="1">
      <c r="A317" s="2" t="s">
        <v>903</v>
      </c>
      <c r="B317" s="2">
        <v>0</v>
      </c>
      <c r="C317" s="2"/>
      <c r="D317" s="2" t="s">
        <v>265</v>
      </c>
      <c r="E317" s="2" t="s">
        <v>901</v>
      </c>
      <c r="F317" s="3">
        <v>45680</v>
      </c>
      <c r="G317" s="3">
        <v>45680</v>
      </c>
      <c r="H317" s="3">
        <v>45680</v>
      </c>
      <c r="I317" s="2"/>
      <c r="J317" s="2"/>
      <c r="K317" s="2" t="s">
        <v>25</v>
      </c>
      <c r="L317" s="2" t="s">
        <v>26</v>
      </c>
      <c r="M317" s="2"/>
      <c r="N317" s="2" t="s">
        <v>27</v>
      </c>
      <c r="O317" s="2">
        <v>32.880000000000003</v>
      </c>
      <c r="P317" s="2">
        <v>5.92</v>
      </c>
      <c r="Q317" s="2">
        <v>38.799999999999997</v>
      </c>
      <c r="R317" s="2">
        <v>38.799999999999997</v>
      </c>
      <c r="S317" s="2">
        <v>38.799999999999997</v>
      </c>
      <c r="T317" s="2" t="s">
        <v>28</v>
      </c>
      <c r="U317" s="2" t="b">
        <v>0</v>
      </c>
      <c r="V317" s="2" t="s">
        <v>29</v>
      </c>
      <c r="W317" s="2" t="s">
        <v>104</v>
      </c>
      <c r="X317" s="2" t="s">
        <v>105</v>
      </c>
      <c r="Y317" s="2" t="s">
        <v>904</v>
      </c>
      <c r="Z317" s="2" t="s">
        <v>31</v>
      </c>
      <c r="AA317" s="2"/>
      <c r="AB317" s="2"/>
      <c r="AC317" s="2"/>
      <c r="AD317" s="2"/>
      <c r="AK317" s="8">
        <f t="shared" si="5"/>
        <v>45680</v>
      </c>
    </row>
    <row r="318" spans="1:37" ht="15" customHeight="1">
      <c r="A318" s="2" t="s">
        <v>905</v>
      </c>
      <c r="B318" s="2">
        <v>0</v>
      </c>
      <c r="C318" s="2"/>
      <c r="D318" s="2" t="s">
        <v>265</v>
      </c>
      <c r="E318" s="2" t="s">
        <v>335</v>
      </c>
      <c r="F318" s="3">
        <v>45680</v>
      </c>
      <c r="G318" s="3">
        <v>45680</v>
      </c>
      <c r="H318" s="3">
        <v>45680</v>
      </c>
      <c r="I318" s="2"/>
      <c r="J318" s="2"/>
      <c r="K318" s="2" t="s">
        <v>25</v>
      </c>
      <c r="L318" s="2" t="s">
        <v>26</v>
      </c>
      <c r="M318" s="2"/>
      <c r="N318" s="2" t="s">
        <v>27</v>
      </c>
      <c r="O318" s="2">
        <v>65</v>
      </c>
      <c r="P318" s="2">
        <v>11.7</v>
      </c>
      <c r="Q318" s="2">
        <v>76.7</v>
      </c>
      <c r="R318" s="2">
        <v>76.7</v>
      </c>
      <c r="S318" s="2">
        <v>76.7</v>
      </c>
      <c r="T318" s="2" t="s">
        <v>28</v>
      </c>
      <c r="U318" s="2" t="b">
        <v>0</v>
      </c>
      <c r="V318" s="2" t="s">
        <v>29</v>
      </c>
      <c r="W318" s="2" t="s">
        <v>104</v>
      </c>
      <c r="X318" s="2" t="s">
        <v>105</v>
      </c>
      <c r="Y318" s="2" t="s">
        <v>906</v>
      </c>
      <c r="Z318" s="2" t="s">
        <v>31</v>
      </c>
      <c r="AA318" s="2"/>
      <c r="AB318" s="2"/>
      <c r="AC318" s="2"/>
      <c r="AD318" s="2"/>
      <c r="AK318" s="8">
        <f t="shared" si="5"/>
        <v>45680</v>
      </c>
    </row>
    <row r="319" spans="1:37" ht="15" customHeight="1">
      <c r="A319" s="2" t="s">
        <v>907</v>
      </c>
      <c r="B319" s="2">
        <v>0</v>
      </c>
      <c r="C319" s="2"/>
      <c r="D319" s="2" t="s">
        <v>265</v>
      </c>
      <c r="E319" s="2" t="s">
        <v>335</v>
      </c>
      <c r="F319" s="3">
        <v>45680</v>
      </c>
      <c r="G319" s="3">
        <v>45680</v>
      </c>
      <c r="H319" s="3">
        <v>45680</v>
      </c>
      <c r="I319" s="2"/>
      <c r="J319" s="2"/>
      <c r="K319" s="2" t="s">
        <v>25</v>
      </c>
      <c r="L319" s="2" t="s">
        <v>26</v>
      </c>
      <c r="M319" s="2"/>
      <c r="N319" s="2" t="s">
        <v>27</v>
      </c>
      <c r="O319" s="2">
        <v>600</v>
      </c>
      <c r="P319" s="2">
        <v>108</v>
      </c>
      <c r="Q319" s="2">
        <v>708</v>
      </c>
      <c r="R319" s="2">
        <v>708</v>
      </c>
      <c r="S319" s="2">
        <v>708</v>
      </c>
      <c r="T319" s="2" t="s">
        <v>28</v>
      </c>
      <c r="U319" s="2" t="b">
        <v>0</v>
      </c>
      <c r="V319" s="2" t="s">
        <v>29</v>
      </c>
      <c r="W319" s="2" t="s">
        <v>104</v>
      </c>
      <c r="X319" s="2" t="s">
        <v>105</v>
      </c>
      <c r="Y319" s="2" t="s">
        <v>908</v>
      </c>
      <c r="Z319" s="2" t="s">
        <v>31</v>
      </c>
      <c r="AA319" s="2"/>
      <c r="AB319" s="2"/>
      <c r="AC319" s="2"/>
      <c r="AD319" s="2"/>
      <c r="AK319" s="8">
        <f t="shared" si="5"/>
        <v>45680</v>
      </c>
    </row>
    <row r="320" spans="1:37" ht="15" customHeight="1">
      <c r="A320" s="2" t="s">
        <v>909</v>
      </c>
      <c r="B320" s="2">
        <v>0</v>
      </c>
      <c r="C320" s="2"/>
      <c r="D320" s="2" t="s">
        <v>265</v>
      </c>
      <c r="E320" s="2" t="s">
        <v>335</v>
      </c>
      <c r="F320" s="3">
        <v>45680</v>
      </c>
      <c r="G320" s="3">
        <v>45680</v>
      </c>
      <c r="H320" s="3">
        <v>45680</v>
      </c>
      <c r="I320" s="2"/>
      <c r="J320" s="2"/>
      <c r="K320" s="2" t="s">
        <v>25</v>
      </c>
      <c r="L320" s="2" t="s">
        <v>26</v>
      </c>
      <c r="M320" s="2"/>
      <c r="N320" s="2" t="s">
        <v>27</v>
      </c>
      <c r="O320" s="2">
        <v>660</v>
      </c>
      <c r="P320" s="2">
        <v>118.8</v>
      </c>
      <c r="Q320" s="2">
        <v>778.8</v>
      </c>
      <c r="R320" s="2">
        <v>778.8</v>
      </c>
      <c r="S320" s="2">
        <v>778.8</v>
      </c>
      <c r="T320" s="2" t="s">
        <v>28</v>
      </c>
      <c r="U320" s="2" t="b">
        <v>0</v>
      </c>
      <c r="V320" s="2" t="s">
        <v>29</v>
      </c>
      <c r="W320" s="2" t="s">
        <v>104</v>
      </c>
      <c r="X320" s="2" t="s">
        <v>105</v>
      </c>
      <c r="Y320" s="2" t="s">
        <v>910</v>
      </c>
      <c r="Z320" s="2" t="s">
        <v>31</v>
      </c>
      <c r="AA320" s="2"/>
      <c r="AB320" s="2"/>
      <c r="AC320" s="2"/>
      <c r="AD320" s="2"/>
      <c r="AK320" s="8">
        <f t="shared" si="5"/>
        <v>45680</v>
      </c>
    </row>
    <row r="321" spans="1:37" ht="15" customHeight="1">
      <c r="A321" s="2" t="s">
        <v>911</v>
      </c>
      <c r="B321" s="2">
        <v>0</v>
      </c>
      <c r="C321" s="2"/>
      <c r="D321" s="2" t="s">
        <v>265</v>
      </c>
      <c r="E321" s="2" t="s">
        <v>335</v>
      </c>
      <c r="F321" s="3">
        <v>45680</v>
      </c>
      <c r="G321" s="3">
        <v>45680</v>
      </c>
      <c r="H321" s="3">
        <v>45680</v>
      </c>
      <c r="I321" s="2"/>
      <c r="J321" s="2"/>
      <c r="K321" s="2" t="s">
        <v>25</v>
      </c>
      <c r="L321" s="2" t="s">
        <v>26</v>
      </c>
      <c r="M321" s="2"/>
      <c r="N321" s="2" t="s">
        <v>27</v>
      </c>
      <c r="O321" s="2">
        <v>281.61</v>
      </c>
      <c r="P321" s="2">
        <v>50.69</v>
      </c>
      <c r="Q321" s="2">
        <v>332.3</v>
      </c>
      <c r="R321" s="2">
        <v>332.3</v>
      </c>
      <c r="S321" s="2">
        <v>332.3</v>
      </c>
      <c r="T321" s="2" t="s">
        <v>28</v>
      </c>
      <c r="U321" s="2" t="b">
        <v>0</v>
      </c>
      <c r="V321" s="2" t="s">
        <v>29</v>
      </c>
      <c r="W321" s="2" t="s">
        <v>104</v>
      </c>
      <c r="X321" s="2" t="s">
        <v>105</v>
      </c>
      <c r="Y321" s="2" t="s">
        <v>912</v>
      </c>
      <c r="Z321" s="2" t="s">
        <v>31</v>
      </c>
      <c r="AA321" s="2"/>
      <c r="AB321" s="2"/>
      <c r="AC321" s="2"/>
      <c r="AD321" s="2"/>
      <c r="AK321" s="8">
        <f t="shared" si="5"/>
        <v>45680</v>
      </c>
    </row>
    <row r="322" spans="1:37" ht="15" customHeight="1">
      <c r="A322" s="2" t="s">
        <v>913</v>
      </c>
      <c r="B322" s="2">
        <v>0</v>
      </c>
      <c r="C322" s="2"/>
      <c r="D322" s="2" t="s">
        <v>265</v>
      </c>
      <c r="E322" s="2" t="s">
        <v>335</v>
      </c>
      <c r="F322" s="3">
        <v>45680</v>
      </c>
      <c r="G322" s="3">
        <v>45680</v>
      </c>
      <c r="H322" s="3">
        <v>45680</v>
      </c>
      <c r="I322" s="2"/>
      <c r="J322" s="2"/>
      <c r="K322" s="2" t="s">
        <v>25</v>
      </c>
      <c r="L322" s="2" t="s">
        <v>26</v>
      </c>
      <c r="M322" s="2"/>
      <c r="N322" s="2" t="s">
        <v>27</v>
      </c>
      <c r="O322" s="2">
        <v>238.98</v>
      </c>
      <c r="P322" s="2">
        <v>43.02</v>
      </c>
      <c r="Q322" s="2">
        <v>282</v>
      </c>
      <c r="R322" s="2">
        <v>282</v>
      </c>
      <c r="S322" s="2">
        <v>282</v>
      </c>
      <c r="T322" s="2" t="s">
        <v>28</v>
      </c>
      <c r="U322" s="2" t="b">
        <v>0</v>
      </c>
      <c r="V322" s="2" t="s">
        <v>29</v>
      </c>
      <c r="W322" s="2" t="s">
        <v>104</v>
      </c>
      <c r="X322" s="2" t="s">
        <v>105</v>
      </c>
      <c r="Y322" s="2" t="s">
        <v>914</v>
      </c>
      <c r="Z322" s="2" t="s">
        <v>31</v>
      </c>
      <c r="AA322" s="2"/>
      <c r="AB322" s="2"/>
      <c r="AC322" s="2"/>
      <c r="AD322" s="2"/>
      <c r="AK322" s="8">
        <f t="shared" si="5"/>
        <v>45680</v>
      </c>
    </row>
    <row r="323" spans="1:37" ht="15" customHeight="1">
      <c r="A323" s="2" t="s">
        <v>915</v>
      </c>
      <c r="B323" s="2">
        <v>0</v>
      </c>
      <c r="C323" s="2"/>
      <c r="D323" s="2" t="s">
        <v>265</v>
      </c>
      <c r="E323" s="2" t="s">
        <v>916</v>
      </c>
      <c r="F323" s="3">
        <v>45680</v>
      </c>
      <c r="G323" s="3">
        <v>45680</v>
      </c>
      <c r="H323" s="3">
        <v>45680</v>
      </c>
      <c r="I323" s="2"/>
      <c r="J323" s="2"/>
      <c r="K323" s="2" t="s">
        <v>25</v>
      </c>
      <c r="L323" s="2" t="s">
        <v>26</v>
      </c>
      <c r="M323" s="2"/>
      <c r="N323" s="2" t="s">
        <v>27</v>
      </c>
      <c r="O323" s="2">
        <v>19.41</v>
      </c>
      <c r="P323" s="2">
        <v>3.49</v>
      </c>
      <c r="Q323" s="2">
        <v>22.9</v>
      </c>
      <c r="R323" s="2">
        <v>22.9</v>
      </c>
      <c r="S323" s="2">
        <v>22.9</v>
      </c>
      <c r="T323" s="2" t="s">
        <v>28</v>
      </c>
      <c r="U323" s="2" t="b">
        <v>0</v>
      </c>
      <c r="V323" s="2" t="s">
        <v>29</v>
      </c>
      <c r="W323" s="2" t="s">
        <v>104</v>
      </c>
      <c r="X323" s="2" t="s">
        <v>105</v>
      </c>
      <c r="Y323" s="2" t="s">
        <v>917</v>
      </c>
      <c r="Z323" s="2" t="s">
        <v>31</v>
      </c>
      <c r="AA323" s="2"/>
      <c r="AB323" s="2"/>
      <c r="AC323" s="2"/>
      <c r="AD323" s="2"/>
      <c r="AK323" s="8">
        <f t="shared" si="5"/>
        <v>45680</v>
      </c>
    </row>
    <row r="324" spans="1:37" ht="15" customHeight="1">
      <c r="A324" s="2" t="s">
        <v>918</v>
      </c>
      <c r="B324" s="2">
        <v>0</v>
      </c>
      <c r="C324" s="2"/>
      <c r="D324" s="2" t="s">
        <v>265</v>
      </c>
      <c r="E324" s="2" t="s">
        <v>916</v>
      </c>
      <c r="F324" s="3">
        <v>45680</v>
      </c>
      <c r="G324" s="3">
        <v>45680</v>
      </c>
      <c r="H324" s="3">
        <v>45680</v>
      </c>
      <c r="I324" s="2"/>
      <c r="J324" s="2"/>
      <c r="K324" s="2" t="s">
        <v>25</v>
      </c>
      <c r="L324" s="2" t="s">
        <v>26</v>
      </c>
      <c r="M324" s="2"/>
      <c r="N324" s="2" t="s">
        <v>27</v>
      </c>
      <c r="O324" s="2">
        <v>12.2</v>
      </c>
      <c r="P324" s="2">
        <v>2.2000000000000002</v>
      </c>
      <c r="Q324" s="2">
        <v>14.4</v>
      </c>
      <c r="R324" s="2">
        <v>14.4</v>
      </c>
      <c r="S324" s="2">
        <v>14.4</v>
      </c>
      <c r="T324" s="2" t="s">
        <v>28</v>
      </c>
      <c r="U324" s="2" t="b">
        <v>0</v>
      </c>
      <c r="V324" s="2" t="s">
        <v>29</v>
      </c>
      <c r="W324" s="2" t="s">
        <v>104</v>
      </c>
      <c r="X324" s="2" t="s">
        <v>105</v>
      </c>
      <c r="Y324" s="2" t="s">
        <v>919</v>
      </c>
      <c r="Z324" s="2" t="s">
        <v>31</v>
      </c>
      <c r="AA324" s="2"/>
      <c r="AB324" s="2"/>
      <c r="AC324" s="2"/>
      <c r="AD324" s="2"/>
      <c r="AK324" s="8">
        <f t="shared" si="5"/>
        <v>45680</v>
      </c>
    </row>
    <row r="325" spans="1:37" ht="15" customHeight="1">
      <c r="A325" s="2" t="s">
        <v>920</v>
      </c>
      <c r="B325" s="2">
        <v>0</v>
      </c>
      <c r="C325" s="2"/>
      <c r="D325" s="2" t="s">
        <v>298</v>
      </c>
      <c r="E325" s="2" t="s">
        <v>921</v>
      </c>
      <c r="F325" s="3">
        <v>45673</v>
      </c>
      <c r="G325" s="3">
        <v>45673</v>
      </c>
      <c r="H325" s="3">
        <v>45673</v>
      </c>
      <c r="I325" s="2"/>
      <c r="J325" s="2"/>
      <c r="K325" s="2" t="s">
        <v>25</v>
      </c>
      <c r="L325" s="2" t="s">
        <v>26</v>
      </c>
      <c r="M325" s="2"/>
      <c r="N325" s="2" t="s">
        <v>27</v>
      </c>
      <c r="O325" s="2">
        <v>1230</v>
      </c>
      <c r="P325" s="2">
        <v>221.4</v>
      </c>
      <c r="Q325" s="2">
        <v>1451.4</v>
      </c>
      <c r="R325" s="2">
        <v>1451.4</v>
      </c>
      <c r="S325" s="2">
        <v>1451.4</v>
      </c>
      <c r="T325" s="2" t="s">
        <v>28</v>
      </c>
      <c r="U325" s="2" t="b">
        <v>0</v>
      </c>
      <c r="V325" s="2" t="s">
        <v>29</v>
      </c>
      <c r="W325" s="2" t="s">
        <v>104</v>
      </c>
      <c r="X325" s="2" t="s">
        <v>105</v>
      </c>
      <c r="Y325" s="2" t="s">
        <v>922</v>
      </c>
      <c r="Z325" s="2" t="s">
        <v>31</v>
      </c>
      <c r="AA325" s="2"/>
      <c r="AB325" s="2"/>
      <c r="AC325" s="2"/>
      <c r="AD325" s="2"/>
      <c r="AK325" s="8">
        <f t="shared" si="5"/>
        <v>45673</v>
      </c>
    </row>
    <row r="326" spans="1:37" ht="15" customHeight="1">
      <c r="A326" s="2" t="s">
        <v>923</v>
      </c>
      <c r="B326" s="2">
        <v>0</v>
      </c>
      <c r="C326" s="2"/>
      <c r="D326" s="2" t="s">
        <v>298</v>
      </c>
      <c r="E326" s="2" t="s">
        <v>34</v>
      </c>
      <c r="F326" s="3">
        <v>45673</v>
      </c>
      <c r="G326" s="3">
        <v>45673</v>
      </c>
      <c r="H326" s="3">
        <v>45673</v>
      </c>
      <c r="I326" s="2"/>
      <c r="J326" s="2"/>
      <c r="K326" s="2" t="s">
        <v>25</v>
      </c>
      <c r="L326" s="2" t="s">
        <v>26</v>
      </c>
      <c r="M326" s="2"/>
      <c r="N326" s="2" t="s">
        <v>27</v>
      </c>
      <c r="O326" s="2">
        <v>720</v>
      </c>
      <c r="P326" s="2">
        <v>129.6</v>
      </c>
      <c r="Q326" s="2">
        <v>849.6</v>
      </c>
      <c r="R326" s="2">
        <v>849.6</v>
      </c>
      <c r="S326" s="2">
        <v>849.6</v>
      </c>
      <c r="T326" s="2" t="s">
        <v>28</v>
      </c>
      <c r="U326" s="2" t="b">
        <v>0</v>
      </c>
      <c r="V326" s="2" t="s">
        <v>29</v>
      </c>
      <c r="W326" s="2" t="s">
        <v>104</v>
      </c>
      <c r="X326" s="2" t="s">
        <v>105</v>
      </c>
      <c r="Y326" s="2" t="s">
        <v>924</v>
      </c>
      <c r="Z326" s="2" t="s">
        <v>31</v>
      </c>
      <c r="AA326" s="2"/>
      <c r="AB326" s="2"/>
      <c r="AC326" s="2"/>
      <c r="AD326" s="2"/>
      <c r="AK326" s="8">
        <f t="shared" si="5"/>
        <v>45673</v>
      </c>
    </row>
    <row r="327" spans="1:37" ht="15" customHeight="1">
      <c r="A327" s="2" t="s">
        <v>925</v>
      </c>
      <c r="B327" s="2">
        <v>0</v>
      </c>
      <c r="C327" s="2"/>
      <c r="D327" s="2" t="s">
        <v>298</v>
      </c>
      <c r="E327" s="2" t="s">
        <v>34</v>
      </c>
      <c r="F327" s="3">
        <v>45673</v>
      </c>
      <c r="G327" s="3">
        <v>45673</v>
      </c>
      <c r="H327" s="3">
        <v>45673</v>
      </c>
      <c r="I327" s="2"/>
      <c r="J327" s="2"/>
      <c r="K327" s="2" t="s">
        <v>25</v>
      </c>
      <c r="L327" s="2" t="s">
        <v>26</v>
      </c>
      <c r="M327" s="2"/>
      <c r="N327" s="2" t="s">
        <v>27</v>
      </c>
      <c r="O327" s="2">
        <v>720</v>
      </c>
      <c r="P327" s="2">
        <v>129.6</v>
      </c>
      <c r="Q327" s="2">
        <v>849.6</v>
      </c>
      <c r="R327" s="2">
        <v>849.6</v>
      </c>
      <c r="S327" s="2">
        <v>849.6</v>
      </c>
      <c r="T327" s="2" t="s">
        <v>28</v>
      </c>
      <c r="U327" s="2" t="b">
        <v>0</v>
      </c>
      <c r="V327" s="2" t="s">
        <v>29</v>
      </c>
      <c r="W327" s="2" t="s">
        <v>104</v>
      </c>
      <c r="X327" s="2" t="s">
        <v>105</v>
      </c>
      <c r="Y327" s="2" t="s">
        <v>926</v>
      </c>
      <c r="Z327" s="2" t="s">
        <v>31</v>
      </c>
      <c r="AA327" s="2"/>
      <c r="AB327" s="2"/>
      <c r="AC327" s="2"/>
      <c r="AD327" s="2"/>
      <c r="AK327" s="8">
        <f t="shared" ref="AK327:AK390" si="6">+IF(AE327&lt;&gt;"",AE327,F327)</f>
        <v>45673</v>
      </c>
    </row>
    <row r="328" spans="1:37" ht="15" customHeight="1">
      <c r="A328" s="2" t="s">
        <v>927</v>
      </c>
      <c r="B328" s="2">
        <v>0</v>
      </c>
      <c r="C328" s="2"/>
      <c r="D328" s="2" t="s">
        <v>298</v>
      </c>
      <c r="E328" s="2" t="s">
        <v>34</v>
      </c>
      <c r="F328" s="3">
        <v>45673</v>
      </c>
      <c r="G328" s="3">
        <v>45673</v>
      </c>
      <c r="H328" s="3">
        <v>45673</v>
      </c>
      <c r="I328" s="2"/>
      <c r="J328" s="2"/>
      <c r="K328" s="2" t="s">
        <v>25</v>
      </c>
      <c r="L328" s="2" t="s">
        <v>26</v>
      </c>
      <c r="M328" s="2"/>
      <c r="N328" s="2" t="s">
        <v>27</v>
      </c>
      <c r="O328" s="2">
        <v>209.66</v>
      </c>
      <c r="P328" s="2">
        <v>37.74</v>
      </c>
      <c r="Q328" s="2">
        <v>247.4</v>
      </c>
      <c r="R328" s="2">
        <v>247.4</v>
      </c>
      <c r="S328" s="2">
        <v>247.4</v>
      </c>
      <c r="T328" s="2" t="s">
        <v>28</v>
      </c>
      <c r="U328" s="2" t="b">
        <v>0</v>
      </c>
      <c r="V328" s="2" t="s">
        <v>29</v>
      </c>
      <c r="W328" s="2" t="s">
        <v>104</v>
      </c>
      <c r="X328" s="2" t="s">
        <v>105</v>
      </c>
      <c r="Y328" s="2" t="s">
        <v>928</v>
      </c>
      <c r="Z328" s="2" t="s">
        <v>31</v>
      </c>
      <c r="AA328" s="2"/>
      <c r="AB328" s="2"/>
      <c r="AC328" s="2"/>
      <c r="AD328" s="2"/>
      <c r="AK328" s="8">
        <f t="shared" si="6"/>
        <v>45673</v>
      </c>
    </row>
    <row r="329" spans="1:37" ht="15" customHeight="1">
      <c r="A329" s="2" t="s">
        <v>929</v>
      </c>
      <c r="B329" s="2">
        <v>0</v>
      </c>
      <c r="C329" s="2"/>
      <c r="D329" s="2" t="s">
        <v>298</v>
      </c>
      <c r="E329" s="2" t="s">
        <v>424</v>
      </c>
      <c r="F329" s="3">
        <v>45672</v>
      </c>
      <c r="G329" s="3">
        <v>45672</v>
      </c>
      <c r="H329" s="3">
        <v>45672</v>
      </c>
      <c r="I329" s="2"/>
      <c r="J329" s="2"/>
      <c r="K329" s="2" t="s">
        <v>25</v>
      </c>
      <c r="L329" s="2" t="s">
        <v>26</v>
      </c>
      <c r="M329" s="2"/>
      <c r="N329" s="2" t="s">
        <v>27</v>
      </c>
      <c r="O329" s="2">
        <v>300</v>
      </c>
      <c r="P329" s="2">
        <v>54</v>
      </c>
      <c r="Q329" s="2">
        <v>354</v>
      </c>
      <c r="R329" s="2">
        <v>354</v>
      </c>
      <c r="S329" s="2">
        <v>354</v>
      </c>
      <c r="T329" s="2" t="s">
        <v>28</v>
      </c>
      <c r="U329" s="2" t="b">
        <v>0</v>
      </c>
      <c r="V329" s="2" t="s">
        <v>29</v>
      </c>
      <c r="W329" s="2" t="s">
        <v>104</v>
      </c>
      <c r="X329" s="2" t="s">
        <v>105</v>
      </c>
      <c r="Y329" s="2" t="s">
        <v>930</v>
      </c>
      <c r="Z329" s="2" t="s">
        <v>31</v>
      </c>
      <c r="AA329" s="2"/>
      <c r="AB329" s="2"/>
      <c r="AC329" s="2"/>
      <c r="AD329" s="2"/>
      <c r="AK329" s="8">
        <f t="shared" si="6"/>
        <v>45672</v>
      </c>
    </row>
    <row r="330" spans="1:37" ht="15" customHeight="1">
      <c r="A330" s="2" t="s">
        <v>931</v>
      </c>
      <c r="B330" s="2">
        <v>0</v>
      </c>
      <c r="C330" s="2"/>
      <c r="D330" s="2" t="s">
        <v>298</v>
      </c>
      <c r="E330" s="2" t="s">
        <v>424</v>
      </c>
      <c r="F330" s="3">
        <v>45672</v>
      </c>
      <c r="G330" s="3">
        <v>45672</v>
      </c>
      <c r="H330" s="3">
        <v>45672</v>
      </c>
      <c r="I330" s="2"/>
      <c r="J330" s="2"/>
      <c r="K330" s="2" t="s">
        <v>25</v>
      </c>
      <c r="L330" s="2" t="s">
        <v>26</v>
      </c>
      <c r="M330" s="2"/>
      <c r="N330" s="2" t="s">
        <v>27</v>
      </c>
      <c r="O330" s="2">
        <v>933.64</v>
      </c>
      <c r="P330" s="2">
        <v>168.06</v>
      </c>
      <c r="Q330" s="2">
        <v>1101.7</v>
      </c>
      <c r="R330" s="2">
        <v>1101.7</v>
      </c>
      <c r="S330" s="2">
        <v>1101.7</v>
      </c>
      <c r="T330" s="2" t="s">
        <v>28</v>
      </c>
      <c r="U330" s="2" t="b">
        <v>0</v>
      </c>
      <c r="V330" s="2" t="s">
        <v>29</v>
      </c>
      <c r="W330" s="2" t="s">
        <v>104</v>
      </c>
      <c r="X330" s="2" t="s">
        <v>105</v>
      </c>
      <c r="Y330" s="2" t="s">
        <v>932</v>
      </c>
      <c r="Z330" s="2" t="s">
        <v>31</v>
      </c>
      <c r="AA330" s="2"/>
      <c r="AB330" s="2"/>
      <c r="AC330" s="2"/>
      <c r="AD330" s="2"/>
      <c r="AK330" s="8">
        <f t="shared" si="6"/>
        <v>45672</v>
      </c>
    </row>
    <row r="331" spans="1:37" ht="15" customHeight="1">
      <c r="A331" s="2" t="s">
        <v>933</v>
      </c>
      <c r="B331" s="2">
        <v>0</v>
      </c>
      <c r="C331" s="2"/>
      <c r="D331" s="2" t="s">
        <v>298</v>
      </c>
      <c r="E331" s="2" t="s">
        <v>424</v>
      </c>
      <c r="F331" s="3">
        <v>45672</v>
      </c>
      <c r="G331" s="3">
        <v>45672</v>
      </c>
      <c r="H331" s="3">
        <v>45672</v>
      </c>
      <c r="I331" s="2"/>
      <c r="J331" s="2"/>
      <c r="K331" s="2" t="s">
        <v>25</v>
      </c>
      <c r="L331" s="2" t="s">
        <v>26</v>
      </c>
      <c r="M331" s="2"/>
      <c r="N331" s="2" t="s">
        <v>27</v>
      </c>
      <c r="O331" s="2">
        <v>364.66</v>
      </c>
      <c r="P331" s="2">
        <v>65.64</v>
      </c>
      <c r="Q331" s="2">
        <v>430.3</v>
      </c>
      <c r="R331" s="2">
        <v>430.3</v>
      </c>
      <c r="S331" s="2">
        <v>430.3</v>
      </c>
      <c r="T331" s="2" t="s">
        <v>28</v>
      </c>
      <c r="U331" s="2" t="b">
        <v>0</v>
      </c>
      <c r="V331" s="2" t="s">
        <v>29</v>
      </c>
      <c r="W331" s="2" t="s">
        <v>104</v>
      </c>
      <c r="X331" s="2" t="s">
        <v>105</v>
      </c>
      <c r="Y331" s="2" t="s">
        <v>934</v>
      </c>
      <c r="Z331" s="2" t="s">
        <v>31</v>
      </c>
      <c r="AA331" s="2"/>
      <c r="AB331" s="2"/>
      <c r="AC331" s="2"/>
      <c r="AD331" s="2"/>
      <c r="AK331" s="8">
        <f t="shared" si="6"/>
        <v>45672</v>
      </c>
    </row>
    <row r="332" spans="1:37" ht="15" customHeight="1">
      <c r="A332" s="2" t="s">
        <v>935</v>
      </c>
      <c r="B332" s="2">
        <v>0</v>
      </c>
      <c r="C332" s="2"/>
      <c r="D332" s="2" t="s">
        <v>298</v>
      </c>
      <c r="E332" s="2" t="s">
        <v>452</v>
      </c>
      <c r="F332" s="3">
        <v>45672</v>
      </c>
      <c r="G332" s="3">
        <v>45672</v>
      </c>
      <c r="H332" s="3">
        <v>45672</v>
      </c>
      <c r="I332" s="2"/>
      <c r="J332" s="2"/>
      <c r="K332" s="2" t="s">
        <v>25</v>
      </c>
      <c r="L332" s="2" t="s">
        <v>26</v>
      </c>
      <c r="M332" s="2"/>
      <c r="N332" s="2" t="s">
        <v>27</v>
      </c>
      <c r="O332" s="2">
        <v>7.5</v>
      </c>
      <c r="P332" s="2">
        <v>1.35</v>
      </c>
      <c r="Q332" s="2">
        <v>8.85</v>
      </c>
      <c r="R332" s="2">
        <v>8.85</v>
      </c>
      <c r="S332" s="2">
        <v>8.85</v>
      </c>
      <c r="T332" s="2" t="s">
        <v>28</v>
      </c>
      <c r="U332" s="2" t="b">
        <v>0</v>
      </c>
      <c r="V332" s="2" t="s">
        <v>29</v>
      </c>
      <c r="W332" s="2" t="s">
        <v>104</v>
      </c>
      <c r="X332" s="2" t="s">
        <v>105</v>
      </c>
      <c r="Y332" s="2" t="s">
        <v>936</v>
      </c>
      <c r="Z332" s="2" t="s">
        <v>31</v>
      </c>
      <c r="AA332" s="2"/>
      <c r="AB332" s="2"/>
      <c r="AC332" s="2"/>
      <c r="AD332" s="2"/>
      <c r="AK332" s="8">
        <f t="shared" si="6"/>
        <v>45672</v>
      </c>
    </row>
    <row r="333" spans="1:37" ht="15" customHeight="1">
      <c r="A333" s="2" t="s">
        <v>937</v>
      </c>
      <c r="B333" s="2">
        <v>0</v>
      </c>
      <c r="C333" s="2"/>
      <c r="D333" s="2" t="s">
        <v>298</v>
      </c>
      <c r="E333" s="2" t="s">
        <v>452</v>
      </c>
      <c r="F333" s="3">
        <v>45672</v>
      </c>
      <c r="G333" s="3">
        <v>45672</v>
      </c>
      <c r="H333" s="3">
        <v>45672</v>
      </c>
      <c r="I333" s="2"/>
      <c r="J333" s="2"/>
      <c r="K333" s="2" t="s">
        <v>25</v>
      </c>
      <c r="L333" s="2" t="s">
        <v>26</v>
      </c>
      <c r="M333" s="2"/>
      <c r="N333" s="2" t="s">
        <v>27</v>
      </c>
      <c r="O333" s="2">
        <v>95</v>
      </c>
      <c r="P333" s="2">
        <v>17.100000000000001</v>
      </c>
      <c r="Q333" s="2">
        <v>112.1</v>
      </c>
      <c r="R333" s="2">
        <v>112.1</v>
      </c>
      <c r="S333" s="2">
        <v>112.1</v>
      </c>
      <c r="T333" s="2" t="s">
        <v>28</v>
      </c>
      <c r="U333" s="2" t="b">
        <v>0</v>
      </c>
      <c r="V333" s="2" t="s">
        <v>29</v>
      </c>
      <c r="W333" s="2" t="s">
        <v>104</v>
      </c>
      <c r="X333" s="2" t="s">
        <v>105</v>
      </c>
      <c r="Y333" s="2" t="s">
        <v>938</v>
      </c>
      <c r="Z333" s="2" t="s">
        <v>31</v>
      </c>
      <c r="AA333" s="2"/>
      <c r="AB333" s="2"/>
      <c r="AC333" s="2"/>
      <c r="AD333" s="2"/>
      <c r="AK333" s="8">
        <f t="shared" si="6"/>
        <v>45672</v>
      </c>
    </row>
    <row r="334" spans="1:37" ht="15" customHeight="1">
      <c r="A334" s="2" t="s">
        <v>939</v>
      </c>
      <c r="B334" s="2">
        <v>0</v>
      </c>
      <c r="C334" s="2"/>
      <c r="D334" s="2" t="s">
        <v>298</v>
      </c>
      <c r="E334" s="2" t="s">
        <v>452</v>
      </c>
      <c r="F334" s="3">
        <v>45672</v>
      </c>
      <c r="G334" s="3">
        <v>45672</v>
      </c>
      <c r="H334" s="3">
        <v>45672</v>
      </c>
      <c r="I334" s="2"/>
      <c r="J334" s="2"/>
      <c r="K334" s="2" t="s">
        <v>25</v>
      </c>
      <c r="L334" s="2" t="s">
        <v>26</v>
      </c>
      <c r="M334" s="2"/>
      <c r="N334" s="2" t="s">
        <v>27</v>
      </c>
      <c r="O334" s="2">
        <v>56.69</v>
      </c>
      <c r="P334" s="2">
        <v>10.210000000000001</v>
      </c>
      <c r="Q334" s="2">
        <v>66.900000000000006</v>
      </c>
      <c r="R334" s="2">
        <v>66.900000000000006</v>
      </c>
      <c r="S334" s="2">
        <v>66.900000000000006</v>
      </c>
      <c r="T334" s="2" t="s">
        <v>28</v>
      </c>
      <c r="U334" s="2" t="b">
        <v>0</v>
      </c>
      <c r="V334" s="2" t="s">
        <v>29</v>
      </c>
      <c r="W334" s="2" t="s">
        <v>104</v>
      </c>
      <c r="X334" s="2" t="s">
        <v>105</v>
      </c>
      <c r="Y334" s="2" t="s">
        <v>940</v>
      </c>
      <c r="Z334" s="2" t="s">
        <v>31</v>
      </c>
      <c r="AA334" s="2"/>
      <c r="AB334" s="2"/>
      <c r="AC334" s="2"/>
      <c r="AD334" s="2"/>
      <c r="AK334" s="8">
        <f t="shared" si="6"/>
        <v>45672</v>
      </c>
    </row>
    <row r="335" spans="1:37" ht="15" customHeight="1">
      <c r="A335" s="2" t="s">
        <v>941</v>
      </c>
      <c r="B335" s="2">
        <v>0</v>
      </c>
      <c r="C335" s="2"/>
      <c r="D335" s="2" t="s">
        <v>265</v>
      </c>
      <c r="E335" s="2" t="s">
        <v>942</v>
      </c>
      <c r="F335" s="3">
        <v>45672</v>
      </c>
      <c r="G335" s="3">
        <v>45672</v>
      </c>
      <c r="H335" s="3">
        <v>45672</v>
      </c>
      <c r="I335" s="2"/>
      <c r="J335" s="2"/>
      <c r="K335" s="2" t="s">
        <v>25</v>
      </c>
      <c r="L335" s="2" t="s">
        <v>26</v>
      </c>
      <c r="M335" s="2"/>
      <c r="N335" s="2" t="s">
        <v>27</v>
      </c>
      <c r="O335" s="2">
        <v>109.83</v>
      </c>
      <c r="P335" s="2">
        <v>19.77</v>
      </c>
      <c r="Q335" s="2">
        <v>129.6</v>
      </c>
      <c r="R335" s="2">
        <v>129.6</v>
      </c>
      <c r="S335" s="2">
        <v>129.6</v>
      </c>
      <c r="T335" s="2" t="s">
        <v>28</v>
      </c>
      <c r="U335" s="2" t="b">
        <v>0</v>
      </c>
      <c r="V335" s="2" t="s">
        <v>29</v>
      </c>
      <c r="W335" s="2" t="s">
        <v>104</v>
      </c>
      <c r="X335" s="2" t="s">
        <v>105</v>
      </c>
      <c r="Y335" s="2" t="s">
        <v>943</v>
      </c>
      <c r="Z335" s="2" t="s">
        <v>31</v>
      </c>
      <c r="AA335" s="2"/>
      <c r="AB335" s="2"/>
      <c r="AC335" s="2"/>
      <c r="AD335" s="2"/>
      <c r="AK335" s="8">
        <f t="shared" si="6"/>
        <v>45672</v>
      </c>
    </row>
    <row r="336" spans="1:37" ht="15" customHeight="1">
      <c r="A336" s="2" t="s">
        <v>944</v>
      </c>
      <c r="B336" s="2">
        <v>0</v>
      </c>
      <c r="C336" s="2"/>
      <c r="D336" s="2" t="s">
        <v>265</v>
      </c>
      <c r="E336" s="2" t="s">
        <v>942</v>
      </c>
      <c r="F336" s="3">
        <v>45672</v>
      </c>
      <c r="G336" s="3">
        <v>45672</v>
      </c>
      <c r="H336" s="3">
        <v>45672</v>
      </c>
      <c r="I336" s="2"/>
      <c r="J336" s="2"/>
      <c r="K336" s="2" t="s">
        <v>25</v>
      </c>
      <c r="L336" s="2" t="s">
        <v>26</v>
      </c>
      <c r="M336" s="2"/>
      <c r="N336" s="2" t="s">
        <v>27</v>
      </c>
      <c r="O336" s="2">
        <v>61.02</v>
      </c>
      <c r="P336" s="2">
        <v>10.98</v>
      </c>
      <c r="Q336" s="2">
        <v>72</v>
      </c>
      <c r="R336" s="2">
        <v>72</v>
      </c>
      <c r="S336" s="2">
        <v>72</v>
      </c>
      <c r="T336" s="2" t="s">
        <v>28</v>
      </c>
      <c r="U336" s="2" t="b">
        <v>0</v>
      </c>
      <c r="V336" s="2" t="s">
        <v>29</v>
      </c>
      <c r="W336" s="2" t="s">
        <v>104</v>
      </c>
      <c r="X336" s="2" t="s">
        <v>105</v>
      </c>
      <c r="Y336" s="2" t="s">
        <v>945</v>
      </c>
      <c r="Z336" s="2" t="s">
        <v>31</v>
      </c>
      <c r="AA336" s="2"/>
      <c r="AB336" s="2"/>
      <c r="AC336" s="2"/>
      <c r="AD336" s="2"/>
      <c r="AK336" s="8">
        <f t="shared" si="6"/>
        <v>45672</v>
      </c>
    </row>
    <row r="337" spans="1:37" ht="15" customHeight="1">
      <c r="A337" s="2" t="s">
        <v>946</v>
      </c>
      <c r="B337" s="2">
        <v>0</v>
      </c>
      <c r="C337" s="2"/>
      <c r="D337" s="2" t="s">
        <v>265</v>
      </c>
      <c r="E337" s="2" t="s">
        <v>566</v>
      </c>
      <c r="F337" s="3">
        <v>45672</v>
      </c>
      <c r="G337" s="3">
        <v>45672</v>
      </c>
      <c r="H337" s="3">
        <v>45672</v>
      </c>
      <c r="I337" s="2"/>
      <c r="J337" s="2"/>
      <c r="K337" s="2" t="s">
        <v>25</v>
      </c>
      <c r="L337" s="2" t="s">
        <v>26</v>
      </c>
      <c r="M337" s="2"/>
      <c r="N337" s="2" t="s">
        <v>27</v>
      </c>
      <c r="O337" s="2">
        <v>518.80999999999995</v>
      </c>
      <c r="P337" s="2">
        <v>93.39</v>
      </c>
      <c r="Q337" s="2">
        <v>612.20000000000005</v>
      </c>
      <c r="R337" s="2">
        <v>612.20000000000005</v>
      </c>
      <c r="S337" s="2">
        <v>612.20000000000005</v>
      </c>
      <c r="T337" s="2" t="s">
        <v>28</v>
      </c>
      <c r="U337" s="2" t="b">
        <v>0</v>
      </c>
      <c r="V337" s="2" t="s">
        <v>29</v>
      </c>
      <c r="W337" s="2" t="s">
        <v>104</v>
      </c>
      <c r="X337" s="2" t="s">
        <v>105</v>
      </c>
      <c r="Y337" s="2" t="s">
        <v>947</v>
      </c>
      <c r="Z337" s="2" t="s">
        <v>31</v>
      </c>
      <c r="AA337" s="2"/>
      <c r="AB337" s="2"/>
      <c r="AC337" s="2"/>
      <c r="AD337" s="2"/>
      <c r="AK337" s="8">
        <f t="shared" si="6"/>
        <v>45672</v>
      </c>
    </row>
    <row r="338" spans="1:37" ht="15" customHeight="1">
      <c r="A338" s="2" t="s">
        <v>948</v>
      </c>
      <c r="B338" s="2">
        <v>0</v>
      </c>
      <c r="C338" s="2"/>
      <c r="D338" s="2" t="s">
        <v>265</v>
      </c>
      <c r="E338" s="2" t="s">
        <v>566</v>
      </c>
      <c r="F338" s="3">
        <v>45672</v>
      </c>
      <c r="G338" s="3">
        <v>45672</v>
      </c>
      <c r="H338" s="3">
        <v>45672</v>
      </c>
      <c r="I338" s="2"/>
      <c r="J338" s="2"/>
      <c r="K338" s="2" t="s">
        <v>25</v>
      </c>
      <c r="L338" s="2" t="s">
        <v>26</v>
      </c>
      <c r="M338" s="2"/>
      <c r="N338" s="2" t="s">
        <v>27</v>
      </c>
      <c r="O338" s="2">
        <v>511.53</v>
      </c>
      <c r="P338" s="2">
        <v>92.07</v>
      </c>
      <c r="Q338" s="2">
        <v>603.6</v>
      </c>
      <c r="R338" s="2">
        <v>603.6</v>
      </c>
      <c r="S338" s="2">
        <v>603.6</v>
      </c>
      <c r="T338" s="2" t="s">
        <v>28</v>
      </c>
      <c r="U338" s="2" t="b">
        <v>0</v>
      </c>
      <c r="V338" s="2" t="s">
        <v>29</v>
      </c>
      <c r="W338" s="2" t="s">
        <v>104</v>
      </c>
      <c r="X338" s="2" t="s">
        <v>105</v>
      </c>
      <c r="Y338" s="2" t="s">
        <v>949</v>
      </c>
      <c r="Z338" s="2" t="s">
        <v>31</v>
      </c>
      <c r="AA338" s="2"/>
      <c r="AB338" s="2"/>
      <c r="AC338" s="2"/>
      <c r="AD338" s="2"/>
      <c r="AK338" s="8">
        <f t="shared" si="6"/>
        <v>45672</v>
      </c>
    </row>
    <row r="339" spans="1:37" ht="15" customHeight="1">
      <c r="A339" s="2" t="s">
        <v>950</v>
      </c>
      <c r="B339" s="2">
        <v>0</v>
      </c>
      <c r="C339" s="2"/>
      <c r="D339" s="2" t="s">
        <v>298</v>
      </c>
      <c r="E339" s="2" t="s">
        <v>34</v>
      </c>
      <c r="F339" s="3">
        <v>45666</v>
      </c>
      <c r="G339" s="3">
        <v>45666</v>
      </c>
      <c r="H339" s="3">
        <v>45666</v>
      </c>
      <c r="I339" s="2"/>
      <c r="J339" s="2"/>
      <c r="K339" s="2" t="s">
        <v>25</v>
      </c>
      <c r="L339" s="2" t="s">
        <v>26</v>
      </c>
      <c r="M339" s="2"/>
      <c r="N339" s="2" t="s">
        <v>27</v>
      </c>
      <c r="O339" s="2">
        <v>976.5</v>
      </c>
      <c r="P339" s="2">
        <v>175.77</v>
      </c>
      <c r="Q339" s="2">
        <v>1152.27</v>
      </c>
      <c r="R339" s="2">
        <v>1152.27</v>
      </c>
      <c r="S339" s="2">
        <v>1152.27</v>
      </c>
      <c r="T339" s="2" t="s">
        <v>28</v>
      </c>
      <c r="U339" s="2" t="b">
        <v>0</v>
      </c>
      <c r="V339" s="2" t="s">
        <v>29</v>
      </c>
      <c r="W339" s="2" t="s">
        <v>104</v>
      </c>
      <c r="X339" s="2" t="s">
        <v>105</v>
      </c>
      <c r="Y339" s="2" t="s">
        <v>951</v>
      </c>
      <c r="Z339" s="2" t="s">
        <v>31</v>
      </c>
      <c r="AA339" s="2"/>
      <c r="AB339" s="2"/>
      <c r="AC339" s="2"/>
      <c r="AD339" s="2"/>
      <c r="AK339" s="8">
        <f t="shared" si="6"/>
        <v>45666</v>
      </c>
    </row>
    <row r="340" spans="1:37" ht="15" customHeight="1">
      <c r="A340" s="2" t="s">
        <v>952</v>
      </c>
      <c r="B340" s="2">
        <v>0</v>
      </c>
      <c r="C340" s="2"/>
      <c r="D340" s="2" t="s">
        <v>298</v>
      </c>
      <c r="E340" s="2" t="s">
        <v>34</v>
      </c>
      <c r="F340" s="3">
        <v>45666</v>
      </c>
      <c r="G340" s="3">
        <v>45666</v>
      </c>
      <c r="H340" s="3">
        <v>45666</v>
      </c>
      <c r="I340" s="2"/>
      <c r="J340" s="2"/>
      <c r="K340" s="2" t="s">
        <v>25</v>
      </c>
      <c r="L340" s="2" t="s">
        <v>26</v>
      </c>
      <c r="M340" s="2"/>
      <c r="N340" s="2" t="s">
        <v>27</v>
      </c>
      <c r="O340" s="2">
        <v>970</v>
      </c>
      <c r="P340" s="2">
        <v>174.6</v>
      </c>
      <c r="Q340" s="2">
        <v>1144.5999999999999</v>
      </c>
      <c r="R340" s="2">
        <v>1144.5999999999999</v>
      </c>
      <c r="S340" s="2">
        <v>1144.5999999999999</v>
      </c>
      <c r="T340" s="2" t="s">
        <v>28</v>
      </c>
      <c r="U340" s="2" t="b">
        <v>0</v>
      </c>
      <c r="V340" s="2" t="s">
        <v>29</v>
      </c>
      <c r="W340" s="2" t="s">
        <v>104</v>
      </c>
      <c r="X340" s="2" t="s">
        <v>105</v>
      </c>
      <c r="Y340" s="2" t="s">
        <v>953</v>
      </c>
      <c r="Z340" s="2" t="s">
        <v>31</v>
      </c>
      <c r="AA340" s="2"/>
      <c r="AB340" s="2"/>
      <c r="AC340" s="2"/>
      <c r="AD340" s="2"/>
      <c r="AK340" s="8">
        <f t="shared" si="6"/>
        <v>45666</v>
      </c>
    </row>
    <row r="341" spans="1:37" ht="15" customHeight="1">
      <c r="A341" s="2" t="s">
        <v>954</v>
      </c>
      <c r="B341" s="2">
        <v>0</v>
      </c>
      <c r="C341" s="2"/>
      <c r="D341" s="2" t="s">
        <v>298</v>
      </c>
      <c r="E341" s="2" t="s">
        <v>32</v>
      </c>
      <c r="F341" s="3">
        <v>45665</v>
      </c>
      <c r="G341" s="3">
        <v>45665</v>
      </c>
      <c r="H341" s="3">
        <v>45665</v>
      </c>
      <c r="I341" s="2"/>
      <c r="J341" s="2"/>
      <c r="K341" s="2" t="s">
        <v>25</v>
      </c>
      <c r="L341" s="2" t="s">
        <v>26</v>
      </c>
      <c r="M341" s="2"/>
      <c r="N341" s="2" t="s">
        <v>27</v>
      </c>
      <c r="O341" s="2">
        <v>44.97</v>
      </c>
      <c r="P341" s="2">
        <v>8.1</v>
      </c>
      <c r="Q341" s="2">
        <v>53.07</v>
      </c>
      <c r="R341" s="2">
        <v>53.07</v>
      </c>
      <c r="S341" s="2">
        <v>53.07</v>
      </c>
      <c r="T341" s="2" t="s">
        <v>28</v>
      </c>
      <c r="U341" s="2" t="b">
        <v>0</v>
      </c>
      <c r="V341" s="2" t="s">
        <v>29</v>
      </c>
      <c r="W341" s="2" t="s">
        <v>104</v>
      </c>
      <c r="X341" s="2" t="s">
        <v>105</v>
      </c>
      <c r="Y341" s="2" t="s">
        <v>955</v>
      </c>
      <c r="Z341" s="2" t="s">
        <v>31</v>
      </c>
      <c r="AA341" s="2"/>
      <c r="AB341" s="2"/>
      <c r="AC341" s="2"/>
      <c r="AD341" s="2"/>
      <c r="AK341" s="8">
        <f t="shared" si="6"/>
        <v>45665</v>
      </c>
    </row>
    <row r="342" spans="1:37" ht="15" customHeight="1">
      <c r="A342" s="2" t="s">
        <v>956</v>
      </c>
      <c r="B342" s="2">
        <v>0</v>
      </c>
      <c r="C342" s="2"/>
      <c r="D342" s="2" t="s">
        <v>298</v>
      </c>
      <c r="E342" s="2" t="s">
        <v>32</v>
      </c>
      <c r="F342" s="3">
        <v>45665</v>
      </c>
      <c r="G342" s="3">
        <v>45665</v>
      </c>
      <c r="H342" s="3">
        <v>45665</v>
      </c>
      <c r="I342" s="2"/>
      <c r="J342" s="2"/>
      <c r="K342" s="2" t="s">
        <v>25</v>
      </c>
      <c r="L342" s="2" t="s">
        <v>26</v>
      </c>
      <c r="M342" s="2"/>
      <c r="N342" s="2" t="s">
        <v>27</v>
      </c>
      <c r="O342" s="2">
        <v>210</v>
      </c>
      <c r="P342" s="2">
        <v>37.799999999999997</v>
      </c>
      <c r="Q342" s="2">
        <v>247.8</v>
      </c>
      <c r="R342" s="2">
        <v>247.8</v>
      </c>
      <c r="S342" s="2">
        <v>247.8</v>
      </c>
      <c r="T342" s="2" t="s">
        <v>28</v>
      </c>
      <c r="U342" s="2" t="b">
        <v>0</v>
      </c>
      <c r="V342" s="2" t="s">
        <v>29</v>
      </c>
      <c r="W342" s="2" t="s">
        <v>104</v>
      </c>
      <c r="X342" s="2" t="s">
        <v>105</v>
      </c>
      <c r="Y342" s="2" t="s">
        <v>957</v>
      </c>
      <c r="Z342" s="2" t="s">
        <v>31</v>
      </c>
      <c r="AA342" s="2"/>
      <c r="AB342" s="2"/>
      <c r="AC342" s="2"/>
      <c r="AD342" s="2"/>
      <c r="AK342" s="8">
        <f t="shared" si="6"/>
        <v>45665</v>
      </c>
    </row>
    <row r="343" spans="1:37" ht="15" customHeight="1">
      <c r="A343" s="2" t="s">
        <v>958</v>
      </c>
      <c r="B343" s="2">
        <v>0</v>
      </c>
      <c r="C343" s="2"/>
      <c r="D343" s="2" t="s">
        <v>298</v>
      </c>
      <c r="E343" s="2" t="s">
        <v>32</v>
      </c>
      <c r="F343" s="3">
        <v>45665</v>
      </c>
      <c r="G343" s="3">
        <v>45665</v>
      </c>
      <c r="H343" s="3">
        <v>45665</v>
      </c>
      <c r="I343" s="2"/>
      <c r="J343" s="2"/>
      <c r="K343" s="2" t="s">
        <v>25</v>
      </c>
      <c r="L343" s="2" t="s">
        <v>26</v>
      </c>
      <c r="M343" s="2"/>
      <c r="N343" s="2" t="s">
        <v>27</v>
      </c>
      <c r="O343" s="2">
        <v>2551.0300000000002</v>
      </c>
      <c r="P343" s="2">
        <v>459.18</v>
      </c>
      <c r="Q343" s="2">
        <v>3010.21</v>
      </c>
      <c r="R343" s="2">
        <v>3010.21</v>
      </c>
      <c r="S343" s="2">
        <v>3010.21</v>
      </c>
      <c r="T343" s="2" t="s">
        <v>28</v>
      </c>
      <c r="U343" s="2" t="b">
        <v>0</v>
      </c>
      <c r="V343" s="2" t="s">
        <v>29</v>
      </c>
      <c r="W343" s="2" t="s">
        <v>104</v>
      </c>
      <c r="X343" s="2" t="s">
        <v>105</v>
      </c>
      <c r="Y343" s="2" t="s">
        <v>959</v>
      </c>
      <c r="Z343" s="2" t="s">
        <v>31</v>
      </c>
      <c r="AA343" s="2"/>
      <c r="AB343" s="2"/>
      <c r="AC343" s="2"/>
      <c r="AD343" s="2"/>
      <c r="AK343" s="8">
        <f t="shared" si="6"/>
        <v>45665</v>
      </c>
    </row>
    <row r="344" spans="1:37" ht="15" customHeight="1">
      <c r="A344" s="2" t="s">
        <v>960</v>
      </c>
      <c r="B344" s="2">
        <v>0</v>
      </c>
      <c r="C344" s="2"/>
      <c r="D344" s="2" t="s">
        <v>298</v>
      </c>
      <c r="E344" s="2" t="s">
        <v>32</v>
      </c>
      <c r="F344" s="3">
        <v>45665</v>
      </c>
      <c r="G344" s="3">
        <v>45665</v>
      </c>
      <c r="H344" s="3">
        <v>45665</v>
      </c>
      <c r="I344" s="2"/>
      <c r="J344" s="2"/>
      <c r="K344" s="2" t="s">
        <v>25</v>
      </c>
      <c r="L344" s="2" t="s">
        <v>26</v>
      </c>
      <c r="M344" s="2"/>
      <c r="N344" s="2" t="s">
        <v>27</v>
      </c>
      <c r="O344" s="2">
        <v>1594.55</v>
      </c>
      <c r="P344" s="2">
        <v>287.02</v>
      </c>
      <c r="Q344" s="2">
        <v>1881.57</v>
      </c>
      <c r="R344" s="2">
        <v>1881.57</v>
      </c>
      <c r="S344" s="2">
        <v>1881.57</v>
      </c>
      <c r="T344" s="2" t="s">
        <v>28</v>
      </c>
      <c r="U344" s="2" t="b">
        <v>0</v>
      </c>
      <c r="V344" s="2" t="s">
        <v>29</v>
      </c>
      <c r="W344" s="2" t="s">
        <v>104</v>
      </c>
      <c r="X344" s="2" t="s">
        <v>105</v>
      </c>
      <c r="Y344" s="2" t="s">
        <v>961</v>
      </c>
      <c r="Z344" s="2" t="s">
        <v>31</v>
      </c>
      <c r="AA344" s="2"/>
      <c r="AB344" s="2"/>
      <c r="AC344" s="2"/>
      <c r="AD344" s="2"/>
      <c r="AK344" s="8">
        <f t="shared" si="6"/>
        <v>45665</v>
      </c>
    </row>
    <row r="345" spans="1:37" ht="15" customHeight="1">
      <c r="A345" s="2" t="s">
        <v>962</v>
      </c>
      <c r="B345" s="2">
        <v>0</v>
      </c>
      <c r="C345" s="2"/>
      <c r="D345" s="2" t="s">
        <v>298</v>
      </c>
      <c r="E345" s="2" t="s">
        <v>34</v>
      </c>
      <c r="F345" s="3">
        <v>45665</v>
      </c>
      <c r="G345" s="3">
        <v>45665</v>
      </c>
      <c r="H345" s="3">
        <v>45665</v>
      </c>
      <c r="I345" s="2"/>
      <c r="J345" s="2"/>
      <c r="K345" s="2" t="s">
        <v>25</v>
      </c>
      <c r="L345" s="2" t="s">
        <v>26</v>
      </c>
      <c r="M345" s="2"/>
      <c r="N345" s="2" t="s">
        <v>27</v>
      </c>
      <c r="O345" s="2">
        <v>83.53</v>
      </c>
      <c r="P345" s="2">
        <v>15.03</v>
      </c>
      <c r="Q345" s="2">
        <v>98.56</v>
      </c>
      <c r="R345" s="2">
        <v>98.56</v>
      </c>
      <c r="S345" s="2">
        <v>98.56</v>
      </c>
      <c r="T345" s="2" t="s">
        <v>28</v>
      </c>
      <c r="U345" s="2" t="b">
        <v>0</v>
      </c>
      <c r="V345" s="2" t="s">
        <v>29</v>
      </c>
      <c r="W345" s="2" t="s">
        <v>104</v>
      </c>
      <c r="X345" s="2" t="s">
        <v>105</v>
      </c>
      <c r="Y345" s="2" t="s">
        <v>963</v>
      </c>
      <c r="Z345" s="2" t="s">
        <v>31</v>
      </c>
      <c r="AA345" s="2"/>
      <c r="AB345" s="2"/>
      <c r="AC345" s="2"/>
      <c r="AD345" s="2"/>
      <c r="AK345" s="8">
        <f t="shared" si="6"/>
        <v>45665</v>
      </c>
    </row>
    <row r="346" spans="1:37" ht="15" customHeight="1">
      <c r="A346" s="2" t="s">
        <v>964</v>
      </c>
      <c r="B346" s="2">
        <v>0</v>
      </c>
      <c r="C346" s="2"/>
      <c r="D346" s="2" t="s">
        <v>298</v>
      </c>
      <c r="E346" s="2" t="s">
        <v>34</v>
      </c>
      <c r="F346" s="3">
        <v>45665</v>
      </c>
      <c r="G346" s="3">
        <v>45665</v>
      </c>
      <c r="H346" s="3">
        <v>45665</v>
      </c>
      <c r="I346" s="2"/>
      <c r="J346" s="2"/>
      <c r="K346" s="2" t="s">
        <v>25</v>
      </c>
      <c r="L346" s="2" t="s">
        <v>26</v>
      </c>
      <c r="M346" s="2"/>
      <c r="N346" s="2" t="s">
        <v>27</v>
      </c>
      <c r="O346" s="2">
        <v>4737.62</v>
      </c>
      <c r="P346" s="2">
        <v>852.77</v>
      </c>
      <c r="Q346" s="2">
        <v>5590.39</v>
      </c>
      <c r="R346" s="2">
        <v>5590.39</v>
      </c>
      <c r="S346" s="2">
        <v>5590.39</v>
      </c>
      <c r="T346" s="2" t="s">
        <v>28</v>
      </c>
      <c r="U346" s="2" t="b">
        <v>0</v>
      </c>
      <c r="V346" s="2" t="s">
        <v>29</v>
      </c>
      <c r="W346" s="2" t="s">
        <v>104</v>
      </c>
      <c r="X346" s="2" t="s">
        <v>105</v>
      </c>
      <c r="Y346" s="2" t="s">
        <v>965</v>
      </c>
      <c r="Z346" s="2" t="s">
        <v>31</v>
      </c>
      <c r="AA346" s="2"/>
      <c r="AB346" s="2"/>
      <c r="AC346" s="2"/>
      <c r="AD346" s="2"/>
      <c r="AK346" s="8">
        <f t="shared" si="6"/>
        <v>45665</v>
      </c>
    </row>
    <row r="347" spans="1:37" ht="15" customHeight="1">
      <c r="A347" s="2" t="s">
        <v>966</v>
      </c>
      <c r="B347" s="2">
        <v>0</v>
      </c>
      <c r="C347" s="2"/>
      <c r="D347" s="2" t="s">
        <v>298</v>
      </c>
      <c r="E347" s="2" t="s">
        <v>34</v>
      </c>
      <c r="F347" s="3">
        <v>45665</v>
      </c>
      <c r="G347" s="3">
        <v>45665</v>
      </c>
      <c r="H347" s="3">
        <v>45665</v>
      </c>
      <c r="I347" s="2"/>
      <c r="J347" s="2"/>
      <c r="K347" s="2" t="s">
        <v>25</v>
      </c>
      <c r="L347" s="2" t="s">
        <v>26</v>
      </c>
      <c r="M347" s="2"/>
      <c r="N347" s="2" t="s">
        <v>27</v>
      </c>
      <c r="O347" s="2">
        <v>2961.31</v>
      </c>
      <c r="P347" s="2">
        <v>533.03</v>
      </c>
      <c r="Q347" s="2">
        <v>3494.34</v>
      </c>
      <c r="R347" s="2">
        <v>3494.34</v>
      </c>
      <c r="S347" s="2">
        <v>3494.34</v>
      </c>
      <c r="T347" s="2" t="s">
        <v>28</v>
      </c>
      <c r="U347" s="2" t="b">
        <v>0</v>
      </c>
      <c r="V347" s="2" t="s">
        <v>29</v>
      </c>
      <c r="W347" s="2" t="s">
        <v>104</v>
      </c>
      <c r="X347" s="2" t="s">
        <v>105</v>
      </c>
      <c r="Y347" s="2" t="s">
        <v>967</v>
      </c>
      <c r="Z347" s="2" t="s">
        <v>31</v>
      </c>
      <c r="AA347" s="2"/>
      <c r="AB347" s="2"/>
      <c r="AC347" s="2"/>
      <c r="AD347" s="2"/>
      <c r="AK347" s="8">
        <f t="shared" si="6"/>
        <v>45665</v>
      </c>
    </row>
    <row r="348" spans="1:37" ht="15" customHeight="1">
      <c r="A348" s="2" t="s">
        <v>968</v>
      </c>
      <c r="B348" s="2">
        <v>0</v>
      </c>
      <c r="C348" s="2"/>
      <c r="D348" s="2" t="s">
        <v>298</v>
      </c>
      <c r="E348" s="2" t="s">
        <v>34</v>
      </c>
      <c r="F348" s="3">
        <v>45665</v>
      </c>
      <c r="G348" s="3">
        <v>45665</v>
      </c>
      <c r="H348" s="3">
        <v>45665</v>
      </c>
      <c r="I348" s="2"/>
      <c r="J348" s="2"/>
      <c r="K348" s="2" t="s">
        <v>25</v>
      </c>
      <c r="L348" s="2" t="s">
        <v>26</v>
      </c>
      <c r="M348" s="2"/>
      <c r="N348" s="2" t="s">
        <v>27</v>
      </c>
      <c r="O348" s="2">
        <v>390</v>
      </c>
      <c r="P348" s="2">
        <v>70.2</v>
      </c>
      <c r="Q348" s="2">
        <v>460.2</v>
      </c>
      <c r="R348" s="2">
        <v>460.2</v>
      </c>
      <c r="S348" s="2">
        <v>460.2</v>
      </c>
      <c r="T348" s="2" t="s">
        <v>28</v>
      </c>
      <c r="U348" s="2" t="b">
        <v>0</v>
      </c>
      <c r="V348" s="2" t="s">
        <v>29</v>
      </c>
      <c r="W348" s="2" t="s">
        <v>104</v>
      </c>
      <c r="X348" s="2" t="s">
        <v>105</v>
      </c>
      <c r="Y348" s="2" t="s">
        <v>969</v>
      </c>
      <c r="Z348" s="2" t="s">
        <v>31</v>
      </c>
      <c r="AA348" s="2"/>
      <c r="AB348" s="2"/>
      <c r="AC348" s="2"/>
      <c r="AD348" s="2"/>
      <c r="AK348" s="8">
        <f t="shared" si="6"/>
        <v>45665</v>
      </c>
    </row>
    <row r="349" spans="1:37" ht="15" customHeight="1">
      <c r="A349" s="2" t="s">
        <v>970</v>
      </c>
      <c r="B349" s="2">
        <v>0</v>
      </c>
      <c r="C349" s="2"/>
      <c r="D349" s="2" t="s">
        <v>298</v>
      </c>
      <c r="E349" s="2" t="s">
        <v>971</v>
      </c>
      <c r="F349" s="3">
        <v>45665</v>
      </c>
      <c r="G349" s="3">
        <v>45665</v>
      </c>
      <c r="H349" s="3">
        <v>45665</v>
      </c>
      <c r="I349" s="2"/>
      <c r="J349" s="2"/>
      <c r="K349" s="2" t="s">
        <v>25</v>
      </c>
      <c r="L349" s="2" t="s">
        <v>26</v>
      </c>
      <c r="M349" s="2"/>
      <c r="N349" s="2" t="s">
        <v>27</v>
      </c>
      <c r="O349" s="2">
        <v>788.9</v>
      </c>
      <c r="P349" s="2">
        <v>142</v>
      </c>
      <c r="Q349" s="2">
        <v>930.9</v>
      </c>
      <c r="R349" s="2">
        <v>930.9</v>
      </c>
      <c r="S349" s="2">
        <v>930.9</v>
      </c>
      <c r="T349" s="2" t="s">
        <v>28</v>
      </c>
      <c r="U349" s="2" t="b">
        <v>0</v>
      </c>
      <c r="V349" s="2" t="s">
        <v>29</v>
      </c>
      <c r="W349" s="2" t="s">
        <v>104</v>
      </c>
      <c r="X349" s="2" t="s">
        <v>105</v>
      </c>
      <c r="Y349" s="2" t="s">
        <v>972</v>
      </c>
      <c r="Z349" s="2" t="s">
        <v>31</v>
      </c>
      <c r="AA349" s="2"/>
      <c r="AB349" s="2"/>
      <c r="AC349" s="2"/>
      <c r="AD349" s="2"/>
      <c r="AK349" s="8">
        <f t="shared" si="6"/>
        <v>45665</v>
      </c>
    </row>
    <row r="350" spans="1:37" ht="15" customHeight="1">
      <c r="A350" s="2" t="s">
        <v>973</v>
      </c>
      <c r="B350" s="2">
        <v>0</v>
      </c>
      <c r="C350" s="2"/>
      <c r="D350" s="2" t="s">
        <v>298</v>
      </c>
      <c r="E350" s="2" t="s">
        <v>971</v>
      </c>
      <c r="F350" s="3">
        <v>45665</v>
      </c>
      <c r="G350" s="3">
        <v>45665</v>
      </c>
      <c r="H350" s="3">
        <v>45665</v>
      </c>
      <c r="I350" s="2"/>
      <c r="J350" s="2"/>
      <c r="K350" s="2" t="s">
        <v>25</v>
      </c>
      <c r="L350" s="2" t="s">
        <v>26</v>
      </c>
      <c r="M350" s="2"/>
      <c r="N350" s="2" t="s">
        <v>27</v>
      </c>
      <c r="O350" s="2">
        <v>461.61</v>
      </c>
      <c r="P350" s="2">
        <v>83.09</v>
      </c>
      <c r="Q350" s="2">
        <v>544.70000000000005</v>
      </c>
      <c r="R350" s="2">
        <v>544.70000000000005</v>
      </c>
      <c r="S350" s="2">
        <v>544.70000000000005</v>
      </c>
      <c r="T350" s="2" t="s">
        <v>28</v>
      </c>
      <c r="U350" s="2" t="b">
        <v>0</v>
      </c>
      <c r="V350" s="2" t="s">
        <v>29</v>
      </c>
      <c r="W350" s="2" t="s">
        <v>104</v>
      </c>
      <c r="X350" s="2" t="s">
        <v>105</v>
      </c>
      <c r="Y350" s="2" t="s">
        <v>974</v>
      </c>
      <c r="Z350" s="2" t="s">
        <v>31</v>
      </c>
      <c r="AA350" s="2"/>
      <c r="AB350" s="2"/>
      <c r="AC350" s="2"/>
      <c r="AD350" s="2"/>
      <c r="AK350" s="8">
        <f t="shared" si="6"/>
        <v>45665</v>
      </c>
    </row>
    <row r="351" spans="1:37" ht="15" customHeight="1">
      <c r="A351" s="2" t="s">
        <v>975</v>
      </c>
      <c r="B351" s="2">
        <v>0</v>
      </c>
      <c r="C351" s="2"/>
      <c r="D351" s="2" t="s">
        <v>298</v>
      </c>
      <c r="E351" s="2" t="s">
        <v>452</v>
      </c>
      <c r="F351" s="3">
        <v>45665</v>
      </c>
      <c r="G351" s="3">
        <v>45665</v>
      </c>
      <c r="H351" s="3">
        <v>45665</v>
      </c>
      <c r="I351" s="2"/>
      <c r="J351" s="2"/>
      <c r="K351" s="2" t="s">
        <v>25</v>
      </c>
      <c r="L351" s="2" t="s">
        <v>26</v>
      </c>
      <c r="M351" s="2"/>
      <c r="N351" s="2" t="s">
        <v>27</v>
      </c>
      <c r="O351" s="2">
        <v>92.54</v>
      </c>
      <c r="P351" s="2">
        <v>16.66</v>
      </c>
      <c r="Q351" s="2">
        <v>109.2</v>
      </c>
      <c r="R351" s="2">
        <v>109.2</v>
      </c>
      <c r="S351" s="2">
        <v>109.2</v>
      </c>
      <c r="T351" s="2" t="s">
        <v>28</v>
      </c>
      <c r="U351" s="2" t="b">
        <v>0</v>
      </c>
      <c r="V351" s="2" t="s">
        <v>29</v>
      </c>
      <c r="W351" s="2" t="s">
        <v>104</v>
      </c>
      <c r="X351" s="2" t="s">
        <v>105</v>
      </c>
      <c r="Y351" s="2" t="s">
        <v>976</v>
      </c>
      <c r="Z351" s="2" t="s">
        <v>31</v>
      </c>
      <c r="AA351" s="2"/>
      <c r="AB351" s="2"/>
      <c r="AC351" s="2"/>
      <c r="AD351" s="2"/>
      <c r="AK351" s="8">
        <f t="shared" si="6"/>
        <v>45665</v>
      </c>
    </row>
    <row r="352" spans="1:37" ht="15" customHeight="1">
      <c r="A352" s="2" t="s">
        <v>977</v>
      </c>
      <c r="B352" s="2">
        <v>0</v>
      </c>
      <c r="C352" s="2"/>
      <c r="D352" s="2" t="s">
        <v>298</v>
      </c>
      <c r="E352" s="2" t="s">
        <v>452</v>
      </c>
      <c r="F352" s="3">
        <v>45665</v>
      </c>
      <c r="G352" s="3">
        <v>45665</v>
      </c>
      <c r="H352" s="3">
        <v>45665</v>
      </c>
      <c r="I352" s="2"/>
      <c r="J352" s="2"/>
      <c r="K352" s="2" t="s">
        <v>25</v>
      </c>
      <c r="L352" s="2" t="s">
        <v>26</v>
      </c>
      <c r="M352" s="2"/>
      <c r="N352" s="2" t="s">
        <v>27</v>
      </c>
      <c r="O352" s="2">
        <v>54.75</v>
      </c>
      <c r="P352" s="2">
        <v>9.85</v>
      </c>
      <c r="Q352" s="2">
        <v>64.599999999999994</v>
      </c>
      <c r="R352" s="2">
        <v>64.599999999999994</v>
      </c>
      <c r="S352" s="2">
        <v>64.599999999999994</v>
      </c>
      <c r="T352" s="2" t="s">
        <v>28</v>
      </c>
      <c r="U352" s="2" t="b">
        <v>0</v>
      </c>
      <c r="V352" s="2" t="s">
        <v>29</v>
      </c>
      <c r="W352" s="2" t="s">
        <v>104</v>
      </c>
      <c r="X352" s="2" t="s">
        <v>105</v>
      </c>
      <c r="Y352" s="2" t="s">
        <v>978</v>
      </c>
      <c r="Z352" s="2" t="s">
        <v>31</v>
      </c>
      <c r="AA352" s="2"/>
      <c r="AB352" s="2"/>
      <c r="AC352" s="2"/>
      <c r="AD352" s="2"/>
      <c r="AK352" s="8">
        <f t="shared" si="6"/>
        <v>45665</v>
      </c>
    </row>
    <row r="353" spans="1:37" ht="15" customHeight="1">
      <c r="A353" s="2" t="s">
        <v>979</v>
      </c>
      <c r="B353" s="2">
        <v>0</v>
      </c>
      <c r="C353" s="2"/>
      <c r="D353" s="2" t="s">
        <v>298</v>
      </c>
      <c r="E353" s="2" t="s">
        <v>424</v>
      </c>
      <c r="F353" s="3">
        <v>45665</v>
      </c>
      <c r="G353" s="3">
        <v>45665</v>
      </c>
      <c r="H353" s="3">
        <v>45665</v>
      </c>
      <c r="I353" s="2"/>
      <c r="J353" s="2"/>
      <c r="K353" s="2" t="s">
        <v>25</v>
      </c>
      <c r="L353" s="2" t="s">
        <v>26</v>
      </c>
      <c r="M353" s="2"/>
      <c r="N353" s="2" t="s">
        <v>27</v>
      </c>
      <c r="O353" s="2">
        <v>450</v>
      </c>
      <c r="P353" s="2">
        <v>81</v>
      </c>
      <c r="Q353" s="2">
        <v>531</v>
      </c>
      <c r="R353" s="2">
        <v>531</v>
      </c>
      <c r="S353" s="2">
        <v>531</v>
      </c>
      <c r="T353" s="2" t="s">
        <v>28</v>
      </c>
      <c r="U353" s="2" t="b">
        <v>0</v>
      </c>
      <c r="V353" s="2" t="s">
        <v>29</v>
      </c>
      <c r="W353" s="2" t="s">
        <v>104</v>
      </c>
      <c r="X353" s="2" t="s">
        <v>105</v>
      </c>
      <c r="Y353" s="2" t="s">
        <v>980</v>
      </c>
      <c r="Z353" s="2" t="s">
        <v>31</v>
      </c>
      <c r="AA353" s="2"/>
      <c r="AB353" s="2"/>
      <c r="AC353" s="2"/>
      <c r="AD353" s="2"/>
      <c r="AK353" s="8">
        <f t="shared" si="6"/>
        <v>45665</v>
      </c>
    </row>
    <row r="354" spans="1:37" ht="15" customHeight="1">
      <c r="A354" s="2" t="s">
        <v>981</v>
      </c>
      <c r="B354" s="2">
        <v>0</v>
      </c>
      <c r="C354" s="2"/>
      <c r="D354" s="2" t="s">
        <v>298</v>
      </c>
      <c r="E354" s="2" t="s">
        <v>424</v>
      </c>
      <c r="F354" s="3">
        <v>45665</v>
      </c>
      <c r="G354" s="3">
        <v>45665</v>
      </c>
      <c r="H354" s="3">
        <v>45665</v>
      </c>
      <c r="I354" s="2"/>
      <c r="J354" s="2"/>
      <c r="K354" s="2" t="s">
        <v>25</v>
      </c>
      <c r="L354" s="2" t="s">
        <v>26</v>
      </c>
      <c r="M354" s="2"/>
      <c r="N354" s="2" t="s">
        <v>27</v>
      </c>
      <c r="O354" s="2">
        <v>920</v>
      </c>
      <c r="P354" s="2">
        <v>165.6</v>
      </c>
      <c r="Q354" s="2">
        <v>1085.5999999999999</v>
      </c>
      <c r="R354" s="2">
        <v>1085.5999999999999</v>
      </c>
      <c r="S354" s="2">
        <v>1085.5999999999999</v>
      </c>
      <c r="T354" s="2" t="s">
        <v>28</v>
      </c>
      <c r="U354" s="2" t="b">
        <v>0</v>
      </c>
      <c r="V354" s="2" t="s">
        <v>29</v>
      </c>
      <c r="W354" s="2" t="s">
        <v>104</v>
      </c>
      <c r="X354" s="2" t="s">
        <v>105</v>
      </c>
      <c r="Y354" s="2" t="s">
        <v>982</v>
      </c>
      <c r="Z354" s="2" t="s">
        <v>31</v>
      </c>
      <c r="AA354" s="2"/>
      <c r="AB354" s="2"/>
      <c r="AC354" s="2"/>
      <c r="AD354" s="2"/>
      <c r="AK354" s="8">
        <f t="shared" si="6"/>
        <v>45665</v>
      </c>
    </row>
    <row r="355" spans="1:37" ht="15" customHeight="1">
      <c r="A355" s="2" t="s">
        <v>983</v>
      </c>
      <c r="B355" s="2">
        <v>0</v>
      </c>
      <c r="C355" s="2"/>
      <c r="D355" s="2" t="s">
        <v>298</v>
      </c>
      <c r="E355" s="2" t="s">
        <v>424</v>
      </c>
      <c r="F355" s="3">
        <v>45665</v>
      </c>
      <c r="G355" s="3">
        <v>45665</v>
      </c>
      <c r="H355" s="3">
        <v>45665</v>
      </c>
      <c r="I355" s="2"/>
      <c r="J355" s="2"/>
      <c r="K355" s="2" t="s">
        <v>25</v>
      </c>
      <c r="L355" s="2" t="s">
        <v>26</v>
      </c>
      <c r="M355" s="2"/>
      <c r="N355" s="2" t="s">
        <v>27</v>
      </c>
      <c r="O355" s="2">
        <v>1200.42</v>
      </c>
      <c r="P355" s="2">
        <v>216.08</v>
      </c>
      <c r="Q355" s="2">
        <v>1416.5</v>
      </c>
      <c r="R355" s="2">
        <v>1416.5</v>
      </c>
      <c r="S355" s="2">
        <v>1416.5</v>
      </c>
      <c r="T355" s="2" t="s">
        <v>28</v>
      </c>
      <c r="U355" s="2" t="b">
        <v>0</v>
      </c>
      <c r="V355" s="2" t="s">
        <v>29</v>
      </c>
      <c r="W355" s="2" t="s">
        <v>104</v>
      </c>
      <c r="X355" s="2" t="s">
        <v>105</v>
      </c>
      <c r="Y355" s="2" t="s">
        <v>984</v>
      </c>
      <c r="Z355" s="2" t="s">
        <v>31</v>
      </c>
      <c r="AA355" s="2"/>
      <c r="AB355" s="2"/>
      <c r="AC355" s="2"/>
      <c r="AD355" s="2"/>
      <c r="AK355" s="8">
        <f t="shared" si="6"/>
        <v>45665</v>
      </c>
    </row>
    <row r="356" spans="1:37" ht="15" customHeight="1">
      <c r="A356" s="2" t="s">
        <v>985</v>
      </c>
      <c r="B356" s="2">
        <v>0</v>
      </c>
      <c r="C356" s="2"/>
      <c r="D356" s="2" t="s">
        <v>298</v>
      </c>
      <c r="E356" s="2" t="s">
        <v>424</v>
      </c>
      <c r="F356" s="3">
        <v>45665</v>
      </c>
      <c r="G356" s="3">
        <v>45665</v>
      </c>
      <c r="H356" s="3">
        <v>45665</v>
      </c>
      <c r="I356" s="2"/>
      <c r="J356" s="2"/>
      <c r="K356" s="2" t="s">
        <v>25</v>
      </c>
      <c r="L356" s="2" t="s">
        <v>26</v>
      </c>
      <c r="M356" s="2"/>
      <c r="N356" s="2" t="s">
        <v>27</v>
      </c>
      <c r="O356" s="2">
        <v>586.36</v>
      </c>
      <c r="P356" s="2">
        <v>105.54</v>
      </c>
      <c r="Q356" s="2">
        <v>691.9</v>
      </c>
      <c r="R356" s="2">
        <v>691.9</v>
      </c>
      <c r="S356" s="2">
        <v>691.9</v>
      </c>
      <c r="T356" s="2" t="s">
        <v>28</v>
      </c>
      <c r="U356" s="2" t="b">
        <v>0</v>
      </c>
      <c r="V356" s="2" t="s">
        <v>29</v>
      </c>
      <c r="W356" s="2" t="s">
        <v>104</v>
      </c>
      <c r="X356" s="2" t="s">
        <v>105</v>
      </c>
      <c r="Y356" s="2" t="s">
        <v>986</v>
      </c>
      <c r="Z356" s="2" t="s">
        <v>31</v>
      </c>
      <c r="AA356" s="2"/>
      <c r="AB356" s="2"/>
      <c r="AC356" s="2"/>
      <c r="AD356" s="2"/>
      <c r="AK356" s="8">
        <f t="shared" si="6"/>
        <v>45665</v>
      </c>
    </row>
    <row r="357" spans="1:37" ht="15" customHeight="1">
      <c r="A357" s="2" t="s">
        <v>987</v>
      </c>
      <c r="B357" s="2">
        <v>0</v>
      </c>
      <c r="C357" s="2"/>
      <c r="D357" s="2" t="s">
        <v>298</v>
      </c>
      <c r="E357" s="2" t="s">
        <v>490</v>
      </c>
      <c r="F357" s="3">
        <v>45665</v>
      </c>
      <c r="G357" s="3">
        <v>45665</v>
      </c>
      <c r="H357" s="3">
        <v>45665</v>
      </c>
      <c r="I357" s="2"/>
      <c r="J357" s="2"/>
      <c r="K357" s="2" t="s">
        <v>25</v>
      </c>
      <c r="L357" s="2" t="s">
        <v>26</v>
      </c>
      <c r="M357" s="2"/>
      <c r="N357" s="2" t="s">
        <v>27</v>
      </c>
      <c r="O357" s="2">
        <v>52.54</v>
      </c>
      <c r="P357" s="2">
        <v>9.4600000000000009</v>
      </c>
      <c r="Q357" s="2">
        <v>62</v>
      </c>
      <c r="R357" s="2">
        <v>62</v>
      </c>
      <c r="S357" s="2">
        <v>62</v>
      </c>
      <c r="T357" s="2" t="s">
        <v>28</v>
      </c>
      <c r="U357" s="2" t="b">
        <v>0</v>
      </c>
      <c r="V357" s="2" t="s">
        <v>29</v>
      </c>
      <c r="W357" s="2" t="s">
        <v>104</v>
      </c>
      <c r="X357" s="2" t="s">
        <v>105</v>
      </c>
      <c r="Y357" s="2" t="s">
        <v>988</v>
      </c>
      <c r="Z357" s="2" t="s">
        <v>31</v>
      </c>
      <c r="AA357" s="2"/>
      <c r="AB357" s="2"/>
      <c r="AC357" s="2"/>
      <c r="AD357" s="2"/>
      <c r="AK357" s="8">
        <f t="shared" si="6"/>
        <v>45665</v>
      </c>
    </row>
    <row r="358" spans="1:37" ht="15" customHeight="1">
      <c r="A358" s="2" t="s">
        <v>989</v>
      </c>
      <c r="B358" s="2">
        <v>0</v>
      </c>
      <c r="C358" s="2"/>
      <c r="D358" s="2" t="s">
        <v>298</v>
      </c>
      <c r="E358" s="2" t="s">
        <v>490</v>
      </c>
      <c r="F358" s="3">
        <v>45665</v>
      </c>
      <c r="G358" s="3">
        <v>45665</v>
      </c>
      <c r="H358" s="3">
        <v>45665</v>
      </c>
      <c r="I358" s="2"/>
      <c r="J358" s="2"/>
      <c r="K358" s="2" t="s">
        <v>25</v>
      </c>
      <c r="L358" s="2" t="s">
        <v>26</v>
      </c>
      <c r="M358" s="2"/>
      <c r="N358" s="2" t="s">
        <v>27</v>
      </c>
      <c r="O358" s="2">
        <v>36.61</v>
      </c>
      <c r="P358" s="2">
        <v>6.59</v>
      </c>
      <c r="Q358" s="2">
        <v>43.2</v>
      </c>
      <c r="R358" s="2">
        <v>43.2</v>
      </c>
      <c r="S358" s="2">
        <v>43.2</v>
      </c>
      <c r="T358" s="2" t="s">
        <v>28</v>
      </c>
      <c r="U358" s="2" t="b">
        <v>0</v>
      </c>
      <c r="V358" s="2" t="s">
        <v>29</v>
      </c>
      <c r="W358" s="2" t="s">
        <v>104</v>
      </c>
      <c r="X358" s="2" t="s">
        <v>105</v>
      </c>
      <c r="Y358" s="2" t="s">
        <v>990</v>
      </c>
      <c r="Z358" s="2" t="s">
        <v>31</v>
      </c>
      <c r="AA358" s="2"/>
      <c r="AB358" s="2"/>
      <c r="AC358" s="2"/>
      <c r="AD358" s="2"/>
      <c r="AK358" s="8">
        <f t="shared" si="6"/>
        <v>45665</v>
      </c>
    </row>
    <row r="359" spans="1:37" ht="15" customHeight="1">
      <c r="A359" s="2" t="s">
        <v>991</v>
      </c>
      <c r="B359" s="2">
        <v>0</v>
      </c>
      <c r="C359" s="2"/>
      <c r="D359" s="2" t="s">
        <v>298</v>
      </c>
      <c r="E359" s="2" t="s">
        <v>415</v>
      </c>
      <c r="F359" s="3">
        <v>45665</v>
      </c>
      <c r="G359" s="3">
        <v>45665</v>
      </c>
      <c r="H359" s="3">
        <v>45665</v>
      </c>
      <c r="I359" s="2"/>
      <c r="J359" s="2"/>
      <c r="K359" s="2" t="s">
        <v>25</v>
      </c>
      <c r="L359" s="2" t="s">
        <v>26</v>
      </c>
      <c r="M359" s="2"/>
      <c r="N359" s="2" t="s">
        <v>27</v>
      </c>
      <c r="O359" s="2">
        <v>100</v>
      </c>
      <c r="P359" s="2">
        <v>18</v>
      </c>
      <c r="Q359" s="2">
        <v>118</v>
      </c>
      <c r="R359" s="2">
        <v>118</v>
      </c>
      <c r="S359" s="2">
        <v>118</v>
      </c>
      <c r="T359" s="2" t="s">
        <v>28</v>
      </c>
      <c r="U359" s="2" t="b">
        <v>0</v>
      </c>
      <c r="V359" s="2" t="s">
        <v>29</v>
      </c>
      <c r="W359" s="2" t="s">
        <v>104</v>
      </c>
      <c r="X359" s="2" t="s">
        <v>105</v>
      </c>
      <c r="Y359" s="2" t="s">
        <v>992</v>
      </c>
      <c r="Z359" s="2" t="s">
        <v>31</v>
      </c>
      <c r="AA359" s="2"/>
      <c r="AB359" s="2"/>
      <c r="AC359" s="2"/>
      <c r="AD359" s="2"/>
      <c r="AK359" s="8">
        <f t="shared" si="6"/>
        <v>45665</v>
      </c>
    </row>
    <row r="360" spans="1:37" ht="15" customHeight="1">
      <c r="A360" s="2" t="s">
        <v>993</v>
      </c>
      <c r="B360" s="2">
        <v>0</v>
      </c>
      <c r="C360" s="2"/>
      <c r="D360" s="2" t="s">
        <v>298</v>
      </c>
      <c r="E360" s="2" t="s">
        <v>415</v>
      </c>
      <c r="F360" s="3">
        <v>45665</v>
      </c>
      <c r="G360" s="3">
        <v>45665</v>
      </c>
      <c r="H360" s="3">
        <v>45665</v>
      </c>
      <c r="I360" s="2"/>
      <c r="J360" s="2"/>
      <c r="K360" s="2" t="s">
        <v>25</v>
      </c>
      <c r="L360" s="2" t="s">
        <v>26</v>
      </c>
      <c r="M360" s="2"/>
      <c r="N360" s="2" t="s">
        <v>27</v>
      </c>
      <c r="O360" s="2">
        <v>1800</v>
      </c>
      <c r="P360" s="2">
        <v>324</v>
      </c>
      <c r="Q360" s="2">
        <v>2124</v>
      </c>
      <c r="R360" s="2">
        <v>2124</v>
      </c>
      <c r="S360" s="2">
        <v>2124</v>
      </c>
      <c r="T360" s="2" t="s">
        <v>28</v>
      </c>
      <c r="U360" s="2" t="b">
        <v>0</v>
      </c>
      <c r="V360" s="2" t="s">
        <v>29</v>
      </c>
      <c r="W360" s="2" t="s">
        <v>104</v>
      </c>
      <c r="X360" s="2" t="s">
        <v>105</v>
      </c>
      <c r="Y360" s="2" t="s">
        <v>994</v>
      </c>
      <c r="Z360" s="2" t="s">
        <v>31</v>
      </c>
      <c r="AA360" s="2"/>
      <c r="AB360" s="2"/>
      <c r="AC360" s="2"/>
      <c r="AD360" s="2"/>
      <c r="AK360" s="8">
        <f t="shared" si="6"/>
        <v>45665</v>
      </c>
    </row>
    <row r="361" spans="1:37" ht="15" customHeight="1">
      <c r="A361" s="2" t="s">
        <v>995</v>
      </c>
      <c r="B361" s="2">
        <v>0</v>
      </c>
      <c r="C361" s="2"/>
      <c r="D361" s="2" t="s">
        <v>298</v>
      </c>
      <c r="E361" s="2" t="s">
        <v>415</v>
      </c>
      <c r="F361" s="3">
        <v>45665</v>
      </c>
      <c r="G361" s="3">
        <v>45665</v>
      </c>
      <c r="H361" s="3">
        <v>45665</v>
      </c>
      <c r="I361" s="2"/>
      <c r="J361" s="2"/>
      <c r="K361" s="2" t="s">
        <v>25</v>
      </c>
      <c r="L361" s="2" t="s">
        <v>26</v>
      </c>
      <c r="M361" s="2"/>
      <c r="N361" s="2" t="s">
        <v>27</v>
      </c>
      <c r="O361" s="2">
        <v>800</v>
      </c>
      <c r="P361" s="2">
        <v>144</v>
      </c>
      <c r="Q361" s="2">
        <v>944</v>
      </c>
      <c r="R361" s="2">
        <v>944</v>
      </c>
      <c r="S361" s="2">
        <v>944</v>
      </c>
      <c r="T361" s="2" t="s">
        <v>28</v>
      </c>
      <c r="U361" s="2" t="b">
        <v>0</v>
      </c>
      <c r="V361" s="2" t="s">
        <v>29</v>
      </c>
      <c r="W361" s="2" t="s">
        <v>104</v>
      </c>
      <c r="X361" s="2" t="s">
        <v>105</v>
      </c>
      <c r="Y361" s="2" t="s">
        <v>996</v>
      </c>
      <c r="Z361" s="2" t="s">
        <v>31</v>
      </c>
      <c r="AA361" s="2"/>
      <c r="AB361" s="2"/>
      <c r="AC361" s="2"/>
      <c r="AD361" s="2"/>
      <c r="AK361" s="8">
        <f t="shared" si="6"/>
        <v>45665</v>
      </c>
    </row>
    <row r="362" spans="1:37" ht="15" customHeight="1">
      <c r="A362" s="2" t="s">
        <v>997</v>
      </c>
      <c r="B362" s="2">
        <v>0</v>
      </c>
      <c r="C362" s="2"/>
      <c r="D362" s="2" t="s">
        <v>298</v>
      </c>
      <c r="E362" s="2" t="s">
        <v>415</v>
      </c>
      <c r="F362" s="3">
        <v>45665</v>
      </c>
      <c r="G362" s="3">
        <v>45665</v>
      </c>
      <c r="H362" s="3">
        <v>45665</v>
      </c>
      <c r="I362" s="2"/>
      <c r="J362" s="2"/>
      <c r="K362" s="2" t="s">
        <v>25</v>
      </c>
      <c r="L362" s="2" t="s">
        <v>26</v>
      </c>
      <c r="M362" s="2"/>
      <c r="N362" s="2" t="s">
        <v>27</v>
      </c>
      <c r="O362" s="2">
        <v>800</v>
      </c>
      <c r="P362" s="2">
        <v>144</v>
      </c>
      <c r="Q362" s="2">
        <v>944</v>
      </c>
      <c r="R362" s="2">
        <v>944</v>
      </c>
      <c r="S362" s="2">
        <v>944</v>
      </c>
      <c r="T362" s="2" t="s">
        <v>28</v>
      </c>
      <c r="U362" s="2" t="b">
        <v>0</v>
      </c>
      <c r="V362" s="2" t="s">
        <v>29</v>
      </c>
      <c r="W362" s="2" t="s">
        <v>104</v>
      </c>
      <c r="X362" s="2" t="s">
        <v>105</v>
      </c>
      <c r="Y362" s="2" t="s">
        <v>998</v>
      </c>
      <c r="Z362" s="2" t="s">
        <v>31</v>
      </c>
      <c r="AA362" s="2"/>
      <c r="AB362" s="2"/>
      <c r="AC362" s="2"/>
      <c r="AD362" s="2"/>
      <c r="AK362" s="8">
        <f t="shared" si="6"/>
        <v>45665</v>
      </c>
    </row>
    <row r="363" spans="1:37" ht="15" customHeight="1">
      <c r="A363" s="2" t="s">
        <v>999</v>
      </c>
      <c r="B363" s="2">
        <v>0</v>
      </c>
      <c r="C363" s="2"/>
      <c r="D363" s="2" t="s">
        <v>298</v>
      </c>
      <c r="E363" s="2" t="s">
        <v>415</v>
      </c>
      <c r="F363" s="3">
        <v>45665</v>
      </c>
      <c r="G363" s="3">
        <v>45665</v>
      </c>
      <c r="H363" s="3">
        <v>45665</v>
      </c>
      <c r="I363" s="2"/>
      <c r="J363" s="2"/>
      <c r="K363" s="2" t="s">
        <v>25</v>
      </c>
      <c r="L363" s="2" t="s">
        <v>26</v>
      </c>
      <c r="M363" s="2"/>
      <c r="N363" s="2" t="s">
        <v>27</v>
      </c>
      <c r="O363" s="2">
        <v>800</v>
      </c>
      <c r="P363" s="2">
        <v>144</v>
      </c>
      <c r="Q363" s="2">
        <v>944</v>
      </c>
      <c r="R363" s="2">
        <v>944</v>
      </c>
      <c r="S363" s="2">
        <v>944</v>
      </c>
      <c r="T363" s="2" t="s">
        <v>28</v>
      </c>
      <c r="U363" s="2" t="b">
        <v>0</v>
      </c>
      <c r="V363" s="2" t="s">
        <v>29</v>
      </c>
      <c r="W363" s="2" t="s">
        <v>104</v>
      </c>
      <c r="X363" s="2" t="s">
        <v>105</v>
      </c>
      <c r="Y363" s="2" t="s">
        <v>1000</v>
      </c>
      <c r="Z363" s="2" t="s">
        <v>31</v>
      </c>
      <c r="AA363" s="2"/>
      <c r="AB363" s="2"/>
      <c r="AC363" s="2"/>
      <c r="AD363" s="2"/>
      <c r="AK363" s="8">
        <f t="shared" si="6"/>
        <v>45665</v>
      </c>
    </row>
    <row r="364" spans="1:37" ht="15" customHeight="1">
      <c r="A364" s="2" t="s">
        <v>1001</v>
      </c>
      <c r="B364" s="2">
        <v>0</v>
      </c>
      <c r="C364" s="2"/>
      <c r="D364" s="2" t="s">
        <v>298</v>
      </c>
      <c r="E364" s="2" t="s">
        <v>415</v>
      </c>
      <c r="F364" s="3">
        <v>45665</v>
      </c>
      <c r="G364" s="3">
        <v>45665</v>
      </c>
      <c r="H364" s="3">
        <v>45665</v>
      </c>
      <c r="I364" s="2"/>
      <c r="J364" s="2"/>
      <c r="K364" s="2" t="s">
        <v>25</v>
      </c>
      <c r="L364" s="2" t="s">
        <v>26</v>
      </c>
      <c r="M364" s="2"/>
      <c r="N364" s="2" t="s">
        <v>27</v>
      </c>
      <c r="O364" s="2">
        <v>2000</v>
      </c>
      <c r="P364" s="2">
        <v>360</v>
      </c>
      <c r="Q364" s="2">
        <v>2360</v>
      </c>
      <c r="R364" s="2">
        <v>2360</v>
      </c>
      <c r="S364" s="2">
        <v>2360</v>
      </c>
      <c r="T364" s="2" t="s">
        <v>28</v>
      </c>
      <c r="U364" s="2" t="b">
        <v>0</v>
      </c>
      <c r="V364" s="2" t="s">
        <v>29</v>
      </c>
      <c r="W364" s="2" t="s">
        <v>104</v>
      </c>
      <c r="X364" s="2" t="s">
        <v>105</v>
      </c>
      <c r="Y364" s="2" t="s">
        <v>1002</v>
      </c>
      <c r="Z364" s="2" t="s">
        <v>31</v>
      </c>
      <c r="AA364" s="2"/>
      <c r="AB364" s="2"/>
      <c r="AC364" s="2"/>
      <c r="AD364" s="2"/>
      <c r="AK364" s="8">
        <f t="shared" si="6"/>
        <v>45665</v>
      </c>
    </row>
    <row r="365" spans="1:37" ht="15" customHeight="1">
      <c r="A365" s="2" t="s">
        <v>1003</v>
      </c>
      <c r="B365" s="2">
        <v>0</v>
      </c>
      <c r="C365" s="2"/>
      <c r="D365" s="2" t="s">
        <v>298</v>
      </c>
      <c r="E365" s="2" t="s">
        <v>415</v>
      </c>
      <c r="F365" s="3">
        <v>45665</v>
      </c>
      <c r="G365" s="3">
        <v>45665</v>
      </c>
      <c r="H365" s="3">
        <v>45665</v>
      </c>
      <c r="I365" s="2"/>
      <c r="J365" s="2"/>
      <c r="K365" s="2" t="s">
        <v>25</v>
      </c>
      <c r="L365" s="2" t="s">
        <v>26</v>
      </c>
      <c r="M365" s="2"/>
      <c r="N365" s="2" t="s">
        <v>27</v>
      </c>
      <c r="O365" s="2">
        <v>1200</v>
      </c>
      <c r="P365" s="2">
        <v>216</v>
      </c>
      <c r="Q365" s="2">
        <v>1416</v>
      </c>
      <c r="R365" s="2">
        <v>1416</v>
      </c>
      <c r="S365" s="2">
        <v>1416</v>
      </c>
      <c r="T365" s="2" t="s">
        <v>28</v>
      </c>
      <c r="U365" s="2" t="b">
        <v>0</v>
      </c>
      <c r="V365" s="2" t="s">
        <v>29</v>
      </c>
      <c r="W365" s="2" t="s">
        <v>104</v>
      </c>
      <c r="X365" s="2" t="s">
        <v>105</v>
      </c>
      <c r="Y365" s="2" t="s">
        <v>1004</v>
      </c>
      <c r="Z365" s="2" t="s">
        <v>31</v>
      </c>
      <c r="AA365" s="2"/>
      <c r="AB365" s="2"/>
      <c r="AC365" s="2"/>
      <c r="AD365" s="2"/>
      <c r="AK365" s="8">
        <f t="shared" si="6"/>
        <v>45665</v>
      </c>
    </row>
    <row r="366" spans="1:37" ht="15" customHeight="1">
      <c r="A366" s="2" t="s">
        <v>1005</v>
      </c>
      <c r="B366" s="2">
        <v>0</v>
      </c>
      <c r="C366" s="2"/>
      <c r="D366" s="2" t="s">
        <v>298</v>
      </c>
      <c r="E366" s="2" t="s">
        <v>415</v>
      </c>
      <c r="F366" s="3">
        <v>45665</v>
      </c>
      <c r="G366" s="3">
        <v>45665</v>
      </c>
      <c r="H366" s="3">
        <v>45665</v>
      </c>
      <c r="I366" s="2"/>
      <c r="J366" s="2"/>
      <c r="K366" s="2" t="s">
        <v>25</v>
      </c>
      <c r="L366" s="2" t="s">
        <v>26</v>
      </c>
      <c r="M366" s="2"/>
      <c r="N366" s="2" t="s">
        <v>27</v>
      </c>
      <c r="O366" s="2">
        <v>5200</v>
      </c>
      <c r="P366" s="2">
        <v>936</v>
      </c>
      <c r="Q366" s="2">
        <v>6136</v>
      </c>
      <c r="R366" s="2">
        <v>6136</v>
      </c>
      <c r="S366" s="2">
        <v>6136</v>
      </c>
      <c r="T366" s="2" t="s">
        <v>28</v>
      </c>
      <c r="U366" s="2" t="b">
        <v>0</v>
      </c>
      <c r="V366" s="2" t="s">
        <v>29</v>
      </c>
      <c r="W366" s="2" t="s">
        <v>104</v>
      </c>
      <c r="X366" s="2" t="s">
        <v>105</v>
      </c>
      <c r="Y366" s="2" t="s">
        <v>1006</v>
      </c>
      <c r="Z366" s="2" t="s">
        <v>31</v>
      </c>
      <c r="AA366" s="2"/>
      <c r="AB366" s="2"/>
      <c r="AC366" s="2"/>
      <c r="AD366" s="2"/>
      <c r="AK366" s="8">
        <f t="shared" si="6"/>
        <v>45665</v>
      </c>
    </row>
    <row r="367" spans="1:37" ht="15" customHeight="1">
      <c r="A367" s="2" t="s">
        <v>1007</v>
      </c>
      <c r="B367" s="2">
        <v>0</v>
      </c>
      <c r="C367" s="2"/>
      <c r="D367" s="2" t="s">
        <v>298</v>
      </c>
      <c r="E367" s="2" t="s">
        <v>415</v>
      </c>
      <c r="F367" s="3">
        <v>45665</v>
      </c>
      <c r="G367" s="3">
        <v>45665</v>
      </c>
      <c r="H367" s="3">
        <v>45665</v>
      </c>
      <c r="I367" s="2"/>
      <c r="J367" s="2"/>
      <c r="K367" s="2" t="s">
        <v>25</v>
      </c>
      <c r="L367" s="2" t="s">
        <v>26</v>
      </c>
      <c r="M367" s="2"/>
      <c r="N367" s="2" t="s">
        <v>27</v>
      </c>
      <c r="O367" s="2">
        <v>3942.12</v>
      </c>
      <c r="P367" s="2">
        <v>709.58</v>
      </c>
      <c r="Q367" s="2">
        <v>4651.7</v>
      </c>
      <c r="R367" s="2">
        <v>4651.7</v>
      </c>
      <c r="S367" s="2">
        <v>4651.7</v>
      </c>
      <c r="T367" s="2" t="s">
        <v>28</v>
      </c>
      <c r="U367" s="2" t="b">
        <v>0</v>
      </c>
      <c r="V367" s="2" t="s">
        <v>29</v>
      </c>
      <c r="W367" s="2" t="s">
        <v>104</v>
      </c>
      <c r="X367" s="2" t="s">
        <v>105</v>
      </c>
      <c r="Y367" s="2" t="s">
        <v>1008</v>
      </c>
      <c r="Z367" s="2" t="s">
        <v>31</v>
      </c>
      <c r="AA367" s="2"/>
      <c r="AB367" s="2"/>
      <c r="AC367" s="2"/>
      <c r="AD367" s="2"/>
      <c r="AK367" s="8">
        <f t="shared" si="6"/>
        <v>45665</v>
      </c>
    </row>
    <row r="368" spans="1:37" ht="15" customHeight="1">
      <c r="A368" s="2" t="s">
        <v>1009</v>
      </c>
      <c r="B368" s="2">
        <v>0</v>
      </c>
      <c r="C368" s="2"/>
      <c r="D368" s="2" t="s">
        <v>298</v>
      </c>
      <c r="E368" s="2" t="s">
        <v>415</v>
      </c>
      <c r="F368" s="3">
        <v>45665</v>
      </c>
      <c r="G368" s="3">
        <v>45665</v>
      </c>
      <c r="H368" s="3">
        <v>45665</v>
      </c>
      <c r="I368" s="2"/>
      <c r="J368" s="2"/>
      <c r="K368" s="2" t="s">
        <v>25</v>
      </c>
      <c r="L368" s="2" t="s">
        <v>26</v>
      </c>
      <c r="M368" s="2"/>
      <c r="N368" s="2" t="s">
        <v>27</v>
      </c>
      <c r="O368" s="2">
        <v>2244.0700000000002</v>
      </c>
      <c r="P368" s="2">
        <v>403.93</v>
      </c>
      <c r="Q368" s="2">
        <v>2648</v>
      </c>
      <c r="R368" s="2">
        <v>2648</v>
      </c>
      <c r="S368" s="2">
        <v>2648</v>
      </c>
      <c r="T368" s="2" t="s">
        <v>28</v>
      </c>
      <c r="U368" s="2" t="b">
        <v>0</v>
      </c>
      <c r="V368" s="2" t="s">
        <v>29</v>
      </c>
      <c r="W368" s="2" t="s">
        <v>104</v>
      </c>
      <c r="X368" s="2" t="s">
        <v>105</v>
      </c>
      <c r="Y368" s="2" t="s">
        <v>1010</v>
      </c>
      <c r="Z368" s="2" t="s">
        <v>31</v>
      </c>
      <c r="AA368" s="2"/>
      <c r="AB368" s="2"/>
      <c r="AC368" s="2"/>
      <c r="AD368" s="2"/>
      <c r="AK368" s="8">
        <f t="shared" si="6"/>
        <v>45665</v>
      </c>
    </row>
    <row r="369" spans="1:37" ht="15" customHeight="1">
      <c r="A369" s="2" t="s">
        <v>1011</v>
      </c>
      <c r="B369" s="2">
        <v>0</v>
      </c>
      <c r="C369" s="2"/>
      <c r="D369" s="2" t="s">
        <v>298</v>
      </c>
      <c r="E369" s="2" t="s">
        <v>394</v>
      </c>
      <c r="F369" s="3">
        <v>45665</v>
      </c>
      <c r="G369" s="3">
        <v>45665</v>
      </c>
      <c r="H369" s="3">
        <v>45665</v>
      </c>
      <c r="I369" s="2"/>
      <c r="J369" s="2"/>
      <c r="K369" s="2" t="s">
        <v>25</v>
      </c>
      <c r="L369" s="2" t="s">
        <v>26</v>
      </c>
      <c r="M369" s="2"/>
      <c r="N369" s="2" t="s">
        <v>27</v>
      </c>
      <c r="O369" s="2">
        <v>202.5</v>
      </c>
      <c r="P369" s="2">
        <v>36.450000000000003</v>
      </c>
      <c r="Q369" s="2">
        <v>238.95</v>
      </c>
      <c r="R369" s="2">
        <v>238.95</v>
      </c>
      <c r="S369" s="2">
        <v>238.95</v>
      </c>
      <c r="T369" s="2" t="s">
        <v>28</v>
      </c>
      <c r="U369" s="2" t="b">
        <v>0</v>
      </c>
      <c r="V369" s="2" t="s">
        <v>29</v>
      </c>
      <c r="W369" s="2" t="s">
        <v>104</v>
      </c>
      <c r="X369" s="2" t="s">
        <v>105</v>
      </c>
      <c r="Y369" s="2" t="s">
        <v>1012</v>
      </c>
      <c r="Z369" s="2" t="s">
        <v>31</v>
      </c>
      <c r="AA369" s="2"/>
      <c r="AB369" s="2"/>
      <c r="AC369" s="2"/>
      <c r="AD369" s="2"/>
      <c r="AK369" s="8">
        <f t="shared" si="6"/>
        <v>45665</v>
      </c>
    </row>
    <row r="370" spans="1:37" ht="15" customHeight="1">
      <c r="A370" s="2" t="s">
        <v>1013</v>
      </c>
      <c r="B370" s="2">
        <v>0</v>
      </c>
      <c r="C370" s="2"/>
      <c r="D370" s="2" t="s">
        <v>298</v>
      </c>
      <c r="E370" s="2" t="s">
        <v>394</v>
      </c>
      <c r="F370" s="3">
        <v>45665</v>
      </c>
      <c r="G370" s="3">
        <v>45665</v>
      </c>
      <c r="H370" s="3">
        <v>45665</v>
      </c>
      <c r="I370" s="2"/>
      <c r="J370" s="2"/>
      <c r="K370" s="2" t="s">
        <v>25</v>
      </c>
      <c r="L370" s="2" t="s">
        <v>26</v>
      </c>
      <c r="M370" s="2"/>
      <c r="N370" s="2" t="s">
        <v>27</v>
      </c>
      <c r="O370" s="2">
        <v>450</v>
      </c>
      <c r="P370" s="2">
        <v>81</v>
      </c>
      <c r="Q370" s="2">
        <v>531</v>
      </c>
      <c r="R370" s="2">
        <v>531</v>
      </c>
      <c r="S370" s="2">
        <v>531</v>
      </c>
      <c r="T370" s="2" t="s">
        <v>28</v>
      </c>
      <c r="U370" s="2" t="b">
        <v>0</v>
      </c>
      <c r="V370" s="2" t="s">
        <v>29</v>
      </c>
      <c r="W370" s="2" t="s">
        <v>104</v>
      </c>
      <c r="X370" s="2" t="s">
        <v>105</v>
      </c>
      <c r="Y370" s="2" t="s">
        <v>1014</v>
      </c>
      <c r="Z370" s="2" t="s">
        <v>31</v>
      </c>
      <c r="AA370" s="2"/>
      <c r="AB370" s="2"/>
      <c r="AC370" s="2"/>
      <c r="AD370" s="2"/>
      <c r="AK370" s="8">
        <f t="shared" si="6"/>
        <v>45665</v>
      </c>
    </row>
    <row r="371" spans="1:37" ht="15" customHeight="1">
      <c r="A371" s="2" t="s">
        <v>1015</v>
      </c>
      <c r="B371" s="2">
        <v>0</v>
      </c>
      <c r="C371" s="2"/>
      <c r="D371" s="2" t="s">
        <v>298</v>
      </c>
      <c r="E371" s="2" t="s">
        <v>394</v>
      </c>
      <c r="F371" s="3">
        <v>45665</v>
      </c>
      <c r="G371" s="3">
        <v>45665</v>
      </c>
      <c r="H371" s="3">
        <v>45665</v>
      </c>
      <c r="I371" s="2"/>
      <c r="J371" s="2"/>
      <c r="K371" s="2" t="s">
        <v>25</v>
      </c>
      <c r="L371" s="2" t="s">
        <v>26</v>
      </c>
      <c r="M371" s="2"/>
      <c r="N371" s="2" t="s">
        <v>27</v>
      </c>
      <c r="O371" s="2">
        <v>3400</v>
      </c>
      <c r="P371" s="2">
        <v>612</v>
      </c>
      <c r="Q371" s="2">
        <v>4012</v>
      </c>
      <c r="R371" s="2">
        <v>4012</v>
      </c>
      <c r="S371" s="2">
        <v>4012</v>
      </c>
      <c r="T371" s="2" t="s">
        <v>28</v>
      </c>
      <c r="U371" s="2" t="b">
        <v>0</v>
      </c>
      <c r="V371" s="2" t="s">
        <v>29</v>
      </c>
      <c r="W371" s="2" t="s">
        <v>104</v>
      </c>
      <c r="X371" s="2" t="s">
        <v>105</v>
      </c>
      <c r="Y371" s="2" t="s">
        <v>1016</v>
      </c>
      <c r="Z371" s="2" t="s">
        <v>31</v>
      </c>
      <c r="AA371" s="2"/>
      <c r="AB371" s="2"/>
      <c r="AC371" s="2"/>
      <c r="AD371" s="2"/>
      <c r="AK371" s="8">
        <f t="shared" si="6"/>
        <v>45665</v>
      </c>
    </row>
    <row r="372" spans="1:37" ht="15" customHeight="1">
      <c r="A372" s="2" t="s">
        <v>1017</v>
      </c>
      <c r="B372" s="2">
        <v>0</v>
      </c>
      <c r="C372" s="2"/>
      <c r="D372" s="2" t="s">
        <v>298</v>
      </c>
      <c r="E372" s="2" t="s">
        <v>394</v>
      </c>
      <c r="F372" s="3">
        <v>45665</v>
      </c>
      <c r="G372" s="3">
        <v>45665</v>
      </c>
      <c r="H372" s="3">
        <v>45665</v>
      </c>
      <c r="I372" s="2"/>
      <c r="J372" s="2"/>
      <c r="K372" s="2" t="s">
        <v>25</v>
      </c>
      <c r="L372" s="2" t="s">
        <v>26</v>
      </c>
      <c r="M372" s="2"/>
      <c r="N372" s="2" t="s">
        <v>27</v>
      </c>
      <c r="O372" s="2">
        <v>2862.29</v>
      </c>
      <c r="P372" s="2">
        <v>515.21</v>
      </c>
      <c r="Q372" s="2">
        <v>3377.5</v>
      </c>
      <c r="R372" s="2">
        <v>3377.5</v>
      </c>
      <c r="S372" s="2">
        <v>3377.5</v>
      </c>
      <c r="T372" s="2" t="s">
        <v>28</v>
      </c>
      <c r="U372" s="2" t="b">
        <v>0</v>
      </c>
      <c r="V372" s="2" t="s">
        <v>29</v>
      </c>
      <c r="W372" s="2" t="s">
        <v>104</v>
      </c>
      <c r="X372" s="2" t="s">
        <v>105</v>
      </c>
      <c r="Y372" s="2" t="s">
        <v>1018</v>
      </c>
      <c r="Z372" s="2" t="s">
        <v>31</v>
      </c>
      <c r="AA372" s="2"/>
      <c r="AB372" s="2"/>
      <c r="AC372" s="2"/>
      <c r="AD372" s="2"/>
      <c r="AK372" s="8">
        <f t="shared" si="6"/>
        <v>45665</v>
      </c>
    </row>
    <row r="373" spans="1:37" ht="15" customHeight="1">
      <c r="A373" s="2" t="s">
        <v>1019</v>
      </c>
      <c r="B373" s="2">
        <v>0</v>
      </c>
      <c r="C373" s="2"/>
      <c r="D373" s="2" t="s">
        <v>298</v>
      </c>
      <c r="E373" s="2" t="s">
        <v>394</v>
      </c>
      <c r="F373" s="3">
        <v>45665</v>
      </c>
      <c r="G373" s="3">
        <v>45665</v>
      </c>
      <c r="H373" s="3">
        <v>45665</v>
      </c>
      <c r="I373" s="2"/>
      <c r="J373" s="2"/>
      <c r="K373" s="2" t="s">
        <v>25</v>
      </c>
      <c r="L373" s="2" t="s">
        <v>26</v>
      </c>
      <c r="M373" s="2"/>
      <c r="N373" s="2" t="s">
        <v>27</v>
      </c>
      <c r="O373" s="2">
        <v>4262.2</v>
      </c>
      <c r="P373" s="2">
        <v>767.2</v>
      </c>
      <c r="Q373" s="2">
        <v>5029.3999999999996</v>
      </c>
      <c r="R373" s="2">
        <v>5029.3999999999996</v>
      </c>
      <c r="S373" s="2">
        <v>5029.3999999999996</v>
      </c>
      <c r="T373" s="2" t="s">
        <v>28</v>
      </c>
      <c r="U373" s="2" t="b">
        <v>0</v>
      </c>
      <c r="V373" s="2" t="s">
        <v>29</v>
      </c>
      <c r="W373" s="2" t="s">
        <v>104</v>
      </c>
      <c r="X373" s="2" t="s">
        <v>105</v>
      </c>
      <c r="Y373" s="2" t="s">
        <v>1020</v>
      </c>
      <c r="Z373" s="2" t="s">
        <v>31</v>
      </c>
      <c r="AA373" s="2"/>
      <c r="AB373" s="2"/>
      <c r="AC373" s="2"/>
      <c r="AD373" s="2"/>
      <c r="AK373" s="8">
        <f t="shared" si="6"/>
        <v>45665</v>
      </c>
    </row>
    <row r="374" spans="1:37" ht="15" customHeight="1">
      <c r="A374" s="2" t="s">
        <v>1021</v>
      </c>
      <c r="B374" s="2">
        <v>0</v>
      </c>
      <c r="C374" s="2"/>
      <c r="D374" s="2" t="s">
        <v>298</v>
      </c>
      <c r="E374" s="2" t="s">
        <v>1022</v>
      </c>
      <c r="F374" s="3">
        <v>45665</v>
      </c>
      <c r="G374" s="3">
        <v>45665</v>
      </c>
      <c r="H374" s="3">
        <v>45665</v>
      </c>
      <c r="I374" s="2"/>
      <c r="J374" s="2"/>
      <c r="K374" s="2" t="s">
        <v>25</v>
      </c>
      <c r="L374" s="2" t="s">
        <v>26</v>
      </c>
      <c r="M374" s="2"/>
      <c r="N374" s="2" t="s">
        <v>27</v>
      </c>
      <c r="O374" s="2">
        <v>17.100000000000001</v>
      </c>
      <c r="P374" s="2">
        <v>3.08</v>
      </c>
      <c r="Q374" s="2">
        <v>20.18</v>
      </c>
      <c r="R374" s="2">
        <v>20.18</v>
      </c>
      <c r="S374" s="2">
        <v>20.18</v>
      </c>
      <c r="T374" s="2" t="s">
        <v>28</v>
      </c>
      <c r="U374" s="2" t="b">
        <v>0</v>
      </c>
      <c r="V374" s="2" t="s">
        <v>29</v>
      </c>
      <c r="W374" s="2" t="s">
        <v>104</v>
      </c>
      <c r="X374" s="2" t="s">
        <v>105</v>
      </c>
      <c r="Y374" s="2" t="s">
        <v>1023</v>
      </c>
      <c r="Z374" s="2" t="s">
        <v>31</v>
      </c>
      <c r="AA374" s="2"/>
      <c r="AB374" s="2"/>
      <c r="AC374" s="2"/>
      <c r="AD374" s="2"/>
      <c r="AK374" s="8">
        <f t="shared" si="6"/>
        <v>45665</v>
      </c>
    </row>
    <row r="375" spans="1:37" ht="15" customHeight="1">
      <c r="A375" s="2" t="s">
        <v>1024</v>
      </c>
      <c r="B375" s="2">
        <v>0</v>
      </c>
      <c r="C375" s="2"/>
      <c r="D375" s="2" t="s">
        <v>298</v>
      </c>
      <c r="E375" s="2" t="s">
        <v>1022</v>
      </c>
      <c r="F375" s="3">
        <v>45665</v>
      </c>
      <c r="G375" s="3">
        <v>45665</v>
      </c>
      <c r="H375" s="3">
        <v>45665</v>
      </c>
      <c r="I375" s="2"/>
      <c r="J375" s="2"/>
      <c r="K375" s="2" t="s">
        <v>25</v>
      </c>
      <c r="L375" s="2" t="s">
        <v>26</v>
      </c>
      <c r="M375" s="2"/>
      <c r="N375" s="2" t="s">
        <v>27</v>
      </c>
      <c r="O375" s="2">
        <v>3400</v>
      </c>
      <c r="P375" s="2">
        <v>612</v>
      </c>
      <c r="Q375" s="2">
        <v>4012</v>
      </c>
      <c r="R375" s="2">
        <v>4012</v>
      </c>
      <c r="S375" s="2">
        <v>4012</v>
      </c>
      <c r="T375" s="2" t="s">
        <v>28</v>
      </c>
      <c r="U375" s="2" t="b">
        <v>0</v>
      </c>
      <c r="V375" s="2" t="s">
        <v>29</v>
      </c>
      <c r="W375" s="2" t="s">
        <v>104</v>
      </c>
      <c r="X375" s="2" t="s">
        <v>105</v>
      </c>
      <c r="Y375" s="2" t="s">
        <v>1025</v>
      </c>
      <c r="Z375" s="2" t="s">
        <v>31</v>
      </c>
      <c r="AA375" s="2"/>
      <c r="AB375" s="2"/>
      <c r="AC375" s="2"/>
      <c r="AD375" s="2"/>
      <c r="AK375" s="8">
        <f t="shared" si="6"/>
        <v>45665</v>
      </c>
    </row>
    <row r="376" spans="1:37" ht="15" customHeight="1">
      <c r="A376" s="2" t="s">
        <v>1026</v>
      </c>
      <c r="B376" s="2">
        <v>0</v>
      </c>
      <c r="C376" s="2"/>
      <c r="D376" s="2" t="s">
        <v>298</v>
      </c>
      <c r="E376" s="2" t="s">
        <v>1022</v>
      </c>
      <c r="F376" s="3">
        <v>45665</v>
      </c>
      <c r="G376" s="3">
        <v>45665</v>
      </c>
      <c r="H376" s="3">
        <v>45665</v>
      </c>
      <c r="I376" s="2"/>
      <c r="J376" s="2"/>
      <c r="K376" s="2" t="s">
        <v>25</v>
      </c>
      <c r="L376" s="2" t="s">
        <v>26</v>
      </c>
      <c r="M376" s="2"/>
      <c r="N376" s="2" t="s">
        <v>27</v>
      </c>
      <c r="O376" s="2">
        <v>9.9</v>
      </c>
      <c r="P376" s="2">
        <v>1.78</v>
      </c>
      <c r="Q376" s="2">
        <v>11.68</v>
      </c>
      <c r="R376" s="2">
        <v>11.68</v>
      </c>
      <c r="S376" s="2">
        <v>11.68</v>
      </c>
      <c r="T376" s="2" t="s">
        <v>28</v>
      </c>
      <c r="U376" s="2" t="b">
        <v>0</v>
      </c>
      <c r="V376" s="2" t="s">
        <v>29</v>
      </c>
      <c r="W376" s="2" t="s">
        <v>104</v>
      </c>
      <c r="X376" s="2" t="s">
        <v>105</v>
      </c>
      <c r="Y376" s="2" t="s">
        <v>1027</v>
      </c>
      <c r="Z376" s="2" t="s">
        <v>31</v>
      </c>
      <c r="AA376" s="2"/>
      <c r="AB376" s="2"/>
      <c r="AC376" s="2"/>
      <c r="AD376" s="2"/>
      <c r="AK376" s="8">
        <f t="shared" si="6"/>
        <v>45665</v>
      </c>
    </row>
    <row r="377" spans="1:37" ht="15" customHeight="1">
      <c r="A377" s="2" t="s">
        <v>1028</v>
      </c>
      <c r="B377" s="2">
        <v>0</v>
      </c>
      <c r="C377" s="2"/>
      <c r="D377" s="2" t="s">
        <v>298</v>
      </c>
      <c r="E377" s="2" t="s">
        <v>1022</v>
      </c>
      <c r="F377" s="3">
        <v>45665</v>
      </c>
      <c r="G377" s="3">
        <v>45665</v>
      </c>
      <c r="H377" s="3">
        <v>45665</v>
      </c>
      <c r="I377" s="2"/>
      <c r="J377" s="2"/>
      <c r="K377" s="2" t="s">
        <v>25</v>
      </c>
      <c r="L377" s="2" t="s">
        <v>26</v>
      </c>
      <c r="M377" s="2"/>
      <c r="N377" s="2" t="s">
        <v>27</v>
      </c>
      <c r="O377" s="2">
        <v>6</v>
      </c>
      <c r="P377" s="2">
        <v>1.08</v>
      </c>
      <c r="Q377" s="2">
        <v>7.08</v>
      </c>
      <c r="R377" s="2">
        <v>7.08</v>
      </c>
      <c r="S377" s="2">
        <v>7.08</v>
      </c>
      <c r="T377" s="2" t="s">
        <v>28</v>
      </c>
      <c r="U377" s="2" t="b">
        <v>0</v>
      </c>
      <c r="V377" s="2" t="s">
        <v>29</v>
      </c>
      <c r="W377" s="2" t="s">
        <v>104</v>
      </c>
      <c r="X377" s="2" t="s">
        <v>105</v>
      </c>
      <c r="Y377" s="2" t="s">
        <v>1029</v>
      </c>
      <c r="Z377" s="2" t="s">
        <v>31</v>
      </c>
      <c r="AA377" s="2"/>
      <c r="AB377" s="2"/>
      <c r="AC377" s="2"/>
      <c r="AD377" s="2"/>
      <c r="AK377" s="8">
        <f t="shared" si="6"/>
        <v>45665</v>
      </c>
    </row>
    <row r="378" spans="1:37" ht="15" customHeight="1">
      <c r="A378" s="2" t="s">
        <v>1030</v>
      </c>
      <c r="B378" s="2">
        <v>0</v>
      </c>
      <c r="C378" s="2"/>
      <c r="D378" s="2" t="s">
        <v>265</v>
      </c>
      <c r="E378" s="2" t="s">
        <v>1031</v>
      </c>
      <c r="F378" s="3">
        <v>45665</v>
      </c>
      <c r="G378" s="3">
        <v>45665</v>
      </c>
      <c r="H378" s="3">
        <v>45665</v>
      </c>
      <c r="I378" s="2"/>
      <c r="J378" s="2"/>
      <c r="K378" s="2" t="s">
        <v>25</v>
      </c>
      <c r="L378" s="2" t="s">
        <v>26</v>
      </c>
      <c r="M378" s="2"/>
      <c r="N378" s="2" t="s">
        <v>27</v>
      </c>
      <c r="O378" s="2">
        <v>1599.66</v>
      </c>
      <c r="P378" s="2">
        <v>287.94</v>
      </c>
      <c r="Q378" s="2">
        <v>1887.6</v>
      </c>
      <c r="R378" s="2">
        <v>1887.6</v>
      </c>
      <c r="S378" s="2">
        <v>1887.6</v>
      </c>
      <c r="T378" s="2" t="s">
        <v>28</v>
      </c>
      <c r="U378" s="2" t="b">
        <v>0</v>
      </c>
      <c r="V378" s="2" t="s">
        <v>29</v>
      </c>
      <c r="W378" s="2" t="s">
        <v>104</v>
      </c>
      <c r="X378" s="2" t="s">
        <v>105</v>
      </c>
      <c r="Y378" s="2" t="s">
        <v>1032</v>
      </c>
      <c r="Z378" s="2" t="s">
        <v>31</v>
      </c>
      <c r="AA378" s="2"/>
      <c r="AB378" s="2"/>
      <c r="AC378" s="2"/>
      <c r="AD378" s="2"/>
      <c r="AK378" s="8">
        <f t="shared" si="6"/>
        <v>45665</v>
      </c>
    </row>
    <row r="379" spans="1:37" ht="15" customHeight="1">
      <c r="A379" s="2" t="s">
        <v>1033</v>
      </c>
      <c r="B379" s="2">
        <v>0</v>
      </c>
      <c r="C379" s="2"/>
      <c r="D379" s="2" t="s">
        <v>265</v>
      </c>
      <c r="E379" s="2" t="s">
        <v>1031</v>
      </c>
      <c r="F379" s="3">
        <v>45665</v>
      </c>
      <c r="G379" s="3">
        <v>45665</v>
      </c>
      <c r="H379" s="3">
        <v>45665</v>
      </c>
      <c r="I379" s="2"/>
      <c r="J379" s="2"/>
      <c r="K379" s="2" t="s">
        <v>25</v>
      </c>
      <c r="L379" s="2" t="s">
        <v>26</v>
      </c>
      <c r="M379" s="2"/>
      <c r="N379" s="2" t="s">
        <v>27</v>
      </c>
      <c r="O379" s="2">
        <v>947.12</v>
      </c>
      <c r="P379" s="2">
        <v>170.48</v>
      </c>
      <c r="Q379" s="2">
        <v>1117.5999999999999</v>
      </c>
      <c r="R379" s="2">
        <v>1117.5999999999999</v>
      </c>
      <c r="S379" s="2">
        <v>1117.5999999999999</v>
      </c>
      <c r="T379" s="2" t="s">
        <v>28</v>
      </c>
      <c r="U379" s="2" t="b">
        <v>0</v>
      </c>
      <c r="V379" s="2" t="s">
        <v>29</v>
      </c>
      <c r="W379" s="2" t="s">
        <v>104</v>
      </c>
      <c r="X379" s="2" t="s">
        <v>105</v>
      </c>
      <c r="Y379" s="2" t="s">
        <v>1034</v>
      </c>
      <c r="Z379" s="2" t="s">
        <v>31</v>
      </c>
      <c r="AA379" s="2"/>
      <c r="AB379" s="2"/>
      <c r="AC379" s="2"/>
      <c r="AD379" s="2"/>
      <c r="AK379" s="8">
        <f t="shared" si="6"/>
        <v>45665</v>
      </c>
    </row>
    <row r="380" spans="1:37" ht="15" customHeight="1">
      <c r="A380" s="2" t="s">
        <v>1035</v>
      </c>
      <c r="B380" s="2">
        <v>0</v>
      </c>
      <c r="C380" s="2"/>
      <c r="D380" s="2" t="s">
        <v>265</v>
      </c>
      <c r="E380" s="2" t="s">
        <v>1036</v>
      </c>
      <c r="F380" s="3">
        <v>45665</v>
      </c>
      <c r="G380" s="3">
        <v>45665</v>
      </c>
      <c r="H380" s="3">
        <v>45665</v>
      </c>
      <c r="I380" s="2"/>
      <c r="J380" s="2"/>
      <c r="K380" s="2" t="s">
        <v>25</v>
      </c>
      <c r="L380" s="2" t="s">
        <v>26</v>
      </c>
      <c r="M380" s="2"/>
      <c r="N380" s="2" t="s">
        <v>27</v>
      </c>
      <c r="O380" s="2">
        <v>15</v>
      </c>
      <c r="P380" s="2">
        <v>2.7</v>
      </c>
      <c r="Q380" s="2">
        <v>17.7</v>
      </c>
      <c r="R380" s="2">
        <v>17.7</v>
      </c>
      <c r="S380" s="2">
        <v>17.7</v>
      </c>
      <c r="T380" s="2" t="s">
        <v>28</v>
      </c>
      <c r="U380" s="2" t="b">
        <v>0</v>
      </c>
      <c r="V380" s="2" t="s">
        <v>29</v>
      </c>
      <c r="W380" s="2" t="s">
        <v>104</v>
      </c>
      <c r="X380" s="2" t="s">
        <v>105</v>
      </c>
      <c r="Y380" s="2" t="s">
        <v>1037</v>
      </c>
      <c r="Z380" s="2" t="s">
        <v>31</v>
      </c>
      <c r="AA380" s="2"/>
      <c r="AB380" s="2"/>
      <c r="AC380" s="2"/>
      <c r="AD380" s="2"/>
      <c r="AK380" s="8">
        <f t="shared" si="6"/>
        <v>45665</v>
      </c>
    </row>
    <row r="381" spans="1:37" ht="15" customHeight="1">
      <c r="A381" s="2" t="s">
        <v>1038</v>
      </c>
      <c r="B381" s="2">
        <v>0</v>
      </c>
      <c r="C381" s="2"/>
      <c r="D381" s="2" t="s">
        <v>265</v>
      </c>
      <c r="E381" s="2" t="s">
        <v>1036</v>
      </c>
      <c r="F381" s="3">
        <v>45665</v>
      </c>
      <c r="G381" s="3">
        <v>45665</v>
      </c>
      <c r="H381" s="3">
        <v>45665</v>
      </c>
      <c r="I381" s="2"/>
      <c r="J381" s="2"/>
      <c r="K381" s="2" t="s">
        <v>25</v>
      </c>
      <c r="L381" s="2" t="s">
        <v>26</v>
      </c>
      <c r="M381" s="2"/>
      <c r="N381" s="2" t="s">
        <v>27</v>
      </c>
      <c r="O381" s="2">
        <v>530.16999999999996</v>
      </c>
      <c r="P381" s="2">
        <v>95.43</v>
      </c>
      <c r="Q381" s="2">
        <v>625.6</v>
      </c>
      <c r="R381" s="2">
        <v>625.6</v>
      </c>
      <c r="S381" s="2">
        <v>625.6</v>
      </c>
      <c r="T381" s="2" t="s">
        <v>28</v>
      </c>
      <c r="U381" s="2" t="b">
        <v>0</v>
      </c>
      <c r="V381" s="2" t="s">
        <v>29</v>
      </c>
      <c r="W381" s="2" t="s">
        <v>104</v>
      </c>
      <c r="X381" s="2" t="s">
        <v>105</v>
      </c>
      <c r="Y381" s="2" t="s">
        <v>1039</v>
      </c>
      <c r="Z381" s="2" t="s">
        <v>31</v>
      </c>
      <c r="AA381" s="2"/>
      <c r="AB381" s="2"/>
      <c r="AC381" s="2"/>
      <c r="AD381" s="2"/>
      <c r="AK381" s="8">
        <f t="shared" si="6"/>
        <v>45665</v>
      </c>
    </row>
    <row r="382" spans="1:37" ht="15" customHeight="1">
      <c r="A382" s="2" t="s">
        <v>1040</v>
      </c>
      <c r="B382" s="2">
        <v>0</v>
      </c>
      <c r="C382" s="2"/>
      <c r="D382" s="2" t="s">
        <v>265</v>
      </c>
      <c r="E382" s="2" t="s">
        <v>1036</v>
      </c>
      <c r="F382" s="3">
        <v>45665</v>
      </c>
      <c r="G382" s="3">
        <v>45665</v>
      </c>
      <c r="H382" s="3">
        <v>45665</v>
      </c>
      <c r="I382" s="2"/>
      <c r="J382" s="2"/>
      <c r="K382" s="2" t="s">
        <v>25</v>
      </c>
      <c r="L382" s="2" t="s">
        <v>26</v>
      </c>
      <c r="M382" s="2"/>
      <c r="N382" s="2" t="s">
        <v>27</v>
      </c>
      <c r="O382" s="2">
        <v>338.9</v>
      </c>
      <c r="P382" s="2">
        <v>61</v>
      </c>
      <c r="Q382" s="2">
        <v>399.9</v>
      </c>
      <c r="R382" s="2">
        <v>399.9</v>
      </c>
      <c r="S382" s="2">
        <v>399.9</v>
      </c>
      <c r="T382" s="2" t="s">
        <v>28</v>
      </c>
      <c r="U382" s="2" t="b">
        <v>0</v>
      </c>
      <c r="V382" s="2" t="s">
        <v>29</v>
      </c>
      <c r="W382" s="2" t="s">
        <v>104</v>
      </c>
      <c r="X382" s="2" t="s">
        <v>105</v>
      </c>
      <c r="Y382" s="2" t="s">
        <v>1041</v>
      </c>
      <c r="Z382" s="2" t="s">
        <v>31</v>
      </c>
      <c r="AA382" s="2"/>
      <c r="AB382" s="2"/>
      <c r="AC382" s="2"/>
      <c r="AD382" s="2"/>
      <c r="AK382" s="8">
        <f t="shared" si="6"/>
        <v>45665</v>
      </c>
    </row>
    <row r="383" spans="1:37" ht="15" customHeight="1">
      <c r="A383" s="2" t="s">
        <v>1042</v>
      </c>
      <c r="B383" s="2">
        <v>0</v>
      </c>
      <c r="C383" s="2"/>
      <c r="D383" s="2" t="s">
        <v>265</v>
      </c>
      <c r="E383" s="2" t="s">
        <v>1043</v>
      </c>
      <c r="F383" s="3">
        <v>45665</v>
      </c>
      <c r="G383" s="3">
        <v>45665</v>
      </c>
      <c r="H383" s="3">
        <v>45665</v>
      </c>
      <c r="I383" s="2"/>
      <c r="J383" s="2"/>
      <c r="K383" s="2" t="s">
        <v>25</v>
      </c>
      <c r="L383" s="2" t="s">
        <v>26</v>
      </c>
      <c r="M383" s="2"/>
      <c r="N383" s="2" t="s">
        <v>27</v>
      </c>
      <c r="O383" s="2">
        <v>1.44</v>
      </c>
      <c r="P383" s="2">
        <v>0.26</v>
      </c>
      <c r="Q383" s="2">
        <v>1.7</v>
      </c>
      <c r="R383" s="2">
        <v>1.7</v>
      </c>
      <c r="S383" s="2">
        <v>1.7</v>
      </c>
      <c r="T383" s="2" t="s">
        <v>28</v>
      </c>
      <c r="U383" s="2" t="b">
        <v>0</v>
      </c>
      <c r="V383" s="2" t="s">
        <v>29</v>
      </c>
      <c r="W383" s="2" t="s">
        <v>104</v>
      </c>
      <c r="X383" s="2" t="s">
        <v>105</v>
      </c>
      <c r="Y383" s="2" t="s">
        <v>1044</v>
      </c>
      <c r="Z383" s="2" t="s">
        <v>31</v>
      </c>
      <c r="AA383" s="2"/>
      <c r="AB383" s="2"/>
      <c r="AC383" s="2"/>
      <c r="AD383" s="2"/>
      <c r="AK383" s="8">
        <f t="shared" si="6"/>
        <v>45665</v>
      </c>
    </row>
    <row r="384" spans="1:37" ht="15" customHeight="1">
      <c r="A384" s="2" t="s">
        <v>1045</v>
      </c>
      <c r="B384" s="2">
        <v>0</v>
      </c>
      <c r="C384" s="2"/>
      <c r="D384" s="2" t="s">
        <v>265</v>
      </c>
      <c r="E384" s="2" t="s">
        <v>1043</v>
      </c>
      <c r="F384" s="3">
        <v>45665</v>
      </c>
      <c r="G384" s="3">
        <v>45665</v>
      </c>
      <c r="H384" s="3">
        <v>45665</v>
      </c>
      <c r="I384" s="2"/>
      <c r="J384" s="2"/>
      <c r="K384" s="2" t="s">
        <v>25</v>
      </c>
      <c r="L384" s="2" t="s">
        <v>26</v>
      </c>
      <c r="M384" s="2"/>
      <c r="N384" s="2" t="s">
        <v>27</v>
      </c>
      <c r="O384" s="2">
        <v>1.02</v>
      </c>
      <c r="P384" s="2">
        <v>0.18</v>
      </c>
      <c r="Q384" s="2">
        <v>1.2</v>
      </c>
      <c r="R384" s="2">
        <v>1.2</v>
      </c>
      <c r="S384" s="2">
        <v>1.2</v>
      </c>
      <c r="T384" s="2" t="s">
        <v>28</v>
      </c>
      <c r="U384" s="2" t="b">
        <v>0</v>
      </c>
      <c r="V384" s="2" t="s">
        <v>29</v>
      </c>
      <c r="W384" s="2" t="s">
        <v>104</v>
      </c>
      <c r="X384" s="2" t="s">
        <v>105</v>
      </c>
      <c r="Y384" s="2" t="s">
        <v>1046</v>
      </c>
      <c r="Z384" s="2" t="s">
        <v>31</v>
      </c>
      <c r="AA384" s="2"/>
      <c r="AB384" s="2"/>
      <c r="AC384" s="2"/>
      <c r="AD384" s="2"/>
      <c r="AK384" s="8">
        <f t="shared" si="6"/>
        <v>45665</v>
      </c>
    </row>
    <row r="385" spans="1:37" ht="15" customHeight="1">
      <c r="A385" s="2" t="s">
        <v>1047</v>
      </c>
      <c r="B385" s="2">
        <v>0</v>
      </c>
      <c r="C385" s="2"/>
      <c r="D385" s="2" t="s">
        <v>298</v>
      </c>
      <c r="E385" s="2" t="s">
        <v>1048</v>
      </c>
      <c r="F385" s="3">
        <v>45663</v>
      </c>
      <c r="G385" s="3">
        <v>45663</v>
      </c>
      <c r="H385" s="3">
        <v>45663</v>
      </c>
      <c r="I385" s="2"/>
      <c r="J385" s="2"/>
      <c r="K385" s="2" t="s">
        <v>25</v>
      </c>
      <c r="L385" s="2" t="s">
        <v>26</v>
      </c>
      <c r="M385" s="2"/>
      <c r="N385" s="2" t="s">
        <v>27</v>
      </c>
      <c r="O385" s="2">
        <v>32.5</v>
      </c>
      <c r="P385" s="2">
        <v>5.85</v>
      </c>
      <c r="Q385" s="2">
        <v>38.35</v>
      </c>
      <c r="R385" s="2">
        <v>38.35</v>
      </c>
      <c r="S385" s="2">
        <v>38.35</v>
      </c>
      <c r="T385" s="2" t="s">
        <v>28</v>
      </c>
      <c r="U385" s="2" t="b">
        <v>0</v>
      </c>
      <c r="V385" s="2" t="s">
        <v>29</v>
      </c>
      <c r="W385" s="2" t="s">
        <v>104</v>
      </c>
      <c r="X385" s="2" t="s">
        <v>105</v>
      </c>
      <c r="Y385" s="2" t="s">
        <v>1049</v>
      </c>
      <c r="Z385" s="2" t="s">
        <v>31</v>
      </c>
      <c r="AA385" s="2"/>
      <c r="AB385" s="2"/>
      <c r="AC385" s="2"/>
      <c r="AD385" s="2"/>
      <c r="AK385" s="8">
        <f t="shared" si="6"/>
        <v>45663</v>
      </c>
    </row>
    <row r="386" spans="1:37" ht="15" customHeight="1">
      <c r="A386" s="2" t="s">
        <v>1050</v>
      </c>
      <c r="B386" s="2">
        <v>0</v>
      </c>
      <c r="C386" s="2"/>
      <c r="D386" s="2" t="s">
        <v>298</v>
      </c>
      <c r="E386" s="2" t="s">
        <v>1048</v>
      </c>
      <c r="F386" s="3">
        <v>45663</v>
      </c>
      <c r="G386" s="3">
        <v>45663</v>
      </c>
      <c r="H386" s="3">
        <v>45663</v>
      </c>
      <c r="I386" s="2"/>
      <c r="J386" s="2"/>
      <c r="K386" s="2" t="s">
        <v>25</v>
      </c>
      <c r="L386" s="2" t="s">
        <v>26</v>
      </c>
      <c r="M386" s="2"/>
      <c r="N386" s="2" t="s">
        <v>27</v>
      </c>
      <c r="O386" s="2">
        <v>1978.14</v>
      </c>
      <c r="P386" s="2">
        <v>356.06</v>
      </c>
      <c r="Q386" s="2">
        <v>2334.1999999999998</v>
      </c>
      <c r="R386" s="2">
        <v>2334.1999999999998</v>
      </c>
      <c r="S386" s="2">
        <v>2334.1999999999998</v>
      </c>
      <c r="T386" s="2" t="s">
        <v>28</v>
      </c>
      <c r="U386" s="2" t="b">
        <v>0</v>
      </c>
      <c r="V386" s="2" t="s">
        <v>29</v>
      </c>
      <c r="W386" s="2" t="s">
        <v>104</v>
      </c>
      <c r="X386" s="2" t="s">
        <v>105</v>
      </c>
      <c r="Y386" s="2" t="s">
        <v>1051</v>
      </c>
      <c r="Z386" s="2" t="s">
        <v>31</v>
      </c>
      <c r="AA386" s="2"/>
      <c r="AB386" s="2"/>
      <c r="AC386" s="2"/>
      <c r="AD386" s="2"/>
      <c r="AK386" s="8">
        <f t="shared" si="6"/>
        <v>45663</v>
      </c>
    </row>
    <row r="387" spans="1:37" ht="15" customHeight="1">
      <c r="A387" s="2" t="s">
        <v>1052</v>
      </c>
      <c r="B387" s="2">
        <v>0</v>
      </c>
      <c r="C387" s="2"/>
      <c r="D387" s="2" t="s">
        <v>298</v>
      </c>
      <c r="E387" s="2" t="s">
        <v>1048</v>
      </c>
      <c r="F387" s="3">
        <v>45663</v>
      </c>
      <c r="G387" s="3">
        <v>45663</v>
      </c>
      <c r="H387" s="3">
        <v>45663</v>
      </c>
      <c r="I387" s="2"/>
      <c r="J387" s="2"/>
      <c r="K387" s="2" t="s">
        <v>25</v>
      </c>
      <c r="L387" s="2" t="s">
        <v>26</v>
      </c>
      <c r="M387" s="2"/>
      <c r="N387" s="2" t="s">
        <v>27</v>
      </c>
      <c r="O387" s="2">
        <v>1085.76</v>
      </c>
      <c r="P387" s="2">
        <v>195.44</v>
      </c>
      <c r="Q387" s="2">
        <v>1281.2</v>
      </c>
      <c r="R387" s="2">
        <v>1281.2</v>
      </c>
      <c r="S387" s="2">
        <v>1281.2</v>
      </c>
      <c r="T387" s="2" t="s">
        <v>28</v>
      </c>
      <c r="U387" s="2" t="b">
        <v>0</v>
      </c>
      <c r="V387" s="2" t="s">
        <v>29</v>
      </c>
      <c r="W387" s="2" t="s">
        <v>104</v>
      </c>
      <c r="X387" s="2" t="s">
        <v>105</v>
      </c>
      <c r="Y387" s="2" t="s">
        <v>1053</v>
      </c>
      <c r="Z387" s="2" t="s">
        <v>31</v>
      </c>
      <c r="AA387" s="2"/>
      <c r="AB387" s="2"/>
      <c r="AC387" s="2"/>
      <c r="AD387" s="2"/>
      <c r="AK387" s="8">
        <f t="shared" si="6"/>
        <v>45663</v>
      </c>
    </row>
    <row r="388" spans="1:37" ht="15" customHeight="1">
      <c r="A388" s="2" t="s">
        <v>1054</v>
      </c>
      <c r="B388" s="2">
        <v>0</v>
      </c>
      <c r="C388" s="2"/>
      <c r="D388" s="2" t="s">
        <v>298</v>
      </c>
      <c r="E388" s="2" t="s">
        <v>359</v>
      </c>
      <c r="F388" s="3">
        <v>45663</v>
      </c>
      <c r="G388" s="3">
        <v>45663</v>
      </c>
      <c r="H388" s="3">
        <v>45663</v>
      </c>
      <c r="I388" s="2"/>
      <c r="J388" s="2"/>
      <c r="K388" s="2" t="s">
        <v>25</v>
      </c>
      <c r="L388" s="2" t="s">
        <v>26</v>
      </c>
      <c r="M388" s="2"/>
      <c r="N388" s="2" t="s">
        <v>27</v>
      </c>
      <c r="O388" s="2">
        <v>50</v>
      </c>
      <c r="P388" s="2">
        <v>9</v>
      </c>
      <c r="Q388" s="2">
        <v>59</v>
      </c>
      <c r="R388" s="2">
        <v>59</v>
      </c>
      <c r="S388" s="2">
        <v>59</v>
      </c>
      <c r="T388" s="2" t="s">
        <v>28</v>
      </c>
      <c r="U388" s="2" t="b">
        <v>0</v>
      </c>
      <c r="V388" s="2" t="s">
        <v>29</v>
      </c>
      <c r="W388" s="2" t="s">
        <v>104</v>
      </c>
      <c r="X388" s="2" t="s">
        <v>105</v>
      </c>
      <c r="Y388" s="2" t="s">
        <v>1055</v>
      </c>
      <c r="Z388" s="2" t="s">
        <v>31</v>
      </c>
      <c r="AA388" s="2"/>
      <c r="AB388" s="2"/>
      <c r="AC388" s="2"/>
      <c r="AD388" s="2"/>
      <c r="AK388" s="8">
        <f t="shared" si="6"/>
        <v>45663</v>
      </c>
    </row>
    <row r="389" spans="1:37" ht="15" customHeight="1">
      <c r="A389" s="2" t="s">
        <v>1056</v>
      </c>
      <c r="B389" s="2">
        <v>0</v>
      </c>
      <c r="C389" s="2"/>
      <c r="D389" s="2" t="s">
        <v>298</v>
      </c>
      <c r="E389" s="2" t="s">
        <v>359</v>
      </c>
      <c r="F389" s="3">
        <v>45663</v>
      </c>
      <c r="G389" s="3">
        <v>45663</v>
      </c>
      <c r="H389" s="3">
        <v>45663</v>
      </c>
      <c r="I389" s="2"/>
      <c r="J389" s="2"/>
      <c r="K389" s="2" t="s">
        <v>25</v>
      </c>
      <c r="L389" s="2" t="s">
        <v>26</v>
      </c>
      <c r="M389" s="2"/>
      <c r="N389" s="2" t="s">
        <v>27</v>
      </c>
      <c r="O389" s="2">
        <v>227.88</v>
      </c>
      <c r="P389" s="2">
        <v>41.02</v>
      </c>
      <c r="Q389" s="2">
        <v>268.89999999999998</v>
      </c>
      <c r="R389" s="2">
        <v>268.89999999999998</v>
      </c>
      <c r="S389" s="2">
        <v>268.89999999999998</v>
      </c>
      <c r="T389" s="2" t="s">
        <v>28</v>
      </c>
      <c r="U389" s="2" t="b">
        <v>0</v>
      </c>
      <c r="V389" s="2" t="s">
        <v>29</v>
      </c>
      <c r="W389" s="2" t="s">
        <v>104</v>
      </c>
      <c r="X389" s="2" t="s">
        <v>105</v>
      </c>
      <c r="Y389" s="2" t="s">
        <v>1057</v>
      </c>
      <c r="Z389" s="2" t="s">
        <v>31</v>
      </c>
      <c r="AA389" s="2"/>
      <c r="AB389" s="2"/>
      <c r="AC389" s="2"/>
      <c r="AD389" s="2"/>
      <c r="AK389" s="8">
        <f t="shared" si="6"/>
        <v>45663</v>
      </c>
    </row>
    <row r="390" spans="1:37" ht="15" customHeight="1">
      <c r="A390" s="2" t="s">
        <v>1058</v>
      </c>
      <c r="B390" s="2">
        <v>0</v>
      </c>
      <c r="C390" s="2"/>
      <c r="D390" s="2" t="s">
        <v>298</v>
      </c>
      <c r="E390" s="2" t="s">
        <v>359</v>
      </c>
      <c r="F390" s="3">
        <v>45663</v>
      </c>
      <c r="G390" s="3">
        <v>45663</v>
      </c>
      <c r="H390" s="3">
        <v>45663</v>
      </c>
      <c r="I390" s="2"/>
      <c r="J390" s="2"/>
      <c r="K390" s="2" t="s">
        <v>25</v>
      </c>
      <c r="L390" s="2" t="s">
        <v>26</v>
      </c>
      <c r="M390" s="2"/>
      <c r="N390" s="2" t="s">
        <v>27</v>
      </c>
      <c r="O390" s="2">
        <v>126.36</v>
      </c>
      <c r="P390" s="2">
        <v>22.74</v>
      </c>
      <c r="Q390" s="2">
        <v>149.1</v>
      </c>
      <c r="R390" s="2">
        <v>149.1</v>
      </c>
      <c r="S390" s="2">
        <v>149.1</v>
      </c>
      <c r="T390" s="2" t="s">
        <v>28</v>
      </c>
      <c r="U390" s="2" t="b">
        <v>0</v>
      </c>
      <c r="V390" s="2" t="s">
        <v>29</v>
      </c>
      <c r="W390" s="2" t="s">
        <v>104</v>
      </c>
      <c r="X390" s="2" t="s">
        <v>105</v>
      </c>
      <c r="Y390" s="2" t="s">
        <v>1059</v>
      </c>
      <c r="Z390" s="2" t="s">
        <v>31</v>
      </c>
      <c r="AA390" s="2"/>
      <c r="AB390" s="2"/>
      <c r="AC390" s="2"/>
      <c r="AD390" s="2"/>
      <c r="AK390" s="8">
        <f t="shared" si="6"/>
        <v>45663</v>
      </c>
    </row>
    <row r="391" spans="1:37" ht="15" customHeight="1">
      <c r="A391" s="2" t="s">
        <v>1060</v>
      </c>
      <c r="B391" s="2">
        <v>0</v>
      </c>
      <c r="C391" s="2"/>
      <c r="D391" s="2" t="s">
        <v>298</v>
      </c>
      <c r="E391" s="2" t="s">
        <v>921</v>
      </c>
      <c r="F391" s="3">
        <v>45663</v>
      </c>
      <c r="G391" s="3">
        <v>45663</v>
      </c>
      <c r="H391" s="3">
        <v>45663</v>
      </c>
      <c r="I391" s="2"/>
      <c r="J391" s="2"/>
      <c r="K391" s="2" t="s">
        <v>25</v>
      </c>
      <c r="L391" s="2" t="s">
        <v>26</v>
      </c>
      <c r="M391" s="2"/>
      <c r="N391" s="2" t="s">
        <v>27</v>
      </c>
      <c r="O391" s="2">
        <v>283.79000000000002</v>
      </c>
      <c r="P391" s="2">
        <v>51.08</v>
      </c>
      <c r="Q391" s="2">
        <v>334.87</v>
      </c>
      <c r="R391" s="2">
        <v>334.87</v>
      </c>
      <c r="S391" s="2">
        <v>334.87</v>
      </c>
      <c r="T391" s="2" t="s">
        <v>28</v>
      </c>
      <c r="U391" s="2" t="b">
        <v>0</v>
      </c>
      <c r="V391" s="2" t="s">
        <v>29</v>
      </c>
      <c r="W391" s="2" t="s">
        <v>104</v>
      </c>
      <c r="X391" s="2" t="s">
        <v>105</v>
      </c>
      <c r="Y391" s="2" t="s">
        <v>1061</v>
      </c>
      <c r="Z391" s="2" t="s">
        <v>31</v>
      </c>
      <c r="AA391" s="2"/>
      <c r="AB391" s="2"/>
      <c r="AC391" s="2"/>
      <c r="AD391" s="2"/>
      <c r="AK391" s="8">
        <f t="shared" ref="AK391:AK454" si="7">+IF(AE391&lt;&gt;"",AE391,F391)</f>
        <v>45663</v>
      </c>
    </row>
    <row r="392" spans="1:37" ht="15" customHeight="1">
      <c r="A392" s="2" t="s">
        <v>1062</v>
      </c>
      <c r="B392" s="2">
        <v>0</v>
      </c>
      <c r="C392" s="2"/>
      <c r="D392" s="2" t="s">
        <v>298</v>
      </c>
      <c r="E392" s="2" t="s">
        <v>921</v>
      </c>
      <c r="F392" s="3">
        <v>45663</v>
      </c>
      <c r="G392" s="3">
        <v>45663</v>
      </c>
      <c r="H392" s="3">
        <v>45663</v>
      </c>
      <c r="I392" s="2"/>
      <c r="J392" s="2"/>
      <c r="K392" s="2" t="s">
        <v>25</v>
      </c>
      <c r="L392" s="2" t="s">
        <v>26</v>
      </c>
      <c r="M392" s="2"/>
      <c r="N392" s="2" t="s">
        <v>27</v>
      </c>
      <c r="O392" s="2">
        <v>208.23</v>
      </c>
      <c r="P392" s="2">
        <v>37.479999999999997</v>
      </c>
      <c r="Q392" s="2">
        <v>245.71</v>
      </c>
      <c r="R392" s="2">
        <v>245.71</v>
      </c>
      <c r="S392" s="2">
        <v>245.71</v>
      </c>
      <c r="T392" s="2" t="s">
        <v>28</v>
      </c>
      <c r="U392" s="2" t="b">
        <v>0</v>
      </c>
      <c r="V392" s="2" t="s">
        <v>29</v>
      </c>
      <c r="W392" s="2" t="s">
        <v>104</v>
      </c>
      <c r="X392" s="2" t="s">
        <v>105</v>
      </c>
      <c r="Y392" s="2" t="s">
        <v>1063</v>
      </c>
      <c r="Z392" s="2" t="s">
        <v>31</v>
      </c>
      <c r="AA392" s="2"/>
      <c r="AB392" s="2"/>
      <c r="AC392" s="2"/>
      <c r="AD392" s="2"/>
      <c r="AK392" s="8">
        <f t="shared" si="7"/>
        <v>45663</v>
      </c>
    </row>
    <row r="393" spans="1:37" ht="15" customHeight="1">
      <c r="A393" s="2" t="s">
        <v>1064</v>
      </c>
      <c r="B393" s="2">
        <v>0</v>
      </c>
      <c r="C393" s="2"/>
      <c r="D393" s="2" t="s">
        <v>298</v>
      </c>
      <c r="E393" s="2" t="s">
        <v>1065</v>
      </c>
      <c r="F393" s="3">
        <v>45663</v>
      </c>
      <c r="G393" s="3">
        <v>45663</v>
      </c>
      <c r="H393" s="3">
        <v>45663</v>
      </c>
      <c r="I393" s="2"/>
      <c r="J393" s="2"/>
      <c r="K393" s="2" t="s">
        <v>25</v>
      </c>
      <c r="L393" s="2" t="s">
        <v>26</v>
      </c>
      <c r="M393" s="2"/>
      <c r="N393" s="2" t="s">
        <v>27</v>
      </c>
      <c r="O393" s="2">
        <v>2</v>
      </c>
      <c r="P393" s="2">
        <v>0.36</v>
      </c>
      <c r="Q393" s="2">
        <v>2.36</v>
      </c>
      <c r="R393" s="2">
        <v>2.36</v>
      </c>
      <c r="S393" s="2">
        <v>2.36</v>
      </c>
      <c r="T393" s="2" t="s">
        <v>28</v>
      </c>
      <c r="U393" s="2" t="b">
        <v>0</v>
      </c>
      <c r="V393" s="2" t="s">
        <v>29</v>
      </c>
      <c r="W393" s="2" t="s">
        <v>104</v>
      </c>
      <c r="X393" s="2" t="s">
        <v>105</v>
      </c>
      <c r="Y393" s="2" t="s">
        <v>1066</v>
      </c>
      <c r="Z393" s="2" t="s">
        <v>31</v>
      </c>
      <c r="AA393" s="2"/>
      <c r="AB393" s="2"/>
      <c r="AC393" s="2"/>
      <c r="AD393" s="2"/>
      <c r="AK393" s="8">
        <f t="shared" si="7"/>
        <v>45663</v>
      </c>
    </row>
    <row r="394" spans="1:37" ht="15" customHeight="1">
      <c r="A394" s="2" t="s">
        <v>1067</v>
      </c>
      <c r="B394" s="2">
        <v>0</v>
      </c>
      <c r="C394" s="2"/>
      <c r="D394" s="2" t="s">
        <v>298</v>
      </c>
      <c r="E394" s="2" t="s">
        <v>1065</v>
      </c>
      <c r="F394" s="3">
        <v>45663</v>
      </c>
      <c r="G394" s="3">
        <v>45663</v>
      </c>
      <c r="H394" s="3">
        <v>45663</v>
      </c>
      <c r="I394" s="2"/>
      <c r="J394" s="2"/>
      <c r="K394" s="2" t="s">
        <v>25</v>
      </c>
      <c r="L394" s="2" t="s">
        <v>26</v>
      </c>
      <c r="M394" s="2"/>
      <c r="N394" s="2" t="s">
        <v>27</v>
      </c>
      <c r="O394" s="2">
        <v>218.69</v>
      </c>
      <c r="P394" s="2">
        <v>39.369999999999997</v>
      </c>
      <c r="Q394" s="2">
        <v>258.06</v>
      </c>
      <c r="R394" s="2">
        <v>258.06</v>
      </c>
      <c r="S394" s="2">
        <v>258.06</v>
      </c>
      <c r="T394" s="2" t="s">
        <v>28</v>
      </c>
      <c r="U394" s="2" t="b">
        <v>0</v>
      </c>
      <c r="V394" s="2" t="s">
        <v>29</v>
      </c>
      <c r="W394" s="2" t="s">
        <v>104</v>
      </c>
      <c r="X394" s="2" t="s">
        <v>105</v>
      </c>
      <c r="Y394" s="2" t="s">
        <v>1068</v>
      </c>
      <c r="Z394" s="2" t="s">
        <v>31</v>
      </c>
      <c r="AA394" s="2"/>
      <c r="AB394" s="2"/>
      <c r="AC394" s="2"/>
      <c r="AD394" s="2"/>
      <c r="AK394" s="8">
        <f t="shared" si="7"/>
        <v>45663</v>
      </c>
    </row>
    <row r="395" spans="1:37" ht="15" customHeight="1">
      <c r="A395" s="2" t="s">
        <v>1069</v>
      </c>
      <c r="B395" s="2">
        <v>0</v>
      </c>
      <c r="C395" s="2"/>
      <c r="D395" s="2" t="s">
        <v>298</v>
      </c>
      <c r="E395" s="2" t="s">
        <v>1070</v>
      </c>
      <c r="F395" s="3">
        <v>45663</v>
      </c>
      <c r="G395" s="3">
        <v>45663</v>
      </c>
      <c r="H395" s="3">
        <v>45663</v>
      </c>
      <c r="I395" s="2"/>
      <c r="J395" s="2"/>
      <c r="K395" s="2" t="s">
        <v>25</v>
      </c>
      <c r="L395" s="2" t="s">
        <v>26</v>
      </c>
      <c r="M395" s="2"/>
      <c r="N395" s="2" t="s">
        <v>27</v>
      </c>
      <c r="O395" s="2">
        <v>2</v>
      </c>
      <c r="P395" s="2">
        <v>0.36</v>
      </c>
      <c r="Q395" s="2">
        <v>2.36</v>
      </c>
      <c r="R395" s="2">
        <v>2.36</v>
      </c>
      <c r="S395" s="2">
        <v>2.36</v>
      </c>
      <c r="T395" s="2" t="s">
        <v>28</v>
      </c>
      <c r="U395" s="2" t="b">
        <v>0</v>
      </c>
      <c r="V395" s="2" t="s">
        <v>29</v>
      </c>
      <c r="W395" s="2" t="s">
        <v>104</v>
      </c>
      <c r="X395" s="2" t="s">
        <v>105</v>
      </c>
      <c r="Y395" s="2" t="s">
        <v>1071</v>
      </c>
      <c r="Z395" s="2" t="s">
        <v>31</v>
      </c>
      <c r="AA395" s="2"/>
      <c r="AB395" s="2"/>
      <c r="AC395" s="2"/>
      <c r="AD395" s="2"/>
      <c r="AK395" s="8">
        <f t="shared" si="7"/>
        <v>45663</v>
      </c>
    </row>
    <row r="396" spans="1:37" ht="15" customHeight="1">
      <c r="A396" s="2" t="s">
        <v>1072</v>
      </c>
      <c r="B396" s="2">
        <v>0</v>
      </c>
      <c r="C396" s="2"/>
      <c r="D396" s="2" t="s">
        <v>298</v>
      </c>
      <c r="E396" s="2" t="s">
        <v>1070</v>
      </c>
      <c r="F396" s="3">
        <v>45663</v>
      </c>
      <c r="G396" s="3">
        <v>45663</v>
      </c>
      <c r="H396" s="3">
        <v>45663</v>
      </c>
      <c r="I396" s="2"/>
      <c r="J396" s="2"/>
      <c r="K396" s="2" t="s">
        <v>25</v>
      </c>
      <c r="L396" s="2" t="s">
        <v>26</v>
      </c>
      <c r="M396" s="2"/>
      <c r="N396" s="2" t="s">
        <v>27</v>
      </c>
      <c r="O396" s="2">
        <v>311.91000000000003</v>
      </c>
      <c r="P396" s="2">
        <v>56.14</v>
      </c>
      <c r="Q396" s="2">
        <v>368.05</v>
      </c>
      <c r="R396" s="2">
        <v>368.05</v>
      </c>
      <c r="S396" s="2">
        <v>368.05</v>
      </c>
      <c r="T396" s="2" t="s">
        <v>28</v>
      </c>
      <c r="U396" s="2" t="b">
        <v>0</v>
      </c>
      <c r="V396" s="2" t="s">
        <v>29</v>
      </c>
      <c r="W396" s="2" t="s">
        <v>104</v>
      </c>
      <c r="X396" s="2" t="s">
        <v>105</v>
      </c>
      <c r="Y396" s="2" t="s">
        <v>1073</v>
      </c>
      <c r="Z396" s="2" t="s">
        <v>31</v>
      </c>
      <c r="AA396" s="2"/>
      <c r="AB396" s="2"/>
      <c r="AC396" s="2"/>
      <c r="AD396" s="2"/>
      <c r="AK396" s="8">
        <f t="shared" si="7"/>
        <v>45663</v>
      </c>
    </row>
    <row r="397" spans="1:37" ht="15" customHeight="1">
      <c r="A397" s="2" t="s">
        <v>1074</v>
      </c>
      <c r="B397" s="2">
        <v>0</v>
      </c>
      <c r="C397" s="2"/>
      <c r="D397" s="2" t="s">
        <v>298</v>
      </c>
      <c r="E397" s="2" t="s">
        <v>1075</v>
      </c>
      <c r="F397" s="3">
        <v>45663</v>
      </c>
      <c r="G397" s="3">
        <v>45663</v>
      </c>
      <c r="H397" s="3">
        <v>45663</v>
      </c>
      <c r="I397" s="2"/>
      <c r="J397" s="2"/>
      <c r="K397" s="2" t="s">
        <v>25</v>
      </c>
      <c r="L397" s="2" t="s">
        <v>26</v>
      </c>
      <c r="M397" s="2"/>
      <c r="N397" s="2" t="s">
        <v>27</v>
      </c>
      <c r="O397" s="2">
        <v>2</v>
      </c>
      <c r="P397" s="2">
        <v>0.36</v>
      </c>
      <c r="Q397" s="2">
        <v>2.36</v>
      </c>
      <c r="R397" s="2">
        <v>2.36</v>
      </c>
      <c r="S397" s="2">
        <v>2.36</v>
      </c>
      <c r="T397" s="2" t="s">
        <v>28</v>
      </c>
      <c r="U397" s="2" t="b">
        <v>0</v>
      </c>
      <c r="V397" s="2" t="s">
        <v>29</v>
      </c>
      <c r="W397" s="2" t="s">
        <v>104</v>
      </c>
      <c r="X397" s="2" t="s">
        <v>105</v>
      </c>
      <c r="Y397" s="2" t="s">
        <v>1076</v>
      </c>
      <c r="Z397" s="2" t="s">
        <v>31</v>
      </c>
      <c r="AA397" s="2"/>
      <c r="AB397" s="2"/>
      <c r="AC397" s="2"/>
      <c r="AD397" s="2"/>
      <c r="AK397" s="8">
        <f t="shared" si="7"/>
        <v>45663</v>
      </c>
    </row>
    <row r="398" spans="1:37" ht="15" customHeight="1">
      <c r="A398" s="2" t="s">
        <v>1077</v>
      </c>
      <c r="B398" s="2">
        <v>0</v>
      </c>
      <c r="C398" s="2"/>
      <c r="D398" s="2" t="s">
        <v>298</v>
      </c>
      <c r="E398" s="2" t="s">
        <v>1075</v>
      </c>
      <c r="F398" s="3">
        <v>45663</v>
      </c>
      <c r="G398" s="3">
        <v>45663</v>
      </c>
      <c r="H398" s="3">
        <v>45663</v>
      </c>
      <c r="I398" s="2"/>
      <c r="J398" s="2"/>
      <c r="K398" s="2" t="s">
        <v>25</v>
      </c>
      <c r="L398" s="2" t="s">
        <v>26</v>
      </c>
      <c r="M398" s="2"/>
      <c r="N398" s="2" t="s">
        <v>27</v>
      </c>
      <c r="O398" s="2">
        <v>678.25</v>
      </c>
      <c r="P398" s="2">
        <v>122.08</v>
      </c>
      <c r="Q398" s="2">
        <v>800.33</v>
      </c>
      <c r="R398" s="2">
        <v>800.33</v>
      </c>
      <c r="S398" s="2">
        <v>800.33</v>
      </c>
      <c r="T398" s="2" t="s">
        <v>28</v>
      </c>
      <c r="U398" s="2" t="b">
        <v>0</v>
      </c>
      <c r="V398" s="2" t="s">
        <v>29</v>
      </c>
      <c r="W398" s="2" t="s">
        <v>104</v>
      </c>
      <c r="X398" s="2" t="s">
        <v>105</v>
      </c>
      <c r="Y398" s="2" t="s">
        <v>1078</v>
      </c>
      <c r="Z398" s="2" t="s">
        <v>31</v>
      </c>
      <c r="AA398" s="2"/>
      <c r="AB398" s="2"/>
      <c r="AC398" s="2"/>
      <c r="AD398" s="2"/>
      <c r="AK398" s="8">
        <f t="shared" si="7"/>
        <v>45663</v>
      </c>
    </row>
    <row r="399" spans="1:37" ht="15" customHeight="1">
      <c r="A399" s="2" t="s">
        <v>1079</v>
      </c>
      <c r="B399" s="2">
        <v>0</v>
      </c>
      <c r="C399" s="2"/>
      <c r="D399" s="2" t="s">
        <v>298</v>
      </c>
      <c r="E399" s="2" t="s">
        <v>1080</v>
      </c>
      <c r="F399" s="3">
        <v>45663</v>
      </c>
      <c r="G399" s="3">
        <v>45663</v>
      </c>
      <c r="H399" s="3">
        <v>45663</v>
      </c>
      <c r="I399" s="2"/>
      <c r="J399" s="2"/>
      <c r="K399" s="2" t="s">
        <v>25</v>
      </c>
      <c r="L399" s="2" t="s">
        <v>26</v>
      </c>
      <c r="M399" s="2"/>
      <c r="N399" s="2" t="s">
        <v>27</v>
      </c>
      <c r="O399" s="2">
        <v>100</v>
      </c>
      <c r="P399" s="2">
        <v>18</v>
      </c>
      <c r="Q399" s="2">
        <v>118</v>
      </c>
      <c r="R399" s="2">
        <v>118</v>
      </c>
      <c r="S399" s="2">
        <v>118</v>
      </c>
      <c r="T399" s="2" t="s">
        <v>28</v>
      </c>
      <c r="U399" s="2" t="b">
        <v>0</v>
      </c>
      <c r="V399" s="2" t="s">
        <v>29</v>
      </c>
      <c r="W399" s="2" t="s">
        <v>104</v>
      </c>
      <c r="X399" s="2" t="s">
        <v>105</v>
      </c>
      <c r="Y399" s="2" t="s">
        <v>1081</v>
      </c>
      <c r="Z399" s="2" t="s">
        <v>31</v>
      </c>
      <c r="AA399" s="2"/>
      <c r="AB399" s="2"/>
      <c r="AC399" s="2"/>
      <c r="AD399" s="2"/>
      <c r="AK399" s="8">
        <f t="shared" si="7"/>
        <v>45663</v>
      </c>
    </row>
    <row r="400" spans="1:37" ht="15" customHeight="1">
      <c r="A400" s="2" t="s">
        <v>1082</v>
      </c>
      <c r="B400" s="2">
        <v>0</v>
      </c>
      <c r="C400" s="2"/>
      <c r="D400" s="2" t="s">
        <v>298</v>
      </c>
      <c r="E400" s="2" t="s">
        <v>1080</v>
      </c>
      <c r="F400" s="3">
        <v>45663</v>
      </c>
      <c r="G400" s="3">
        <v>45663</v>
      </c>
      <c r="H400" s="3">
        <v>45663</v>
      </c>
      <c r="I400" s="2"/>
      <c r="J400" s="2"/>
      <c r="K400" s="2" t="s">
        <v>25</v>
      </c>
      <c r="L400" s="2" t="s">
        <v>26</v>
      </c>
      <c r="M400" s="2"/>
      <c r="N400" s="2" t="s">
        <v>27</v>
      </c>
      <c r="O400" s="2">
        <v>2836.25</v>
      </c>
      <c r="P400" s="2">
        <v>510.52</v>
      </c>
      <c r="Q400" s="2">
        <v>3346.77</v>
      </c>
      <c r="R400" s="2">
        <v>3346.77</v>
      </c>
      <c r="S400" s="2">
        <v>3346.77</v>
      </c>
      <c r="T400" s="2" t="s">
        <v>28</v>
      </c>
      <c r="U400" s="2" t="b">
        <v>0</v>
      </c>
      <c r="V400" s="2" t="s">
        <v>29</v>
      </c>
      <c r="W400" s="2" t="s">
        <v>104</v>
      </c>
      <c r="X400" s="2" t="s">
        <v>105</v>
      </c>
      <c r="Y400" s="2" t="s">
        <v>1083</v>
      </c>
      <c r="Z400" s="2" t="s">
        <v>31</v>
      </c>
      <c r="AA400" s="2"/>
      <c r="AB400" s="2"/>
      <c r="AC400" s="2"/>
      <c r="AD400" s="2"/>
      <c r="AK400" s="8">
        <f t="shared" si="7"/>
        <v>45663</v>
      </c>
    </row>
    <row r="401" spans="1:37" ht="15" customHeight="1">
      <c r="A401" s="2" t="s">
        <v>1084</v>
      </c>
      <c r="B401" s="2">
        <v>0</v>
      </c>
      <c r="C401" s="2"/>
      <c r="D401" s="2" t="s">
        <v>298</v>
      </c>
      <c r="E401" s="2" t="s">
        <v>1080</v>
      </c>
      <c r="F401" s="3">
        <v>45663</v>
      </c>
      <c r="G401" s="3">
        <v>45663</v>
      </c>
      <c r="H401" s="3">
        <v>45663</v>
      </c>
      <c r="I401" s="2"/>
      <c r="J401" s="2"/>
      <c r="K401" s="2" t="s">
        <v>25</v>
      </c>
      <c r="L401" s="2" t="s">
        <v>26</v>
      </c>
      <c r="M401" s="2"/>
      <c r="N401" s="2" t="s">
        <v>27</v>
      </c>
      <c r="O401" s="2">
        <v>2033.08</v>
      </c>
      <c r="P401" s="2">
        <v>365.96</v>
      </c>
      <c r="Q401" s="2">
        <v>2399.04</v>
      </c>
      <c r="R401" s="2">
        <v>2399.04</v>
      </c>
      <c r="S401" s="2">
        <v>2399.04</v>
      </c>
      <c r="T401" s="2" t="s">
        <v>28</v>
      </c>
      <c r="U401" s="2" t="b">
        <v>0</v>
      </c>
      <c r="V401" s="2" t="s">
        <v>29</v>
      </c>
      <c r="W401" s="2" t="s">
        <v>104</v>
      </c>
      <c r="X401" s="2" t="s">
        <v>105</v>
      </c>
      <c r="Y401" s="2" t="s">
        <v>1085</v>
      </c>
      <c r="Z401" s="2" t="s">
        <v>31</v>
      </c>
      <c r="AA401" s="2"/>
      <c r="AB401" s="2"/>
      <c r="AC401" s="2"/>
      <c r="AD401" s="2"/>
      <c r="AK401" s="8">
        <f t="shared" si="7"/>
        <v>45663</v>
      </c>
    </row>
    <row r="402" spans="1:37" ht="15" customHeight="1">
      <c r="A402" s="2" t="s">
        <v>1086</v>
      </c>
      <c r="B402" s="2">
        <v>0</v>
      </c>
      <c r="C402" s="2"/>
      <c r="D402" s="2" t="s">
        <v>298</v>
      </c>
      <c r="E402" s="2" t="s">
        <v>514</v>
      </c>
      <c r="F402" s="3">
        <v>45663</v>
      </c>
      <c r="G402" s="3">
        <v>45663</v>
      </c>
      <c r="H402" s="3">
        <v>45663</v>
      </c>
      <c r="I402" s="2"/>
      <c r="J402" s="2"/>
      <c r="K402" s="2" t="s">
        <v>25</v>
      </c>
      <c r="L402" s="2" t="s">
        <v>26</v>
      </c>
      <c r="M402" s="2"/>
      <c r="N402" s="2" t="s">
        <v>27</v>
      </c>
      <c r="O402" s="2">
        <v>222.31</v>
      </c>
      <c r="P402" s="2">
        <v>40.01</v>
      </c>
      <c r="Q402" s="2">
        <v>262.32</v>
      </c>
      <c r="R402" s="2">
        <v>262.32</v>
      </c>
      <c r="S402" s="2">
        <v>262.32</v>
      </c>
      <c r="T402" s="2" t="s">
        <v>28</v>
      </c>
      <c r="U402" s="2" t="b">
        <v>0</v>
      </c>
      <c r="V402" s="2" t="s">
        <v>29</v>
      </c>
      <c r="W402" s="2" t="s">
        <v>104</v>
      </c>
      <c r="X402" s="2" t="s">
        <v>105</v>
      </c>
      <c r="Y402" s="2" t="s">
        <v>1087</v>
      </c>
      <c r="Z402" s="2" t="s">
        <v>31</v>
      </c>
      <c r="AA402" s="2"/>
      <c r="AB402" s="2"/>
      <c r="AC402" s="2"/>
      <c r="AD402" s="2"/>
      <c r="AK402" s="8">
        <f t="shared" si="7"/>
        <v>45663</v>
      </c>
    </row>
    <row r="403" spans="1:37" ht="15" customHeight="1">
      <c r="A403" s="2" t="s">
        <v>1088</v>
      </c>
      <c r="B403" s="2">
        <v>0</v>
      </c>
      <c r="C403" s="2"/>
      <c r="D403" s="2" t="s">
        <v>298</v>
      </c>
      <c r="E403" s="2" t="s">
        <v>514</v>
      </c>
      <c r="F403" s="3">
        <v>45663</v>
      </c>
      <c r="G403" s="3">
        <v>45663</v>
      </c>
      <c r="H403" s="3">
        <v>45663</v>
      </c>
      <c r="I403" s="2"/>
      <c r="J403" s="2"/>
      <c r="K403" s="2" t="s">
        <v>25</v>
      </c>
      <c r="L403" s="2" t="s">
        <v>26</v>
      </c>
      <c r="M403" s="2"/>
      <c r="N403" s="2" t="s">
        <v>27</v>
      </c>
      <c r="O403" s="2">
        <v>133.41999999999999</v>
      </c>
      <c r="P403" s="2">
        <v>24.02</v>
      </c>
      <c r="Q403" s="2">
        <v>157.44</v>
      </c>
      <c r="R403" s="2">
        <v>157.44</v>
      </c>
      <c r="S403" s="2">
        <v>157.44</v>
      </c>
      <c r="T403" s="2" t="s">
        <v>28</v>
      </c>
      <c r="U403" s="2" t="b">
        <v>0</v>
      </c>
      <c r="V403" s="2" t="s">
        <v>29</v>
      </c>
      <c r="W403" s="2" t="s">
        <v>104</v>
      </c>
      <c r="X403" s="2" t="s">
        <v>105</v>
      </c>
      <c r="Y403" s="2" t="s">
        <v>1089</v>
      </c>
      <c r="Z403" s="2" t="s">
        <v>31</v>
      </c>
      <c r="AA403" s="2"/>
      <c r="AB403" s="2"/>
      <c r="AC403" s="2"/>
      <c r="AD403" s="2"/>
      <c r="AK403" s="8">
        <f t="shared" si="7"/>
        <v>45663</v>
      </c>
    </row>
    <row r="404" spans="1:37" ht="15" customHeight="1">
      <c r="A404" s="2" t="s">
        <v>1090</v>
      </c>
      <c r="B404" s="2">
        <v>0</v>
      </c>
      <c r="C404" s="2"/>
      <c r="D404" s="2" t="s">
        <v>298</v>
      </c>
      <c r="E404" s="2" t="s">
        <v>1091</v>
      </c>
      <c r="F404" s="3">
        <v>45663</v>
      </c>
      <c r="G404" s="3">
        <v>45663</v>
      </c>
      <c r="H404" s="3">
        <v>45663</v>
      </c>
      <c r="I404" s="2"/>
      <c r="J404" s="2"/>
      <c r="K404" s="2" t="s">
        <v>25</v>
      </c>
      <c r="L404" s="2" t="s">
        <v>26</v>
      </c>
      <c r="M404" s="2"/>
      <c r="N404" s="2" t="s">
        <v>27</v>
      </c>
      <c r="O404" s="2">
        <v>21.61</v>
      </c>
      <c r="P404" s="2">
        <v>3.89</v>
      </c>
      <c r="Q404" s="2">
        <v>25.5</v>
      </c>
      <c r="R404" s="2">
        <v>25.5</v>
      </c>
      <c r="S404" s="2">
        <v>25.5</v>
      </c>
      <c r="T404" s="2" t="s">
        <v>28</v>
      </c>
      <c r="U404" s="2" t="b">
        <v>0</v>
      </c>
      <c r="V404" s="2" t="s">
        <v>29</v>
      </c>
      <c r="W404" s="2" t="s">
        <v>104</v>
      </c>
      <c r="X404" s="2" t="s">
        <v>105</v>
      </c>
      <c r="Y404" s="2" t="s">
        <v>1092</v>
      </c>
      <c r="Z404" s="2" t="s">
        <v>31</v>
      </c>
      <c r="AA404" s="2"/>
      <c r="AB404" s="2"/>
      <c r="AC404" s="2"/>
      <c r="AD404" s="2"/>
      <c r="AK404" s="8">
        <f t="shared" si="7"/>
        <v>45663</v>
      </c>
    </row>
    <row r="405" spans="1:37" ht="15" customHeight="1">
      <c r="A405" s="2" t="s">
        <v>1093</v>
      </c>
      <c r="B405" s="2">
        <v>0</v>
      </c>
      <c r="C405" s="2"/>
      <c r="D405" s="2" t="s">
        <v>298</v>
      </c>
      <c r="E405" s="2" t="s">
        <v>1091</v>
      </c>
      <c r="F405" s="3">
        <v>45663</v>
      </c>
      <c r="G405" s="3">
        <v>45663</v>
      </c>
      <c r="H405" s="3">
        <v>45663</v>
      </c>
      <c r="I405" s="2"/>
      <c r="J405" s="2"/>
      <c r="K405" s="2" t="s">
        <v>25</v>
      </c>
      <c r="L405" s="2" t="s">
        <v>26</v>
      </c>
      <c r="M405" s="2"/>
      <c r="N405" s="2" t="s">
        <v>27</v>
      </c>
      <c r="O405" s="2">
        <v>15.25</v>
      </c>
      <c r="P405" s="2">
        <v>2.75</v>
      </c>
      <c r="Q405" s="2">
        <v>18</v>
      </c>
      <c r="R405" s="2">
        <v>18</v>
      </c>
      <c r="S405" s="2">
        <v>18</v>
      </c>
      <c r="T405" s="2" t="s">
        <v>28</v>
      </c>
      <c r="U405" s="2" t="b">
        <v>0</v>
      </c>
      <c r="V405" s="2" t="s">
        <v>29</v>
      </c>
      <c r="W405" s="2" t="s">
        <v>104</v>
      </c>
      <c r="X405" s="2" t="s">
        <v>105</v>
      </c>
      <c r="Y405" s="2" t="s">
        <v>1094</v>
      </c>
      <c r="Z405" s="2" t="s">
        <v>31</v>
      </c>
      <c r="AA405" s="2"/>
      <c r="AB405" s="2"/>
      <c r="AC405" s="2"/>
      <c r="AD405" s="2"/>
      <c r="AK405" s="8">
        <f t="shared" si="7"/>
        <v>45663</v>
      </c>
    </row>
    <row r="406" spans="1:37" ht="15" customHeight="1">
      <c r="A406" s="2" t="s">
        <v>1095</v>
      </c>
      <c r="B406" s="2">
        <v>0</v>
      </c>
      <c r="C406" s="2"/>
      <c r="D406" s="2" t="s">
        <v>298</v>
      </c>
      <c r="E406" s="2" t="s">
        <v>1096</v>
      </c>
      <c r="F406" s="3">
        <v>45663</v>
      </c>
      <c r="G406" s="3">
        <v>45663</v>
      </c>
      <c r="H406" s="3">
        <v>45663</v>
      </c>
      <c r="I406" s="2"/>
      <c r="J406" s="2"/>
      <c r="K406" s="2" t="s">
        <v>25</v>
      </c>
      <c r="L406" s="2" t="s">
        <v>26</v>
      </c>
      <c r="M406" s="2"/>
      <c r="N406" s="2" t="s">
        <v>27</v>
      </c>
      <c r="O406" s="2">
        <v>109.06</v>
      </c>
      <c r="P406" s="2">
        <v>19.63</v>
      </c>
      <c r="Q406" s="2">
        <v>128.69</v>
      </c>
      <c r="R406" s="2">
        <v>128.69</v>
      </c>
      <c r="S406" s="2">
        <v>128.69</v>
      </c>
      <c r="T406" s="2" t="s">
        <v>28</v>
      </c>
      <c r="U406" s="2" t="b">
        <v>0</v>
      </c>
      <c r="V406" s="2" t="s">
        <v>29</v>
      </c>
      <c r="W406" s="2" t="s">
        <v>104</v>
      </c>
      <c r="X406" s="2" t="s">
        <v>105</v>
      </c>
      <c r="Y406" s="2" t="s">
        <v>1097</v>
      </c>
      <c r="Z406" s="2" t="s">
        <v>31</v>
      </c>
      <c r="AA406" s="2"/>
      <c r="AB406" s="2"/>
      <c r="AC406" s="2"/>
      <c r="AD406" s="2"/>
      <c r="AK406" s="8">
        <f t="shared" si="7"/>
        <v>45663</v>
      </c>
    </row>
    <row r="407" spans="1:37" ht="15" customHeight="1">
      <c r="A407" s="2" t="s">
        <v>1098</v>
      </c>
      <c r="B407" s="2">
        <v>0</v>
      </c>
      <c r="C407" s="2"/>
      <c r="D407" s="2" t="s">
        <v>298</v>
      </c>
      <c r="E407" s="2" t="s">
        <v>1096</v>
      </c>
      <c r="F407" s="3">
        <v>45663</v>
      </c>
      <c r="G407" s="3">
        <v>45663</v>
      </c>
      <c r="H407" s="3">
        <v>45663</v>
      </c>
      <c r="I407" s="2"/>
      <c r="J407" s="2"/>
      <c r="K407" s="2" t="s">
        <v>25</v>
      </c>
      <c r="L407" s="2" t="s">
        <v>26</v>
      </c>
      <c r="M407" s="2"/>
      <c r="N407" s="2" t="s">
        <v>27</v>
      </c>
      <c r="O407" s="2">
        <v>182.75</v>
      </c>
      <c r="P407" s="2">
        <v>32.89</v>
      </c>
      <c r="Q407" s="2">
        <v>215.64</v>
      </c>
      <c r="R407" s="2">
        <v>215.64</v>
      </c>
      <c r="S407" s="2">
        <v>215.64</v>
      </c>
      <c r="T407" s="2" t="s">
        <v>28</v>
      </c>
      <c r="U407" s="2" t="b">
        <v>0</v>
      </c>
      <c r="V407" s="2" t="s">
        <v>29</v>
      </c>
      <c r="W407" s="2" t="s">
        <v>104</v>
      </c>
      <c r="X407" s="2" t="s">
        <v>105</v>
      </c>
      <c r="Y407" s="2" t="s">
        <v>1099</v>
      </c>
      <c r="Z407" s="2" t="s">
        <v>31</v>
      </c>
      <c r="AA407" s="2"/>
      <c r="AB407" s="2"/>
      <c r="AC407" s="2"/>
      <c r="AD407" s="2"/>
      <c r="AK407" s="8">
        <f t="shared" si="7"/>
        <v>45663</v>
      </c>
    </row>
    <row r="408" spans="1:37" ht="15" customHeight="1">
      <c r="A408" s="2" t="s">
        <v>1100</v>
      </c>
      <c r="B408" s="2">
        <v>0</v>
      </c>
      <c r="C408" s="2"/>
      <c r="D408" s="2" t="s">
        <v>298</v>
      </c>
      <c r="E408" s="2" t="s">
        <v>424</v>
      </c>
      <c r="F408" s="3">
        <v>45663</v>
      </c>
      <c r="G408" s="3">
        <v>45663</v>
      </c>
      <c r="H408" s="3">
        <v>45663</v>
      </c>
      <c r="I408" s="2"/>
      <c r="J408" s="2"/>
      <c r="K408" s="2" t="s">
        <v>25</v>
      </c>
      <c r="L408" s="2" t="s">
        <v>26</v>
      </c>
      <c r="M408" s="2"/>
      <c r="N408" s="2" t="s">
        <v>27</v>
      </c>
      <c r="O408" s="2">
        <v>8.5</v>
      </c>
      <c r="P408" s="2">
        <v>1.53</v>
      </c>
      <c r="Q408" s="2">
        <v>10.029999999999999</v>
      </c>
      <c r="R408" s="2">
        <v>10.029999999999999</v>
      </c>
      <c r="S408" s="2">
        <v>10.029999999999999</v>
      </c>
      <c r="T408" s="2" t="s">
        <v>28</v>
      </c>
      <c r="U408" s="2" t="b">
        <v>0</v>
      </c>
      <c r="V408" s="2" t="s">
        <v>29</v>
      </c>
      <c r="W408" s="2" t="s">
        <v>104</v>
      </c>
      <c r="X408" s="2" t="s">
        <v>105</v>
      </c>
      <c r="Y408" s="2" t="s">
        <v>1101</v>
      </c>
      <c r="Z408" s="2" t="s">
        <v>31</v>
      </c>
      <c r="AA408" s="2"/>
      <c r="AB408" s="2"/>
      <c r="AC408" s="2"/>
      <c r="AD408" s="2"/>
      <c r="AK408" s="8">
        <f t="shared" si="7"/>
        <v>45663</v>
      </c>
    </row>
    <row r="409" spans="1:37" ht="15" customHeight="1">
      <c r="A409" s="2" t="s">
        <v>1102</v>
      </c>
      <c r="B409" s="2">
        <v>0</v>
      </c>
      <c r="C409" s="2"/>
      <c r="D409" s="2" t="s">
        <v>298</v>
      </c>
      <c r="E409" s="2" t="s">
        <v>424</v>
      </c>
      <c r="F409" s="3">
        <v>45663</v>
      </c>
      <c r="G409" s="3">
        <v>45663</v>
      </c>
      <c r="H409" s="3">
        <v>45663</v>
      </c>
      <c r="I409" s="2"/>
      <c r="J409" s="2"/>
      <c r="K409" s="2" t="s">
        <v>25</v>
      </c>
      <c r="L409" s="2" t="s">
        <v>26</v>
      </c>
      <c r="M409" s="2"/>
      <c r="N409" s="2" t="s">
        <v>27</v>
      </c>
      <c r="O409" s="2">
        <v>1000</v>
      </c>
      <c r="P409" s="2">
        <v>180</v>
      </c>
      <c r="Q409" s="2">
        <v>1180</v>
      </c>
      <c r="R409" s="2">
        <v>1180</v>
      </c>
      <c r="S409" s="2">
        <v>1180</v>
      </c>
      <c r="T409" s="2" t="s">
        <v>28</v>
      </c>
      <c r="U409" s="2" t="b">
        <v>0</v>
      </c>
      <c r="V409" s="2" t="s">
        <v>29</v>
      </c>
      <c r="W409" s="2" t="s">
        <v>104</v>
      </c>
      <c r="X409" s="2" t="s">
        <v>105</v>
      </c>
      <c r="Y409" s="2" t="s">
        <v>1103</v>
      </c>
      <c r="Z409" s="2" t="s">
        <v>31</v>
      </c>
      <c r="AA409" s="2"/>
      <c r="AB409" s="2"/>
      <c r="AC409" s="2"/>
      <c r="AD409" s="2"/>
      <c r="AK409" s="8">
        <f t="shared" si="7"/>
        <v>45663</v>
      </c>
    </row>
    <row r="410" spans="1:37" ht="15" customHeight="1">
      <c r="A410" s="2" t="s">
        <v>1104</v>
      </c>
      <c r="B410" s="2">
        <v>0</v>
      </c>
      <c r="C410" s="2"/>
      <c r="D410" s="2" t="s">
        <v>298</v>
      </c>
      <c r="E410" s="2" t="s">
        <v>424</v>
      </c>
      <c r="F410" s="3">
        <v>45663</v>
      </c>
      <c r="G410" s="3">
        <v>45663</v>
      </c>
      <c r="H410" s="3">
        <v>45663</v>
      </c>
      <c r="I410" s="2"/>
      <c r="J410" s="2"/>
      <c r="K410" s="2" t="s">
        <v>25</v>
      </c>
      <c r="L410" s="2" t="s">
        <v>26</v>
      </c>
      <c r="M410" s="2"/>
      <c r="N410" s="2" t="s">
        <v>27</v>
      </c>
      <c r="O410" s="2">
        <v>750</v>
      </c>
      <c r="P410" s="2">
        <v>135</v>
      </c>
      <c r="Q410" s="2">
        <v>885</v>
      </c>
      <c r="R410" s="2">
        <v>885</v>
      </c>
      <c r="S410" s="2">
        <v>885</v>
      </c>
      <c r="T410" s="2" t="s">
        <v>28</v>
      </c>
      <c r="U410" s="2" t="b">
        <v>0</v>
      </c>
      <c r="V410" s="2" t="s">
        <v>29</v>
      </c>
      <c r="W410" s="2" t="s">
        <v>104</v>
      </c>
      <c r="X410" s="2" t="s">
        <v>105</v>
      </c>
      <c r="Y410" s="2" t="s">
        <v>1105</v>
      </c>
      <c r="Z410" s="2" t="s">
        <v>31</v>
      </c>
      <c r="AA410" s="2"/>
      <c r="AB410" s="2"/>
      <c r="AC410" s="2"/>
      <c r="AD410" s="2"/>
      <c r="AK410" s="8">
        <f t="shared" si="7"/>
        <v>45663</v>
      </c>
    </row>
    <row r="411" spans="1:37" ht="15" customHeight="1">
      <c r="A411" s="2" t="s">
        <v>1106</v>
      </c>
      <c r="B411" s="2">
        <v>0</v>
      </c>
      <c r="C411" s="2"/>
      <c r="D411" s="2" t="s">
        <v>298</v>
      </c>
      <c r="E411" s="2" t="s">
        <v>424</v>
      </c>
      <c r="F411" s="3">
        <v>45663</v>
      </c>
      <c r="G411" s="3">
        <v>45663</v>
      </c>
      <c r="H411" s="3">
        <v>45663</v>
      </c>
      <c r="I411" s="2"/>
      <c r="J411" s="2"/>
      <c r="K411" s="2" t="s">
        <v>25</v>
      </c>
      <c r="L411" s="2" t="s">
        <v>26</v>
      </c>
      <c r="M411" s="2"/>
      <c r="N411" s="2" t="s">
        <v>27</v>
      </c>
      <c r="O411" s="2">
        <v>1500</v>
      </c>
      <c r="P411" s="2">
        <v>270</v>
      </c>
      <c r="Q411" s="2">
        <v>1770</v>
      </c>
      <c r="R411" s="2">
        <v>1770</v>
      </c>
      <c r="S411" s="2">
        <v>1770</v>
      </c>
      <c r="T411" s="2" t="s">
        <v>28</v>
      </c>
      <c r="U411" s="2" t="b">
        <v>0</v>
      </c>
      <c r="V411" s="2" t="s">
        <v>29</v>
      </c>
      <c r="W411" s="2" t="s">
        <v>104</v>
      </c>
      <c r="X411" s="2" t="s">
        <v>105</v>
      </c>
      <c r="Y411" s="2" t="s">
        <v>1107</v>
      </c>
      <c r="Z411" s="2" t="s">
        <v>31</v>
      </c>
      <c r="AA411" s="2"/>
      <c r="AB411" s="2"/>
      <c r="AC411" s="2"/>
      <c r="AD411" s="2"/>
      <c r="AK411" s="8">
        <f t="shared" si="7"/>
        <v>45663</v>
      </c>
    </row>
    <row r="412" spans="1:37" ht="15" customHeight="1">
      <c r="A412" s="2" t="s">
        <v>1108</v>
      </c>
      <c r="B412" s="2">
        <v>0</v>
      </c>
      <c r="C412" s="2"/>
      <c r="D412" s="2" t="s">
        <v>298</v>
      </c>
      <c r="E412" s="2" t="s">
        <v>424</v>
      </c>
      <c r="F412" s="3">
        <v>45663</v>
      </c>
      <c r="G412" s="3">
        <v>45663</v>
      </c>
      <c r="H412" s="3">
        <v>45663</v>
      </c>
      <c r="I412" s="2"/>
      <c r="J412" s="2"/>
      <c r="K412" s="2" t="s">
        <v>25</v>
      </c>
      <c r="L412" s="2" t="s">
        <v>26</v>
      </c>
      <c r="M412" s="2"/>
      <c r="N412" s="2" t="s">
        <v>27</v>
      </c>
      <c r="O412" s="2">
        <v>2915</v>
      </c>
      <c r="P412" s="2">
        <v>524.70000000000005</v>
      </c>
      <c r="Q412" s="2">
        <v>3439.7</v>
      </c>
      <c r="R412" s="2">
        <v>3439.7</v>
      </c>
      <c r="S412" s="2">
        <v>3439.7</v>
      </c>
      <c r="T412" s="2" t="s">
        <v>28</v>
      </c>
      <c r="U412" s="2" t="b">
        <v>0</v>
      </c>
      <c r="V412" s="2" t="s">
        <v>29</v>
      </c>
      <c r="W412" s="2" t="s">
        <v>104</v>
      </c>
      <c r="X412" s="2" t="s">
        <v>105</v>
      </c>
      <c r="Y412" s="2" t="s">
        <v>1109</v>
      </c>
      <c r="Z412" s="2" t="s">
        <v>31</v>
      </c>
      <c r="AA412" s="2"/>
      <c r="AB412" s="2"/>
      <c r="AC412" s="2"/>
      <c r="AD412" s="2"/>
      <c r="AK412" s="8">
        <f t="shared" si="7"/>
        <v>45663</v>
      </c>
    </row>
    <row r="413" spans="1:37" ht="15" customHeight="1">
      <c r="A413" s="2" t="s">
        <v>1110</v>
      </c>
      <c r="B413" s="2">
        <v>0</v>
      </c>
      <c r="C413" s="2"/>
      <c r="D413" s="2" t="s">
        <v>298</v>
      </c>
      <c r="E413" s="2" t="s">
        <v>424</v>
      </c>
      <c r="F413" s="3">
        <v>45663</v>
      </c>
      <c r="G413" s="3">
        <v>45663</v>
      </c>
      <c r="H413" s="3">
        <v>45663</v>
      </c>
      <c r="I413" s="2"/>
      <c r="J413" s="2"/>
      <c r="K413" s="2" t="s">
        <v>25</v>
      </c>
      <c r="L413" s="2" t="s">
        <v>26</v>
      </c>
      <c r="M413" s="2"/>
      <c r="N413" s="2" t="s">
        <v>27</v>
      </c>
      <c r="O413" s="2">
        <v>1759.92</v>
      </c>
      <c r="P413" s="2">
        <v>316.77999999999997</v>
      </c>
      <c r="Q413" s="2">
        <v>2076.6999999999998</v>
      </c>
      <c r="R413" s="2">
        <v>2076.6999999999998</v>
      </c>
      <c r="S413" s="2">
        <v>2076.6999999999998</v>
      </c>
      <c r="T413" s="2" t="s">
        <v>28</v>
      </c>
      <c r="U413" s="2" t="b">
        <v>0</v>
      </c>
      <c r="V413" s="2" t="s">
        <v>29</v>
      </c>
      <c r="W413" s="2" t="s">
        <v>104</v>
      </c>
      <c r="X413" s="2" t="s">
        <v>105</v>
      </c>
      <c r="Y413" s="2" t="s">
        <v>1111</v>
      </c>
      <c r="Z413" s="2" t="s">
        <v>31</v>
      </c>
      <c r="AA413" s="2"/>
      <c r="AB413" s="2"/>
      <c r="AC413" s="2"/>
      <c r="AD413" s="2"/>
      <c r="AK413" s="8">
        <f t="shared" si="7"/>
        <v>45663</v>
      </c>
    </row>
    <row r="414" spans="1:37" ht="15" customHeight="1">
      <c r="A414" s="2" t="s">
        <v>1112</v>
      </c>
      <c r="B414" s="2">
        <v>0</v>
      </c>
      <c r="C414" s="2"/>
      <c r="D414" s="2" t="s">
        <v>298</v>
      </c>
      <c r="E414" s="2" t="s">
        <v>452</v>
      </c>
      <c r="F414" s="3">
        <v>45663</v>
      </c>
      <c r="G414" s="3">
        <v>45663</v>
      </c>
      <c r="H414" s="3">
        <v>45663</v>
      </c>
      <c r="I414" s="2"/>
      <c r="J414" s="2"/>
      <c r="K414" s="2" t="s">
        <v>25</v>
      </c>
      <c r="L414" s="2" t="s">
        <v>26</v>
      </c>
      <c r="M414" s="2"/>
      <c r="N414" s="2" t="s">
        <v>27</v>
      </c>
      <c r="O414" s="2">
        <v>170.76</v>
      </c>
      <c r="P414" s="2">
        <v>30.74</v>
      </c>
      <c r="Q414" s="2">
        <v>201.5</v>
      </c>
      <c r="R414" s="2">
        <v>201.5</v>
      </c>
      <c r="S414" s="2">
        <v>201.5</v>
      </c>
      <c r="T414" s="2" t="s">
        <v>28</v>
      </c>
      <c r="U414" s="2" t="b">
        <v>0</v>
      </c>
      <c r="V414" s="2" t="s">
        <v>29</v>
      </c>
      <c r="W414" s="2" t="s">
        <v>104</v>
      </c>
      <c r="X414" s="2" t="s">
        <v>105</v>
      </c>
      <c r="Y414" s="2" t="s">
        <v>1113</v>
      </c>
      <c r="Z414" s="2" t="s">
        <v>31</v>
      </c>
      <c r="AA414" s="2"/>
      <c r="AB414" s="2"/>
      <c r="AC414" s="2"/>
      <c r="AD414" s="2"/>
      <c r="AK414" s="8">
        <f t="shared" si="7"/>
        <v>45663</v>
      </c>
    </row>
    <row r="415" spans="1:37" ht="15" customHeight="1">
      <c r="A415" s="2" t="s">
        <v>1114</v>
      </c>
      <c r="B415" s="2">
        <v>0</v>
      </c>
      <c r="C415" s="2"/>
      <c r="D415" s="2" t="s">
        <v>298</v>
      </c>
      <c r="E415" s="2" t="s">
        <v>452</v>
      </c>
      <c r="F415" s="3">
        <v>45663</v>
      </c>
      <c r="G415" s="3">
        <v>45663</v>
      </c>
      <c r="H415" s="3">
        <v>45663</v>
      </c>
      <c r="I415" s="2"/>
      <c r="J415" s="2"/>
      <c r="K415" s="2" t="s">
        <v>25</v>
      </c>
      <c r="L415" s="2" t="s">
        <v>26</v>
      </c>
      <c r="M415" s="2"/>
      <c r="N415" s="2" t="s">
        <v>27</v>
      </c>
      <c r="O415" s="2">
        <v>102.29</v>
      </c>
      <c r="P415" s="2">
        <v>18.41</v>
      </c>
      <c r="Q415" s="2">
        <v>120.7</v>
      </c>
      <c r="R415" s="2">
        <v>120.7</v>
      </c>
      <c r="S415" s="2">
        <v>120.7</v>
      </c>
      <c r="T415" s="2" t="s">
        <v>28</v>
      </c>
      <c r="U415" s="2" t="b">
        <v>0</v>
      </c>
      <c r="V415" s="2" t="s">
        <v>29</v>
      </c>
      <c r="W415" s="2" t="s">
        <v>104</v>
      </c>
      <c r="X415" s="2" t="s">
        <v>105</v>
      </c>
      <c r="Y415" s="2" t="s">
        <v>1115</v>
      </c>
      <c r="Z415" s="2" t="s">
        <v>31</v>
      </c>
      <c r="AA415" s="2"/>
      <c r="AB415" s="2"/>
      <c r="AC415" s="2"/>
      <c r="AD415" s="2"/>
      <c r="AK415" s="8">
        <f t="shared" si="7"/>
        <v>45663</v>
      </c>
    </row>
    <row r="416" spans="1:37" ht="15" customHeight="1">
      <c r="A416" s="2" t="s">
        <v>1116</v>
      </c>
      <c r="B416" s="2">
        <v>0</v>
      </c>
      <c r="C416" s="2"/>
      <c r="D416" s="2" t="s">
        <v>298</v>
      </c>
      <c r="E416" s="2" t="s">
        <v>1117</v>
      </c>
      <c r="F416" s="3">
        <v>45663</v>
      </c>
      <c r="G416" s="3">
        <v>45663</v>
      </c>
      <c r="H416" s="3">
        <v>45663</v>
      </c>
      <c r="I416" s="2"/>
      <c r="J416" s="2"/>
      <c r="K416" s="2" t="s">
        <v>25</v>
      </c>
      <c r="L416" s="2" t="s">
        <v>26</v>
      </c>
      <c r="M416" s="2"/>
      <c r="N416" s="2" t="s">
        <v>27</v>
      </c>
      <c r="O416" s="2">
        <v>75.680000000000007</v>
      </c>
      <c r="P416" s="2">
        <v>13.62</v>
      </c>
      <c r="Q416" s="2">
        <v>89.3</v>
      </c>
      <c r="R416" s="2">
        <v>89.3</v>
      </c>
      <c r="S416" s="2">
        <v>89.3</v>
      </c>
      <c r="T416" s="2" t="s">
        <v>28</v>
      </c>
      <c r="U416" s="2" t="b">
        <v>0</v>
      </c>
      <c r="V416" s="2" t="s">
        <v>29</v>
      </c>
      <c r="W416" s="2" t="s">
        <v>104</v>
      </c>
      <c r="X416" s="2" t="s">
        <v>105</v>
      </c>
      <c r="Y416" s="2" t="s">
        <v>1118</v>
      </c>
      <c r="Z416" s="2" t="s">
        <v>31</v>
      </c>
      <c r="AA416" s="2"/>
      <c r="AB416" s="2"/>
      <c r="AC416" s="2"/>
      <c r="AD416" s="2"/>
      <c r="AK416" s="8">
        <f t="shared" si="7"/>
        <v>45663</v>
      </c>
    </row>
    <row r="417" spans="1:37" ht="15" customHeight="1">
      <c r="A417" s="2" t="s">
        <v>1119</v>
      </c>
      <c r="B417" s="2">
        <v>0</v>
      </c>
      <c r="C417" s="2"/>
      <c r="D417" s="2" t="s">
        <v>298</v>
      </c>
      <c r="E417" s="2" t="s">
        <v>1117</v>
      </c>
      <c r="F417" s="3">
        <v>45663</v>
      </c>
      <c r="G417" s="3">
        <v>45663</v>
      </c>
      <c r="H417" s="3">
        <v>45663</v>
      </c>
      <c r="I417" s="2"/>
      <c r="J417" s="2"/>
      <c r="K417" s="2" t="s">
        <v>25</v>
      </c>
      <c r="L417" s="2" t="s">
        <v>26</v>
      </c>
      <c r="M417" s="2"/>
      <c r="N417" s="2" t="s">
        <v>27</v>
      </c>
      <c r="O417" s="2">
        <v>43.22</v>
      </c>
      <c r="P417" s="2">
        <v>7.78</v>
      </c>
      <c r="Q417" s="2">
        <v>51</v>
      </c>
      <c r="R417" s="2">
        <v>51</v>
      </c>
      <c r="S417" s="2">
        <v>51</v>
      </c>
      <c r="T417" s="2" t="s">
        <v>28</v>
      </c>
      <c r="U417" s="2" t="b">
        <v>0</v>
      </c>
      <c r="V417" s="2" t="s">
        <v>29</v>
      </c>
      <c r="W417" s="2" t="s">
        <v>104</v>
      </c>
      <c r="X417" s="2" t="s">
        <v>105</v>
      </c>
      <c r="Y417" s="2" t="s">
        <v>1120</v>
      </c>
      <c r="Z417" s="2" t="s">
        <v>31</v>
      </c>
      <c r="AA417" s="2"/>
      <c r="AB417" s="2"/>
      <c r="AC417" s="2"/>
      <c r="AD417" s="2"/>
      <c r="AK417" s="8">
        <f t="shared" si="7"/>
        <v>45663</v>
      </c>
    </row>
    <row r="418" spans="1:37" ht="15" customHeight="1">
      <c r="A418" s="2" t="s">
        <v>1121</v>
      </c>
      <c r="B418" s="2">
        <v>0</v>
      </c>
      <c r="C418" s="2"/>
      <c r="D418" s="2" t="s">
        <v>298</v>
      </c>
      <c r="E418" s="2" t="s">
        <v>490</v>
      </c>
      <c r="F418" s="3">
        <v>45663</v>
      </c>
      <c r="G418" s="3">
        <v>45663</v>
      </c>
      <c r="H418" s="3">
        <v>45663</v>
      </c>
      <c r="I418" s="2"/>
      <c r="J418" s="2"/>
      <c r="K418" s="2" t="s">
        <v>25</v>
      </c>
      <c r="L418" s="2" t="s">
        <v>26</v>
      </c>
      <c r="M418" s="2"/>
      <c r="N418" s="2" t="s">
        <v>27</v>
      </c>
      <c r="O418" s="2">
        <v>58.39</v>
      </c>
      <c r="P418" s="2">
        <v>10.51</v>
      </c>
      <c r="Q418" s="2">
        <v>68.900000000000006</v>
      </c>
      <c r="R418" s="2">
        <v>68.900000000000006</v>
      </c>
      <c r="S418" s="2">
        <v>68.900000000000006</v>
      </c>
      <c r="T418" s="2" t="s">
        <v>28</v>
      </c>
      <c r="U418" s="2" t="b">
        <v>0</v>
      </c>
      <c r="V418" s="2" t="s">
        <v>29</v>
      </c>
      <c r="W418" s="2" t="s">
        <v>104</v>
      </c>
      <c r="X418" s="2" t="s">
        <v>105</v>
      </c>
      <c r="Y418" s="2" t="s">
        <v>1122</v>
      </c>
      <c r="Z418" s="2" t="s">
        <v>31</v>
      </c>
      <c r="AA418" s="2"/>
      <c r="AB418" s="2"/>
      <c r="AC418" s="2"/>
      <c r="AD418" s="2"/>
      <c r="AK418" s="8">
        <f t="shared" si="7"/>
        <v>45663</v>
      </c>
    </row>
    <row r="419" spans="1:37" ht="15" customHeight="1">
      <c r="A419" s="2" t="s">
        <v>1123</v>
      </c>
      <c r="B419" s="2">
        <v>0</v>
      </c>
      <c r="C419" s="2"/>
      <c r="D419" s="2" t="s">
        <v>298</v>
      </c>
      <c r="E419" s="2" t="s">
        <v>490</v>
      </c>
      <c r="F419" s="3">
        <v>45663</v>
      </c>
      <c r="G419" s="3">
        <v>45663</v>
      </c>
      <c r="H419" s="3">
        <v>45663</v>
      </c>
      <c r="I419" s="2"/>
      <c r="J419" s="2"/>
      <c r="K419" s="2" t="s">
        <v>25</v>
      </c>
      <c r="L419" s="2" t="s">
        <v>26</v>
      </c>
      <c r="M419" s="2"/>
      <c r="N419" s="2" t="s">
        <v>27</v>
      </c>
      <c r="O419" s="2">
        <v>38.81</v>
      </c>
      <c r="P419" s="2">
        <v>6.99</v>
      </c>
      <c r="Q419" s="2">
        <v>45.8</v>
      </c>
      <c r="R419" s="2">
        <v>45.8</v>
      </c>
      <c r="S419" s="2">
        <v>45.8</v>
      </c>
      <c r="T419" s="2" t="s">
        <v>28</v>
      </c>
      <c r="U419" s="2" t="b">
        <v>0</v>
      </c>
      <c r="V419" s="2" t="s">
        <v>29</v>
      </c>
      <c r="W419" s="2" t="s">
        <v>104</v>
      </c>
      <c r="X419" s="2" t="s">
        <v>105</v>
      </c>
      <c r="Y419" s="2" t="s">
        <v>1124</v>
      </c>
      <c r="Z419" s="2" t="s">
        <v>31</v>
      </c>
      <c r="AA419" s="2"/>
      <c r="AB419" s="2"/>
      <c r="AC419" s="2"/>
      <c r="AD419" s="2"/>
      <c r="AK419" s="8">
        <f t="shared" si="7"/>
        <v>45663</v>
      </c>
    </row>
    <row r="420" spans="1:37" ht="15" customHeight="1">
      <c r="A420" s="2" t="s">
        <v>1125</v>
      </c>
      <c r="B420" s="2">
        <v>0</v>
      </c>
      <c r="C420" s="2"/>
      <c r="D420" s="2" t="s">
        <v>298</v>
      </c>
      <c r="E420" s="2" t="s">
        <v>1126</v>
      </c>
      <c r="F420" s="3">
        <v>45663</v>
      </c>
      <c r="G420" s="3">
        <v>45663</v>
      </c>
      <c r="H420" s="3">
        <v>45663</v>
      </c>
      <c r="I420" s="2"/>
      <c r="J420" s="2"/>
      <c r="K420" s="2" t="s">
        <v>25</v>
      </c>
      <c r="L420" s="2" t="s">
        <v>26</v>
      </c>
      <c r="M420" s="2"/>
      <c r="N420" s="2" t="s">
        <v>27</v>
      </c>
      <c r="O420" s="2">
        <v>11.53</v>
      </c>
      <c r="P420" s="2">
        <v>2.0699999999999998</v>
      </c>
      <c r="Q420" s="2">
        <v>13.6</v>
      </c>
      <c r="R420" s="2">
        <v>13.6</v>
      </c>
      <c r="S420" s="2">
        <v>13.6</v>
      </c>
      <c r="T420" s="2" t="s">
        <v>28</v>
      </c>
      <c r="U420" s="2" t="b">
        <v>0</v>
      </c>
      <c r="V420" s="2" t="s">
        <v>29</v>
      </c>
      <c r="W420" s="2" t="s">
        <v>104</v>
      </c>
      <c r="X420" s="2" t="s">
        <v>105</v>
      </c>
      <c r="Y420" s="2" t="s">
        <v>1127</v>
      </c>
      <c r="Z420" s="2" t="s">
        <v>31</v>
      </c>
      <c r="AA420" s="2"/>
      <c r="AB420" s="2"/>
      <c r="AC420" s="2"/>
      <c r="AD420" s="2"/>
      <c r="AK420" s="8">
        <f t="shared" si="7"/>
        <v>45663</v>
      </c>
    </row>
    <row r="421" spans="1:37" ht="15" customHeight="1">
      <c r="A421" s="2" t="s">
        <v>1128</v>
      </c>
      <c r="B421" s="2">
        <v>0</v>
      </c>
      <c r="C421" s="2"/>
      <c r="D421" s="2" t="s">
        <v>298</v>
      </c>
      <c r="E421" s="2" t="s">
        <v>1126</v>
      </c>
      <c r="F421" s="3">
        <v>45663</v>
      </c>
      <c r="G421" s="3">
        <v>45663</v>
      </c>
      <c r="H421" s="3">
        <v>45663</v>
      </c>
      <c r="I421" s="2"/>
      <c r="J421" s="2"/>
      <c r="K421" s="2" t="s">
        <v>25</v>
      </c>
      <c r="L421" s="2" t="s">
        <v>26</v>
      </c>
      <c r="M421" s="2"/>
      <c r="N421" s="2" t="s">
        <v>27</v>
      </c>
      <c r="O421" s="2">
        <v>8.14</v>
      </c>
      <c r="P421" s="2">
        <v>1.46</v>
      </c>
      <c r="Q421" s="2">
        <v>9.6</v>
      </c>
      <c r="R421" s="2">
        <v>9.6</v>
      </c>
      <c r="S421" s="2">
        <v>9.6</v>
      </c>
      <c r="T421" s="2" t="s">
        <v>28</v>
      </c>
      <c r="U421" s="2" t="b">
        <v>0</v>
      </c>
      <c r="V421" s="2" t="s">
        <v>29</v>
      </c>
      <c r="W421" s="2" t="s">
        <v>104</v>
      </c>
      <c r="X421" s="2" t="s">
        <v>105</v>
      </c>
      <c r="Y421" s="2" t="s">
        <v>1129</v>
      </c>
      <c r="Z421" s="2" t="s">
        <v>31</v>
      </c>
      <c r="AA421" s="2"/>
      <c r="AB421" s="2"/>
      <c r="AC421" s="2"/>
      <c r="AD421" s="2"/>
      <c r="AK421" s="8">
        <f t="shared" si="7"/>
        <v>45663</v>
      </c>
    </row>
    <row r="422" spans="1:37" ht="15" customHeight="1">
      <c r="A422" s="2" t="s">
        <v>1130</v>
      </c>
      <c r="B422" s="2">
        <v>0</v>
      </c>
      <c r="C422" s="2"/>
      <c r="D422" s="2" t="s">
        <v>265</v>
      </c>
      <c r="E422" s="2" t="s">
        <v>1131</v>
      </c>
      <c r="F422" s="3">
        <v>45663</v>
      </c>
      <c r="G422" s="3">
        <v>45663</v>
      </c>
      <c r="H422" s="3">
        <v>45663</v>
      </c>
      <c r="I422" s="2"/>
      <c r="J422" s="2"/>
      <c r="K422" s="2" t="s">
        <v>25</v>
      </c>
      <c r="L422" s="2" t="s">
        <v>26</v>
      </c>
      <c r="M422" s="2"/>
      <c r="N422" s="2" t="s">
        <v>27</v>
      </c>
      <c r="O422" s="2">
        <v>113.39</v>
      </c>
      <c r="P422" s="2">
        <v>20.41</v>
      </c>
      <c r="Q422" s="2">
        <v>133.80000000000001</v>
      </c>
      <c r="R422" s="2">
        <v>133.80000000000001</v>
      </c>
      <c r="S422" s="2">
        <v>133.80000000000001</v>
      </c>
      <c r="T422" s="2" t="s">
        <v>28</v>
      </c>
      <c r="U422" s="2" t="b">
        <v>0</v>
      </c>
      <c r="V422" s="2" t="s">
        <v>29</v>
      </c>
      <c r="W422" s="2" t="s">
        <v>104</v>
      </c>
      <c r="X422" s="2" t="s">
        <v>105</v>
      </c>
      <c r="Y422" s="2" t="s">
        <v>1132</v>
      </c>
      <c r="Z422" s="2" t="s">
        <v>31</v>
      </c>
      <c r="AA422" s="2"/>
      <c r="AB422" s="2"/>
      <c r="AC422" s="2"/>
      <c r="AD422" s="2"/>
      <c r="AK422" s="8">
        <f t="shared" si="7"/>
        <v>45663</v>
      </c>
    </row>
    <row r="423" spans="1:37" ht="15" customHeight="1">
      <c r="A423" s="2" t="s">
        <v>1133</v>
      </c>
      <c r="B423" s="2">
        <v>0</v>
      </c>
      <c r="C423" s="2"/>
      <c r="D423" s="2" t="s">
        <v>265</v>
      </c>
      <c r="E423" s="2" t="s">
        <v>1131</v>
      </c>
      <c r="F423" s="3">
        <v>45663</v>
      </c>
      <c r="G423" s="3">
        <v>45663</v>
      </c>
      <c r="H423" s="3">
        <v>45663</v>
      </c>
      <c r="I423" s="2"/>
      <c r="J423" s="2"/>
      <c r="K423" s="2" t="s">
        <v>25</v>
      </c>
      <c r="L423" s="2" t="s">
        <v>26</v>
      </c>
      <c r="M423" s="2"/>
      <c r="N423" s="2" t="s">
        <v>27</v>
      </c>
      <c r="O423" s="2">
        <v>59.15</v>
      </c>
      <c r="P423" s="2">
        <v>10.65</v>
      </c>
      <c r="Q423" s="2">
        <v>69.8</v>
      </c>
      <c r="R423" s="2">
        <v>69.8</v>
      </c>
      <c r="S423" s="2">
        <v>69.8</v>
      </c>
      <c r="T423" s="2" t="s">
        <v>28</v>
      </c>
      <c r="U423" s="2" t="b">
        <v>0</v>
      </c>
      <c r="V423" s="2" t="s">
        <v>29</v>
      </c>
      <c r="W423" s="2" t="s">
        <v>104</v>
      </c>
      <c r="X423" s="2" t="s">
        <v>105</v>
      </c>
      <c r="Y423" s="2" t="s">
        <v>1134</v>
      </c>
      <c r="Z423" s="2" t="s">
        <v>31</v>
      </c>
      <c r="AA423" s="2"/>
      <c r="AB423" s="2"/>
      <c r="AC423" s="2"/>
      <c r="AD423" s="2"/>
      <c r="AK423" s="8">
        <f t="shared" si="7"/>
        <v>45663</v>
      </c>
    </row>
    <row r="424" spans="1:37" ht="15" customHeight="1">
      <c r="A424" s="2" t="s">
        <v>1135</v>
      </c>
      <c r="B424" s="2">
        <v>0</v>
      </c>
      <c r="C424" s="2"/>
      <c r="D424" s="2" t="s">
        <v>265</v>
      </c>
      <c r="E424" s="2" t="s">
        <v>1136</v>
      </c>
      <c r="F424" s="3">
        <v>45663</v>
      </c>
      <c r="G424" s="3">
        <v>45663</v>
      </c>
      <c r="H424" s="3">
        <v>45663</v>
      </c>
      <c r="I424" s="2"/>
      <c r="J424" s="2"/>
      <c r="K424" s="2" t="s">
        <v>25</v>
      </c>
      <c r="L424" s="2" t="s">
        <v>26</v>
      </c>
      <c r="M424" s="2"/>
      <c r="N424" s="2" t="s">
        <v>27</v>
      </c>
      <c r="O424" s="2">
        <v>59.66</v>
      </c>
      <c r="P424" s="2">
        <v>10.74</v>
      </c>
      <c r="Q424" s="2">
        <v>70.400000000000006</v>
      </c>
      <c r="R424" s="2">
        <v>70.400000000000006</v>
      </c>
      <c r="S424" s="2">
        <v>70.400000000000006</v>
      </c>
      <c r="T424" s="2" t="s">
        <v>28</v>
      </c>
      <c r="U424" s="2" t="b">
        <v>0</v>
      </c>
      <c r="V424" s="2" t="s">
        <v>29</v>
      </c>
      <c r="W424" s="2" t="s">
        <v>104</v>
      </c>
      <c r="X424" s="2" t="s">
        <v>105</v>
      </c>
      <c r="Y424" s="2" t="s">
        <v>1137</v>
      </c>
      <c r="Z424" s="2" t="s">
        <v>31</v>
      </c>
      <c r="AA424" s="2"/>
      <c r="AB424" s="2"/>
      <c r="AC424" s="2"/>
      <c r="AD424" s="2"/>
      <c r="AK424" s="8">
        <f t="shared" si="7"/>
        <v>45663</v>
      </c>
    </row>
    <row r="425" spans="1:37" ht="15" customHeight="1">
      <c r="A425" s="2" t="s">
        <v>1138</v>
      </c>
      <c r="B425" s="2">
        <v>0</v>
      </c>
      <c r="C425" s="2"/>
      <c r="D425" s="2" t="s">
        <v>265</v>
      </c>
      <c r="E425" s="2" t="s">
        <v>1136</v>
      </c>
      <c r="F425" s="3">
        <v>45663</v>
      </c>
      <c r="G425" s="3">
        <v>45663</v>
      </c>
      <c r="H425" s="3">
        <v>45663</v>
      </c>
      <c r="I425" s="2"/>
      <c r="J425" s="2"/>
      <c r="K425" s="2" t="s">
        <v>25</v>
      </c>
      <c r="L425" s="2" t="s">
        <v>26</v>
      </c>
      <c r="M425" s="2"/>
      <c r="N425" s="2" t="s">
        <v>27</v>
      </c>
      <c r="O425" s="2">
        <v>43</v>
      </c>
      <c r="P425" s="2">
        <v>7.74</v>
      </c>
      <c r="Q425" s="2">
        <v>50.74</v>
      </c>
      <c r="R425" s="2">
        <v>50.74</v>
      </c>
      <c r="S425" s="2">
        <v>50.74</v>
      </c>
      <c r="T425" s="2" t="s">
        <v>28</v>
      </c>
      <c r="U425" s="2" t="b">
        <v>0</v>
      </c>
      <c r="V425" s="2" t="s">
        <v>29</v>
      </c>
      <c r="W425" s="2" t="s">
        <v>104</v>
      </c>
      <c r="X425" s="2" t="s">
        <v>105</v>
      </c>
      <c r="Y425" s="2" t="s">
        <v>1139</v>
      </c>
      <c r="Z425" s="2" t="s">
        <v>31</v>
      </c>
      <c r="AA425" s="2"/>
      <c r="AB425" s="2"/>
      <c r="AC425" s="2"/>
      <c r="AD425" s="2"/>
      <c r="AK425" s="8">
        <f t="shared" si="7"/>
        <v>45663</v>
      </c>
    </row>
    <row r="426" spans="1:37" ht="15" customHeight="1">
      <c r="A426" s="2" t="s">
        <v>1140</v>
      </c>
      <c r="B426" s="2">
        <v>0</v>
      </c>
      <c r="C426" s="2"/>
      <c r="D426" s="2" t="s">
        <v>265</v>
      </c>
      <c r="E426" s="2" t="s">
        <v>1141</v>
      </c>
      <c r="F426" s="3">
        <v>45663</v>
      </c>
      <c r="G426" s="3">
        <v>45663</v>
      </c>
      <c r="H426" s="3">
        <v>45663</v>
      </c>
      <c r="I426" s="2"/>
      <c r="J426" s="2"/>
      <c r="K426" s="2" t="s">
        <v>25</v>
      </c>
      <c r="L426" s="2" t="s">
        <v>26</v>
      </c>
      <c r="M426" s="2"/>
      <c r="N426" s="2" t="s">
        <v>27</v>
      </c>
      <c r="O426" s="2">
        <v>66.45</v>
      </c>
      <c r="P426" s="2">
        <v>11.96</v>
      </c>
      <c r="Q426" s="2">
        <v>78.41</v>
      </c>
      <c r="R426" s="2">
        <v>78.41</v>
      </c>
      <c r="S426" s="2">
        <v>78.41</v>
      </c>
      <c r="T426" s="2" t="s">
        <v>28</v>
      </c>
      <c r="U426" s="2" t="b">
        <v>0</v>
      </c>
      <c r="V426" s="2" t="s">
        <v>29</v>
      </c>
      <c r="W426" s="2" t="s">
        <v>104</v>
      </c>
      <c r="X426" s="2" t="s">
        <v>105</v>
      </c>
      <c r="Y426" s="2" t="s">
        <v>1142</v>
      </c>
      <c r="Z426" s="2" t="s">
        <v>31</v>
      </c>
      <c r="AA426" s="2"/>
      <c r="AB426" s="2"/>
      <c r="AC426" s="2"/>
      <c r="AD426" s="2"/>
      <c r="AK426" s="8">
        <f t="shared" si="7"/>
        <v>45663</v>
      </c>
    </row>
    <row r="427" spans="1:37" ht="15" customHeight="1">
      <c r="A427" s="2" t="s">
        <v>1143</v>
      </c>
      <c r="B427" s="2">
        <v>0</v>
      </c>
      <c r="C427" s="2"/>
      <c r="D427" s="2" t="s">
        <v>265</v>
      </c>
      <c r="E427" s="2" t="s">
        <v>1141</v>
      </c>
      <c r="F427" s="3">
        <v>45663</v>
      </c>
      <c r="G427" s="3">
        <v>45663</v>
      </c>
      <c r="H427" s="3">
        <v>45663</v>
      </c>
      <c r="I427" s="2"/>
      <c r="J427" s="2"/>
      <c r="K427" s="2" t="s">
        <v>25</v>
      </c>
      <c r="L427" s="2" t="s">
        <v>26</v>
      </c>
      <c r="M427" s="2"/>
      <c r="N427" s="2" t="s">
        <v>27</v>
      </c>
      <c r="O427" s="2">
        <v>41.47</v>
      </c>
      <c r="P427" s="2">
        <v>7.47</v>
      </c>
      <c r="Q427" s="2">
        <v>48.94</v>
      </c>
      <c r="R427" s="2">
        <v>48.94</v>
      </c>
      <c r="S427" s="2">
        <v>48.94</v>
      </c>
      <c r="T427" s="2" t="s">
        <v>28</v>
      </c>
      <c r="U427" s="2" t="b">
        <v>0</v>
      </c>
      <c r="V427" s="2" t="s">
        <v>29</v>
      </c>
      <c r="W427" s="2" t="s">
        <v>104</v>
      </c>
      <c r="X427" s="2" t="s">
        <v>105</v>
      </c>
      <c r="Y427" s="2" t="s">
        <v>1144</v>
      </c>
      <c r="Z427" s="2" t="s">
        <v>31</v>
      </c>
      <c r="AA427" s="2"/>
      <c r="AB427" s="2"/>
      <c r="AC427" s="2"/>
      <c r="AD427" s="2"/>
      <c r="AK427" s="8">
        <f t="shared" si="7"/>
        <v>45663</v>
      </c>
    </row>
    <row r="428" spans="1:37" ht="15" customHeight="1">
      <c r="A428" s="2" t="s">
        <v>1145</v>
      </c>
      <c r="B428" s="2">
        <v>0</v>
      </c>
      <c r="C428" s="2"/>
      <c r="D428" s="2" t="s">
        <v>265</v>
      </c>
      <c r="E428" s="2" t="s">
        <v>1146</v>
      </c>
      <c r="F428" s="3">
        <v>45663</v>
      </c>
      <c r="G428" s="3">
        <v>45663</v>
      </c>
      <c r="H428" s="3">
        <v>45663</v>
      </c>
      <c r="I428" s="2"/>
      <c r="J428" s="2"/>
      <c r="K428" s="2" t="s">
        <v>25</v>
      </c>
      <c r="L428" s="2" t="s">
        <v>26</v>
      </c>
      <c r="M428" s="2"/>
      <c r="N428" s="2" t="s">
        <v>27</v>
      </c>
      <c r="O428" s="2">
        <v>109.06</v>
      </c>
      <c r="P428" s="2">
        <v>19.63</v>
      </c>
      <c r="Q428" s="2">
        <v>128.69</v>
      </c>
      <c r="R428" s="2">
        <v>128.69</v>
      </c>
      <c r="S428" s="2">
        <v>128.69</v>
      </c>
      <c r="T428" s="2" t="s">
        <v>28</v>
      </c>
      <c r="U428" s="2" t="b">
        <v>0</v>
      </c>
      <c r="V428" s="2" t="s">
        <v>29</v>
      </c>
      <c r="W428" s="2" t="s">
        <v>104</v>
      </c>
      <c r="X428" s="2" t="s">
        <v>105</v>
      </c>
      <c r="Y428" s="2" t="s">
        <v>1147</v>
      </c>
      <c r="Z428" s="2" t="s">
        <v>31</v>
      </c>
      <c r="AA428" s="2"/>
      <c r="AB428" s="2"/>
      <c r="AC428" s="2"/>
      <c r="AD428" s="2"/>
      <c r="AK428" s="8">
        <f t="shared" si="7"/>
        <v>45663</v>
      </c>
    </row>
    <row r="429" spans="1:37" ht="15" customHeight="1">
      <c r="A429" s="2" t="s">
        <v>1148</v>
      </c>
      <c r="B429" s="2">
        <v>0</v>
      </c>
      <c r="C429" s="2"/>
      <c r="D429" s="2" t="s">
        <v>265</v>
      </c>
      <c r="E429" s="2" t="s">
        <v>1146</v>
      </c>
      <c r="F429" s="3">
        <v>45663</v>
      </c>
      <c r="G429" s="3">
        <v>45663</v>
      </c>
      <c r="H429" s="3">
        <v>45663</v>
      </c>
      <c r="I429" s="2"/>
      <c r="J429" s="2"/>
      <c r="K429" s="2" t="s">
        <v>25</v>
      </c>
      <c r="L429" s="2" t="s">
        <v>26</v>
      </c>
      <c r="M429" s="2"/>
      <c r="N429" s="2" t="s">
        <v>27</v>
      </c>
      <c r="O429" s="2">
        <v>182.75</v>
      </c>
      <c r="P429" s="2">
        <v>32.89</v>
      </c>
      <c r="Q429" s="2">
        <v>215.64</v>
      </c>
      <c r="R429" s="2">
        <v>215.64</v>
      </c>
      <c r="S429" s="2">
        <v>215.64</v>
      </c>
      <c r="T429" s="2" t="s">
        <v>28</v>
      </c>
      <c r="U429" s="2" t="b">
        <v>0</v>
      </c>
      <c r="V429" s="2" t="s">
        <v>29</v>
      </c>
      <c r="W429" s="2" t="s">
        <v>104</v>
      </c>
      <c r="X429" s="2" t="s">
        <v>105</v>
      </c>
      <c r="Y429" s="2" t="s">
        <v>1149</v>
      </c>
      <c r="Z429" s="2" t="s">
        <v>31</v>
      </c>
      <c r="AA429" s="2"/>
      <c r="AB429" s="2"/>
      <c r="AC429" s="2"/>
      <c r="AD429" s="2"/>
      <c r="AK429" s="8">
        <f t="shared" si="7"/>
        <v>45663</v>
      </c>
    </row>
    <row r="430" spans="1:37" ht="15" customHeight="1">
      <c r="A430" s="2" t="s">
        <v>1150</v>
      </c>
      <c r="B430" s="2">
        <v>0</v>
      </c>
      <c r="C430" s="2"/>
      <c r="D430" s="2" t="s">
        <v>265</v>
      </c>
      <c r="E430" s="2" t="s">
        <v>1151</v>
      </c>
      <c r="F430" s="3">
        <v>45663</v>
      </c>
      <c r="G430" s="3">
        <v>45663</v>
      </c>
      <c r="H430" s="3">
        <v>45663</v>
      </c>
      <c r="I430" s="2"/>
      <c r="J430" s="2"/>
      <c r="K430" s="2" t="s">
        <v>25</v>
      </c>
      <c r="L430" s="2" t="s">
        <v>26</v>
      </c>
      <c r="M430" s="2"/>
      <c r="N430" s="2" t="s">
        <v>27</v>
      </c>
      <c r="O430" s="2">
        <v>757.54</v>
      </c>
      <c r="P430" s="2">
        <v>136.36000000000001</v>
      </c>
      <c r="Q430" s="2">
        <v>893.9</v>
      </c>
      <c r="R430" s="2">
        <v>893.9</v>
      </c>
      <c r="S430" s="2">
        <v>893.9</v>
      </c>
      <c r="T430" s="2" t="s">
        <v>28</v>
      </c>
      <c r="U430" s="2" t="b">
        <v>0</v>
      </c>
      <c r="V430" s="2" t="s">
        <v>29</v>
      </c>
      <c r="W430" s="2" t="s">
        <v>104</v>
      </c>
      <c r="X430" s="2" t="s">
        <v>105</v>
      </c>
      <c r="Y430" s="2" t="s">
        <v>1152</v>
      </c>
      <c r="Z430" s="2" t="s">
        <v>31</v>
      </c>
      <c r="AA430" s="2"/>
      <c r="AB430" s="2"/>
      <c r="AC430" s="2"/>
      <c r="AD430" s="2"/>
      <c r="AK430" s="8">
        <f t="shared" si="7"/>
        <v>45663</v>
      </c>
    </row>
    <row r="431" spans="1:37" ht="15" customHeight="1">
      <c r="A431" s="2" t="s">
        <v>1153</v>
      </c>
      <c r="B431" s="2">
        <v>0</v>
      </c>
      <c r="C431" s="2"/>
      <c r="D431" s="2" t="s">
        <v>265</v>
      </c>
      <c r="E431" s="2" t="s">
        <v>1151</v>
      </c>
      <c r="F431" s="3">
        <v>45663</v>
      </c>
      <c r="G431" s="3">
        <v>45663</v>
      </c>
      <c r="H431" s="3">
        <v>45663</v>
      </c>
      <c r="I431" s="2"/>
      <c r="J431" s="2"/>
      <c r="K431" s="2" t="s">
        <v>25</v>
      </c>
      <c r="L431" s="2" t="s">
        <v>26</v>
      </c>
      <c r="M431" s="2"/>
      <c r="N431" s="2" t="s">
        <v>27</v>
      </c>
      <c r="O431" s="2">
        <v>460.17</v>
      </c>
      <c r="P431" s="2">
        <v>82.83</v>
      </c>
      <c r="Q431" s="2">
        <v>543</v>
      </c>
      <c r="R431" s="2">
        <v>543</v>
      </c>
      <c r="S431" s="2">
        <v>543</v>
      </c>
      <c r="T431" s="2" t="s">
        <v>28</v>
      </c>
      <c r="U431" s="2" t="b">
        <v>0</v>
      </c>
      <c r="V431" s="2" t="s">
        <v>29</v>
      </c>
      <c r="W431" s="2" t="s">
        <v>104</v>
      </c>
      <c r="X431" s="2" t="s">
        <v>105</v>
      </c>
      <c r="Y431" s="2" t="s">
        <v>1154</v>
      </c>
      <c r="Z431" s="2" t="s">
        <v>31</v>
      </c>
      <c r="AA431" s="2"/>
      <c r="AB431" s="2"/>
      <c r="AC431" s="2"/>
      <c r="AD431" s="2"/>
      <c r="AK431" s="8">
        <f t="shared" si="7"/>
        <v>45663</v>
      </c>
    </row>
    <row r="432" spans="1:37" ht="15" customHeight="1">
      <c r="A432" s="2" t="s">
        <v>1155</v>
      </c>
      <c r="B432" s="2">
        <v>0</v>
      </c>
      <c r="C432" s="2"/>
      <c r="D432" s="2" t="s">
        <v>265</v>
      </c>
      <c r="E432" s="2" t="s">
        <v>601</v>
      </c>
      <c r="F432" s="3">
        <v>45663</v>
      </c>
      <c r="G432" s="3">
        <v>45663</v>
      </c>
      <c r="H432" s="3">
        <v>45663</v>
      </c>
      <c r="I432" s="2"/>
      <c r="J432" s="2"/>
      <c r="K432" s="2" t="s">
        <v>25</v>
      </c>
      <c r="L432" s="2" t="s">
        <v>26</v>
      </c>
      <c r="M432" s="2"/>
      <c r="N432" s="2" t="s">
        <v>27</v>
      </c>
      <c r="O432" s="2">
        <v>889.65</v>
      </c>
      <c r="P432" s="2">
        <v>160.13999999999999</v>
      </c>
      <c r="Q432" s="2">
        <v>1049.79</v>
      </c>
      <c r="R432" s="2">
        <v>1049.79</v>
      </c>
      <c r="S432" s="2">
        <v>1049.79</v>
      </c>
      <c r="T432" s="2" t="s">
        <v>28</v>
      </c>
      <c r="U432" s="2" t="b">
        <v>0</v>
      </c>
      <c r="V432" s="2" t="s">
        <v>29</v>
      </c>
      <c r="W432" s="2" t="s">
        <v>104</v>
      </c>
      <c r="X432" s="2" t="s">
        <v>105</v>
      </c>
      <c r="Y432" s="2" t="s">
        <v>1156</v>
      </c>
      <c r="Z432" s="2" t="s">
        <v>31</v>
      </c>
      <c r="AA432" s="2"/>
      <c r="AB432" s="2"/>
      <c r="AC432" s="2"/>
      <c r="AD432" s="2"/>
      <c r="AK432" s="8">
        <f t="shared" si="7"/>
        <v>45663</v>
      </c>
    </row>
    <row r="433" spans="1:37" ht="15" customHeight="1">
      <c r="A433" s="2" t="s">
        <v>1157</v>
      </c>
      <c r="B433" s="2">
        <v>0</v>
      </c>
      <c r="C433" s="2"/>
      <c r="D433" s="2" t="s">
        <v>265</v>
      </c>
      <c r="E433" s="2" t="s">
        <v>601</v>
      </c>
      <c r="F433" s="3">
        <v>45663</v>
      </c>
      <c r="G433" s="3">
        <v>45663</v>
      </c>
      <c r="H433" s="3">
        <v>45663</v>
      </c>
      <c r="I433" s="2"/>
      <c r="J433" s="2"/>
      <c r="K433" s="2" t="s">
        <v>25</v>
      </c>
      <c r="L433" s="2" t="s">
        <v>26</v>
      </c>
      <c r="M433" s="2"/>
      <c r="N433" s="2" t="s">
        <v>27</v>
      </c>
      <c r="O433" s="2">
        <v>545.08000000000004</v>
      </c>
      <c r="P433" s="2">
        <v>98.12</v>
      </c>
      <c r="Q433" s="2">
        <v>643.20000000000005</v>
      </c>
      <c r="R433" s="2">
        <v>643.20000000000005</v>
      </c>
      <c r="S433" s="2">
        <v>643.20000000000005</v>
      </c>
      <c r="T433" s="2" t="s">
        <v>28</v>
      </c>
      <c r="U433" s="2" t="b">
        <v>0</v>
      </c>
      <c r="V433" s="2" t="s">
        <v>29</v>
      </c>
      <c r="W433" s="2" t="s">
        <v>104</v>
      </c>
      <c r="X433" s="2" t="s">
        <v>105</v>
      </c>
      <c r="Y433" s="2" t="s">
        <v>1158</v>
      </c>
      <c r="Z433" s="2" t="s">
        <v>31</v>
      </c>
      <c r="AA433" s="2"/>
      <c r="AB433" s="2"/>
      <c r="AC433" s="2"/>
      <c r="AD433" s="2"/>
      <c r="AK433" s="8">
        <f t="shared" si="7"/>
        <v>45663</v>
      </c>
    </row>
    <row r="434" spans="1:37" ht="15" customHeight="1">
      <c r="A434" s="2" t="s">
        <v>1159</v>
      </c>
      <c r="B434" s="2">
        <v>0</v>
      </c>
      <c r="C434" s="2"/>
      <c r="D434" s="2" t="s">
        <v>265</v>
      </c>
      <c r="E434" s="2" t="s">
        <v>1160</v>
      </c>
      <c r="F434" s="3">
        <v>45663</v>
      </c>
      <c r="G434" s="3">
        <v>45663</v>
      </c>
      <c r="H434" s="3">
        <v>45663</v>
      </c>
      <c r="I434" s="2"/>
      <c r="J434" s="2"/>
      <c r="K434" s="2" t="s">
        <v>25</v>
      </c>
      <c r="L434" s="2" t="s">
        <v>26</v>
      </c>
      <c r="M434" s="2"/>
      <c r="N434" s="2" t="s">
        <v>27</v>
      </c>
      <c r="O434" s="2">
        <v>39.729999999999997</v>
      </c>
      <c r="P434" s="2">
        <v>7.15</v>
      </c>
      <c r="Q434" s="2">
        <v>46.88</v>
      </c>
      <c r="R434" s="2">
        <v>46.88</v>
      </c>
      <c r="S434" s="2">
        <v>46.88</v>
      </c>
      <c r="T434" s="2" t="s">
        <v>28</v>
      </c>
      <c r="U434" s="2" t="b">
        <v>0</v>
      </c>
      <c r="V434" s="2" t="s">
        <v>29</v>
      </c>
      <c r="W434" s="2" t="s">
        <v>104</v>
      </c>
      <c r="X434" s="2" t="s">
        <v>105</v>
      </c>
      <c r="Y434" s="2" t="s">
        <v>1161</v>
      </c>
      <c r="Z434" s="2" t="s">
        <v>31</v>
      </c>
      <c r="AA434" s="2"/>
      <c r="AB434" s="2"/>
      <c r="AC434" s="2"/>
      <c r="AD434" s="2"/>
      <c r="AK434" s="8">
        <f t="shared" si="7"/>
        <v>45663</v>
      </c>
    </row>
    <row r="435" spans="1:37" ht="15" customHeight="1">
      <c r="A435" s="2" t="s">
        <v>1162</v>
      </c>
      <c r="B435" s="2">
        <v>0</v>
      </c>
      <c r="C435" s="2"/>
      <c r="D435" s="2" t="s">
        <v>265</v>
      </c>
      <c r="E435" s="2" t="s">
        <v>1160</v>
      </c>
      <c r="F435" s="3">
        <v>45663</v>
      </c>
      <c r="G435" s="3">
        <v>45663</v>
      </c>
      <c r="H435" s="3">
        <v>45663</v>
      </c>
      <c r="I435" s="2"/>
      <c r="J435" s="2"/>
      <c r="K435" s="2" t="s">
        <v>25</v>
      </c>
      <c r="L435" s="2" t="s">
        <v>26</v>
      </c>
      <c r="M435" s="2"/>
      <c r="N435" s="2" t="s">
        <v>27</v>
      </c>
      <c r="O435" s="2">
        <v>24.58</v>
      </c>
      <c r="P435" s="2">
        <v>4.42</v>
      </c>
      <c r="Q435" s="2">
        <v>29</v>
      </c>
      <c r="R435" s="2">
        <v>29</v>
      </c>
      <c r="S435" s="2">
        <v>29</v>
      </c>
      <c r="T435" s="2" t="s">
        <v>28</v>
      </c>
      <c r="U435" s="2" t="b">
        <v>0</v>
      </c>
      <c r="V435" s="2" t="s">
        <v>29</v>
      </c>
      <c r="W435" s="2" t="s">
        <v>104</v>
      </c>
      <c r="X435" s="2" t="s">
        <v>105</v>
      </c>
      <c r="Y435" s="2" t="s">
        <v>1163</v>
      </c>
      <c r="Z435" s="2" t="s">
        <v>31</v>
      </c>
      <c r="AA435" s="2"/>
      <c r="AB435" s="2"/>
      <c r="AC435" s="2"/>
      <c r="AD435" s="2"/>
      <c r="AK435" s="8">
        <f t="shared" si="7"/>
        <v>45663</v>
      </c>
    </row>
    <row r="436" spans="1:37" ht="15" customHeight="1">
      <c r="A436" s="2" t="s">
        <v>1164</v>
      </c>
      <c r="B436" s="2">
        <v>0</v>
      </c>
      <c r="C436" s="2"/>
      <c r="D436" s="2" t="s">
        <v>298</v>
      </c>
      <c r="E436" s="2" t="s">
        <v>33</v>
      </c>
      <c r="F436" s="3">
        <v>45660</v>
      </c>
      <c r="G436" s="3">
        <v>45660</v>
      </c>
      <c r="H436" s="3">
        <v>45660</v>
      </c>
      <c r="I436" s="2"/>
      <c r="J436" s="2"/>
      <c r="K436" s="2" t="s">
        <v>25</v>
      </c>
      <c r="L436" s="2" t="s">
        <v>26</v>
      </c>
      <c r="M436" s="2"/>
      <c r="N436" s="2" t="s">
        <v>27</v>
      </c>
      <c r="O436" s="2">
        <v>10</v>
      </c>
      <c r="P436" s="2">
        <v>1.8</v>
      </c>
      <c r="Q436" s="2">
        <v>11.8</v>
      </c>
      <c r="R436" s="2">
        <v>11.8</v>
      </c>
      <c r="S436" s="2">
        <v>11.8</v>
      </c>
      <c r="T436" s="2" t="s">
        <v>28</v>
      </c>
      <c r="U436" s="2" t="b">
        <v>0</v>
      </c>
      <c r="V436" s="2" t="s">
        <v>29</v>
      </c>
      <c r="W436" s="2" t="s">
        <v>104</v>
      </c>
      <c r="X436" s="2" t="s">
        <v>105</v>
      </c>
      <c r="Y436" s="2" t="s">
        <v>1165</v>
      </c>
      <c r="Z436" s="2" t="s">
        <v>31</v>
      </c>
      <c r="AA436" s="2"/>
      <c r="AB436" s="2"/>
      <c r="AC436" s="2"/>
      <c r="AD436" s="2"/>
      <c r="AK436" s="8">
        <f t="shared" si="7"/>
        <v>45660</v>
      </c>
    </row>
    <row r="437" spans="1:37" ht="15" customHeight="1">
      <c r="A437" s="2" t="s">
        <v>1166</v>
      </c>
      <c r="B437" s="2">
        <v>0</v>
      </c>
      <c r="C437" s="2"/>
      <c r="D437" s="2" t="s">
        <v>298</v>
      </c>
      <c r="E437" s="2" t="s">
        <v>33</v>
      </c>
      <c r="F437" s="3">
        <v>45660</v>
      </c>
      <c r="G437" s="3">
        <v>45660</v>
      </c>
      <c r="H437" s="3">
        <v>45660</v>
      </c>
      <c r="I437" s="2"/>
      <c r="J437" s="2"/>
      <c r="K437" s="2" t="s">
        <v>25</v>
      </c>
      <c r="L437" s="2" t="s">
        <v>26</v>
      </c>
      <c r="M437" s="2"/>
      <c r="N437" s="2" t="s">
        <v>27</v>
      </c>
      <c r="O437" s="2">
        <v>100</v>
      </c>
      <c r="P437" s="2">
        <v>18</v>
      </c>
      <c r="Q437" s="2">
        <v>118</v>
      </c>
      <c r="R437" s="2">
        <v>118</v>
      </c>
      <c r="S437" s="2">
        <v>118</v>
      </c>
      <c r="T437" s="2" t="s">
        <v>28</v>
      </c>
      <c r="U437" s="2" t="b">
        <v>0</v>
      </c>
      <c r="V437" s="2" t="s">
        <v>29</v>
      </c>
      <c r="W437" s="2" t="s">
        <v>104</v>
      </c>
      <c r="X437" s="2" t="s">
        <v>105</v>
      </c>
      <c r="Y437" s="2" t="s">
        <v>1167</v>
      </c>
      <c r="Z437" s="2" t="s">
        <v>31</v>
      </c>
      <c r="AA437" s="2"/>
      <c r="AB437" s="2"/>
      <c r="AC437" s="2"/>
      <c r="AD437" s="2"/>
      <c r="AK437" s="8">
        <f t="shared" si="7"/>
        <v>45660</v>
      </c>
    </row>
    <row r="438" spans="1:37" ht="15" customHeight="1">
      <c r="A438" s="2" t="s">
        <v>1168</v>
      </c>
      <c r="B438" s="2">
        <v>0</v>
      </c>
      <c r="C438" s="2"/>
      <c r="D438" s="2" t="s">
        <v>298</v>
      </c>
      <c r="E438" s="2" t="s">
        <v>33</v>
      </c>
      <c r="F438" s="3">
        <v>45660</v>
      </c>
      <c r="G438" s="3">
        <v>45660</v>
      </c>
      <c r="H438" s="3">
        <v>45660</v>
      </c>
      <c r="I438" s="2"/>
      <c r="J438" s="2"/>
      <c r="K438" s="2" t="s">
        <v>25</v>
      </c>
      <c r="L438" s="2" t="s">
        <v>26</v>
      </c>
      <c r="M438" s="2"/>
      <c r="N438" s="2" t="s">
        <v>27</v>
      </c>
      <c r="O438" s="2">
        <v>2919.83</v>
      </c>
      <c r="P438" s="2">
        <v>525.57000000000005</v>
      </c>
      <c r="Q438" s="2">
        <v>3445.4</v>
      </c>
      <c r="R438" s="2">
        <v>3445.4</v>
      </c>
      <c r="S438" s="2">
        <v>3445.4</v>
      </c>
      <c r="T438" s="2" t="s">
        <v>28</v>
      </c>
      <c r="U438" s="2" t="b">
        <v>0</v>
      </c>
      <c r="V438" s="2" t="s">
        <v>29</v>
      </c>
      <c r="W438" s="2" t="s">
        <v>104</v>
      </c>
      <c r="X438" s="2" t="s">
        <v>105</v>
      </c>
      <c r="Y438" s="2" t="s">
        <v>1169</v>
      </c>
      <c r="Z438" s="2" t="s">
        <v>31</v>
      </c>
      <c r="AA438" s="2"/>
      <c r="AB438" s="2"/>
      <c r="AC438" s="2"/>
      <c r="AD438" s="2"/>
      <c r="AK438" s="8">
        <f t="shared" si="7"/>
        <v>45660</v>
      </c>
    </row>
    <row r="439" spans="1:37" ht="15" customHeight="1">
      <c r="A439" s="2" t="s">
        <v>1170</v>
      </c>
      <c r="B439" s="2">
        <v>0</v>
      </c>
      <c r="C439" s="2"/>
      <c r="D439" s="2" t="s">
        <v>298</v>
      </c>
      <c r="E439" s="2" t="s">
        <v>33</v>
      </c>
      <c r="F439" s="3">
        <v>45660</v>
      </c>
      <c r="G439" s="3">
        <v>45660</v>
      </c>
      <c r="H439" s="3">
        <v>45660</v>
      </c>
      <c r="I439" s="2"/>
      <c r="J439" s="2"/>
      <c r="K439" s="2" t="s">
        <v>25</v>
      </c>
      <c r="L439" s="2" t="s">
        <v>26</v>
      </c>
      <c r="M439" s="2"/>
      <c r="N439" s="2" t="s">
        <v>27</v>
      </c>
      <c r="O439" s="2">
        <v>1439.87</v>
      </c>
      <c r="P439" s="2">
        <v>259.18</v>
      </c>
      <c r="Q439" s="2">
        <v>1699.05</v>
      </c>
      <c r="R439" s="2">
        <v>1699.05</v>
      </c>
      <c r="S439" s="2">
        <v>1699.05</v>
      </c>
      <c r="T439" s="2" t="s">
        <v>28</v>
      </c>
      <c r="U439" s="2" t="b">
        <v>0</v>
      </c>
      <c r="V439" s="2" t="s">
        <v>29</v>
      </c>
      <c r="W439" s="2" t="s">
        <v>104</v>
      </c>
      <c r="X439" s="2" t="s">
        <v>105</v>
      </c>
      <c r="Y439" s="2" t="s">
        <v>1171</v>
      </c>
      <c r="Z439" s="2" t="s">
        <v>31</v>
      </c>
      <c r="AA439" s="2"/>
      <c r="AB439" s="2"/>
      <c r="AC439" s="2"/>
      <c r="AD439" s="2"/>
      <c r="AK439" s="8">
        <f t="shared" si="7"/>
        <v>45660</v>
      </c>
    </row>
    <row r="440" spans="1:37" ht="15" customHeight="1">
      <c r="A440" s="2" t="s">
        <v>1172</v>
      </c>
      <c r="B440" s="2">
        <v>0</v>
      </c>
      <c r="C440" s="2"/>
      <c r="D440" s="2" t="s">
        <v>298</v>
      </c>
      <c r="E440" s="2" t="s">
        <v>394</v>
      </c>
      <c r="F440" s="3">
        <v>45660</v>
      </c>
      <c r="G440" s="3">
        <v>45660</v>
      </c>
      <c r="H440" s="3">
        <v>45660</v>
      </c>
      <c r="I440" s="2"/>
      <c r="J440" s="2"/>
      <c r="K440" s="2" t="s">
        <v>25</v>
      </c>
      <c r="L440" s="2" t="s">
        <v>26</v>
      </c>
      <c r="M440" s="2"/>
      <c r="N440" s="2" t="s">
        <v>27</v>
      </c>
      <c r="O440" s="2">
        <v>171</v>
      </c>
      <c r="P440" s="2">
        <v>30.78</v>
      </c>
      <c r="Q440" s="2">
        <v>201.78</v>
      </c>
      <c r="R440" s="2">
        <v>201.78</v>
      </c>
      <c r="S440" s="2">
        <v>201.78</v>
      </c>
      <c r="T440" s="2" t="s">
        <v>28</v>
      </c>
      <c r="U440" s="2" t="b">
        <v>0</v>
      </c>
      <c r="V440" s="2" t="s">
        <v>29</v>
      </c>
      <c r="W440" s="2" t="s">
        <v>104</v>
      </c>
      <c r="X440" s="2" t="s">
        <v>105</v>
      </c>
      <c r="Y440" s="2" t="s">
        <v>1173</v>
      </c>
      <c r="Z440" s="2" t="s">
        <v>31</v>
      </c>
      <c r="AA440" s="2"/>
      <c r="AB440" s="2"/>
      <c r="AC440" s="2"/>
      <c r="AD440" s="2"/>
      <c r="AK440" s="8">
        <f t="shared" si="7"/>
        <v>45660</v>
      </c>
    </row>
    <row r="441" spans="1:37" ht="15" customHeight="1">
      <c r="A441" s="2" t="s">
        <v>1174</v>
      </c>
      <c r="B441" s="2">
        <v>0</v>
      </c>
      <c r="C441" s="2"/>
      <c r="D441" s="2" t="s">
        <v>298</v>
      </c>
      <c r="E441" s="2" t="s">
        <v>394</v>
      </c>
      <c r="F441" s="3">
        <v>45660</v>
      </c>
      <c r="G441" s="3">
        <v>45660</v>
      </c>
      <c r="H441" s="3">
        <v>45660</v>
      </c>
      <c r="I441" s="2"/>
      <c r="J441" s="2"/>
      <c r="K441" s="2" t="s">
        <v>25</v>
      </c>
      <c r="L441" s="2" t="s">
        <v>26</v>
      </c>
      <c r="M441" s="2"/>
      <c r="N441" s="2" t="s">
        <v>27</v>
      </c>
      <c r="O441" s="2">
        <v>3400</v>
      </c>
      <c r="P441" s="2">
        <v>612</v>
      </c>
      <c r="Q441" s="2">
        <v>4012</v>
      </c>
      <c r="R441" s="2">
        <v>4012</v>
      </c>
      <c r="S441" s="2">
        <v>4012</v>
      </c>
      <c r="T441" s="2" t="s">
        <v>28</v>
      </c>
      <c r="U441" s="2" t="b">
        <v>0</v>
      </c>
      <c r="V441" s="2" t="s">
        <v>29</v>
      </c>
      <c r="W441" s="2" t="s">
        <v>104</v>
      </c>
      <c r="X441" s="2" t="s">
        <v>105</v>
      </c>
      <c r="Y441" s="2" t="s">
        <v>1175</v>
      </c>
      <c r="Z441" s="2" t="s">
        <v>31</v>
      </c>
      <c r="AA441" s="2"/>
      <c r="AB441" s="2"/>
      <c r="AC441" s="2"/>
      <c r="AD441" s="2"/>
      <c r="AK441" s="8">
        <f t="shared" si="7"/>
        <v>45660</v>
      </c>
    </row>
    <row r="442" spans="1:37" ht="15" customHeight="1">
      <c r="A442" s="2" t="s">
        <v>1176</v>
      </c>
      <c r="B442" s="2">
        <v>0</v>
      </c>
      <c r="C442" s="2"/>
      <c r="D442" s="2" t="s">
        <v>298</v>
      </c>
      <c r="E442" s="2" t="s">
        <v>394</v>
      </c>
      <c r="F442" s="3">
        <v>45660</v>
      </c>
      <c r="G442" s="3">
        <v>45660</v>
      </c>
      <c r="H442" s="3">
        <v>45660</v>
      </c>
      <c r="I442" s="2"/>
      <c r="J442" s="2"/>
      <c r="K442" s="2" t="s">
        <v>25</v>
      </c>
      <c r="L442" s="2" t="s">
        <v>26</v>
      </c>
      <c r="M442" s="2"/>
      <c r="N442" s="2" t="s">
        <v>27</v>
      </c>
      <c r="O442" s="2">
        <v>1590.93</v>
      </c>
      <c r="P442" s="2">
        <v>286.37</v>
      </c>
      <c r="Q442" s="2">
        <v>1877.3</v>
      </c>
      <c r="R442" s="2">
        <v>1877.3</v>
      </c>
      <c r="S442" s="2">
        <v>1877.3</v>
      </c>
      <c r="T442" s="2" t="s">
        <v>28</v>
      </c>
      <c r="U442" s="2" t="b">
        <v>0</v>
      </c>
      <c r="V442" s="2" t="s">
        <v>29</v>
      </c>
      <c r="W442" s="2" t="s">
        <v>104</v>
      </c>
      <c r="X442" s="2" t="s">
        <v>105</v>
      </c>
      <c r="Y442" s="2" t="s">
        <v>1177</v>
      </c>
      <c r="Z442" s="2" t="s">
        <v>31</v>
      </c>
      <c r="AA442" s="2"/>
      <c r="AB442" s="2"/>
      <c r="AC442" s="2"/>
      <c r="AD442" s="2"/>
      <c r="AK442" s="8">
        <f t="shared" si="7"/>
        <v>45660</v>
      </c>
    </row>
    <row r="443" spans="1:37" ht="15" customHeight="1">
      <c r="A443" s="2" t="s">
        <v>1178</v>
      </c>
      <c r="B443" s="2">
        <v>0</v>
      </c>
      <c r="C443" s="2"/>
      <c r="D443" s="2" t="s">
        <v>298</v>
      </c>
      <c r="E443" s="2" t="s">
        <v>394</v>
      </c>
      <c r="F443" s="3">
        <v>45660</v>
      </c>
      <c r="G443" s="3">
        <v>45660</v>
      </c>
      <c r="H443" s="3">
        <v>45660</v>
      </c>
      <c r="I443" s="2"/>
      <c r="J443" s="2"/>
      <c r="K443" s="2" t="s">
        <v>25</v>
      </c>
      <c r="L443" s="2" t="s">
        <v>26</v>
      </c>
      <c r="M443" s="2"/>
      <c r="N443" s="2" t="s">
        <v>27</v>
      </c>
      <c r="O443" s="2">
        <v>2158.64</v>
      </c>
      <c r="P443" s="2">
        <v>388.56</v>
      </c>
      <c r="Q443" s="2">
        <v>2547.1999999999998</v>
      </c>
      <c r="R443" s="2">
        <v>2547.1999999999998</v>
      </c>
      <c r="S443" s="2">
        <v>2547.1999999999998</v>
      </c>
      <c r="T443" s="2" t="s">
        <v>28</v>
      </c>
      <c r="U443" s="2" t="b">
        <v>0</v>
      </c>
      <c r="V443" s="2" t="s">
        <v>29</v>
      </c>
      <c r="W443" s="2" t="s">
        <v>104</v>
      </c>
      <c r="X443" s="2" t="s">
        <v>105</v>
      </c>
      <c r="Y443" s="2" t="s">
        <v>1179</v>
      </c>
      <c r="Z443" s="2" t="s">
        <v>31</v>
      </c>
      <c r="AA443" s="2"/>
      <c r="AB443" s="2"/>
      <c r="AC443" s="2"/>
      <c r="AD443" s="2"/>
      <c r="AK443" s="8">
        <f t="shared" si="7"/>
        <v>45660</v>
      </c>
    </row>
    <row r="444" spans="1:37" ht="15" customHeight="1">
      <c r="A444" s="2" t="s">
        <v>1180</v>
      </c>
      <c r="B444" s="2">
        <v>0</v>
      </c>
      <c r="C444" s="2"/>
      <c r="D444" s="2" t="s">
        <v>298</v>
      </c>
      <c r="E444" s="2" t="s">
        <v>394</v>
      </c>
      <c r="F444" s="3">
        <v>45660</v>
      </c>
      <c r="G444" s="3">
        <v>45660</v>
      </c>
      <c r="H444" s="3">
        <v>45660</v>
      </c>
      <c r="I444" s="2"/>
      <c r="J444" s="2"/>
      <c r="K444" s="2" t="s">
        <v>25</v>
      </c>
      <c r="L444" s="2" t="s">
        <v>26</v>
      </c>
      <c r="M444" s="2"/>
      <c r="N444" s="2" t="s">
        <v>27</v>
      </c>
      <c r="O444" s="2">
        <v>171</v>
      </c>
      <c r="P444" s="2">
        <v>30.78</v>
      </c>
      <c r="Q444" s="2">
        <v>201.78</v>
      </c>
      <c r="R444" s="2">
        <v>201.78</v>
      </c>
      <c r="S444" s="2">
        <v>201.78</v>
      </c>
      <c r="T444" s="2" t="s">
        <v>28</v>
      </c>
      <c r="U444" s="2" t="b">
        <v>0</v>
      </c>
      <c r="V444" s="2" t="s">
        <v>29</v>
      </c>
      <c r="W444" s="2" t="s">
        <v>104</v>
      </c>
      <c r="X444" s="2" t="s">
        <v>105</v>
      </c>
      <c r="Y444" s="2" t="s">
        <v>1181</v>
      </c>
      <c r="Z444" s="2" t="s">
        <v>31</v>
      </c>
      <c r="AA444" s="2"/>
      <c r="AB444" s="2"/>
      <c r="AC444" s="2"/>
      <c r="AD444" s="2"/>
      <c r="AK444" s="8">
        <f t="shared" si="7"/>
        <v>45660</v>
      </c>
    </row>
    <row r="445" spans="1:37" ht="15" customHeight="1">
      <c r="A445" s="2" t="s">
        <v>1182</v>
      </c>
      <c r="B445" s="2">
        <v>0</v>
      </c>
      <c r="C445" s="2"/>
      <c r="D445" s="2" t="s">
        <v>298</v>
      </c>
      <c r="E445" s="2" t="s">
        <v>394</v>
      </c>
      <c r="F445" s="3">
        <v>45660</v>
      </c>
      <c r="G445" s="3">
        <v>45660</v>
      </c>
      <c r="H445" s="3">
        <v>45660</v>
      </c>
      <c r="I445" s="2"/>
      <c r="J445" s="2"/>
      <c r="K445" s="2" t="s">
        <v>25</v>
      </c>
      <c r="L445" s="2" t="s">
        <v>26</v>
      </c>
      <c r="M445" s="2"/>
      <c r="N445" s="2" t="s">
        <v>27</v>
      </c>
      <c r="O445" s="2">
        <v>450</v>
      </c>
      <c r="P445" s="2">
        <v>81</v>
      </c>
      <c r="Q445" s="2">
        <v>531</v>
      </c>
      <c r="R445" s="2">
        <v>531</v>
      </c>
      <c r="S445" s="2">
        <v>531</v>
      </c>
      <c r="T445" s="2" t="s">
        <v>28</v>
      </c>
      <c r="U445" s="2" t="b">
        <v>0</v>
      </c>
      <c r="V445" s="2" t="s">
        <v>29</v>
      </c>
      <c r="W445" s="2" t="s">
        <v>104</v>
      </c>
      <c r="X445" s="2" t="s">
        <v>105</v>
      </c>
      <c r="Y445" s="2" t="s">
        <v>1183</v>
      </c>
      <c r="Z445" s="2" t="s">
        <v>31</v>
      </c>
      <c r="AA445" s="2"/>
      <c r="AB445" s="2"/>
      <c r="AC445" s="2"/>
      <c r="AD445" s="2"/>
      <c r="AK445" s="8">
        <f t="shared" si="7"/>
        <v>45660</v>
      </c>
    </row>
    <row r="446" spans="1:37" ht="15" customHeight="1">
      <c r="A446" s="2" t="s">
        <v>1184</v>
      </c>
      <c r="B446" s="2">
        <v>0</v>
      </c>
      <c r="C446" s="2"/>
      <c r="D446" s="2" t="s">
        <v>298</v>
      </c>
      <c r="E446" s="2" t="s">
        <v>394</v>
      </c>
      <c r="F446" s="3">
        <v>45660</v>
      </c>
      <c r="G446" s="3">
        <v>45660</v>
      </c>
      <c r="H446" s="3">
        <v>45660</v>
      </c>
      <c r="I446" s="2"/>
      <c r="J446" s="2"/>
      <c r="K446" s="2" t="s">
        <v>25</v>
      </c>
      <c r="L446" s="2" t="s">
        <v>26</v>
      </c>
      <c r="M446" s="2"/>
      <c r="N446" s="2" t="s">
        <v>27</v>
      </c>
      <c r="O446" s="2">
        <v>3700</v>
      </c>
      <c r="P446" s="2">
        <v>666</v>
      </c>
      <c r="Q446" s="2">
        <v>4366</v>
      </c>
      <c r="R446" s="2">
        <v>4366</v>
      </c>
      <c r="S446" s="2">
        <v>4366</v>
      </c>
      <c r="T446" s="2" t="s">
        <v>28</v>
      </c>
      <c r="U446" s="2" t="b">
        <v>0</v>
      </c>
      <c r="V446" s="2" t="s">
        <v>29</v>
      </c>
      <c r="W446" s="2" t="s">
        <v>104</v>
      </c>
      <c r="X446" s="2" t="s">
        <v>105</v>
      </c>
      <c r="Y446" s="2" t="s">
        <v>1185</v>
      </c>
      <c r="Z446" s="2" t="s">
        <v>31</v>
      </c>
      <c r="AA446" s="2"/>
      <c r="AB446" s="2"/>
      <c r="AC446" s="2"/>
      <c r="AD446" s="2"/>
      <c r="AK446" s="8">
        <f t="shared" si="7"/>
        <v>45660</v>
      </c>
    </row>
    <row r="447" spans="1:37" ht="15" customHeight="1">
      <c r="A447" s="2" t="s">
        <v>1186</v>
      </c>
      <c r="B447" s="2">
        <v>0</v>
      </c>
      <c r="C447" s="2"/>
      <c r="D447" s="2" t="s">
        <v>298</v>
      </c>
      <c r="E447" s="2" t="s">
        <v>394</v>
      </c>
      <c r="F447" s="3">
        <v>45660</v>
      </c>
      <c r="G447" s="3">
        <v>45660</v>
      </c>
      <c r="H447" s="3">
        <v>45660</v>
      </c>
      <c r="I447" s="2"/>
      <c r="J447" s="2"/>
      <c r="K447" s="2" t="s">
        <v>25</v>
      </c>
      <c r="L447" s="2" t="s">
        <v>26</v>
      </c>
      <c r="M447" s="2"/>
      <c r="N447" s="2" t="s">
        <v>27</v>
      </c>
      <c r="O447" s="2">
        <v>3425.85</v>
      </c>
      <c r="P447" s="2">
        <v>616.65</v>
      </c>
      <c r="Q447" s="2">
        <v>4042.5</v>
      </c>
      <c r="R447" s="2">
        <v>4042.5</v>
      </c>
      <c r="S447" s="2">
        <v>4042.5</v>
      </c>
      <c r="T447" s="2" t="s">
        <v>28</v>
      </c>
      <c r="U447" s="2" t="b">
        <v>0</v>
      </c>
      <c r="V447" s="2" t="s">
        <v>29</v>
      </c>
      <c r="W447" s="2" t="s">
        <v>104</v>
      </c>
      <c r="X447" s="2" t="s">
        <v>105</v>
      </c>
      <c r="Y447" s="2" t="s">
        <v>1187</v>
      </c>
      <c r="Z447" s="2" t="s">
        <v>31</v>
      </c>
      <c r="AK447" s="8">
        <f t="shared" si="7"/>
        <v>45660</v>
      </c>
    </row>
    <row r="448" spans="1:37" ht="15" customHeight="1">
      <c r="A448" s="2" t="s">
        <v>1188</v>
      </c>
      <c r="B448" s="2">
        <v>0</v>
      </c>
      <c r="C448" s="2"/>
      <c r="D448" s="2" t="s">
        <v>298</v>
      </c>
      <c r="E448" s="2" t="s">
        <v>394</v>
      </c>
      <c r="F448" s="3">
        <v>45660</v>
      </c>
      <c r="G448" s="3">
        <v>45660</v>
      </c>
      <c r="H448" s="3">
        <v>45660</v>
      </c>
      <c r="I448" s="2"/>
      <c r="J448" s="2"/>
      <c r="K448" s="2" t="s">
        <v>25</v>
      </c>
      <c r="L448" s="2" t="s">
        <v>26</v>
      </c>
      <c r="M448" s="2"/>
      <c r="N448" s="2" t="s">
        <v>27</v>
      </c>
      <c r="O448" s="2">
        <v>4569.66</v>
      </c>
      <c r="P448" s="2">
        <v>822.54</v>
      </c>
      <c r="Q448" s="2">
        <v>5392.2</v>
      </c>
      <c r="R448" s="2">
        <v>5392.2</v>
      </c>
      <c r="S448" s="2">
        <v>5392.2</v>
      </c>
      <c r="T448" s="2" t="s">
        <v>28</v>
      </c>
      <c r="U448" s="2" t="b">
        <v>0</v>
      </c>
      <c r="V448" s="2" t="s">
        <v>29</v>
      </c>
      <c r="W448" s="2" t="s">
        <v>104</v>
      </c>
      <c r="X448" s="2" t="s">
        <v>105</v>
      </c>
      <c r="Y448" s="2" t="s">
        <v>1189</v>
      </c>
      <c r="Z448" s="2" t="s">
        <v>31</v>
      </c>
      <c r="AK448" s="8">
        <f t="shared" si="7"/>
        <v>45660</v>
      </c>
    </row>
    <row r="449" spans="1:37" ht="15" customHeight="1">
      <c r="A449" s="2" t="s">
        <v>1190</v>
      </c>
      <c r="B449" s="2">
        <v>0</v>
      </c>
      <c r="C449" s="2"/>
      <c r="D449" s="2" t="s">
        <v>265</v>
      </c>
      <c r="E449" s="2" t="s">
        <v>1191</v>
      </c>
      <c r="F449" s="3">
        <v>45660</v>
      </c>
      <c r="G449" s="3">
        <v>45660</v>
      </c>
      <c r="H449" s="3">
        <v>45660</v>
      </c>
      <c r="I449" s="2"/>
      <c r="J449" s="2"/>
      <c r="K449" s="2" t="s">
        <v>25</v>
      </c>
      <c r="L449" s="2" t="s">
        <v>26</v>
      </c>
      <c r="M449" s="2"/>
      <c r="N449" s="2" t="s">
        <v>27</v>
      </c>
      <c r="O449" s="2">
        <v>10</v>
      </c>
      <c r="P449" s="2">
        <v>1.8</v>
      </c>
      <c r="Q449" s="2">
        <v>11.8</v>
      </c>
      <c r="R449" s="2">
        <v>11.8</v>
      </c>
      <c r="S449" s="2">
        <v>11.8</v>
      </c>
      <c r="T449" s="2" t="s">
        <v>28</v>
      </c>
      <c r="U449" s="2" t="b">
        <v>0</v>
      </c>
      <c r="V449" s="2" t="s">
        <v>29</v>
      </c>
      <c r="W449" s="2" t="s">
        <v>104</v>
      </c>
      <c r="X449" s="2" t="s">
        <v>105</v>
      </c>
      <c r="Y449" s="2" t="s">
        <v>1192</v>
      </c>
      <c r="Z449" s="2" t="s">
        <v>31</v>
      </c>
      <c r="AK449" s="8">
        <f t="shared" si="7"/>
        <v>45660</v>
      </c>
    </row>
    <row r="450" spans="1:37" ht="15" customHeight="1">
      <c r="A450" s="2" t="s">
        <v>1193</v>
      </c>
      <c r="B450" s="2">
        <v>0</v>
      </c>
      <c r="C450" s="2"/>
      <c r="D450" s="2" t="s">
        <v>265</v>
      </c>
      <c r="E450" s="2" t="s">
        <v>1191</v>
      </c>
      <c r="F450" s="3">
        <v>45660</v>
      </c>
      <c r="G450" s="3">
        <v>45660</v>
      </c>
      <c r="H450" s="3">
        <v>45660</v>
      </c>
      <c r="I450" s="2"/>
      <c r="J450" s="2"/>
      <c r="K450" s="2" t="s">
        <v>25</v>
      </c>
      <c r="L450" s="2" t="s">
        <v>26</v>
      </c>
      <c r="M450" s="2"/>
      <c r="N450" s="2" t="s">
        <v>27</v>
      </c>
      <c r="O450" s="2">
        <v>598.73</v>
      </c>
      <c r="P450" s="2">
        <v>107.77</v>
      </c>
      <c r="Q450" s="2">
        <v>706.5</v>
      </c>
      <c r="R450" s="2">
        <v>706.5</v>
      </c>
      <c r="S450" s="2">
        <v>706.5</v>
      </c>
      <c r="T450" s="2" t="s">
        <v>28</v>
      </c>
      <c r="U450" s="2" t="b">
        <v>0</v>
      </c>
      <c r="V450" s="2" t="s">
        <v>29</v>
      </c>
      <c r="W450" s="2" t="s">
        <v>104</v>
      </c>
      <c r="X450" s="2" t="s">
        <v>105</v>
      </c>
      <c r="Y450" s="2" t="s">
        <v>1194</v>
      </c>
      <c r="Z450" s="2" t="s">
        <v>31</v>
      </c>
      <c r="AK450" s="8">
        <f t="shared" si="7"/>
        <v>45660</v>
      </c>
    </row>
    <row r="451" spans="1:37" ht="15" customHeight="1">
      <c r="A451" s="2" t="s">
        <v>1195</v>
      </c>
      <c r="B451" s="2">
        <v>0</v>
      </c>
      <c r="C451" s="2"/>
      <c r="D451" s="2" t="s">
        <v>265</v>
      </c>
      <c r="E451" s="2" t="s">
        <v>1191</v>
      </c>
      <c r="F451" s="3">
        <v>45660</v>
      </c>
      <c r="G451" s="3">
        <v>45660</v>
      </c>
      <c r="H451" s="3">
        <v>45660</v>
      </c>
      <c r="I451" s="2"/>
      <c r="J451" s="2"/>
      <c r="K451" s="2" t="s">
        <v>25</v>
      </c>
      <c r="L451" s="2" t="s">
        <v>26</v>
      </c>
      <c r="M451" s="2"/>
      <c r="N451" s="2" t="s">
        <v>27</v>
      </c>
      <c r="O451" s="2">
        <v>343.47</v>
      </c>
      <c r="P451" s="2">
        <v>61.83</v>
      </c>
      <c r="Q451" s="2">
        <v>405.3</v>
      </c>
      <c r="R451" s="2">
        <v>405.3</v>
      </c>
      <c r="S451" s="2">
        <v>405.3</v>
      </c>
      <c r="T451" s="2" t="s">
        <v>28</v>
      </c>
      <c r="U451" s="2" t="b">
        <v>0</v>
      </c>
      <c r="V451" s="2" t="s">
        <v>29</v>
      </c>
      <c r="W451" s="2" t="s">
        <v>104</v>
      </c>
      <c r="X451" s="2" t="s">
        <v>105</v>
      </c>
      <c r="Y451" s="2" t="s">
        <v>1196</v>
      </c>
      <c r="Z451" s="2" t="s">
        <v>31</v>
      </c>
      <c r="AK451" s="8">
        <f t="shared" si="7"/>
        <v>45660</v>
      </c>
    </row>
    <row r="452" spans="1:37" ht="15" customHeight="1">
      <c r="A452" s="2" t="s">
        <v>1197</v>
      </c>
      <c r="B452" s="2">
        <v>0</v>
      </c>
      <c r="C452" s="2"/>
      <c r="D452" s="2" t="s">
        <v>265</v>
      </c>
      <c r="E452" s="2" t="s">
        <v>1198</v>
      </c>
      <c r="F452" s="3">
        <v>45660</v>
      </c>
      <c r="G452" s="3">
        <v>45660</v>
      </c>
      <c r="H452" s="3">
        <v>45660</v>
      </c>
      <c r="I452" s="2"/>
      <c r="J452" s="2"/>
      <c r="K452" s="2" t="s">
        <v>25</v>
      </c>
      <c r="L452" s="2" t="s">
        <v>26</v>
      </c>
      <c r="M452" s="2"/>
      <c r="N452" s="2" t="s">
        <v>27</v>
      </c>
      <c r="O452" s="2">
        <v>323.68</v>
      </c>
      <c r="P452" s="2">
        <v>58.26</v>
      </c>
      <c r="Q452" s="2">
        <v>381.94</v>
      </c>
      <c r="R452" s="2">
        <v>381.94</v>
      </c>
      <c r="S452" s="2">
        <v>381.94</v>
      </c>
      <c r="T452" s="2" t="s">
        <v>28</v>
      </c>
      <c r="U452" s="2" t="b">
        <v>0</v>
      </c>
      <c r="V452" s="2" t="s">
        <v>29</v>
      </c>
      <c r="W452" s="2" t="s">
        <v>104</v>
      </c>
      <c r="X452" s="2" t="s">
        <v>105</v>
      </c>
      <c r="Y452" s="2" t="s">
        <v>1199</v>
      </c>
      <c r="Z452" s="2" t="s">
        <v>31</v>
      </c>
      <c r="AK452" s="8">
        <f t="shared" si="7"/>
        <v>45660</v>
      </c>
    </row>
    <row r="453" spans="1:37" ht="15" customHeight="1">
      <c r="A453" s="2" t="s">
        <v>1200</v>
      </c>
      <c r="B453" s="2">
        <v>0</v>
      </c>
      <c r="C453" s="2"/>
      <c r="D453" s="2" t="s">
        <v>265</v>
      </c>
      <c r="E453" s="2" t="s">
        <v>1198</v>
      </c>
      <c r="F453" s="3">
        <v>45660</v>
      </c>
      <c r="G453" s="3">
        <v>45660</v>
      </c>
      <c r="H453" s="3">
        <v>45660</v>
      </c>
      <c r="I453" s="2"/>
      <c r="J453" s="2"/>
      <c r="K453" s="2" t="s">
        <v>25</v>
      </c>
      <c r="L453" s="2" t="s">
        <v>26</v>
      </c>
      <c r="M453" s="2"/>
      <c r="N453" s="2" t="s">
        <v>27</v>
      </c>
      <c r="O453" s="2">
        <v>177.59</v>
      </c>
      <c r="P453" s="2">
        <v>31.97</v>
      </c>
      <c r="Q453" s="2">
        <v>209.56</v>
      </c>
      <c r="R453" s="2">
        <v>209.56</v>
      </c>
      <c r="S453" s="2">
        <v>209.56</v>
      </c>
      <c r="T453" s="2" t="s">
        <v>28</v>
      </c>
      <c r="U453" s="2" t="b">
        <v>0</v>
      </c>
      <c r="V453" s="2" t="s">
        <v>29</v>
      </c>
      <c r="W453" s="2" t="s">
        <v>104</v>
      </c>
      <c r="X453" s="2" t="s">
        <v>105</v>
      </c>
      <c r="Y453" s="2" t="s">
        <v>1201</v>
      </c>
      <c r="Z453" s="2" t="s">
        <v>31</v>
      </c>
      <c r="AK453" s="8">
        <f t="shared" si="7"/>
        <v>45660</v>
      </c>
    </row>
    <row r="454" spans="1:37" ht="15" customHeight="1">
      <c r="A454" s="2" t="s">
        <v>1202</v>
      </c>
      <c r="B454" s="2">
        <v>0</v>
      </c>
      <c r="C454" s="2"/>
      <c r="D454" s="2" t="s">
        <v>265</v>
      </c>
      <c r="E454" s="2" t="s">
        <v>1151</v>
      </c>
      <c r="F454" s="3">
        <v>45660</v>
      </c>
      <c r="G454" s="3">
        <v>45660</v>
      </c>
      <c r="H454" s="3">
        <v>45660</v>
      </c>
      <c r="I454" s="2"/>
      <c r="J454" s="2"/>
      <c r="K454" s="2" t="s">
        <v>25</v>
      </c>
      <c r="L454" s="2" t="s">
        <v>26</v>
      </c>
      <c r="M454" s="2"/>
      <c r="N454" s="2" t="s">
        <v>27</v>
      </c>
      <c r="O454" s="2">
        <v>100</v>
      </c>
      <c r="P454" s="2">
        <v>18</v>
      </c>
      <c r="Q454" s="2">
        <v>118</v>
      </c>
      <c r="R454" s="2">
        <v>118</v>
      </c>
      <c r="S454" s="2">
        <v>118</v>
      </c>
      <c r="T454" s="2" t="s">
        <v>28</v>
      </c>
      <c r="U454" s="2" t="b">
        <v>0</v>
      </c>
      <c r="V454" s="2" t="s">
        <v>29</v>
      </c>
      <c r="W454" s="2" t="s">
        <v>104</v>
      </c>
      <c r="X454" s="2" t="s">
        <v>105</v>
      </c>
      <c r="Y454" s="2" t="s">
        <v>1203</v>
      </c>
      <c r="Z454" s="2" t="s">
        <v>31</v>
      </c>
      <c r="AK454" s="8">
        <f t="shared" si="7"/>
        <v>45660</v>
      </c>
    </row>
    <row r="455" spans="1:37" ht="15" customHeight="1">
      <c r="A455" s="2" t="s">
        <v>1204</v>
      </c>
      <c r="B455" s="2">
        <v>0</v>
      </c>
      <c r="C455" s="2"/>
      <c r="D455" s="2" t="s">
        <v>265</v>
      </c>
      <c r="E455" s="2" t="s">
        <v>1151</v>
      </c>
      <c r="F455" s="3">
        <v>45660</v>
      </c>
      <c r="G455" s="3">
        <v>45660</v>
      </c>
      <c r="H455" s="3">
        <v>45660</v>
      </c>
      <c r="I455" s="2"/>
      <c r="J455" s="2"/>
      <c r="K455" s="2" t="s">
        <v>25</v>
      </c>
      <c r="L455" s="2" t="s">
        <v>26</v>
      </c>
      <c r="M455" s="2"/>
      <c r="N455" s="2" t="s">
        <v>27</v>
      </c>
      <c r="O455" s="2">
        <v>3774.66</v>
      </c>
      <c r="P455" s="2">
        <v>679.44</v>
      </c>
      <c r="Q455" s="2">
        <v>4454.1000000000004</v>
      </c>
      <c r="R455" s="2">
        <v>4454.1000000000004</v>
      </c>
      <c r="S455" s="2">
        <v>4454.1000000000004</v>
      </c>
      <c r="T455" s="2" t="s">
        <v>28</v>
      </c>
      <c r="U455" s="2" t="b">
        <v>0</v>
      </c>
      <c r="V455" s="2" t="s">
        <v>29</v>
      </c>
      <c r="W455" s="2" t="s">
        <v>104</v>
      </c>
      <c r="X455" s="2" t="s">
        <v>105</v>
      </c>
      <c r="Y455" s="2" t="s">
        <v>1205</v>
      </c>
      <c r="Z455" s="2" t="s">
        <v>31</v>
      </c>
      <c r="AK455" s="8">
        <f t="shared" ref="AK455:AK458" si="8">+IF(AE455&lt;&gt;"",AE455,F455)</f>
        <v>45660</v>
      </c>
    </row>
    <row r="456" spans="1:37" ht="15" customHeight="1">
      <c r="A456" s="2" t="s">
        <v>1206</v>
      </c>
      <c r="B456" s="2">
        <v>0</v>
      </c>
      <c r="C456" s="2"/>
      <c r="D456" s="2" t="s">
        <v>265</v>
      </c>
      <c r="E456" s="2" t="s">
        <v>1151</v>
      </c>
      <c r="F456" s="3">
        <v>45660</v>
      </c>
      <c r="G456" s="3">
        <v>45660</v>
      </c>
      <c r="H456" s="3">
        <v>45660</v>
      </c>
      <c r="I456" s="2"/>
      <c r="J456" s="2"/>
      <c r="K456" s="2" t="s">
        <v>25</v>
      </c>
      <c r="L456" s="2" t="s">
        <v>26</v>
      </c>
      <c r="M456" s="2"/>
      <c r="N456" s="2" t="s">
        <v>27</v>
      </c>
      <c r="O456" s="2">
        <v>3056.78</v>
      </c>
      <c r="P456" s="2">
        <v>550.22</v>
      </c>
      <c r="Q456" s="2">
        <v>3607</v>
      </c>
      <c r="R456" s="2">
        <v>3607</v>
      </c>
      <c r="S456" s="2">
        <v>3607</v>
      </c>
      <c r="T456" s="2" t="s">
        <v>28</v>
      </c>
      <c r="U456" s="2" t="b">
        <v>0</v>
      </c>
      <c r="V456" s="2" t="s">
        <v>29</v>
      </c>
      <c r="W456" s="2" t="s">
        <v>104</v>
      </c>
      <c r="X456" s="2" t="s">
        <v>105</v>
      </c>
      <c r="Y456" s="2" t="s">
        <v>1207</v>
      </c>
      <c r="Z456" s="2" t="s">
        <v>31</v>
      </c>
      <c r="AK456" s="8">
        <f t="shared" si="8"/>
        <v>45660</v>
      </c>
    </row>
    <row r="457" spans="1:37" ht="15" customHeight="1">
      <c r="A457" s="2" t="s">
        <v>1208</v>
      </c>
      <c r="B457" s="2">
        <v>0</v>
      </c>
      <c r="C457" s="2"/>
      <c r="D457" s="2" t="s">
        <v>265</v>
      </c>
      <c r="E457" s="2" t="s">
        <v>1209</v>
      </c>
      <c r="F457" s="3">
        <v>45660</v>
      </c>
      <c r="G457" s="3">
        <v>45660</v>
      </c>
      <c r="H457" s="3">
        <v>45660</v>
      </c>
      <c r="I457" s="2"/>
      <c r="J457" s="2"/>
      <c r="K457" s="2" t="s">
        <v>25</v>
      </c>
      <c r="L457" s="2" t="s">
        <v>26</v>
      </c>
      <c r="M457" s="2"/>
      <c r="N457" s="2" t="s">
        <v>27</v>
      </c>
      <c r="O457" s="2">
        <v>129.15</v>
      </c>
      <c r="P457" s="2">
        <v>23.25</v>
      </c>
      <c r="Q457" s="2">
        <v>152.4</v>
      </c>
      <c r="R457" s="2">
        <v>152.4</v>
      </c>
      <c r="S457" s="2">
        <v>152.4</v>
      </c>
      <c r="T457" s="2" t="s">
        <v>28</v>
      </c>
      <c r="U457" s="2" t="b">
        <v>0</v>
      </c>
      <c r="V457" s="2" t="s">
        <v>29</v>
      </c>
      <c r="W457" s="2" t="s">
        <v>104</v>
      </c>
      <c r="X457" s="2" t="s">
        <v>105</v>
      </c>
      <c r="Y457" s="2" t="s">
        <v>1210</v>
      </c>
      <c r="Z457" s="2" t="s">
        <v>31</v>
      </c>
      <c r="AK457" s="8">
        <f t="shared" si="8"/>
        <v>45660</v>
      </c>
    </row>
    <row r="458" spans="1:37" ht="15" customHeight="1">
      <c r="A458" s="2" t="s">
        <v>1211</v>
      </c>
      <c r="B458" s="2">
        <v>0</v>
      </c>
      <c r="C458" s="2"/>
      <c r="D458" s="2" t="s">
        <v>265</v>
      </c>
      <c r="E458" s="2" t="s">
        <v>1209</v>
      </c>
      <c r="F458" s="3">
        <v>45660</v>
      </c>
      <c r="G458" s="3">
        <v>45660</v>
      </c>
      <c r="H458" s="3">
        <v>45660</v>
      </c>
      <c r="I458" s="2"/>
      <c r="J458" s="2"/>
      <c r="K458" s="2" t="s">
        <v>25</v>
      </c>
      <c r="L458" s="2" t="s">
        <v>26</v>
      </c>
      <c r="M458" s="2"/>
      <c r="N458" s="2" t="s">
        <v>27</v>
      </c>
      <c r="O458" s="2">
        <v>84.07</v>
      </c>
      <c r="P458" s="2">
        <v>15.13</v>
      </c>
      <c r="Q458" s="2">
        <v>99.2</v>
      </c>
      <c r="R458" s="2">
        <v>99.2</v>
      </c>
      <c r="S458" s="2">
        <v>99.2</v>
      </c>
      <c r="T458" s="2" t="s">
        <v>28</v>
      </c>
      <c r="U458" s="2" t="b">
        <v>0</v>
      </c>
      <c r="V458" s="2" t="s">
        <v>29</v>
      </c>
      <c r="W458" s="2" t="s">
        <v>104</v>
      </c>
      <c r="X458" s="2" t="s">
        <v>105</v>
      </c>
      <c r="Y458" s="2" t="s">
        <v>1212</v>
      </c>
      <c r="Z458" s="2" t="s">
        <v>31</v>
      </c>
      <c r="AK458" s="8">
        <f t="shared" si="8"/>
        <v>45660</v>
      </c>
    </row>
  </sheetData>
  <autoFilter ref="A1:AK87" xr:uid="{00000000-0001-0000-0000-000000000000}">
    <sortState xmlns:xlrd2="http://schemas.microsoft.com/office/spreadsheetml/2017/richdata2" ref="A2:AK87">
      <sortCondition ref="O1:O8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8"/>
  <sheetViews>
    <sheetView topLeftCell="Q1" zoomScaleNormal="100" workbookViewId="0">
      <selection activeCell="AE31" sqref="AE31"/>
    </sheetView>
  </sheetViews>
  <sheetFormatPr baseColWidth="10" defaultRowHeight="12.75"/>
  <cols>
    <col min="1" max="1" width="4.7109375" style="17" customWidth="1"/>
    <col min="2" max="2" width="15.7109375" style="17" bestFit="1" customWidth="1"/>
    <col min="3" max="3" width="22.42578125" style="17" bestFit="1" customWidth="1"/>
    <col min="4" max="4" width="5.85546875" style="17" customWidth="1"/>
    <col min="5" max="5" width="15.7109375" style="17" bestFit="1" customWidth="1"/>
    <col min="6" max="6" width="25.85546875" style="17" bestFit="1" customWidth="1"/>
    <col min="7" max="7" width="5.28515625" style="17" customWidth="1"/>
    <col min="8" max="8" width="15.7109375" style="17" bestFit="1" customWidth="1"/>
    <col min="9" max="9" width="25.85546875" style="17" bestFit="1" customWidth="1"/>
    <col min="10" max="10" width="6.140625" style="17" customWidth="1"/>
    <col min="11" max="11" width="78.28515625" style="17" bestFit="1" customWidth="1"/>
    <col min="12" max="12" width="7.85546875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15.7109375" style="17" bestFit="1" customWidth="1"/>
    <col min="18" max="18" width="25.85546875" style="17" bestFit="1" customWidth="1"/>
    <col min="19" max="19" width="11.42578125" style="17"/>
    <col min="20" max="20" width="15.7109375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7.85546875" style="17" bestFit="1" customWidth="1"/>
    <col min="33" max="33" width="25.85546875" style="17" bestFit="1" customWidth="1"/>
    <col min="34" max="34" width="22.42578125" style="17" bestFit="1" customWidth="1"/>
    <col min="35" max="36" width="18.7109375" style="17" bestFit="1" customWidth="1"/>
    <col min="37" max="16384" width="11.42578125" style="17"/>
  </cols>
  <sheetData>
    <row r="6" spans="2:36">
      <c r="B6" s="16" t="s">
        <v>57</v>
      </c>
      <c r="C6" s="16"/>
      <c r="D6" s="16"/>
      <c r="E6" s="16" t="s">
        <v>58</v>
      </c>
      <c r="H6" s="16" t="s">
        <v>59</v>
      </c>
      <c r="K6" s="16" t="s">
        <v>60</v>
      </c>
      <c r="Q6" s="16" t="s">
        <v>61</v>
      </c>
      <c r="T6" s="16" t="s">
        <v>224</v>
      </c>
      <c r="Z6" s="16" t="s">
        <v>223</v>
      </c>
      <c r="AF6" s="16" t="s">
        <v>222</v>
      </c>
    </row>
    <row r="8" spans="2:36" ht="15">
      <c r="B8" s="18" t="s">
        <v>51</v>
      </c>
      <c r="C8" s="17" t="s">
        <v>107</v>
      </c>
      <c r="E8" s="18" t="s">
        <v>51</v>
      </c>
      <c r="F8" s="17" t="s">
        <v>54</v>
      </c>
      <c r="H8" s="18" t="s">
        <v>51</v>
      </c>
      <c r="I8" s="17" t="s">
        <v>54</v>
      </c>
      <c r="K8" s="18" t="s">
        <v>51</v>
      </c>
      <c r="L8" s="17" t="s">
        <v>112</v>
      </c>
      <c r="M8" s="17" t="s">
        <v>54</v>
      </c>
      <c r="N8" s="17" t="s">
        <v>108</v>
      </c>
      <c r="O8" s="17" t="s">
        <v>109</v>
      </c>
      <c r="Q8" s="18" t="s">
        <v>51</v>
      </c>
      <c r="R8" s="17" t="s">
        <v>54</v>
      </c>
      <c r="T8" s="18" t="s">
        <v>51</v>
      </c>
      <c r="U8" s="17" t="s">
        <v>112</v>
      </c>
      <c r="V8" s="17" t="s">
        <v>54</v>
      </c>
      <c r="W8" s="17" t="s">
        <v>108</v>
      </c>
      <c r="X8" s="17" t="s">
        <v>109</v>
      </c>
      <c r="Z8" s="18" t="s">
        <v>51</v>
      </c>
      <c r="AA8" s="17" t="s">
        <v>112</v>
      </c>
      <c r="AB8" s="17" t="s">
        <v>54</v>
      </c>
      <c r="AC8" s="17" t="s">
        <v>108</v>
      </c>
      <c r="AD8" s="17" t="s">
        <v>109</v>
      </c>
      <c r="AF8" s="17" t="s">
        <v>112</v>
      </c>
      <c r="AG8" s="17" t="s">
        <v>54</v>
      </c>
      <c r="AH8" s="17" t="s">
        <v>108</v>
      </c>
      <c r="AI8" s="17" t="s">
        <v>109</v>
      </c>
      <c r="AJ8"/>
    </row>
    <row r="9" spans="2:36" ht="15">
      <c r="B9" s="19" t="s">
        <v>31</v>
      </c>
      <c r="C9" s="17">
        <v>457</v>
      </c>
      <c r="E9" s="19" t="s">
        <v>31</v>
      </c>
      <c r="F9" s="17">
        <v>361701.78999999986</v>
      </c>
      <c r="H9" s="19" t="s">
        <v>53</v>
      </c>
      <c r="I9" s="17">
        <v>361701.78999999986</v>
      </c>
      <c r="K9" s="19" t="s">
        <v>33</v>
      </c>
      <c r="L9" s="17">
        <v>4</v>
      </c>
      <c r="M9" s="17">
        <v>4469.7</v>
      </c>
      <c r="N9" s="17">
        <v>804.55</v>
      </c>
      <c r="O9" s="17">
        <v>5274.25</v>
      </c>
      <c r="Q9" s="19" t="s">
        <v>53</v>
      </c>
      <c r="R9" s="17">
        <v>361701.78999999986</v>
      </c>
      <c r="T9" s="19" t="s">
        <v>1213</v>
      </c>
      <c r="U9" s="17">
        <v>289</v>
      </c>
      <c r="V9" s="17">
        <v>235069.67000000004</v>
      </c>
      <c r="W9" s="17">
        <v>42312.449999999983</v>
      </c>
      <c r="X9" s="17">
        <v>277382.11999999988</v>
      </c>
      <c r="Z9" s="20">
        <v>45660</v>
      </c>
      <c r="AA9" s="17">
        <v>23</v>
      </c>
      <c r="AB9" s="17">
        <v>32704.91</v>
      </c>
      <c r="AC9" s="17">
        <v>5886.9000000000015</v>
      </c>
      <c r="AD9" s="17">
        <v>38591.81</v>
      </c>
      <c r="AF9" s="17">
        <v>457</v>
      </c>
      <c r="AG9" s="17">
        <v>361701.78999999986</v>
      </c>
      <c r="AH9" s="17">
        <v>65106.269999999968</v>
      </c>
      <c r="AI9" s="17">
        <v>426808.06000000011</v>
      </c>
      <c r="AJ9"/>
    </row>
    <row r="10" spans="2:36" ht="15">
      <c r="B10" s="19" t="s">
        <v>52</v>
      </c>
      <c r="C10" s="17">
        <v>457</v>
      </c>
      <c r="E10" s="19" t="s">
        <v>52</v>
      </c>
      <c r="F10" s="17">
        <v>361701.78999999986</v>
      </c>
      <c r="H10" s="19" t="s">
        <v>52</v>
      </c>
      <c r="I10" s="17">
        <v>361701.78999999986</v>
      </c>
      <c r="K10" s="19" t="s">
        <v>34</v>
      </c>
      <c r="L10" s="17">
        <v>14</v>
      </c>
      <c r="M10" s="17">
        <v>15519.659999999998</v>
      </c>
      <c r="N10" s="17">
        <v>2793.5299999999997</v>
      </c>
      <c r="O10" s="17">
        <v>18313.190000000002</v>
      </c>
      <c r="Q10" s="19" t="s">
        <v>52</v>
      </c>
      <c r="R10" s="17">
        <v>361701.78999999986</v>
      </c>
      <c r="T10" s="23">
        <v>45660</v>
      </c>
      <c r="U10" s="17">
        <v>23</v>
      </c>
      <c r="V10" s="17">
        <v>32704.91</v>
      </c>
      <c r="W10" s="17">
        <v>5886.9000000000015</v>
      </c>
      <c r="X10" s="17">
        <v>38591.81</v>
      </c>
      <c r="Z10" s="20">
        <v>45663</v>
      </c>
      <c r="AA10" s="17">
        <v>51</v>
      </c>
      <c r="AB10" s="17">
        <v>22695.160000000003</v>
      </c>
      <c r="AC10" s="17">
        <v>4085.1099999999997</v>
      </c>
      <c r="AD10" s="17">
        <v>26780.27</v>
      </c>
      <c r="AF10"/>
      <c r="AG10"/>
      <c r="AH10"/>
      <c r="AI10"/>
      <c r="AJ10"/>
    </row>
    <row r="11" spans="2:36" ht="15">
      <c r="B11"/>
      <c r="C11"/>
      <c r="E11"/>
      <c r="F11"/>
      <c r="K11" s="19" t="s">
        <v>32</v>
      </c>
      <c r="L11" s="17">
        <v>15</v>
      </c>
      <c r="M11" s="17">
        <v>23181.239999999998</v>
      </c>
      <c r="N11" s="17">
        <v>4172.619999999999</v>
      </c>
      <c r="O11" s="17">
        <v>27353.859999999997</v>
      </c>
      <c r="T11" s="23">
        <v>45663</v>
      </c>
      <c r="U11" s="17">
        <v>51</v>
      </c>
      <c r="V11" s="17">
        <v>22695.160000000003</v>
      </c>
      <c r="W11" s="17">
        <v>4085.1099999999997</v>
      </c>
      <c r="X11" s="17">
        <v>26780.27</v>
      </c>
      <c r="Z11" s="20">
        <v>45665</v>
      </c>
      <c r="AA11" s="17">
        <v>44</v>
      </c>
      <c r="AB11" s="17">
        <v>54146.23000000001</v>
      </c>
      <c r="AC11" s="17">
        <v>9746.3000000000029</v>
      </c>
      <c r="AD11" s="17">
        <v>63892.529999999992</v>
      </c>
      <c r="AF11"/>
      <c r="AG11"/>
      <c r="AH11"/>
      <c r="AI11"/>
      <c r="AJ11"/>
    </row>
    <row r="12" spans="2:36" ht="15">
      <c r="K12" s="19" t="s">
        <v>35</v>
      </c>
      <c r="L12" s="17">
        <v>1</v>
      </c>
      <c r="M12" s="17">
        <v>400</v>
      </c>
      <c r="N12" s="17">
        <v>72</v>
      </c>
      <c r="O12" s="17">
        <v>472</v>
      </c>
      <c r="T12" s="23">
        <v>45665</v>
      </c>
      <c r="U12" s="17">
        <v>44</v>
      </c>
      <c r="V12" s="17">
        <v>54146.23000000001</v>
      </c>
      <c r="W12" s="17">
        <v>9746.3000000000029</v>
      </c>
      <c r="X12" s="17">
        <v>63892.529999999992</v>
      </c>
      <c r="Z12" s="20">
        <v>45666</v>
      </c>
      <c r="AA12" s="17">
        <v>2</v>
      </c>
      <c r="AB12" s="17">
        <v>1946.5</v>
      </c>
      <c r="AC12" s="17">
        <v>350.37</v>
      </c>
      <c r="AD12" s="17">
        <v>2296.87</v>
      </c>
      <c r="AF12"/>
      <c r="AG12"/>
      <c r="AH12"/>
      <c r="AI12"/>
      <c r="AJ12"/>
    </row>
    <row r="13" spans="2:36" ht="15">
      <c r="K13" s="19" t="s">
        <v>36</v>
      </c>
      <c r="L13" s="17">
        <v>3</v>
      </c>
      <c r="M13" s="17">
        <v>158.24</v>
      </c>
      <c r="N13" s="17">
        <v>28.49</v>
      </c>
      <c r="O13" s="17">
        <v>186.73000000000002</v>
      </c>
      <c r="T13" s="23">
        <v>45666</v>
      </c>
      <c r="U13" s="17">
        <v>2</v>
      </c>
      <c r="V13" s="17">
        <v>1946.5</v>
      </c>
      <c r="W13" s="17">
        <v>350.37</v>
      </c>
      <c r="X13" s="17">
        <v>2296.87</v>
      </c>
      <c r="Z13" s="20">
        <v>45672</v>
      </c>
      <c r="AA13" s="17">
        <v>10</v>
      </c>
      <c r="AB13" s="17">
        <v>2958.6799999999994</v>
      </c>
      <c r="AC13" s="17">
        <v>532.56999999999994</v>
      </c>
      <c r="AD13" s="17">
        <v>3491.2499999999995</v>
      </c>
      <c r="AF13"/>
      <c r="AG13"/>
      <c r="AH13"/>
      <c r="AI13"/>
      <c r="AJ13"/>
    </row>
    <row r="14" spans="2:36" ht="15">
      <c r="K14" s="19" t="s">
        <v>266</v>
      </c>
      <c r="L14" s="17">
        <v>2</v>
      </c>
      <c r="M14" s="17">
        <v>53.34</v>
      </c>
      <c r="N14" s="17">
        <v>9.61</v>
      </c>
      <c r="O14" s="17">
        <v>62.949999999999996</v>
      </c>
      <c r="T14" s="23">
        <v>45672</v>
      </c>
      <c r="U14" s="17">
        <v>10</v>
      </c>
      <c r="V14" s="17">
        <v>2958.6799999999994</v>
      </c>
      <c r="W14" s="17">
        <v>532.56999999999994</v>
      </c>
      <c r="X14" s="17">
        <v>3491.2499999999995</v>
      </c>
      <c r="Z14" s="20">
        <v>45673</v>
      </c>
      <c r="AA14" s="17">
        <v>4</v>
      </c>
      <c r="AB14" s="17">
        <v>2879.66</v>
      </c>
      <c r="AC14" s="17">
        <v>518.34</v>
      </c>
      <c r="AD14" s="17">
        <v>3398</v>
      </c>
      <c r="AF14"/>
      <c r="AG14"/>
      <c r="AH14"/>
      <c r="AI14"/>
      <c r="AJ14"/>
    </row>
    <row r="15" spans="2:36" ht="15">
      <c r="K15" s="19" t="s">
        <v>271</v>
      </c>
      <c r="L15" s="17">
        <v>4</v>
      </c>
      <c r="M15" s="17">
        <v>5829.8099999999995</v>
      </c>
      <c r="N15" s="17">
        <v>1049.3699999999999</v>
      </c>
      <c r="O15" s="17">
        <v>6879.18</v>
      </c>
      <c r="T15" s="23">
        <v>45673</v>
      </c>
      <c r="U15" s="17">
        <v>4</v>
      </c>
      <c r="V15" s="17">
        <v>2879.66</v>
      </c>
      <c r="W15" s="17">
        <v>518.34</v>
      </c>
      <c r="X15" s="17">
        <v>3398</v>
      </c>
      <c r="Z15" s="20">
        <v>45680</v>
      </c>
      <c r="AA15" s="17">
        <v>81</v>
      </c>
      <c r="AB15" s="17">
        <v>65804.219999999987</v>
      </c>
      <c r="AC15" s="17">
        <v>11844.710000000003</v>
      </c>
      <c r="AD15" s="17">
        <v>77648.930000000022</v>
      </c>
      <c r="AF15"/>
      <c r="AG15"/>
      <c r="AH15"/>
      <c r="AI15"/>
      <c r="AJ15"/>
    </row>
    <row r="16" spans="2:36" ht="15">
      <c r="E16" s="16" t="s">
        <v>110</v>
      </c>
      <c r="K16" s="19" t="s">
        <v>277</v>
      </c>
      <c r="L16" s="17">
        <v>2</v>
      </c>
      <c r="M16" s="17">
        <v>44.239999999999995</v>
      </c>
      <c r="N16" s="17">
        <v>7.97</v>
      </c>
      <c r="O16" s="17">
        <v>52.21</v>
      </c>
      <c r="T16" s="23">
        <v>45680</v>
      </c>
      <c r="U16" s="17">
        <v>81</v>
      </c>
      <c r="V16" s="17">
        <v>65804.219999999987</v>
      </c>
      <c r="W16" s="17">
        <v>11844.710000000003</v>
      </c>
      <c r="X16" s="17">
        <v>77648.930000000022</v>
      </c>
      <c r="Z16" s="20">
        <v>45684</v>
      </c>
      <c r="AA16" s="17">
        <v>1</v>
      </c>
      <c r="AB16" s="17">
        <v>800</v>
      </c>
      <c r="AC16" s="17">
        <v>144</v>
      </c>
      <c r="AD16" s="17">
        <v>944</v>
      </c>
      <c r="AF16"/>
      <c r="AG16"/>
      <c r="AH16"/>
      <c r="AI16"/>
      <c r="AJ16"/>
    </row>
    <row r="17" spans="5:36" ht="15">
      <c r="K17" s="19" t="s">
        <v>281</v>
      </c>
      <c r="L17" s="17">
        <v>4</v>
      </c>
      <c r="M17" s="17">
        <v>2091.73</v>
      </c>
      <c r="N17" s="17">
        <v>376.52</v>
      </c>
      <c r="O17" s="17">
        <v>2468.25</v>
      </c>
      <c r="T17" s="23">
        <v>45684</v>
      </c>
      <c r="U17" s="17">
        <v>1</v>
      </c>
      <c r="V17" s="17">
        <v>800</v>
      </c>
      <c r="W17" s="17">
        <v>144</v>
      </c>
      <c r="X17" s="17">
        <v>944</v>
      </c>
      <c r="Z17" s="20">
        <v>45685</v>
      </c>
      <c r="AA17" s="17">
        <v>31</v>
      </c>
      <c r="AB17" s="17">
        <v>18261.91</v>
      </c>
      <c r="AC17" s="17">
        <v>3287.1400000000008</v>
      </c>
      <c r="AD17" s="17">
        <v>21549.049999999996</v>
      </c>
      <c r="AF17"/>
      <c r="AG17"/>
      <c r="AH17"/>
      <c r="AI17"/>
      <c r="AJ17"/>
    </row>
    <row r="18" spans="5:36" ht="15">
      <c r="E18" s="18" t="s">
        <v>51</v>
      </c>
      <c r="F18" s="17" t="s">
        <v>108</v>
      </c>
      <c r="K18" s="19" t="s">
        <v>287</v>
      </c>
      <c r="L18" s="17">
        <v>9</v>
      </c>
      <c r="M18" s="17">
        <v>6747.0199999999995</v>
      </c>
      <c r="N18" s="17">
        <v>1214.46</v>
      </c>
      <c r="O18" s="17">
        <v>7961.48</v>
      </c>
      <c r="T18" s="23">
        <v>45685</v>
      </c>
      <c r="U18" s="17">
        <v>31</v>
      </c>
      <c r="V18" s="17">
        <v>18261.91</v>
      </c>
      <c r="W18" s="17">
        <v>3287.1400000000008</v>
      </c>
      <c r="X18" s="17">
        <v>21549.049999999996</v>
      </c>
      <c r="Z18" s="20">
        <v>45686</v>
      </c>
      <c r="AA18" s="17">
        <v>29</v>
      </c>
      <c r="AB18" s="17">
        <v>30888.679999999997</v>
      </c>
      <c r="AC18" s="17">
        <v>5559.94</v>
      </c>
      <c r="AD18" s="17">
        <v>36448.620000000003</v>
      </c>
      <c r="AF18"/>
      <c r="AG18"/>
      <c r="AH18"/>
      <c r="AI18"/>
      <c r="AJ18"/>
    </row>
    <row r="19" spans="5:36" ht="15">
      <c r="E19" s="19" t="s">
        <v>31</v>
      </c>
      <c r="F19" s="17">
        <v>65106.269999999968</v>
      </c>
      <c r="K19" s="19" t="s">
        <v>307</v>
      </c>
      <c r="L19" s="17">
        <v>10</v>
      </c>
      <c r="M19" s="17">
        <v>7585.7699999999995</v>
      </c>
      <c r="N19" s="17">
        <v>1365.4299999999998</v>
      </c>
      <c r="O19" s="17">
        <v>8951.2000000000007</v>
      </c>
      <c r="T19" s="23">
        <v>45686</v>
      </c>
      <c r="U19" s="17">
        <v>29</v>
      </c>
      <c r="V19" s="17">
        <v>30888.679999999997</v>
      </c>
      <c r="W19" s="17">
        <v>5559.94</v>
      </c>
      <c r="X19" s="17">
        <v>36448.620000000003</v>
      </c>
      <c r="Z19" s="20">
        <v>45687</v>
      </c>
      <c r="AA19" s="17">
        <v>7</v>
      </c>
      <c r="AB19" s="17">
        <v>1380.5900000000001</v>
      </c>
      <c r="AC19" s="17">
        <v>248.51</v>
      </c>
      <c r="AD19" s="17">
        <v>1629.1000000000001</v>
      </c>
      <c r="AF19"/>
      <c r="AG19"/>
      <c r="AH19"/>
      <c r="AI19"/>
      <c r="AJ19"/>
    </row>
    <row r="20" spans="5:36" ht="15">
      <c r="E20" s="19" t="s">
        <v>52</v>
      </c>
      <c r="F20" s="17">
        <v>65106.269999999968</v>
      </c>
      <c r="K20" s="19" t="s">
        <v>316</v>
      </c>
      <c r="L20" s="17">
        <v>8</v>
      </c>
      <c r="M20" s="17">
        <v>13481.380000000001</v>
      </c>
      <c r="N20" s="17">
        <v>2426.6499999999996</v>
      </c>
      <c r="O20" s="17">
        <v>15908.030000000002</v>
      </c>
      <c r="T20" s="23">
        <v>45687</v>
      </c>
      <c r="U20" s="17">
        <v>7</v>
      </c>
      <c r="V20" s="17">
        <v>1380.5900000000001</v>
      </c>
      <c r="W20" s="17">
        <v>248.51</v>
      </c>
      <c r="X20" s="17">
        <v>1629.1000000000001</v>
      </c>
      <c r="Z20" s="20">
        <v>45688</v>
      </c>
      <c r="AA20" s="17">
        <v>6</v>
      </c>
      <c r="AB20" s="17">
        <v>603.13</v>
      </c>
      <c r="AC20" s="17">
        <v>108.56</v>
      </c>
      <c r="AD20" s="17">
        <v>711.68999999999994</v>
      </c>
      <c r="AF20"/>
      <c r="AG20"/>
      <c r="AH20"/>
      <c r="AI20"/>
      <c r="AJ20"/>
    </row>
    <row r="21" spans="5:36" ht="15">
      <c r="E21"/>
      <c r="F21"/>
      <c r="K21" s="19" t="s">
        <v>328</v>
      </c>
      <c r="L21" s="17">
        <v>2</v>
      </c>
      <c r="M21" s="17">
        <v>4250.8500000000004</v>
      </c>
      <c r="N21" s="17">
        <v>765.15000000000009</v>
      </c>
      <c r="O21" s="17">
        <v>5016</v>
      </c>
      <c r="T21" s="23">
        <v>45688</v>
      </c>
      <c r="U21" s="17">
        <v>6</v>
      </c>
      <c r="V21" s="17">
        <v>603.13</v>
      </c>
      <c r="W21" s="17">
        <v>108.56</v>
      </c>
      <c r="X21" s="17">
        <v>711.68999999999994</v>
      </c>
      <c r="Z21" s="20">
        <v>45691</v>
      </c>
      <c r="AA21" s="17">
        <v>1</v>
      </c>
      <c r="AB21" s="17">
        <v>830</v>
      </c>
      <c r="AC21" s="17">
        <v>149.4</v>
      </c>
      <c r="AD21" s="17">
        <v>979.4</v>
      </c>
      <c r="AF21"/>
      <c r="AG21"/>
      <c r="AH21"/>
      <c r="AI21"/>
      <c r="AJ21"/>
    </row>
    <row r="22" spans="5:36" ht="15">
      <c r="K22" s="19" t="s">
        <v>335</v>
      </c>
      <c r="L22" s="17">
        <v>17</v>
      </c>
      <c r="M22" s="17">
        <v>11764.460000000001</v>
      </c>
      <c r="N22" s="17">
        <v>2117.6099999999997</v>
      </c>
      <c r="O22" s="17">
        <v>13882.07</v>
      </c>
      <c r="T22" s="19" t="s">
        <v>56</v>
      </c>
      <c r="U22" s="17">
        <v>95</v>
      </c>
      <c r="V22" s="17">
        <v>43573.29</v>
      </c>
      <c r="W22" s="17">
        <v>7843.2000000000016</v>
      </c>
      <c r="X22" s="17">
        <v>51416.489999999991</v>
      </c>
      <c r="Z22" s="20">
        <v>45692</v>
      </c>
      <c r="AA22" s="17">
        <v>1</v>
      </c>
      <c r="AB22" s="17">
        <v>20</v>
      </c>
      <c r="AC22" s="17">
        <v>3.6</v>
      </c>
      <c r="AD22" s="17">
        <v>23.6</v>
      </c>
      <c r="AF22"/>
      <c r="AG22"/>
      <c r="AH22"/>
      <c r="AI22"/>
      <c r="AJ22"/>
    </row>
    <row r="23" spans="5:36" ht="15">
      <c r="K23" s="19" t="s">
        <v>338</v>
      </c>
      <c r="L23" s="17">
        <v>2</v>
      </c>
      <c r="M23" s="17">
        <v>1207.97</v>
      </c>
      <c r="N23" s="17">
        <v>217.44</v>
      </c>
      <c r="O23" s="17">
        <v>1425.4099999999999</v>
      </c>
      <c r="T23" s="23">
        <v>45691</v>
      </c>
      <c r="U23" s="17">
        <v>1</v>
      </c>
      <c r="V23" s="17">
        <v>830</v>
      </c>
      <c r="W23" s="17">
        <v>149.4</v>
      </c>
      <c r="X23" s="17">
        <v>979.4</v>
      </c>
      <c r="Z23" s="20">
        <v>45693</v>
      </c>
      <c r="AA23" s="17">
        <v>85</v>
      </c>
      <c r="AB23" s="17">
        <v>39583.19999999999</v>
      </c>
      <c r="AC23" s="17">
        <v>7124.9800000000014</v>
      </c>
      <c r="AD23" s="17">
        <v>46708.179999999993</v>
      </c>
      <c r="AF23"/>
      <c r="AG23"/>
      <c r="AH23"/>
      <c r="AI23"/>
      <c r="AJ23"/>
    </row>
    <row r="24" spans="5:36" ht="15">
      <c r="K24" s="19" t="s">
        <v>342</v>
      </c>
      <c r="L24" s="17">
        <v>6</v>
      </c>
      <c r="M24" s="17">
        <v>12614.539999999999</v>
      </c>
      <c r="N24" s="17">
        <v>2270.61</v>
      </c>
      <c r="O24" s="17">
        <v>14885.15</v>
      </c>
      <c r="T24" s="23">
        <v>45692</v>
      </c>
      <c r="U24" s="17">
        <v>1</v>
      </c>
      <c r="V24" s="17">
        <v>20</v>
      </c>
      <c r="W24" s="17">
        <v>3.6</v>
      </c>
      <c r="X24" s="17">
        <v>23.6</v>
      </c>
      <c r="Z24" s="20">
        <v>45695</v>
      </c>
      <c r="AA24" s="17">
        <v>5</v>
      </c>
      <c r="AB24" s="17">
        <v>269.09000000000003</v>
      </c>
      <c r="AC24" s="17">
        <v>48.44</v>
      </c>
      <c r="AD24" s="17">
        <v>317.53000000000003</v>
      </c>
      <c r="AF24"/>
      <c r="AG24"/>
      <c r="AH24"/>
      <c r="AI24"/>
      <c r="AJ24"/>
    </row>
    <row r="25" spans="5:36" ht="15">
      <c r="K25" s="19" t="s">
        <v>359</v>
      </c>
      <c r="L25" s="17">
        <v>5</v>
      </c>
      <c r="M25" s="17">
        <v>1048.3</v>
      </c>
      <c r="N25" s="17">
        <v>188.70000000000002</v>
      </c>
      <c r="O25" s="17">
        <v>1237</v>
      </c>
      <c r="T25" s="23">
        <v>45693</v>
      </c>
      <c r="U25" s="17">
        <v>85</v>
      </c>
      <c r="V25" s="17">
        <v>39583.19999999999</v>
      </c>
      <c r="W25" s="17">
        <v>7124.9800000000014</v>
      </c>
      <c r="X25" s="17">
        <v>46708.179999999993</v>
      </c>
      <c r="Z25" s="20">
        <v>45698</v>
      </c>
      <c r="AA25" s="17">
        <v>3</v>
      </c>
      <c r="AB25" s="17">
        <v>2871</v>
      </c>
      <c r="AC25" s="17">
        <v>516.78</v>
      </c>
      <c r="AD25" s="17">
        <v>3387.78</v>
      </c>
      <c r="AF25"/>
      <c r="AG25"/>
      <c r="AH25"/>
      <c r="AI25"/>
      <c r="AJ25"/>
    </row>
    <row r="26" spans="5:36" ht="15">
      <c r="K26" s="19" t="s">
        <v>366</v>
      </c>
      <c r="L26" s="17">
        <v>2</v>
      </c>
      <c r="M26" s="17">
        <v>153.22</v>
      </c>
      <c r="N26" s="17">
        <v>27.58</v>
      </c>
      <c r="O26" s="17">
        <v>180.8</v>
      </c>
      <c r="T26" s="23">
        <v>45695</v>
      </c>
      <c r="U26" s="17">
        <v>5</v>
      </c>
      <c r="V26" s="17">
        <v>269.09000000000003</v>
      </c>
      <c r="W26" s="17">
        <v>48.44</v>
      </c>
      <c r="X26" s="17">
        <v>317.53000000000003</v>
      </c>
      <c r="Z26" s="20">
        <v>45937</v>
      </c>
      <c r="AA26" s="17">
        <v>2</v>
      </c>
      <c r="AB26" s="17">
        <v>9727.56</v>
      </c>
      <c r="AC26" s="17">
        <v>1750.96</v>
      </c>
      <c r="AD26" s="17">
        <v>11478.52</v>
      </c>
      <c r="AF26"/>
      <c r="AG26"/>
      <c r="AH26"/>
      <c r="AI26"/>
      <c r="AJ26"/>
    </row>
    <row r="27" spans="5:36" ht="15">
      <c r="E27" s="16" t="s">
        <v>111</v>
      </c>
      <c r="K27" s="19" t="s">
        <v>373</v>
      </c>
      <c r="L27" s="17">
        <v>1</v>
      </c>
      <c r="M27" s="17">
        <v>4123.66</v>
      </c>
      <c r="N27" s="17">
        <v>742.26</v>
      </c>
      <c r="O27" s="17">
        <v>4865.92</v>
      </c>
      <c r="T27" s="23">
        <v>45698</v>
      </c>
      <c r="U27" s="17">
        <v>3</v>
      </c>
      <c r="V27" s="17">
        <v>2871</v>
      </c>
      <c r="W27" s="17">
        <v>516.78</v>
      </c>
      <c r="X27" s="17">
        <v>3387.78</v>
      </c>
      <c r="Z27" s="20">
        <v>45939</v>
      </c>
      <c r="AA27" s="17">
        <v>1</v>
      </c>
      <c r="AB27" s="17">
        <v>317.5</v>
      </c>
      <c r="AC27" s="17">
        <v>57.15</v>
      </c>
      <c r="AD27" s="17">
        <v>374.65</v>
      </c>
      <c r="AF27"/>
      <c r="AG27"/>
      <c r="AH27"/>
      <c r="AI27"/>
      <c r="AJ27"/>
    </row>
    <row r="28" spans="5:36" ht="15">
      <c r="K28" s="19" t="s">
        <v>376</v>
      </c>
      <c r="L28" s="17">
        <v>3</v>
      </c>
      <c r="M28" s="17">
        <v>4140</v>
      </c>
      <c r="N28" s="17">
        <v>745.2</v>
      </c>
      <c r="O28" s="17">
        <v>4885.2000000000007</v>
      </c>
      <c r="T28" s="19" t="s">
        <v>238</v>
      </c>
      <c r="U28" s="17">
        <v>73</v>
      </c>
      <c r="V28" s="17">
        <v>83058.830000000016</v>
      </c>
      <c r="W28" s="17">
        <v>14950.620000000003</v>
      </c>
      <c r="X28" s="17">
        <v>98009.450000000012</v>
      </c>
      <c r="Z28" s="20">
        <v>45940</v>
      </c>
      <c r="AA28" s="17">
        <v>2</v>
      </c>
      <c r="AB28" s="17">
        <v>556.01</v>
      </c>
      <c r="AC28" s="17">
        <v>100.08</v>
      </c>
      <c r="AD28" s="17">
        <v>656.08999999999992</v>
      </c>
      <c r="AF28"/>
      <c r="AG28"/>
      <c r="AH28"/>
      <c r="AI28"/>
      <c r="AJ28"/>
    </row>
    <row r="29" spans="5:36" ht="15">
      <c r="E29" s="18" t="s">
        <v>51</v>
      </c>
      <c r="F29" s="17" t="s">
        <v>109</v>
      </c>
      <c r="K29" s="19" t="s">
        <v>389</v>
      </c>
      <c r="L29" s="17">
        <v>2</v>
      </c>
      <c r="M29" s="17">
        <v>110.85</v>
      </c>
      <c r="N29" s="17">
        <v>19.950000000000003</v>
      </c>
      <c r="O29" s="17">
        <v>130.80000000000001</v>
      </c>
      <c r="T29" s="23">
        <v>45937</v>
      </c>
      <c r="U29" s="17">
        <v>2</v>
      </c>
      <c r="V29" s="17">
        <v>9727.56</v>
      </c>
      <c r="W29" s="17">
        <v>1750.96</v>
      </c>
      <c r="X29" s="17">
        <v>11478.52</v>
      </c>
      <c r="Z29" s="20">
        <v>45941</v>
      </c>
      <c r="AA29" s="17">
        <v>1</v>
      </c>
      <c r="AB29" s="17">
        <v>79.75</v>
      </c>
      <c r="AC29" s="17">
        <v>14.36</v>
      </c>
      <c r="AD29" s="17">
        <v>94.11</v>
      </c>
      <c r="AF29"/>
      <c r="AG29"/>
      <c r="AH29"/>
      <c r="AI29"/>
      <c r="AJ29"/>
    </row>
    <row r="30" spans="5:36" ht="15">
      <c r="E30" s="19" t="s">
        <v>31</v>
      </c>
      <c r="F30" s="17">
        <v>426808.06000000011</v>
      </c>
      <c r="K30" s="19" t="s">
        <v>394</v>
      </c>
      <c r="L30" s="17">
        <v>19</v>
      </c>
      <c r="M30" s="17">
        <v>32104.039999999997</v>
      </c>
      <c r="N30" s="17">
        <v>5778.7300000000005</v>
      </c>
      <c r="O30" s="17">
        <v>37882.769999999997</v>
      </c>
      <c r="T30" s="23">
        <v>45939</v>
      </c>
      <c r="U30" s="17">
        <v>1</v>
      </c>
      <c r="V30" s="17">
        <v>317.5</v>
      </c>
      <c r="W30" s="17">
        <v>57.15</v>
      </c>
      <c r="X30" s="17">
        <v>374.65</v>
      </c>
      <c r="Z30" s="20">
        <v>45943</v>
      </c>
      <c r="AA30" s="17">
        <v>13</v>
      </c>
      <c r="AB30" s="17">
        <v>9789.74</v>
      </c>
      <c r="AC30" s="17">
        <v>1762.1699999999996</v>
      </c>
      <c r="AD30" s="17">
        <v>11551.91</v>
      </c>
      <c r="AF30"/>
      <c r="AG30"/>
      <c r="AH30"/>
      <c r="AI30"/>
      <c r="AJ30"/>
    </row>
    <row r="31" spans="5:36" ht="15">
      <c r="E31" s="19" t="s">
        <v>52</v>
      </c>
      <c r="F31" s="17">
        <v>426808.06000000011</v>
      </c>
      <c r="K31" s="19" t="s">
        <v>401</v>
      </c>
      <c r="L31" s="17">
        <v>2</v>
      </c>
      <c r="M31" s="17">
        <v>330.51</v>
      </c>
      <c r="N31" s="17">
        <v>59.489999999999995</v>
      </c>
      <c r="O31" s="17">
        <v>390</v>
      </c>
      <c r="T31" s="23">
        <v>45940</v>
      </c>
      <c r="U31" s="17">
        <v>2</v>
      </c>
      <c r="V31" s="17">
        <v>556.01</v>
      </c>
      <c r="W31" s="17">
        <v>100.08</v>
      </c>
      <c r="X31" s="17">
        <v>656.08999999999992</v>
      </c>
      <c r="Z31" s="20">
        <v>45944</v>
      </c>
      <c r="AA31" s="17">
        <v>8</v>
      </c>
      <c r="AB31" s="17">
        <v>8278.61</v>
      </c>
      <c r="AC31" s="17">
        <v>1490.15</v>
      </c>
      <c r="AD31" s="17">
        <v>9768.76</v>
      </c>
      <c r="AF31"/>
      <c r="AG31"/>
      <c r="AH31"/>
      <c r="AI31"/>
      <c r="AJ31"/>
    </row>
    <row r="32" spans="5:36" ht="15">
      <c r="E32"/>
      <c r="F32"/>
      <c r="K32" s="19" t="s">
        <v>406</v>
      </c>
      <c r="L32" s="17">
        <v>4</v>
      </c>
      <c r="M32" s="17">
        <v>42.88</v>
      </c>
      <c r="N32" s="17">
        <v>7.7200000000000006</v>
      </c>
      <c r="O32" s="17">
        <v>50.6</v>
      </c>
      <c r="T32" s="23">
        <v>45941</v>
      </c>
      <c r="U32" s="17">
        <v>1</v>
      </c>
      <c r="V32" s="17">
        <v>79.75</v>
      </c>
      <c r="W32" s="17">
        <v>14.36</v>
      </c>
      <c r="X32" s="17">
        <v>94.11</v>
      </c>
      <c r="Z32" s="20">
        <v>45945</v>
      </c>
      <c r="AA32" s="17">
        <v>45</v>
      </c>
      <c r="AB32" s="17">
        <v>54302.16</v>
      </c>
      <c r="AC32" s="17">
        <v>9774.4</v>
      </c>
      <c r="AD32" s="17">
        <v>64076.56</v>
      </c>
      <c r="AF32"/>
      <c r="AG32"/>
      <c r="AH32"/>
      <c r="AI32"/>
      <c r="AJ32"/>
    </row>
    <row r="33" spans="11:36" ht="15">
      <c r="K33" s="19" t="s">
        <v>415</v>
      </c>
      <c r="L33" s="17">
        <v>56</v>
      </c>
      <c r="M33" s="17">
        <v>72447.199999999997</v>
      </c>
      <c r="N33" s="17">
        <v>13040.469999999998</v>
      </c>
      <c r="O33" s="17">
        <v>85487.67</v>
      </c>
      <c r="T33" s="23">
        <v>45943</v>
      </c>
      <c r="U33" s="17">
        <v>13</v>
      </c>
      <c r="V33" s="17">
        <v>9789.74</v>
      </c>
      <c r="W33" s="17">
        <v>1762.1699999999996</v>
      </c>
      <c r="X33" s="17">
        <v>11551.91</v>
      </c>
      <c r="Z33" s="20" t="s">
        <v>53</v>
      </c>
      <c r="AA33" s="17">
        <v>1</v>
      </c>
      <c r="AB33" s="17">
        <v>7.5</v>
      </c>
      <c r="AC33" s="17">
        <v>1.35</v>
      </c>
      <c r="AD33" s="17">
        <v>8.85</v>
      </c>
      <c r="AF33"/>
      <c r="AG33"/>
      <c r="AH33"/>
      <c r="AI33"/>
      <c r="AJ33"/>
    </row>
    <row r="34" spans="11:36" ht="15">
      <c r="K34" s="19" t="s">
        <v>424</v>
      </c>
      <c r="L34" s="17">
        <v>27</v>
      </c>
      <c r="M34" s="17">
        <v>31539.78</v>
      </c>
      <c r="N34" s="17">
        <v>5677.15</v>
      </c>
      <c r="O34" s="17">
        <v>37216.929999999993</v>
      </c>
      <c r="T34" s="23">
        <v>45944</v>
      </c>
      <c r="U34" s="17">
        <v>8</v>
      </c>
      <c r="V34" s="17">
        <v>8278.61</v>
      </c>
      <c r="W34" s="17">
        <v>1490.15</v>
      </c>
      <c r="X34" s="17">
        <v>9768.76</v>
      </c>
      <c r="Z34" s="20" t="s">
        <v>52</v>
      </c>
      <c r="AA34" s="17">
        <v>457</v>
      </c>
      <c r="AB34" s="17">
        <v>361701.79000000015</v>
      </c>
      <c r="AC34" s="17">
        <v>65106.26999999999</v>
      </c>
      <c r="AD34" s="17">
        <v>426808.05999999965</v>
      </c>
      <c r="AF34"/>
      <c r="AG34"/>
      <c r="AH34"/>
      <c r="AI34"/>
      <c r="AJ34"/>
    </row>
    <row r="35" spans="11:36" ht="15">
      <c r="K35" s="19" t="s">
        <v>435</v>
      </c>
      <c r="L35" s="17">
        <v>3</v>
      </c>
      <c r="M35" s="17">
        <v>789.89</v>
      </c>
      <c r="N35" s="17">
        <v>142.18</v>
      </c>
      <c r="O35" s="17">
        <v>932.07</v>
      </c>
      <c r="T35" s="23">
        <v>45945</v>
      </c>
      <c r="U35" s="17">
        <v>46</v>
      </c>
      <c r="V35" s="17">
        <v>54309.66</v>
      </c>
      <c r="W35" s="17">
        <v>9775.75</v>
      </c>
      <c r="X35" s="17">
        <v>64085.409999999996</v>
      </c>
      <c r="AF35"/>
      <c r="AG35"/>
      <c r="AH35"/>
      <c r="AI35"/>
      <c r="AJ35"/>
    </row>
    <row r="36" spans="11:36" ht="15">
      <c r="K36" s="19" t="s">
        <v>442</v>
      </c>
      <c r="L36" s="17">
        <v>4</v>
      </c>
      <c r="M36" s="17">
        <v>257.2</v>
      </c>
      <c r="N36" s="17">
        <v>46.3</v>
      </c>
      <c r="O36" s="17">
        <v>303.5</v>
      </c>
      <c r="T36" s="19" t="s">
        <v>52</v>
      </c>
      <c r="U36" s="17">
        <v>457</v>
      </c>
      <c r="V36" s="17">
        <v>361701.79000000015</v>
      </c>
      <c r="W36" s="17">
        <v>65106.26999999999</v>
      </c>
      <c r="X36" s="17">
        <v>426808.05999999965</v>
      </c>
      <c r="AF36"/>
      <c r="AG36"/>
      <c r="AH36"/>
      <c r="AI36"/>
      <c r="AJ36"/>
    </row>
    <row r="37" spans="11:36" ht="15">
      <c r="K37" s="19" t="s">
        <v>447</v>
      </c>
      <c r="L37" s="17">
        <v>2</v>
      </c>
      <c r="M37" s="17">
        <v>34.49</v>
      </c>
      <c r="N37" s="17">
        <v>6.21</v>
      </c>
      <c r="O37" s="17">
        <v>40.700000000000003</v>
      </c>
      <c r="T37"/>
      <c r="U37"/>
      <c r="V37"/>
      <c r="W37"/>
      <c r="X37"/>
      <c r="AF37"/>
      <c r="AG37"/>
      <c r="AH37"/>
      <c r="AI37"/>
      <c r="AJ37"/>
    </row>
    <row r="38" spans="11:36" ht="15">
      <c r="K38" s="19" t="s">
        <v>452</v>
      </c>
      <c r="L38" s="17">
        <v>11</v>
      </c>
      <c r="M38" s="17">
        <v>715.12999999999988</v>
      </c>
      <c r="N38" s="17">
        <v>128.72</v>
      </c>
      <c r="O38" s="17">
        <v>843.85</v>
      </c>
      <c r="T38"/>
      <c r="U38"/>
      <c r="V38"/>
      <c r="W38"/>
      <c r="X38"/>
      <c r="AF38"/>
      <c r="AG38"/>
      <c r="AH38"/>
      <c r="AI38"/>
      <c r="AJ38"/>
    </row>
    <row r="39" spans="11:36" ht="15">
      <c r="K39" s="19" t="s">
        <v>457</v>
      </c>
      <c r="L39" s="17">
        <v>2</v>
      </c>
      <c r="M39" s="17">
        <v>23.67</v>
      </c>
      <c r="N39" s="17">
        <v>4.2699999999999996</v>
      </c>
      <c r="O39" s="17">
        <v>27.939999999999998</v>
      </c>
      <c r="T39"/>
      <c r="U39"/>
      <c r="V39"/>
      <c r="W39"/>
      <c r="X39"/>
      <c r="AF39"/>
      <c r="AG39"/>
      <c r="AH39"/>
      <c r="AI39"/>
      <c r="AJ39"/>
    </row>
    <row r="40" spans="11:36" ht="15">
      <c r="K40" s="19" t="s">
        <v>462</v>
      </c>
      <c r="L40" s="17">
        <v>7</v>
      </c>
      <c r="M40" s="17">
        <v>3497.96</v>
      </c>
      <c r="N40" s="17">
        <v>629.64</v>
      </c>
      <c r="O40" s="17">
        <v>4127.6000000000004</v>
      </c>
      <c r="T40"/>
      <c r="U40"/>
      <c r="V40"/>
      <c r="W40"/>
      <c r="X40"/>
      <c r="AF40"/>
      <c r="AG40"/>
      <c r="AH40"/>
      <c r="AI40"/>
      <c r="AJ40"/>
    </row>
    <row r="41" spans="11:36" ht="15">
      <c r="K41" s="19" t="s">
        <v>485</v>
      </c>
      <c r="L41" s="17">
        <v>6</v>
      </c>
      <c r="M41" s="17">
        <v>121.5</v>
      </c>
      <c r="N41" s="17">
        <v>21.87</v>
      </c>
      <c r="O41" s="17">
        <v>143.37</v>
      </c>
      <c r="T41"/>
      <c r="U41"/>
      <c r="V41"/>
      <c r="W41"/>
      <c r="X41"/>
      <c r="AF41"/>
      <c r="AG41"/>
      <c r="AH41"/>
      <c r="AI41"/>
      <c r="AJ41"/>
    </row>
    <row r="42" spans="11:36" ht="15">
      <c r="K42" s="19" t="s">
        <v>490</v>
      </c>
      <c r="L42" s="17">
        <v>10</v>
      </c>
      <c r="M42" s="17">
        <v>290.33999999999997</v>
      </c>
      <c r="N42" s="17">
        <v>52.260000000000005</v>
      </c>
      <c r="O42" s="17">
        <v>342.59999999999997</v>
      </c>
      <c r="T42"/>
      <c r="U42"/>
      <c r="V42"/>
      <c r="W42"/>
      <c r="X42"/>
      <c r="AF42"/>
      <c r="AG42"/>
      <c r="AH42"/>
      <c r="AI42"/>
      <c r="AJ42"/>
    </row>
    <row r="43" spans="11:36" ht="15">
      <c r="K43" s="19" t="s">
        <v>501</v>
      </c>
      <c r="L43" s="17">
        <v>2</v>
      </c>
      <c r="M43" s="17">
        <v>9.9499999999999993</v>
      </c>
      <c r="N43" s="17">
        <v>1.79</v>
      </c>
      <c r="O43" s="17">
        <v>11.74</v>
      </c>
      <c r="T43"/>
      <c r="U43"/>
      <c r="V43"/>
      <c r="W43"/>
      <c r="X43"/>
      <c r="AF43"/>
      <c r="AG43"/>
      <c r="AH43"/>
      <c r="AI43"/>
      <c r="AJ43"/>
    </row>
    <row r="44" spans="11:36" ht="15">
      <c r="K44" s="19" t="s">
        <v>514</v>
      </c>
      <c r="L44" s="17">
        <v>4</v>
      </c>
      <c r="M44" s="17">
        <v>626.88</v>
      </c>
      <c r="N44" s="17">
        <v>112.83</v>
      </c>
      <c r="O44" s="17">
        <v>739.71</v>
      </c>
      <c r="T44"/>
      <c r="U44"/>
      <c r="V44"/>
      <c r="W44"/>
      <c r="X44"/>
      <c r="AF44"/>
      <c r="AG44"/>
      <c r="AH44"/>
      <c r="AI44"/>
      <c r="AJ44"/>
    </row>
    <row r="45" spans="11:36" ht="15">
      <c r="K45" s="19" t="s">
        <v>519</v>
      </c>
      <c r="L45" s="17">
        <v>9</v>
      </c>
      <c r="M45" s="17">
        <v>6476.42</v>
      </c>
      <c r="N45" s="17">
        <v>1165.73</v>
      </c>
      <c r="O45" s="17">
        <v>7642.1500000000005</v>
      </c>
      <c r="T45"/>
      <c r="U45"/>
      <c r="V45"/>
      <c r="W45"/>
      <c r="X45"/>
      <c r="AF45"/>
      <c r="AG45"/>
      <c r="AH45"/>
      <c r="AI45"/>
      <c r="AJ45"/>
    </row>
    <row r="46" spans="11:36" ht="15">
      <c r="K46" s="19" t="s">
        <v>526</v>
      </c>
      <c r="L46" s="17">
        <v>9</v>
      </c>
      <c r="M46" s="17">
        <v>3304.2900000000004</v>
      </c>
      <c r="N46" s="17">
        <v>594.7700000000001</v>
      </c>
      <c r="O46" s="17">
        <v>3899.0600000000004</v>
      </c>
      <c r="T46"/>
      <c r="U46"/>
      <c r="V46"/>
      <c r="W46"/>
      <c r="X46"/>
      <c r="AF46"/>
      <c r="AG46"/>
      <c r="AH46"/>
      <c r="AI46"/>
      <c r="AJ46"/>
    </row>
    <row r="47" spans="11:36" ht="15">
      <c r="K47" s="19" t="s">
        <v>533</v>
      </c>
      <c r="L47" s="17">
        <v>9</v>
      </c>
      <c r="M47" s="17">
        <v>3304.2900000000004</v>
      </c>
      <c r="N47" s="17">
        <v>594.7700000000001</v>
      </c>
      <c r="O47" s="17">
        <v>3899.0600000000004</v>
      </c>
      <c r="T47"/>
      <c r="U47"/>
      <c r="V47"/>
      <c r="W47"/>
      <c r="X47"/>
      <c r="AF47"/>
      <c r="AG47"/>
      <c r="AH47"/>
      <c r="AI47"/>
      <c r="AJ47"/>
    </row>
    <row r="48" spans="11:36" ht="15">
      <c r="K48" s="19" t="s">
        <v>540</v>
      </c>
      <c r="L48" s="17">
        <v>3</v>
      </c>
      <c r="M48" s="17">
        <v>514.4</v>
      </c>
      <c r="N48" s="17">
        <v>92.6</v>
      </c>
      <c r="O48" s="17">
        <v>607</v>
      </c>
      <c r="T48"/>
      <c r="U48"/>
      <c r="V48"/>
      <c r="W48"/>
      <c r="X48"/>
      <c r="AF48"/>
      <c r="AG48"/>
      <c r="AH48"/>
      <c r="AI48"/>
      <c r="AJ48"/>
    </row>
    <row r="49" spans="11:36" ht="15">
      <c r="K49" s="19" t="s">
        <v>547</v>
      </c>
      <c r="L49" s="17">
        <v>3</v>
      </c>
      <c r="M49" s="17">
        <v>445.82</v>
      </c>
      <c r="N49" s="17">
        <v>80.25</v>
      </c>
      <c r="O49" s="17">
        <v>526.06999999999994</v>
      </c>
      <c r="T49"/>
      <c r="U49"/>
      <c r="V49"/>
      <c r="W49"/>
      <c r="X49"/>
      <c r="AF49"/>
      <c r="AG49"/>
      <c r="AH49"/>
      <c r="AI49"/>
      <c r="AJ49"/>
    </row>
    <row r="50" spans="11:36" ht="15">
      <c r="K50" s="19" t="s">
        <v>554</v>
      </c>
      <c r="L50" s="17">
        <v>9</v>
      </c>
      <c r="M50" s="17">
        <v>132.16999999999999</v>
      </c>
      <c r="N50" s="17">
        <v>23.8</v>
      </c>
      <c r="O50" s="17">
        <v>155.96999999999997</v>
      </c>
      <c r="T50"/>
      <c r="U50"/>
      <c r="V50"/>
      <c r="W50"/>
      <c r="X50"/>
      <c r="AF50"/>
      <c r="AG50"/>
      <c r="AH50"/>
      <c r="AI50"/>
      <c r="AJ50"/>
    </row>
    <row r="51" spans="11:36" ht="15">
      <c r="K51" s="19" t="s">
        <v>561</v>
      </c>
      <c r="L51" s="17">
        <v>2</v>
      </c>
      <c r="M51" s="17">
        <v>6.48</v>
      </c>
      <c r="N51" s="17">
        <v>1.17</v>
      </c>
      <c r="O51" s="17">
        <v>7.65</v>
      </c>
      <c r="T51"/>
      <c r="U51"/>
      <c r="V51"/>
      <c r="W51"/>
      <c r="X51"/>
      <c r="AF51"/>
      <c r="AG51"/>
      <c r="AH51"/>
      <c r="AI51"/>
      <c r="AJ51"/>
    </row>
    <row r="52" spans="11:36" ht="15">
      <c r="K52" s="19" t="s">
        <v>566</v>
      </c>
      <c r="L52" s="17">
        <v>8</v>
      </c>
      <c r="M52" s="17">
        <v>3592.9700000000003</v>
      </c>
      <c r="N52" s="17">
        <v>646.73</v>
      </c>
      <c r="O52" s="17">
        <v>4239.7000000000007</v>
      </c>
      <c r="T52"/>
      <c r="U52"/>
      <c r="V52"/>
      <c r="W52"/>
      <c r="X52"/>
      <c r="AF52"/>
      <c r="AG52"/>
      <c r="AH52"/>
      <c r="AI52"/>
      <c r="AJ52"/>
    </row>
    <row r="53" spans="11:36" ht="15">
      <c r="K53" s="19" t="s">
        <v>591</v>
      </c>
      <c r="L53" s="17">
        <v>2</v>
      </c>
      <c r="M53" s="17">
        <v>338.05</v>
      </c>
      <c r="N53" s="17">
        <v>60.849999999999994</v>
      </c>
      <c r="O53" s="17">
        <v>398.9</v>
      </c>
      <c r="T53"/>
      <c r="U53"/>
      <c r="V53"/>
      <c r="W53"/>
      <c r="X53"/>
      <c r="AF53"/>
      <c r="AG53"/>
      <c r="AH53"/>
      <c r="AI53"/>
      <c r="AJ53"/>
    </row>
    <row r="54" spans="11:36" ht="15">
      <c r="K54" s="19" t="s">
        <v>596</v>
      </c>
      <c r="L54" s="17">
        <v>2</v>
      </c>
      <c r="M54" s="17">
        <v>51.01</v>
      </c>
      <c r="N54" s="17">
        <v>9.18</v>
      </c>
      <c r="O54" s="17">
        <v>60.19</v>
      </c>
      <c r="T54"/>
      <c r="U54"/>
      <c r="V54"/>
      <c r="W54"/>
      <c r="X54"/>
      <c r="AF54"/>
      <c r="AG54"/>
      <c r="AH54"/>
      <c r="AI54"/>
      <c r="AJ54"/>
    </row>
    <row r="55" spans="11:36" ht="15">
      <c r="K55" s="19" t="s">
        <v>601</v>
      </c>
      <c r="L55" s="17">
        <v>4</v>
      </c>
      <c r="M55" s="17">
        <v>1648.8000000000002</v>
      </c>
      <c r="N55" s="17">
        <v>296.78999999999996</v>
      </c>
      <c r="O55" s="17">
        <v>1945.59</v>
      </c>
      <c r="T55"/>
      <c r="U55"/>
      <c r="V55"/>
      <c r="W55"/>
      <c r="X55"/>
      <c r="AF55"/>
      <c r="AG55"/>
      <c r="AH55"/>
      <c r="AI55"/>
      <c r="AJ55"/>
    </row>
    <row r="56" spans="11:36" ht="15">
      <c r="K56" s="19" t="s">
        <v>610</v>
      </c>
      <c r="L56" s="17">
        <v>3</v>
      </c>
      <c r="M56" s="17">
        <v>72.88</v>
      </c>
      <c r="N56" s="17">
        <v>13.120000000000001</v>
      </c>
      <c r="O56" s="17">
        <v>86</v>
      </c>
      <c r="T56"/>
      <c r="U56"/>
      <c r="V56"/>
      <c r="W56"/>
      <c r="X56"/>
      <c r="AF56"/>
      <c r="AG56"/>
      <c r="AH56"/>
      <c r="AI56"/>
      <c r="AJ56"/>
    </row>
    <row r="57" spans="11:36" ht="15">
      <c r="K57" s="19" t="s">
        <v>617</v>
      </c>
      <c r="L57" s="17">
        <v>2</v>
      </c>
      <c r="M57" s="17">
        <v>653.80999999999995</v>
      </c>
      <c r="N57" s="17">
        <v>117.69</v>
      </c>
      <c r="O57" s="17">
        <v>771.5</v>
      </c>
      <c r="T57"/>
      <c r="U57"/>
      <c r="V57"/>
      <c r="W57"/>
      <c r="X57"/>
      <c r="AF57"/>
      <c r="AG57"/>
      <c r="AH57"/>
      <c r="AI57"/>
      <c r="AJ57"/>
    </row>
    <row r="58" spans="11:36" ht="15">
      <c r="K58" s="19" t="s">
        <v>622</v>
      </c>
      <c r="L58" s="17">
        <v>2</v>
      </c>
      <c r="M58" s="17">
        <v>88.31</v>
      </c>
      <c r="N58" s="17">
        <v>15.89</v>
      </c>
      <c r="O58" s="17">
        <v>104.2</v>
      </c>
      <c r="T58"/>
      <c r="U58"/>
      <c r="V58"/>
      <c r="W58"/>
      <c r="X58"/>
      <c r="AF58"/>
      <c r="AG58"/>
      <c r="AH58"/>
      <c r="AI58"/>
      <c r="AJ58"/>
    </row>
    <row r="59" spans="11:36" ht="15">
      <c r="K59" s="19" t="s">
        <v>627</v>
      </c>
      <c r="L59" s="17">
        <v>23</v>
      </c>
      <c r="M59" s="17">
        <v>17369.179999999997</v>
      </c>
      <c r="N59" s="17">
        <v>3126.4399999999996</v>
      </c>
      <c r="O59" s="17">
        <v>20495.619999999995</v>
      </c>
      <c r="T59"/>
      <c r="U59"/>
      <c r="V59"/>
      <c r="W59"/>
      <c r="X59"/>
      <c r="AF59"/>
      <c r="AG59"/>
      <c r="AH59"/>
      <c r="AI59"/>
      <c r="AJ59"/>
    </row>
    <row r="60" spans="11:36" ht="15">
      <c r="K60" s="19" t="s">
        <v>674</v>
      </c>
      <c r="L60" s="17">
        <v>4</v>
      </c>
      <c r="M60" s="17">
        <v>13431.189999999999</v>
      </c>
      <c r="N60" s="17">
        <v>2417.6099999999997</v>
      </c>
      <c r="O60" s="17">
        <v>15848.800000000001</v>
      </c>
      <c r="T60"/>
      <c r="U60"/>
      <c r="V60"/>
      <c r="W60"/>
      <c r="X60"/>
      <c r="AF60"/>
      <c r="AG60"/>
      <c r="AH60"/>
      <c r="AI60"/>
      <c r="AJ60"/>
    </row>
    <row r="61" spans="11:36" ht="15">
      <c r="K61" s="19" t="s">
        <v>715</v>
      </c>
      <c r="L61" s="17">
        <v>2</v>
      </c>
      <c r="M61" s="17">
        <v>434.21000000000004</v>
      </c>
      <c r="N61" s="17">
        <v>78.150000000000006</v>
      </c>
      <c r="O61" s="17">
        <v>512.36</v>
      </c>
      <c r="AF61"/>
      <c r="AG61"/>
      <c r="AH61"/>
      <c r="AI61"/>
      <c r="AJ61"/>
    </row>
    <row r="62" spans="11:36" ht="15">
      <c r="K62" s="19" t="s">
        <v>720</v>
      </c>
      <c r="L62" s="17">
        <v>2</v>
      </c>
      <c r="M62" s="17">
        <v>1744.3200000000002</v>
      </c>
      <c r="N62" s="17">
        <v>313.98</v>
      </c>
      <c r="O62" s="17">
        <v>2058.3000000000002</v>
      </c>
      <c r="AF62"/>
      <c r="AG62"/>
      <c r="AH62"/>
      <c r="AI62"/>
      <c r="AJ62"/>
    </row>
    <row r="63" spans="11:36" ht="15">
      <c r="K63" s="19" t="s">
        <v>725</v>
      </c>
      <c r="L63" s="17">
        <v>3</v>
      </c>
      <c r="M63" s="17">
        <v>456.15999999999997</v>
      </c>
      <c r="N63" s="17">
        <v>82.1</v>
      </c>
      <c r="O63" s="17">
        <v>538.26</v>
      </c>
      <c r="AF63"/>
      <c r="AG63"/>
      <c r="AH63"/>
      <c r="AI63"/>
      <c r="AJ63"/>
    </row>
    <row r="64" spans="11:36" ht="15">
      <c r="K64" s="19" t="s">
        <v>732</v>
      </c>
      <c r="L64" s="17">
        <v>2</v>
      </c>
      <c r="M64" s="17">
        <v>53.39</v>
      </c>
      <c r="N64" s="17">
        <v>9.61</v>
      </c>
      <c r="O64" s="17">
        <v>63</v>
      </c>
      <c r="AF64"/>
      <c r="AG64"/>
      <c r="AH64"/>
      <c r="AI64"/>
      <c r="AJ64"/>
    </row>
    <row r="65" spans="11:36" ht="15">
      <c r="K65" s="19" t="s">
        <v>737</v>
      </c>
      <c r="L65" s="17">
        <v>2</v>
      </c>
      <c r="M65" s="17">
        <v>373.72</v>
      </c>
      <c r="N65" s="17">
        <v>67.28</v>
      </c>
      <c r="O65" s="17">
        <v>441</v>
      </c>
      <c r="AF65"/>
      <c r="AG65"/>
      <c r="AH65"/>
      <c r="AI65"/>
      <c r="AJ65"/>
    </row>
    <row r="66" spans="11:36" ht="15">
      <c r="K66" s="19" t="s">
        <v>742</v>
      </c>
      <c r="L66" s="17">
        <v>2</v>
      </c>
      <c r="M66" s="17">
        <v>2171.0700000000002</v>
      </c>
      <c r="N66" s="17">
        <v>390.79999999999995</v>
      </c>
      <c r="O66" s="17">
        <v>2561.87</v>
      </c>
      <c r="AF66"/>
      <c r="AG66"/>
      <c r="AH66"/>
      <c r="AI66"/>
      <c r="AJ66"/>
    </row>
    <row r="67" spans="11:36" ht="15">
      <c r="K67" s="19" t="s">
        <v>747</v>
      </c>
      <c r="L67" s="17">
        <v>2</v>
      </c>
      <c r="M67" s="17">
        <v>192.07</v>
      </c>
      <c r="N67" s="17">
        <v>34.57</v>
      </c>
      <c r="O67" s="17">
        <v>226.64</v>
      </c>
      <c r="AF67"/>
      <c r="AG67"/>
      <c r="AH67"/>
      <c r="AI67"/>
      <c r="AJ67"/>
    </row>
    <row r="68" spans="11:36" ht="15">
      <c r="K68" s="19" t="s">
        <v>756</v>
      </c>
      <c r="L68" s="17">
        <v>5</v>
      </c>
      <c r="M68" s="17">
        <v>12374.59</v>
      </c>
      <c r="N68" s="17">
        <v>2227.42</v>
      </c>
      <c r="O68" s="17">
        <v>14602.009999999998</v>
      </c>
      <c r="AF68"/>
      <c r="AG68"/>
      <c r="AH68"/>
      <c r="AI68"/>
      <c r="AJ68"/>
    </row>
    <row r="69" spans="11:36" ht="15">
      <c r="K69" s="19" t="s">
        <v>785</v>
      </c>
      <c r="L69" s="17">
        <v>2</v>
      </c>
      <c r="M69" s="17">
        <v>156.44</v>
      </c>
      <c r="N69" s="17">
        <v>28.160000000000004</v>
      </c>
      <c r="O69" s="17">
        <v>184.60000000000002</v>
      </c>
      <c r="AF69"/>
      <c r="AG69"/>
      <c r="AH69"/>
      <c r="AI69"/>
      <c r="AJ69"/>
    </row>
    <row r="70" spans="11:36" ht="15">
      <c r="K70" s="19" t="s">
        <v>848</v>
      </c>
      <c r="L70" s="17">
        <v>2</v>
      </c>
      <c r="M70" s="17">
        <v>84.490000000000009</v>
      </c>
      <c r="N70" s="17">
        <v>15.21</v>
      </c>
      <c r="O70" s="17">
        <v>99.7</v>
      </c>
      <c r="AF70"/>
      <c r="AG70"/>
      <c r="AH70"/>
      <c r="AI70"/>
      <c r="AJ70"/>
    </row>
    <row r="71" spans="11:36" ht="15">
      <c r="K71" s="19" t="s">
        <v>901</v>
      </c>
      <c r="L71" s="17">
        <v>2</v>
      </c>
      <c r="M71" s="17">
        <v>79.66</v>
      </c>
      <c r="N71" s="17">
        <v>14.34</v>
      </c>
      <c r="O71" s="17">
        <v>94</v>
      </c>
      <c r="AF71"/>
      <c r="AG71"/>
      <c r="AH71"/>
      <c r="AI71"/>
      <c r="AJ71"/>
    </row>
    <row r="72" spans="11:36" ht="15">
      <c r="K72" s="19" t="s">
        <v>916</v>
      </c>
      <c r="L72" s="17">
        <v>2</v>
      </c>
      <c r="M72" s="17">
        <v>31.61</v>
      </c>
      <c r="N72" s="17">
        <v>5.69</v>
      </c>
      <c r="O72" s="17">
        <v>37.299999999999997</v>
      </c>
      <c r="AF72"/>
      <c r="AG72"/>
      <c r="AH72"/>
      <c r="AI72"/>
      <c r="AJ72"/>
    </row>
    <row r="73" spans="11:36" ht="15">
      <c r="K73" s="19" t="s">
        <v>921</v>
      </c>
      <c r="L73" s="17">
        <v>3</v>
      </c>
      <c r="M73" s="17">
        <v>1722.02</v>
      </c>
      <c r="N73" s="17">
        <v>309.96000000000004</v>
      </c>
      <c r="O73" s="17">
        <v>2031.98</v>
      </c>
      <c r="AF73"/>
      <c r="AG73"/>
      <c r="AH73"/>
      <c r="AI73"/>
      <c r="AJ73"/>
    </row>
    <row r="74" spans="11:36" ht="15">
      <c r="K74" s="19" t="s">
        <v>942</v>
      </c>
      <c r="L74" s="17">
        <v>2</v>
      </c>
      <c r="M74" s="17">
        <v>170.85</v>
      </c>
      <c r="N74" s="17">
        <v>30.75</v>
      </c>
      <c r="O74" s="17">
        <v>201.6</v>
      </c>
      <c r="AF74"/>
      <c r="AG74"/>
      <c r="AH74"/>
      <c r="AI74"/>
      <c r="AJ74"/>
    </row>
    <row r="75" spans="11:36" ht="15">
      <c r="K75" s="19" t="s">
        <v>971</v>
      </c>
      <c r="L75" s="17">
        <v>2</v>
      </c>
      <c r="M75" s="17">
        <v>1250.51</v>
      </c>
      <c r="N75" s="17">
        <v>225.09</v>
      </c>
      <c r="O75" s="17">
        <v>1475.6</v>
      </c>
      <c r="AF75"/>
      <c r="AG75"/>
      <c r="AH75"/>
      <c r="AI75"/>
      <c r="AJ75"/>
    </row>
    <row r="76" spans="11:36" ht="15">
      <c r="K76" s="19" t="s">
        <v>1022</v>
      </c>
      <c r="L76" s="17">
        <v>4</v>
      </c>
      <c r="M76" s="17">
        <v>3433</v>
      </c>
      <c r="N76" s="17">
        <v>617.94000000000005</v>
      </c>
      <c r="O76" s="17">
        <v>4050.9399999999996</v>
      </c>
      <c r="AF76"/>
      <c r="AG76"/>
      <c r="AH76"/>
      <c r="AI76"/>
      <c r="AJ76"/>
    </row>
    <row r="77" spans="11:36" ht="15">
      <c r="K77" s="19" t="s">
        <v>1031</v>
      </c>
      <c r="L77" s="17">
        <v>2</v>
      </c>
      <c r="M77" s="17">
        <v>2546.7800000000002</v>
      </c>
      <c r="N77" s="17">
        <v>458.41999999999996</v>
      </c>
      <c r="O77" s="17">
        <v>3005.2</v>
      </c>
      <c r="AF77"/>
      <c r="AG77"/>
      <c r="AH77"/>
      <c r="AI77"/>
      <c r="AJ77"/>
    </row>
    <row r="78" spans="11:36" ht="15">
      <c r="K78" s="19" t="s">
        <v>1036</v>
      </c>
      <c r="L78" s="17">
        <v>3</v>
      </c>
      <c r="M78" s="17">
        <v>884.06999999999994</v>
      </c>
      <c r="N78" s="17">
        <v>159.13</v>
      </c>
      <c r="O78" s="17">
        <v>1043.2</v>
      </c>
      <c r="AF78"/>
      <c r="AG78"/>
      <c r="AH78"/>
      <c r="AI78"/>
      <c r="AJ78"/>
    </row>
    <row r="79" spans="11:36" ht="15">
      <c r="K79" s="19" t="s">
        <v>1043</v>
      </c>
      <c r="L79" s="17">
        <v>2</v>
      </c>
      <c r="M79" s="17">
        <v>2.46</v>
      </c>
      <c r="N79" s="17">
        <v>0.44</v>
      </c>
      <c r="O79" s="17">
        <v>2.9</v>
      </c>
      <c r="AF79"/>
      <c r="AG79"/>
      <c r="AH79"/>
      <c r="AI79"/>
      <c r="AJ79"/>
    </row>
    <row r="80" spans="11:36" ht="15">
      <c r="K80" s="19" t="s">
        <v>1048</v>
      </c>
      <c r="L80" s="17">
        <v>3</v>
      </c>
      <c r="M80" s="17">
        <v>3096.4</v>
      </c>
      <c r="N80" s="17">
        <v>557.35</v>
      </c>
      <c r="O80" s="17">
        <v>3653.75</v>
      </c>
      <c r="AF80"/>
      <c r="AG80"/>
      <c r="AH80"/>
      <c r="AI80"/>
      <c r="AJ80"/>
    </row>
    <row r="81" spans="11:36" ht="15">
      <c r="K81" s="19" t="s">
        <v>1065</v>
      </c>
      <c r="L81" s="17">
        <v>2</v>
      </c>
      <c r="M81" s="17">
        <v>220.69</v>
      </c>
      <c r="N81" s="17">
        <v>39.729999999999997</v>
      </c>
      <c r="O81" s="17">
        <v>260.42</v>
      </c>
      <c r="AF81"/>
      <c r="AG81"/>
      <c r="AH81"/>
      <c r="AI81"/>
      <c r="AJ81"/>
    </row>
    <row r="82" spans="11:36" ht="15">
      <c r="K82" s="19" t="s">
        <v>1070</v>
      </c>
      <c r="L82" s="17">
        <v>2</v>
      </c>
      <c r="M82" s="17">
        <v>313.91000000000003</v>
      </c>
      <c r="N82" s="17">
        <v>56.5</v>
      </c>
      <c r="O82" s="17">
        <v>370.41</v>
      </c>
      <c r="AF82"/>
      <c r="AG82"/>
      <c r="AH82"/>
      <c r="AI82"/>
      <c r="AJ82"/>
    </row>
    <row r="83" spans="11:36" ht="15">
      <c r="K83" s="19" t="s">
        <v>1075</v>
      </c>
      <c r="L83" s="17">
        <v>2</v>
      </c>
      <c r="M83" s="17">
        <v>680.25</v>
      </c>
      <c r="N83" s="17">
        <v>122.44</v>
      </c>
      <c r="O83" s="17">
        <v>802.69</v>
      </c>
      <c r="AF83"/>
      <c r="AG83"/>
      <c r="AH83"/>
      <c r="AI83"/>
      <c r="AJ83"/>
    </row>
    <row r="84" spans="11:36" ht="15">
      <c r="K84" s="19" t="s">
        <v>1080</v>
      </c>
      <c r="L84" s="17">
        <v>3</v>
      </c>
      <c r="M84" s="17">
        <v>4969.33</v>
      </c>
      <c r="N84" s="17">
        <v>894.48</v>
      </c>
      <c r="O84" s="17">
        <v>5863.8099999999995</v>
      </c>
      <c r="AF84"/>
      <c r="AG84"/>
      <c r="AH84"/>
      <c r="AI84"/>
      <c r="AJ84"/>
    </row>
    <row r="85" spans="11:36" ht="15">
      <c r="K85" s="19" t="s">
        <v>1091</v>
      </c>
      <c r="L85" s="17">
        <v>2</v>
      </c>
      <c r="M85" s="17">
        <v>36.86</v>
      </c>
      <c r="N85" s="17">
        <v>6.6400000000000006</v>
      </c>
      <c r="O85" s="17">
        <v>43.5</v>
      </c>
      <c r="AF85"/>
      <c r="AG85"/>
      <c r="AH85"/>
      <c r="AI85"/>
      <c r="AJ85"/>
    </row>
    <row r="86" spans="11:36" ht="15">
      <c r="K86" s="19" t="s">
        <v>1096</v>
      </c>
      <c r="L86" s="17">
        <v>2</v>
      </c>
      <c r="M86" s="17">
        <v>291.81</v>
      </c>
      <c r="N86" s="17">
        <v>52.519999999999996</v>
      </c>
      <c r="O86" s="17">
        <v>344.33</v>
      </c>
      <c r="AF86"/>
      <c r="AG86"/>
      <c r="AH86"/>
      <c r="AI86"/>
      <c r="AJ86"/>
    </row>
    <row r="87" spans="11:36" ht="15">
      <c r="K87" s="19" t="s">
        <v>1117</v>
      </c>
      <c r="L87" s="17">
        <v>2</v>
      </c>
      <c r="M87" s="17">
        <v>118.9</v>
      </c>
      <c r="N87" s="17">
        <v>21.4</v>
      </c>
      <c r="O87" s="17">
        <v>140.30000000000001</v>
      </c>
      <c r="AF87"/>
      <c r="AG87"/>
      <c r="AH87"/>
      <c r="AI87"/>
      <c r="AJ87"/>
    </row>
    <row r="88" spans="11:36" ht="15">
      <c r="K88" s="19" t="s">
        <v>1126</v>
      </c>
      <c r="L88" s="17">
        <v>2</v>
      </c>
      <c r="M88" s="17">
        <v>19.670000000000002</v>
      </c>
      <c r="N88" s="17">
        <v>3.53</v>
      </c>
      <c r="O88" s="17">
        <v>23.2</v>
      </c>
      <c r="AF88"/>
      <c r="AG88"/>
      <c r="AH88"/>
      <c r="AI88"/>
      <c r="AJ88"/>
    </row>
    <row r="89" spans="11:36" ht="15">
      <c r="K89" s="19" t="s">
        <v>1131</v>
      </c>
      <c r="L89" s="17">
        <v>2</v>
      </c>
      <c r="M89" s="17">
        <v>172.54</v>
      </c>
      <c r="N89" s="17">
        <v>31.060000000000002</v>
      </c>
      <c r="O89" s="17">
        <v>203.60000000000002</v>
      </c>
      <c r="AF89"/>
      <c r="AG89"/>
      <c r="AH89"/>
      <c r="AI89"/>
      <c r="AJ89"/>
    </row>
    <row r="90" spans="11:36" ht="15">
      <c r="K90" s="19" t="s">
        <v>1136</v>
      </c>
      <c r="L90" s="17">
        <v>2</v>
      </c>
      <c r="M90" s="17">
        <v>102.66</v>
      </c>
      <c r="N90" s="17">
        <v>18.48</v>
      </c>
      <c r="O90" s="17">
        <v>121.14000000000001</v>
      </c>
      <c r="AF90"/>
      <c r="AG90"/>
      <c r="AH90"/>
      <c r="AI90"/>
      <c r="AJ90"/>
    </row>
    <row r="91" spans="11:36" ht="15">
      <c r="K91" s="19" t="s">
        <v>1141</v>
      </c>
      <c r="L91" s="17">
        <v>2</v>
      </c>
      <c r="M91" s="17">
        <v>107.92</v>
      </c>
      <c r="N91" s="17">
        <v>19.43</v>
      </c>
      <c r="O91" s="17">
        <v>127.35</v>
      </c>
      <c r="AF91"/>
      <c r="AG91"/>
      <c r="AH91"/>
      <c r="AI91"/>
      <c r="AJ91"/>
    </row>
    <row r="92" spans="11:36" ht="15">
      <c r="K92" s="19" t="s">
        <v>1146</v>
      </c>
      <c r="L92" s="17">
        <v>2</v>
      </c>
      <c r="M92" s="17">
        <v>291.81</v>
      </c>
      <c r="N92" s="17">
        <v>52.519999999999996</v>
      </c>
      <c r="O92" s="17">
        <v>344.33</v>
      </c>
      <c r="AF92"/>
      <c r="AG92"/>
      <c r="AH92"/>
      <c r="AI92"/>
      <c r="AJ92"/>
    </row>
    <row r="93" spans="11:36">
      <c r="K93" s="19" t="s">
        <v>1151</v>
      </c>
      <c r="L93" s="17">
        <v>5</v>
      </c>
      <c r="M93" s="17">
        <v>8149.15</v>
      </c>
      <c r="N93" s="17">
        <v>1466.8500000000001</v>
      </c>
      <c r="O93" s="17">
        <v>9616</v>
      </c>
    </row>
    <row r="94" spans="11:36">
      <c r="K94" s="19" t="s">
        <v>1160</v>
      </c>
      <c r="L94" s="17">
        <v>2</v>
      </c>
      <c r="M94" s="17">
        <v>64.31</v>
      </c>
      <c r="N94" s="17">
        <v>11.57</v>
      </c>
      <c r="O94" s="17">
        <v>75.88</v>
      </c>
    </row>
    <row r="95" spans="11:36">
      <c r="K95" s="19" t="s">
        <v>1191</v>
      </c>
      <c r="L95" s="17">
        <v>3</v>
      </c>
      <c r="M95" s="17">
        <v>952.2</v>
      </c>
      <c r="N95" s="17">
        <v>171.39999999999998</v>
      </c>
      <c r="O95" s="17">
        <v>1123.5999999999999</v>
      </c>
    </row>
    <row r="96" spans="11:36">
      <c r="K96" s="19" t="s">
        <v>1198</v>
      </c>
      <c r="L96" s="17">
        <v>2</v>
      </c>
      <c r="M96" s="17">
        <v>501.27</v>
      </c>
      <c r="N96" s="17">
        <v>90.22999999999999</v>
      </c>
      <c r="O96" s="17">
        <v>591.5</v>
      </c>
    </row>
    <row r="97" spans="11:15">
      <c r="K97" s="19" t="s">
        <v>1209</v>
      </c>
      <c r="L97" s="17">
        <v>2</v>
      </c>
      <c r="M97" s="17">
        <v>213.22</v>
      </c>
      <c r="N97" s="17">
        <v>38.380000000000003</v>
      </c>
      <c r="O97" s="17">
        <v>251.60000000000002</v>
      </c>
    </row>
    <row r="98" spans="11:15">
      <c r="K98" s="19" t="s">
        <v>52</v>
      </c>
      <c r="L98" s="17">
        <v>457</v>
      </c>
      <c r="M98" s="17">
        <v>361701.78999999986</v>
      </c>
      <c r="N98" s="17">
        <v>65106.270000000011</v>
      </c>
      <c r="O98" s="17">
        <v>426808.06000000011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791"/>
  <sheetViews>
    <sheetView topLeftCell="U1" workbookViewId="0">
      <selection activeCell="AA2" sqref="AA2"/>
    </sheetView>
  </sheetViews>
  <sheetFormatPr baseColWidth="10" defaultRowHeight="15" customHeight="1"/>
  <cols>
    <col min="1" max="1" width="18.42578125" bestFit="1" customWidth="1"/>
    <col min="3" max="3" width="18.85546875" customWidth="1"/>
    <col min="4" max="4" width="19.42578125" customWidth="1"/>
    <col min="5" max="5" width="18.5703125" customWidth="1"/>
    <col min="6" max="6" width="17.42578125" customWidth="1"/>
    <col min="7" max="7" width="16" customWidth="1"/>
    <col min="8" max="8" width="17.85546875" customWidth="1"/>
    <col min="9" max="9" width="16.5703125" customWidth="1"/>
    <col min="11" max="11" width="22.85546875" customWidth="1"/>
    <col min="12" max="12" width="16" customWidth="1"/>
    <col min="13" max="13" width="18.7109375" customWidth="1"/>
    <col min="14" max="14" width="14" customWidth="1"/>
    <col min="15" max="15" width="17.140625" customWidth="1"/>
    <col min="16" max="16" width="15.85546875" customWidth="1"/>
    <col min="17" max="17" width="18.5703125" customWidth="1"/>
    <col min="18" max="18" width="22.7109375" customWidth="1"/>
    <col min="19" max="19" width="63.85546875" customWidth="1"/>
    <col min="20" max="20" width="25" customWidth="1"/>
    <col min="21" max="21" width="15.42578125" customWidth="1"/>
    <col min="22" max="22" width="20.28515625" customWidth="1"/>
    <col min="23" max="23" width="21.42578125" customWidth="1"/>
    <col min="24" max="24" width="17.140625" customWidth="1"/>
    <col min="25" max="25" width="15.140625" customWidth="1"/>
    <col min="26" max="26" width="24.28515625" customWidth="1"/>
    <col min="28" max="28" width="12" customWidth="1"/>
    <col min="29" max="29" width="15.140625" customWidth="1"/>
    <col min="30" max="30" width="22.140625" customWidth="1"/>
    <col min="31" max="31" width="16.5703125" customWidth="1"/>
    <col min="32" max="32" width="21.85546875" customWidth="1"/>
    <col min="33" max="33" width="19.140625" customWidth="1"/>
    <col min="34" max="34" width="21.42578125" customWidth="1"/>
    <col min="35" max="35" width="25.42578125" bestFit="1" customWidth="1"/>
    <col min="36" max="36" width="27.7109375" bestFit="1" customWidth="1"/>
    <col min="37" max="37" width="224.85546875" bestFit="1" customWidth="1"/>
    <col min="38" max="38" width="23.7109375" customWidth="1"/>
    <col min="39" max="39" width="26" customWidth="1"/>
    <col min="40" max="40" width="34" customWidth="1"/>
    <col min="41" max="41" width="34.140625" customWidth="1"/>
    <col min="42" max="42" width="27.85546875" customWidth="1"/>
    <col min="43" max="43" width="30.140625" customWidth="1"/>
    <col min="44" max="44" width="29.7109375" customWidth="1"/>
    <col min="45" max="45" width="13.28515625" customWidth="1"/>
  </cols>
  <sheetData>
    <row r="1" spans="1:45" ht="15" customHeight="1">
      <c r="A1" t="s">
        <v>113</v>
      </c>
      <c r="B1" t="s">
        <v>114</v>
      </c>
      <c r="C1" t="s">
        <v>233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1297</v>
      </c>
      <c r="AO1" t="s">
        <v>1298</v>
      </c>
      <c r="AP1" t="s">
        <v>153</v>
      </c>
      <c r="AQ1" t="s">
        <v>154</v>
      </c>
      <c r="AR1" t="s">
        <v>155</v>
      </c>
      <c r="AS1" t="s">
        <v>227</v>
      </c>
    </row>
    <row r="2" spans="1:45" ht="15" customHeight="1">
      <c r="A2" t="s">
        <v>1216</v>
      </c>
      <c r="B2" s="21" t="s">
        <v>1408</v>
      </c>
      <c r="C2" t="s">
        <v>27</v>
      </c>
      <c r="D2" s="8">
        <v>45957</v>
      </c>
      <c r="E2" s="22">
        <v>45964.766041666669</v>
      </c>
      <c r="F2" t="s">
        <v>1409</v>
      </c>
      <c r="H2">
        <v>6</v>
      </c>
      <c r="I2">
        <v>20604680795</v>
      </c>
      <c r="J2" t="s">
        <v>2689</v>
      </c>
      <c r="K2" s="8">
        <v>45957</v>
      </c>
      <c r="Q2">
        <v>32799</v>
      </c>
      <c r="R2">
        <v>2344</v>
      </c>
      <c r="S2" t="s">
        <v>44</v>
      </c>
      <c r="T2" t="s">
        <v>163</v>
      </c>
      <c r="U2">
        <v>1</v>
      </c>
      <c r="V2">
        <v>-634.20000000000005</v>
      </c>
      <c r="W2">
        <v>-748.36</v>
      </c>
      <c r="X2">
        <v>0</v>
      </c>
      <c r="Y2">
        <v>-634.20000000000005</v>
      </c>
      <c r="Z2">
        <v>18</v>
      </c>
      <c r="AA2">
        <v>-114.16</v>
      </c>
      <c r="AB2">
        <v>-748.36</v>
      </c>
      <c r="AC2">
        <v>1</v>
      </c>
      <c r="AD2">
        <v>1</v>
      </c>
      <c r="AE2" t="s">
        <v>1411</v>
      </c>
      <c r="AF2" t="s">
        <v>1412</v>
      </c>
      <c r="AG2">
        <v>2</v>
      </c>
      <c r="AH2" t="s">
        <v>25</v>
      </c>
      <c r="AI2">
        <v>1106</v>
      </c>
      <c r="AJ2" t="s">
        <v>239</v>
      </c>
      <c r="AK2" t="s">
        <v>169</v>
      </c>
      <c r="AP2">
        <v>5214</v>
      </c>
      <c r="AQ2" t="s">
        <v>1409</v>
      </c>
      <c r="AR2" t="s">
        <v>12</v>
      </c>
      <c r="AS2" t="str">
        <f>+CONCATENATE(A2,"-",B2)</f>
        <v>(01) Factura FOF1-00000190</v>
      </c>
    </row>
    <row r="3" spans="1:45" ht="15" customHeight="1">
      <c r="A3" t="s">
        <v>1216</v>
      </c>
      <c r="B3" s="21" t="s">
        <v>1521</v>
      </c>
      <c r="C3" t="s">
        <v>27</v>
      </c>
      <c r="D3" s="8">
        <v>45954</v>
      </c>
      <c r="E3" s="22">
        <v>45964.479097222225</v>
      </c>
      <c r="F3" t="s">
        <v>1522</v>
      </c>
      <c r="H3">
        <v>6</v>
      </c>
      <c r="I3">
        <v>20611536705</v>
      </c>
      <c r="J3" t="s">
        <v>2704</v>
      </c>
      <c r="K3" s="8">
        <v>45954</v>
      </c>
      <c r="Q3">
        <v>32502</v>
      </c>
      <c r="R3">
        <v>2344</v>
      </c>
      <c r="S3" t="s">
        <v>44</v>
      </c>
      <c r="T3" t="s">
        <v>163</v>
      </c>
      <c r="U3">
        <v>1</v>
      </c>
      <c r="V3">
        <v>-190</v>
      </c>
      <c r="W3">
        <v>-224.2</v>
      </c>
      <c r="X3">
        <v>0</v>
      </c>
      <c r="Y3">
        <v>-190</v>
      </c>
      <c r="Z3">
        <v>18</v>
      </c>
      <c r="AA3">
        <v>-34.200000000000003</v>
      </c>
      <c r="AB3">
        <v>-224.2</v>
      </c>
      <c r="AC3">
        <v>1</v>
      </c>
      <c r="AD3">
        <v>1</v>
      </c>
      <c r="AE3" t="s">
        <v>1411</v>
      </c>
      <c r="AF3" t="s">
        <v>1412</v>
      </c>
      <c r="AG3">
        <v>2</v>
      </c>
      <c r="AH3" t="s">
        <v>25</v>
      </c>
      <c r="AI3">
        <v>1106</v>
      </c>
      <c r="AJ3" t="s">
        <v>239</v>
      </c>
      <c r="AK3" t="s">
        <v>169</v>
      </c>
      <c r="AP3">
        <v>6085</v>
      </c>
      <c r="AQ3" t="s">
        <v>1522</v>
      </c>
      <c r="AR3" t="s">
        <v>12</v>
      </c>
      <c r="AS3" t="str">
        <f>+CONCATENATE(A3,"-",B3)</f>
        <v>(01) Factura FOF1-00000166</v>
      </c>
    </row>
    <row r="4" spans="1:45" ht="15" customHeight="1">
      <c r="A4" t="s">
        <v>216</v>
      </c>
      <c r="B4">
        <v>1408</v>
      </c>
      <c r="C4" t="s">
        <v>27</v>
      </c>
      <c r="D4" s="8">
        <v>45693</v>
      </c>
      <c r="E4" s="22">
        <v>45964</v>
      </c>
      <c r="F4" t="s">
        <v>415</v>
      </c>
      <c r="H4">
        <v>6</v>
      </c>
      <c r="I4">
        <v>20611890746</v>
      </c>
      <c r="J4" t="s">
        <v>1928</v>
      </c>
      <c r="K4" s="8">
        <v>45693</v>
      </c>
      <c r="Q4">
        <v>18752</v>
      </c>
      <c r="R4">
        <v>874</v>
      </c>
      <c r="S4" t="s">
        <v>1248</v>
      </c>
      <c r="T4" t="s">
        <v>215</v>
      </c>
      <c r="U4">
        <v>1</v>
      </c>
      <c r="V4">
        <v>1</v>
      </c>
      <c r="W4">
        <v>1.18</v>
      </c>
      <c r="X4">
        <v>0</v>
      </c>
      <c r="Y4">
        <v>1</v>
      </c>
      <c r="Z4">
        <v>18</v>
      </c>
      <c r="AA4">
        <v>0.18</v>
      </c>
      <c r="AB4">
        <v>1.18</v>
      </c>
      <c r="AC4">
        <v>1</v>
      </c>
      <c r="AD4">
        <v>1</v>
      </c>
      <c r="AE4" t="s">
        <v>232</v>
      </c>
      <c r="AF4" t="s">
        <v>29</v>
      </c>
      <c r="AG4">
        <v>2</v>
      </c>
      <c r="AH4" t="s">
        <v>25</v>
      </c>
      <c r="AI4">
        <v>1106</v>
      </c>
      <c r="AJ4" t="s">
        <v>239</v>
      </c>
      <c r="AK4" t="s">
        <v>1237</v>
      </c>
      <c r="AP4">
        <v>1136</v>
      </c>
      <c r="AQ4" t="s">
        <v>415</v>
      </c>
      <c r="AR4" t="s">
        <v>12</v>
      </c>
      <c r="AS4" t="str">
        <f>+CONCATENATE(A4,"-",B4)</f>
        <v>FB01-1408</v>
      </c>
    </row>
    <row r="5" spans="1:45" ht="15" customHeight="1">
      <c r="A5" t="s">
        <v>216</v>
      </c>
      <c r="B5">
        <v>1386</v>
      </c>
      <c r="C5" t="s">
        <v>27</v>
      </c>
      <c r="D5" s="8">
        <v>45693</v>
      </c>
      <c r="E5" s="22">
        <v>45964</v>
      </c>
      <c r="F5" t="s">
        <v>415</v>
      </c>
      <c r="H5">
        <v>6</v>
      </c>
      <c r="I5">
        <v>20611890746</v>
      </c>
      <c r="J5" t="s">
        <v>1945</v>
      </c>
      <c r="K5" s="8">
        <v>45693</v>
      </c>
      <c r="Q5">
        <v>18725</v>
      </c>
      <c r="R5">
        <v>874</v>
      </c>
      <c r="S5" t="s">
        <v>1248</v>
      </c>
      <c r="T5" t="s">
        <v>215</v>
      </c>
      <c r="U5">
        <v>1</v>
      </c>
      <c r="V5">
        <v>1</v>
      </c>
      <c r="W5">
        <v>1.18</v>
      </c>
      <c r="X5">
        <v>0</v>
      </c>
      <c r="Y5">
        <v>1</v>
      </c>
      <c r="Z5">
        <v>18</v>
      </c>
      <c r="AA5">
        <v>0.18</v>
      </c>
      <c r="AB5">
        <v>1.18</v>
      </c>
      <c r="AC5">
        <v>1</v>
      </c>
      <c r="AD5">
        <v>1</v>
      </c>
      <c r="AE5" t="s">
        <v>232</v>
      </c>
      <c r="AF5" t="s">
        <v>29</v>
      </c>
      <c r="AG5">
        <v>2</v>
      </c>
      <c r="AH5" t="s">
        <v>25</v>
      </c>
      <c r="AI5">
        <v>1106</v>
      </c>
      <c r="AJ5" t="s">
        <v>239</v>
      </c>
      <c r="AK5" t="s">
        <v>1237</v>
      </c>
      <c r="AP5">
        <v>1136</v>
      </c>
      <c r="AQ5" t="s">
        <v>415</v>
      </c>
      <c r="AR5" t="s">
        <v>12</v>
      </c>
      <c r="AS5" t="str">
        <f>+CONCATENATE(A5,"-",B5)</f>
        <v>FB01-1386</v>
      </c>
    </row>
    <row r="6" spans="1:45" ht="15" customHeight="1">
      <c r="A6" t="s">
        <v>216</v>
      </c>
      <c r="B6">
        <v>1368</v>
      </c>
      <c r="C6" t="s">
        <v>27</v>
      </c>
      <c r="D6" s="8">
        <v>45693</v>
      </c>
      <c r="E6" s="22">
        <v>45964</v>
      </c>
      <c r="F6" t="s">
        <v>415</v>
      </c>
      <c r="H6">
        <v>6</v>
      </c>
      <c r="I6">
        <v>20611890746</v>
      </c>
      <c r="J6" t="s">
        <v>1968</v>
      </c>
      <c r="K6" s="8">
        <v>45693</v>
      </c>
      <c r="Q6">
        <v>18697</v>
      </c>
      <c r="R6">
        <v>963</v>
      </c>
      <c r="S6" t="s">
        <v>1255</v>
      </c>
      <c r="T6" t="s">
        <v>215</v>
      </c>
      <c r="U6">
        <v>1</v>
      </c>
      <c r="V6">
        <v>1</v>
      </c>
      <c r="W6">
        <v>1.18</v>
      </c>
      <c r="X6">
        <v>0</v>
      </c>
      <c r="Y6">
        <v>1</v>
      </c>
      <c r="Z6">
        <v>18</v>
      </c>
      <c r="AA6">
        <v>0.18</v>
      </c>
      <c r="AB6">
        <v>1.18</v>
      </c>
      <c r="AC6">
        <v>1</v>
      </c>
      <c r="AD6">
        <v>1</v>
      </c>
      <c r="AE6" t="s">
        <v>232</v>
      </c>
      <c r="AF6" t="s">
        <v>29</v>
      </c>
      <c r="AG6">
        <v>2</v>
      </c>
      <c r="AH6" t="s">
        <v>25</v>
      </c>
      <c r="AI6">
        <v>1106</v>
      </c>
      <c r="AJ6" t="s">
        <v>239</v>
      </c>
      <c r="AK6" t="s">
        <v>1237</v>
      </c>
      <c r="AP6">
        <v>1136</v>
      </c>
      <c r="AQ6" t="s">
        <v>415</v>
      </c>
      <c r="AR6" t="s">
        <v>12</v>
      </c>
      <c r="AS6" t="str">
        <f>+CONCATENATE(A6,"-",B6)</f>
        <v>FB01-1368</v>
      </c>
    </row>
    <row r="7" spans="1:45" ht="15" customHeight="1">
      <c r="A7" t="s">
        <v>216</v>
      </c>
      <c r="B7">
        <v>1296</v>
      </c>
      <c r="C7" t="s">
        <v>27</v>
      </c>
      <c r="D7" s="8">
        <v>45680</v>
      </c>
      <c r="E7" s="22">
        <v>45964</v>
      </c>
      <c r="F7" t="s">
        <v>415</v>
      </c>
      <c r="H7">
        <v>6</v>
      </c>
      <c r="I7">
        <v>20611890746</v>
      </c>
      <c r="J7" t="s">
        <v>2075</v>
      </c>
      <c r="K7" s="8">
        <v>45680</v>
      </c>
      <c r="Q7">
        <v>17818</v>
      </c>
      <c r="R7">
        <v>874</v>
      </c>
      <c r="S7" t="s">
        <v>1248</v>
      </c>
      <c r="T7" t="s">
        <v>215</v>
      </c>
      <c r="U7">
        <v>1</v>
      </c>
      <c r="V7">
        <v>1</v>
      </c>
      <c r="W7">
        <v>1.18</v>
      </c>
      <c r="X7">
        <v>0</v>
      </c>
      <c r="Y7">
        <v>1</v>
      </c>
      <c r="Z7">
        <v>18</v>
      </c>
      <c r="AA7">
        <v>0.18</v>
      </c>
      <c r="AB7">
        <v>1.18</v>
      </c>
      <c r="AC7">
        <v>1</v>
      </c>
      <c r="AD7">
        <v>1</v>
      </c>
      <c r="AE7" t="s">
        <v>232</v>
      </c>
      <c r="AF7" t="s">
        <v>29</v>
      </c>
      <c r="AG7">
        <v>2</v>
      </c>
      <c r="AH7" t="s">
        <v>25</v>
      </c>
      <c r="AI7">
        <v>1106</v>
      </c>
      <c r="AJ7" t="s">
        <v>239</v>
      </c>
      <c r="AK7" t="s">
        <v>1237</v>
      </c>
      <c r="AP7">
        <v>1136</v>
      </c>
      <c r="AQ7" t="s">
        <v>415</v>
      </c>
      <c r="AR7" t="s">
        <v>12</v>
      </c>
      <c r="AS7" t="str">
        <f>+CONCATENATE(A7,"-",B7)</f>
        <v>FB01-1296</v>
      </c>
    </row>
    <row r="8" spans="1:45" ht="15" customHeight="1">
      <c r="A8" t="s">
        <v>216</v>
      </c>
      <c r="B8">
        <v>1291</v>
      </c>
      <c r="C8" t="s">
        <v>27</v>
      </c>
      <c r="D8" s="8">
        <v>45680</v>
      </c>
      <c r="E8" s="22">
        <v>45964</v>
      </c>
      <c r="F8" t="s">
        <v>415</v>
      </c>
      <c r="H8">
        <v>6</v>
      </c>
      <c r="I8">
        <v>20611890746</v>
      </c>
      <c r="J8" t="s">
        <v>2080</v>
      </c>
      <c r="K8" s="8">
        <v>45680</v>
      </c>
      <c r="Q8">
        <v>17813</v>
      </c>
      <c r="R8">
        <v>874</v>
      </c>
      <c r="S8" t="s">
        <v>1248</v>
      </c>
      <c r="T8" t="s">
        <v>215</v>
      </c>
      <c r="U8">
        <v>1</v>
      </c>
      <c r="V8">
        <v>1</v>
      </c>
      <c r="W8">
        <v>1.18</v>
      </c>
      <c r="X8">
        <v>0</v>
      </c>
      <c r="Y8">
        <v>1</v>
      </c>
      <c r="Z8">
        <v>18</v>
      </c>
      <c r="AA8">
        <v>0.18</v>
      </c>
      <c r="AB8">
        <v>1.18</v>
      </c>
      <c r="AC8">
        <v>1</v>
      </c>
      <c r="AD8">
        <v>1</v>
      </c>
      <c r="AE8" t="s">
        <v>232</v>
      </c>
      <c r="AF8" t="s">
        <v>29</v>
      </c>
      <c r="AG8">
        <v>2</v>
      </c>
      <c r="AH8" t="s">
        <v>25</v>
      </c>
      <c r="AI8">
        <v>1106</v>
      </c>
      <c r="AJ8" t="s">
        <v>239</v>
      </c>
      <c r="AK8" t="s">
        <v>1237</v>
      </c>
      <c r="AP8">
        <v>1136</v>
      </c>
      <c r="AQ8" t="s">
        <v>415</v>
      </c>
      <c r="AR8" t="s">
        <v>12</v>
      </c>
      <c r="AS8" t="str">
        <f>+CONCATENATE(A8,"-",B8)</f>
        <v>FB01-1291</v>
      </c>
    </row>
    <row r="9" spans="1:45" ht="15" customHeight="1">
      <c r="A9" t="s">
        <v>216</v>
      </c>
      <c r="B9">
        <v>1277</v>
      </c>
      <c r="C9" t="s">
        <v>27</v>
      </c>
      <c r="D9" s="8">
        <v>45680</v>
      </c>
      <c r="E9" s="22">
        <v>45964</v>
      </c>
      <c r="F9" t="s">
        <v>415</v>
      </c>
      <c r="H9">
        <v>6</v>
      </c>
      <c r="I9">
        <v>20611890746</v>
      </c>
      <c r="J9" t="s">
        <v>2100</v>
      </c>
      <c r="K9" s="8">
        <v>45680</v>
      </c>
      <c r="Q9">
        <v>17790</v>
      </c>
      <c r="R9">
        <v>874</v>
      </c>
      <c r="S9" t="s">
        <v>1248</v>
      </c>
      <c r="T9" t="s">
        <v>215</v>
      </c>
      <c r="U9">
        <v>1</v>
      </c>
      <c r="V9">
        <v>1</v>
      </c>
      <c r="W9">
        <v>1.18</v>
      </c>
      <c r="X9">
        <v>0</v>
      </c>
      <c r="Y9">
        <v>1</v>
      </c>
      <c r="Z9">
        <v>18</v>
      </c>
      <c r="AA9">
        <v>0.18</v>
      </c>
      <c r="AB9">
        <v>1.18</v>
      </c>
      <c r="AC9">
        <v>1</v>
      </c>
      <c r="AD9">
        <v>1</v>
      </c>
      <c r="AE9" t="s">
        <v>232</v>
      </c>
      <c r="AF9" t="s">
        <v>29</v>
      </c>
      <c r="AG9">
        <v>2</v>
      </c>
      <c r="AH9" t="s">
        <v>25</v>
      </c>
      <c r="AI9">
        <v>1106</v>
      </c>
      <c r="AJ9" t="s">
        <v>239</v>
      </c>
      <c r="AK9" t="s">
        <v>1237</v>
      </c>
      <c r="AP9">
        <v>1136</v>
      </c>
      <c r="AQ9" t="s">
        <v>415</v>
      </c>
      <c r="AR9" t="s">
        <v>12</v>
      </c>
      <c r="AS9" t="str">
        <f>+CONCATENATE(A9,"-",B9)</f>
        <v>FB01-1277</v>
      </c>
    </row>
    <row r="10" spans="1:45" ht="15" customHeight="1">
      <c r="A10" t="s">
        <v>216</v>
      </c>
      <c r="B10">
        <v>1273</v>
      </c>
      <c r="C10" t="s">
        <v>27</v>
      </c>
      <c r="D10" s="8">
        <v>45680</v>
      </c>
      <c r="E10" s="22">
        <v>45964</v>
      </c>
      <c r="F10" t="s">
        <v>415</v>
      </c>
      <c r="H10">
        <v>6</v>
      </c>
      <c r="I10">
        <v>20611890746</v>
      </c>
      <c r="J10" t="s">
        <v>2104</v>
      </c>
      <c r="K10" s="8">
        <v>45680</v>
      </c>
      <c r="Q10">
        <v>17786</v>
      </c>
      <c r="R10">
        <v>874</v>
      </c>
      <c r="S10" t="s">
        <v>1248</v>
      </c>
      <c r="T10" t="s">
        <v>215</v>
      </c>
      <c r="U10">
        <v>1</v>
      </c>
      <c r="V10">
        <v>1</v>
      </c>
      <c r="W10">
        <v>1.18</v>
      </c>
      <c r="X10">
        <v>0</v>
      </c>
      <c r="Y10">
        <v>1</v>
      </c>
      <c r="Z10">
        <v>18</v>
      </c>
      <c r="AA10">
        <v>0.18</v>
      </c>
      <c r="AB10">
        <v>1.18</v>
      </c>
      <c r="AC10">
        <v>1</v>
      </c>
      <c r="AD10">
        <v>1</v>
      </c>
      <c r="AE10" t="s">
        <v>232</v>
      </c>
      <c r="AF10" t="s">
        <v>29</v>
      </c>
      <c r="AG10">
        <v>2</v>
      </c>
      <c r="AH10" t="s">
        <v>25</v>
      </c>
      <c r="AI10">
        <v>1106</v>
      </c>
      <c r="AJ10" t="s">
        <v>239</v>
      </c>
      <c r="AK10" t="s">
        <v>1237</v>
      </c>
      <c r="AP10">
        <v>1136</v>
      </c>
      <c r="AQ10" t="s">
        <v>415</v>
      </c>
      <c r="AR10" t="s">
        <v>12</v>
      </c>
      <c r="AS10" t="str">
        <f>+CONCATENATE(A10,"-",B10)</f>
        <v>FB01-1273</v>
      </c>
    </row>
    <row r="11" spans="1:45" ht="15" customHeight="1">
      <c r="A11" t="s">
        <v>1238</v>
      </c>
      <c r="B11">
        <v>651</v>
      </c>
      <c r="C11" t="s">
        <v>27</v>
      </c>
      <c r="D11" s="8">
        <v>45665</v>
      </c>
      <c r="E11" s="22">
        <v>45964</v>
      </c>
      <c r="F11" t="s">
        <v>1043</v>
      </c>
      <c r="H11">
        <v>1</v>
      </c>
      <c r="I11">
        <v>46851196</v>
      </c>
      <c r="J11" t="s">
        <v>2781</v>
      </c>
      <c r="K11" s="8">
        <v>45665</v>
      </c>
      <c r="Q11">
        <v>17746</v>
      </c>
      <c r="R11">
        <v>870</v>
      </c>
      <c r="S11" t="s">
        <v>1299</v>
      </c>
      <c r="T11" t="s">
        <v>215</v>
      </c>
      <c r="U11">
        <v>1</v>
      </c>
      <c r="V11">
        <v>1.02</v>
      </c>
      <c r="W11">
        <v>1.2</v>
      </c>
      <c r="X11">
        <v>0</v>
      </c>
      <c r="Y11">
        <v>1.02</v>
      </c>
      <c r="Z11">
        <v>18</v>
      </c>
      <c r="AA11">
        <v>0.18</v>
      </c>
      <c r="AB11">
        <v>1.2</v>
      </c>
      <c r="AC11">
        <v>1</v>
      </c>
      <c r="AD11">
        <v>1</v>
      </c>
      <c r="AE11" t="s">
        <v>232</v>
      </c>
      <c r="AF11" t="s">
        <v>29</v>
      </c>
      <c r="AG11">
        <v>2</v>
      </c>
      <c r="AH11" t="s">
        <v>25</v>
      </c>
      <c r="AI11">
        <v>1106</v>
      </c>
      <c r="AJ11" t="s">
        <v>239</v>
      </c>
      <c r="AK11" t="s">
        <v>1237</v>
      </c>
      <c r="AP11">
        <v>1158</v>
      </c>
      <c r="AQ11" t="s">
        <v>1043</v>
      </c>
      <c r="AR11" t="s">
        <v>1295</v>
      </c>
      <c r="AS11" t="str">
        <f>+CONCATENATE(A11,"-",B11)</f>
        <v>BB01-651</v>
      </c>
    </row>
    <row r="12" spans="1:45" ht="15" customHeight="1">
      <c r="A12" t="s">
        <v>1238</v>
      </c>
      <c r="B12">
        <v>652</v>
      </c>
      <c r="C12" t="s">
        <v>27</v>
      </c>
      <c r="D12" s="8">
        <v>45665</v>
      </c>
      <c r="E12" s="22">
        <v>45964</v>
      </c>
      <c r="F12" t="s">
        <v>1043</v>
      </c>
      <c r="H12">
        <v>1</v>
      </c>
      <c r="I12">
        <v>46851196</v>
      </c>
      <c r="J12" t="s">
        <v>2780</v>
      </c>
      <c r="K12" s="8">
        <v>45665</v>
      </c>
      <c r="Q12">
        <v>17747</v>
      </c>
      <c r="R12">
        <v>877</v>
      </c>
      <c r="S12" t="s">
        <v>1300</v>
      </c>
      <c r="T12" t="s">
        <v>215</v>
      </c>
      <c r="U12">
        <v>1</v>
      </c>
      <c r="V12">
        <v>1.44</v>
      </c>
      <c r="W12">
        <v>1.7</v>
      </c>
      <c r="X12">
        <v>0</v>
      </c>
      <c r="Y12">
        <v>1.44</v>
      </c>
      <c r="Z12">
        <v>18</v>
      </c>
      <c r="AA12">
        <v>0.26</v>
      </c>
      <c r="AB12">
        <v>1.7</v>
      </c>
      <c r="AC12">
        <v>1</v>
      </c>
      <c r="AD12">
        <v>1</v>
      </c>
      <c r="AE12" t="s">
        <v>232</v>
      </c>
      <c r="AF12" t="s">
        <v>29</v>
      </c>
      <c r="AG12">
        <v>2</v>
      </c>
      <c r="AH12" t="s">
        <v>25</v>
      </c>
      <c r="AI12">
        <v>1106</v>
      </c>
      <c r="AJ12" t="s">
        <v>239</v>
      </c>
      <c r="AK12" t="s">
        <v>1237</v>
      </c>
      <c r="AP12">
        <v>1158</v>
      </c>
      <c r="AQ12" t="s">
        <v>1043</v>
      </c>
      <c r="AR12" t="s">
        <v>1295</v>
      </c>
      <c r="AS12" t="str">
        <f>+CONCATENATE(A12,"-",B12)</f>
        <v>BB01-652</v>
      </c>
    </row>
    <row r="13" spans="1:45" ht="15" customHeight="1">
      <c r="A13" t="s">
        <v>1214</v>
      </c>
      <c r="B13" s="21" t="s">
        <v>1501</v>
      </c>
      <c r="C13" t="s">
        <v>27</v>
      </c>
      <c r="D13" s="8">
        <v>45954</v>
      </c>
      <c r="E13" s="22">
        <v>45964.575648148151</v>
      </c>
      <c r="F13" t="s">
        <v>1502</v>
      </c>
      <c r="H13">
        <v>1</v>
      </c>
      <c r="I13">
        <v>71809280</v>
      </c>
      <c r="J13" t="s">
        <v>1503</v>
      </c>
      <c r="K13" s="8">
        <v>45954</v>
      </c>
      <c r="Q13">
        <v>32521</v>
      </c>
      <c r="R13">
        <v>2276</v>
      </c>
      <c r="S13" t="s">
        <v>1504</v>
      </c>
      <c r="T13" t="s">
        <v>163</v>
      </c>
      <c r="U13">
        <v>1</v>
      </c>
      <c r="V13">
        <v>1.5</v>
      </c>
      <c r="W13">
        <v>1.77</v>
      </c>
      <c r="X13">
        <v>0</v>
      </c>
      <c r="Y13">
        <v>1.5</v>
      </c>
      <c r="Z13">
        <v>18</v>
      </c>
      <c r="AA13">
        <v>0.27</v>
      </c>
      <c r="AB13">
        <v>1.77</v>
      </c>
      <c r="AC13">
        <v>1</v>
      </c>
      <c r="AD13">
        <v>1</v>
      </c>
      <c r="AE13" t="s">
        <v>1411</v>
      </c>
      <c r="AF13" t="s">
        <v>1412</v>
      </c>
      <c r="AG13">
        <v>2</v>
      </c>
      <c r="AH13" t="s">
        <v>25</v>
      </c>
      <c r="AI13">
        <v>6959</v>
      </c>
      <c r="AJ13" t="s">
        <v>1401</v>
      </c>
      <c r="AK13" t="s">
        <v>169</v>
      </c>
      <c r="AL13">
        <v>3171</v>
      </c>
      <c r="AM13" t="s">
        <v>1505</v>
      </c>
      <c r="AN13" s="8">
        <v>45949</v>
      </c>
      <c r="AO13" s="8">
        <v>45949</v>
      </c>
      <c r="AP13">
        <v>6056</v>
      </c>
      <c r="AQ13" t="s">
        <v>1502</v>
      </c>
      <c r="AR13" t="s">
        <v>1295</v>
      </c>
      <c r="AS13" t="str">
        <f>+CONCATENATE(A13,"-",B13)</f>
        <v>(03) Boleta BOB1-00000083</v>
      </c>
    </row>
    <row r="14" spans="1:45" ht="15" customHeight="1">
      <c r="A14" t="s">
        <v>1216</v>
      </c>
      <c r="B14" s="21" t="s">
        <v>2496</v>
      </c>
      <c r="C14" t="s">
        <v>27</v>
      </c>
      <c r="D14" s="8">
        <v>45959</v>
      </c>
      <c r="E14" s="22">
        <v>45964.631736111114</v>
      </c>
      <c r="F14" t="s">
        <v>2477</v>
      </c>
      <c r="H14">
        <v>6</v>
      </c>
      <c r="I14">
        <v>20604257621</v>
      </c>
      <c r="J14" t="s">
        <v>2675</v>
      </c>
      <c r="K14" s="8">
        <v>45959</v>
      </c>
      <c r="Q14">
        <v>32879</v>
      </c>
      <c r="R14">
        <v>216</v>
      </c>
      <c r="S14" t="s">
        <v>1300</v>
      </c>
      <c r="T14" t="s">
        <v>163</v>
      </c>
      <c r="U14">
        <v>1</v>
      </c>
      <c r="V14">
        <v>2</v>
      </c>
      <c r="W14">
        <v>2.36</v>
      </c>
      <c r="X14">
        <v>0</v>
      </c>
      <c r="Y14">
        <v>2</v>
      </c>
      <c r="Z14">
        <v>18</v>
      </c>
      <c r="AA14">
        <v>0.36</v>
      </c>
      <c r="AB14">
        <v>2.36</v>
      </c>
      <c r="AC14">
        <v>1</v>
      </c>
      <c r="AD14">
        <v>1</v>
      </c>
      <c r="AE14" t="s">
        <v>1411</v>
      </c>
      <c r="AF14" t="s">
        <v>1412</v>
      </c>
      <c r="AG14">
        <v>2</v>
      </c>
      <c r="AH14" t="s">
        <v>25</v>
      </c>
      <c r="AI14">
        <v>6936</v>
      </c>
      <c r="AJ14" t="s">
        <v>1437</v>
      </c>
      <c r="AK14" t="s">
        <v>1433</v>
      </c>
      <c r="AL14">
        <v>3302</v>
      </c>
      <c r="AM14" t="s">
        <v>2495</v>
      </c>
      <c r="AN14" s="8">
        <v>45955</v>
      </c>
      <c r="AO14" s="8">
        <v>45955</v>
      </c>
      <c r="AP14">
        <v>5473</v>
      </c>
      <c r="AQ14" t="s">
        <v>2477</v>
      </c>
      <c r="AR14" t="s">
        <v>12</v>
      </c>
      <c r="AS14" t="str">
        <f>+CONCATENATE(A14,"-",B14)</f>
        <v>(01) Factura FOF1-00000204</v>
      </c>
    </row>
    <row r="15" spans="1:45" ht="15" customHeight="1">
      <c r="A15" t="s">
        <v>1214</v>
      </c>
      <c r="B15" s="21" t="s">
        <v>1649</v>
      </c>
      <c r="C15" t="s">
        <v>27</v>
      </c>
      <c r="D15" s="8">
        <v>45947</v>
      </c>
      <c r="E15" s="22">
        <v>45964.435057870367</v>
      </c>
      <c r="F15" t="s">
        <v>1640</v>
      </c>
      <c r="G15" t="s">
        <v>158</v>
      </c>
      <c r="H15">
        <v>1</v>
      </c>
      <c r="I15">
        <v>72327214</v>
      </c>
      <c r="J15" t="s">
        <v>1650</v>
      </c>
      <c r="K15" s="8">
        <v>45947</v>
      </c>
      <c r="Q15">
        <v>31645</v>
      </c>
      <c r="R15">
        <v>2274</v>
      </c>
      <c r="S15" t="s">
        <v>1255</v>
      </c>
      <c r="T15" t="s">
        <v>215</v>
      </c>
      <c r="U15">
        <v>1</v>
      </c>
      <c r="V15">
        <v>2</v>
      </c>
      <c r="W15">
        <v>2.36</v>
      </c>
      <c r="X15">
        <v>0</v>
      </c>
      <c r="Y15">
        <v>2</v>
      </c>
      <c r="Z15">
        <v>18</v>
      </c>
      <c r="AA15">
        <v>0.36</v>
      </c>
      <c r="AB15">
        <v>2.36</v>
      </c>
      <c r="AC15">
        <v>1</v>
      </c>
      <c r="AD15">
        <v>1</v>
      </c>
      <c r="AE15" t="s">
        <v>1411</v>
      </c>
      <c r="AF15" t="s">
        <v>1412</v>
      </c>
      <c r="AG15">
        <v>2</v>
      </c>
      <c r="AH15" t="s">
        <v>25</v>
      </c>
      <c r="AI15">
        <v>6937</v>
      </c>
      <c r="AJ15" t="s">
        <v>1414</v>
      </c>
      <c r="AK15" t="s">
        <v>1433</v>
      </c>
      <c r="AL15">
        <v>3124</v>
      </c>
      <c r="AM15" t="s">
        <v>1651</v>
      </c>
      <c r="AN15" s="8">
        <v>45940</v>
      </c>
      <c r="AO15" s="8">
        <v>45940</v>
      </c>
      <c r="AP15">
        <v>416</v>
      </c>
      <c r="AQ15" t="s">
        <v>1640</v>
      </c>
      <c r="AR15" t="s">
        <v>1295</v>
      </c>
      <c r="AS15" t="str">
        <f>+CONCATENATE(A15,"-",B15)</f>
        <v>(03) Boleta BOB1-00000066</v>
      </c>
    </row>
    <row r="16" spans="1:45" ht="15" customHeight="1">
      <c r="A16" t="s">
        <v>216</v>
      </c>
      <c r="B16">
        <v>1315</v>
      </c>
      <c r="C16" t="s">
        <v>27</v>
      </c>
      <c r="D16" s="8">
        <v>45685</v>
      </c>
      <c r="E16" s="22">
        <v>45964</v>
      </c>
      <c r="F16" t="s">
        <v>725</v>
      </c>
      <c r="H16">
        <v>6</v>
      </c>
      <c r="I16">
        <v>20611616261</v>
      </c>
      <c r="J16" t="s">
        <v>2037</v>
      </c>
      <c r="K16" s="8">
        <v>45685</v>
      </c>
      <c r="Q16">
        <v>18620</v>
      </c>
      <c r="R16">
        <v>874</v>
      </c>
      <c r="S16" t="s">
        <v>1248</v>
      </c>
      <c r="T16" t="s">
        <v>215</v>
      </c>
      <c r="U16">
        <v>1</v>
      </c>
      <c r="V16">
        <v>2</v>
      </c>
      <c r="W16">
        <v>2.36</v>
      </c>
      <c r="X16">
        <v>0</v>
      </c>
      <c r="Y16">
        <v>2</v>
      </c>
      <c r="Z16">
        <v>18</v>
      </c>
      <c r="AA16">
        <v>0.36</v>
      </c>
      <c r="AB16">
        <v>2.36</v>
      </c>
      <c r="AC16">
        <v>1</v>
      </c>
      <c r="AD16">
        <v>1</v>
      </c>
      <c r="AE16" t="s">
        <v>232</v>
      </c>
      <c r="AF16" t="s">
        <v>29</v>
      </c>
      <c r="AG16">
        <v>2</v>
      </c>
      <c r="AH16" t="s">
        <v>25</v>
      </c>
      <c r="AI16">
        <v>1106</v>
      </c>
      <c r="AJ16" t="s">
        <v>239</v>
      </c>
      <c r="AK16" t="s">
        <v>1237</v>
      </c>
      <c r="AP16">
        <v>1133</v>
      </c>
      <c r="AQ16" t="s">
        <v>725</v>
      </c>
      <c r="AR16" t="s">
        <v>12</v>
      </c>
      <c r="AS16" t="str">
        <f>+CONCATENATE(A16,"-",B16)</f>
        <v>FB01-1315</v>
      </c>
    </row>
    <row r="17" spans="1:45" ht="15" customHeight="1">
      <c r="A17" t="s">
        <v>216</v>
      </c>
      <c r="B17">
        <v>1212</v>
      </c>
      <c r="C17" t="s">
        <v>27</v>
      </c>
      <c r="D17" s="8">
        <v>45663</v>
      </c>
      <c r="E17" s="22">
        <v>45964</v>
      </c>
      <c r="F17" t="s">
        <v>1065</v>
      </c>
      <c r="H17">
        <v>6</v>
      </c>
      <c r="I17">
        <v>20601651531</v>
      </c>
      <c r="J17" t="s">
        <v>2170</v>
      </c>
      <c r="K17" s="8">
        <v>45663</v>
      </c>
      <c r="Q17">
        <v>17215</v>
      </c>
      <c r="R17">
        <v>874</v>
      </c>
      <c r="S17" t="s">
        <v>1248</v>
      </c>
      <c r="T17" t="s">
        <v>215</v>
      </c>
      <c r="U17">
        <v>1</v>
      </c>
      <c r="V17">
        <v>2</v>
      </c>
      <c r="W17">
        <v>2.36</v>
      </c>
      <c r="X17">
        <v>0</v>
      </c>
      <c r="Y17">
        <v>2</v>
      </c>
      <c r="Z17">
        <v>18</v>
      </c>
      <c r="AA17">
        <v>0.36</v>
      </c>
      <c r="AB17">
        <v>2.36</v>
      </c>
      <c r="AC17">
        <v>1</v>
      </c>
      <c r="AD17">
        <v>1</v>
      </c>
      <c r="AE17" t="s">
        <v>232</v>
      </c>
      <c r="AF17" t="s">
        <v>29</v>
      </c>
      <c r="AG17">
        <v>2</v>
      </c>
      <c r="AH17" t="s">
        <v>25</v>
      </c>
      <c r="AI17">
        <v>1106</v>
      </c>
      <c r="AJ17" t="s">
        <v>239</v>
      </c>
      <c r="AK17" t="s">
        <v>1237</v>
      </c>
      <c r="AP17">
        <v>1122</v>
      </c>
      <c r="AQ17" t="s">
        <v>1065</v>
      </c>
      <c r="AR17" t="s">
        <v>12</v>
      </c>
      <c r="AS17" t="str">
        <f>+CONCATENATE(A17,"-",B17)</f>
        <v>FB01-1212</v>
      </c>
    </row>
    <row r="18" spans="1:45" ht="15" customHeight="1">
      <c r="A18" t="s">
        <v>216</v>
      </c>
      <c r="B18">
        <v>1210</v>
      </c>
      <c r="C18" t="s">
        <v>27</v>
      </c>
      <c r="D18" s="8">
        <v>45663</v>
      </c>
      <c r="E18" s="22">
        <v>45964</v>
      </c>
      <c r="F18" t="s">
        <v>1275</v>
      </c>
      <c r="H18">
        <v>6</v>
      </c>
      <c r="I18">
        <v>20603064578</v>
      </c>
      <c r="J18" t="s">
        <v>2172</v>
      </c>
      <c r="K18" s="8">
        <v>45663</v>
      </c>
      <c r="Q18">
        <v>17213</v>
      </c>
      <c r="R18">
        <v>874</v>
      </c>
      <c r="S18" t="s">
        <v>1248</v>
      </c>
      <c r="T18" t="s">
        <v>215</v>
      </c>
      <c r="U18">
        <v>1</v>
      </c>
      <c r="V18">
        <v>2</v>
      </c>
      <c r="W18">
        <v>2.36</v>
      </c>
      <c r="X18">
        <v>0</v>
      </c>
      <c r="Y18">
        <v>2</v>
      </c>
      <c r="Z18">
        <v>18</v>
      </c>
      <c r="AA18">
        <v>0.36</v>
      </c>
      <c r="AB18">
        <v>2.36</v>
      </c>
      <c r="AC18">
        <v>1</v>
      </c>
      <c r="AD18">
        <v>1</v>
      </c>
      <c r="AE18" t="s">
        <v>232</v>
      </c>
      <c r="AF18" t="s">
        <v>29</v>
      </c>
      <c r="AG18">
        <v>2</v>
      </c>
      <c r="AH18" t="s">
        <v>25</v>
      </c>
      <c r="AI18">
        <v>1106</v>
      </c>
      <c r="AJ18" t="s">
        <v>239</v>
      </c>
      <c r="AK18" t="s">
        <v>1237</v>
      </c>
      <c r="AP18">
        <v>1121</v>
      </c>
      <c r="AQ18" t="s">
        <v>1275</v>
      </c>
      <c r="AR18" t="s">
        <v>12</v>
      </c>
      <c r="AS18" t="str">
        <f>+CONCATENATE(A18,"-",B18)</f>
        <v>FB01-1210</v>
      </c>
    </row>
    <row r="19" spans="1:45" ht="15" customHeight="1">
      <c r="A19" t="s">
        <v>216</v>
      </c>
      <c r="B19">
        <v>1208</v>
      </c>
      <c r="C19" t="s">
        <v>27</v>
      </c>
      <c r="D19" s="8">
        <v>45663</v>
      </c>
      <c r="E19" s="22">
        <v>45964</v>
      </c>
      <c r="F19" t="s">
        <v>1388</v>
      </c>
      <c r="H19">
        <v>6</v>
      </c>
      <c r="I19">
        <v>20601149371</v>
      </c>
      <c r="J19" t="s">
        <v>2174</v>
      </c>
      <c r="K19" s="8">
        <v>45663</v>
      </c>
      <c r="Q19">
        <v>17211</v>
      </c>
      <c r="R19">
        <v>874</v>
      </c>
      <c r="S19" t="s">
        <v>1248</v>
      </c>
      <c r="T19" t="s">
        <v>215</v>
      </c>
      <c r="U19">
        <v>1</v>
      </c>
      <c r="V19">
        <v>2</v>
      </c>
      <c r="W19">
        <v>2.36</v>
      </c>
      <c r="X19">
        <v>0</v>
      </c>
      <c r="Y19">
        <v>2</v>
      </c>
      <c r="Z19">
        <v>18</v>
      </c>
      <c r="AA19">
        <v>0.36</v>
      </c>
      <c r="AB19">
        <v>2.36</v>
      </c>
      <c r="AC19">
        <v>1</v>
      </c>
      <c r="AD19">
        <v>1</v>
      </c>
      <c r="AE19" t="s">
        <v>232</v>
      </c>
      <c r="AF19" t="s">
        <v>29</v>
      </c>
      <c r="AG19">
        <v>2</v>
      </c>
      <c r="AH19" t="s">
        <v>25</v>
      </c>
      <c r="AI19">
        <v>1106</v>
      </c>
      <c r="AJ19" t="s">
        <v>239</v>
      </c>
      <c r="AK19" t="s">
        <v>1237</v>
      </c>
      <c r="AP19">
        <v>1120</v>
      </c>
      <c r="AQ19" t="s">
        <v>1388</v>
      </c>
      <c r="AR19" t="s">
        <v>12</v>
      </c>
      <c r="AS19" t="str">
        <f>+CONCATENATE(A19,"-",B19)</f>
        <v>FB01-1208</v>
      </c>
    </row>
    <row r="20" spans="1:45" ht="15" customHeight="1">
      <c r="A20" t="s">
        <v>1214</v>
      </c>
      <c r="B20" s="21" t="s">
        <v>1596</v>
      </c>
      <c r="C20" t="s">
        <v>27</v>
      </c>
      <c r="D20" s="8">
        <v>45959</v>
      </c>
      <c r="E20" s="22">
        <v>45964.723368055558</v>
      </c>
      <c r="F20" t="s">
        <v>1640</v>
      </c>
      <c r="G20" t="s">
        <v>158</v>
      </c>
      <c r="H20">
        <v>1</v>
      </c>
      <c r="I20">
        <v>72327214</v>
      </c>
      <c r="J20" t="s">
        <v>2630</v>
      </c>
      <c r="K20" s="8">
        <v>45959</v>
      </c>
      <c r="Q20">
        <v>33038</v>
      </c>
      <c r="R20">
        <v>1786</v>
      </c>
      <c r="S20" t="s">
        <v>1299</v>
      </c>
      <c r="T20" t="s">
        <v>163</v>
      </c>
      <c r="U20">
        <v>1</v>
      </c>
      <c r="V20">
        <v>2.29</v>
      </c>
      <c r="W20">
        <v>2.7</v>
      </c>
      <c r="X20">
        <v>0</v>
      </c>
      <c r="Y20">
        <v>2.29</v>
      </c>
      <c r="Z20">
        <v>18</v>
      </c>
      <c r="AA20">
        <v>0.41</v>
      </c>
      <c r="AB20">
        <v>2.7</v>
      </c>
      <c r="AC20">
        <v>1</v>
      </c>
      <c r="AD20">
        <v>1</v>
      </c>
      <c r="AE20" t="s">
        <v>1411</v>
      </c>
      <c r="AF20" t="s">
        <v>1412</v>
      </c>
      <c r="AG20">
        <v>2</v>
      </c>
      <c r="AH20" t="s">
        <v>25</v>
      </c>
      <c r="AI20">
        <v>6937</v>
      </c>
      <c r="AJ20" t="s">
        <v>1414</v>
      </c>
      <c r="AK20" t="s">
        <v>1251</v>
      </c>
      <c r="AL20">
        <v>3142</v>
      </c>
      <c r="AM20" t="s">
        <v>2465</v>
      </c>
      <c r="AN20" s="8">
        <v>45948</v>
      </c>
      <c r="AO20" s="8">
        <v>45948</v>
      </c>
      <c r="AP20">
        <v>416</v>
      </c>
      <c r="AQ20" t="s">
        <v>1640</v>
      </c>
      <c r="AR20" t="s">
        <v>1295</v>
      </c>
      <c r="AS20" t="str">
        <f>+CONCATENATE(A20,"-",B20)</f>
        <v>(03) Boleta BOB1-00000136</v>
      </c>
    </row>
    <row r="21" spans="1:45" ht="15" customHeight="1">
      <c r="A21" t="s">
        <v>1216</v>
      </c>
      <c r="B21" s="21" t="s">
        <v>1643</v>
      </c>
      <c r="C21" t="s">
        <v>27</v>
      </c>
      <c r="D21" s="8">
        <v>45946</v>
      </c>
      <c r="E21" s="22">
        <v>45964.759386574071</v>
      </c>
      <c r="F21" t="s">
        <v>1630</v>
      </c>
      <c r="H21">
        <v>6</v>
      </c>
      <c r="I21">
        <v>20606672323</v>
      </c>
      <c r="J21" t="s">
        <v>1804</v>
      </c>
      <c r="K21" s="8">
        <v>45946</v>
      </c>
      <c r="Q21">
        <v>31379</v>
      </c>
      <c r="R21">
        <v>2274</v>
      </c>
      <c r="S21" t="s">
        <v>1255</v>
      </c>
      <c r="T21" t="s">
        <v>215</v>
      </c>
      <c r="U21">
        <v>1</v>
      </c>
      <c r="V21">
        <v>2.5</v>
      </c>
      <c r="W21">
        <v>2.95</v>
      </c>
      <c r="X21">
        <v>0</v>
      </c>
      <c r="Y21">
        <v>2.5</v>
      </c>
      <c r="Z21">
        <v>18</v>
      </c>
      <c r="AA21">
        <v>0.45</v>
      </c>
      <c r="AB21">
        <v>2.95</v>
      </c>
      <c r="AC21">
        <v>1</v>
      </c>
      <c r="AD21">
        <v>1</v>
      </c>
      <c r="AE21" t="s">
        <v>1411</v>
      </c>
      <c r="AF21" t="s">
        <v>1412</v>
      </c>
      <c r="AG21">
        <v>2</v>
      </c>
      <c r="AH21" t="s">
        <v>25</v>
      </c>
      <c r="AI21">
        <v>6937</v>
      </c>
      <c r="AJ21" t="s">
        <v>1414</v>
      </c>
      <c r="AK21" t="s">
        <v>1433</v>
      </c>
      <c r="AL21">
        <v>3035</v>
      </c>
      <c r="AM21" t="s">
        <v>1632</v>
      </c>
      <c r="AN21" s="8">
        <v>45934</v>
      </c>
      <c r="AO21" s="8">
        <v>45934</v>
      </c>
      <c r="AP21">
        <v>5606</v>
      </c>
      <c r="AQ21" t="s">
        <v>1630</v>
      </c>
      <c r="AR21" t="s">
        <v>12</v>
      </c>
      <c r="AS21" t="str">
        <f>+CONCATENATE(A21,"-",B21)</f>
        <v>(01) Factura FOF1-00000069</v>
      </c>
    </row>
    <row r="22" spans="1:45" ht="15" customHeight="1">
      <c r="A22" t="s">
        <v>1216</v>
      </c>
      <c r="B22" s="21" t="s">
        <v>2494</v>
      </c>
      <c r="C22" t="s">
        <v>27</v>
      </c>
      <c r="D22" s="8">
        <v>45959</v>
      </c>
      <c r="E22" s="22">
        <v>45964.631979166668</v>
      </c>
      <c r="F22" t="s">
        <v>2477</v>
      </c>
      <c r="H22">
        <v>6</v>
      </c>
      <c r="I22">
        <v>20604257621</v>
      </c>
      <c r="J22" t="s">
        <v>2674</v>
      </c>
      <c r="K22" s="8">
        <v>45959</v>
      </c>
      <c r="Q22">
        <v>32882</v>
      </c>
      <c r="R22">
        <v>1786</v>
      </c>
      <c r="S22" t="s">
        <v>1299</v>
      </c>
      <c r="T22" t="s">
        <v>163</v>
      </c>
      <c r="U22">
        <v>1</v>
      </c>
      <c r="V22">
        <v>2.69</v>
      </c>
      <c r="W22">
        <v>3.17</v>
      </c>
      <c r="X22">
        <v>0</v>
      </c>
      <c r="Y22">
        <v>2.69</v>
      </c>
      <c r="Z22">
        <v>18</v>
      </c>
      <c r="AA22">
        <v>0.48</v>
      </c>
      <c r="AB22">
        <v>3.17</v>
      </c>
      <c r="AC22">
        <v>1</v>
      </c>
      <c r="AD22">
        <v>1</v>
      </c>
      <c r="AE22" t="s">
        <v>1411</v>
      </c>
      <c r="AF22" t="s">
        <v>1412</v>
      </c>
      <c r="AG22">
        <v>2</v>
      </c>
      <c r="AH22" t="s">
        <v>25</v>
      </c>
      <c r="AI22">
        <v>6937</v>
      </c>
      <c r="AJ22" t="s">
        <v>1414</v>
      </c>
      <c r="AK22" t="s">
        <v>1251</v>
      </c>
      <c r="AL22">
        <v>3302</v>
      </c>
      <c r="AM22" t="s">
        <v>2495</v>
      </c>
      <c r="AN22" s="8">
        <v>45955</v>
      </c>
      <c r="AO22" s="8">
        <v>45955</v>
      </c>
      <c r="AP22">
        <v>5473</v>
      </c>
      <c r="AQ22" t="s">
        <v>2477</v>
      </c>
      <c r="AR22" t="s">
        <v>12</v>
      </c>
      <c r="AS22" t="str">
        <f>+CONCATENATE(A22,"-",B22)</f>
        <v>(01) Factura FOF1-00000205</v>
      </c>
    </row>
    <row r="23" spans="1:45" ht="15" customHeight="1">
      <c r="A23" t="s">
        <v>1238</v>
      </c>
      <c r="B23">
        <v>734</v>
      </c>
      <c r="C23" t="s">
        <v>27</v>
      </c>
      <c r="D23" s="8">
        <v>45693</v>
      </c>
      <c r="E23" s="22">
        <v>45964</v>
      </c>
      <c r="F23" t="s">
        <v>561</v>
      </c>
      <c r="H23">
        <v>1</v>
      </c>
      <c r="I23">
        <v>47332687</v>
      </c>
      <c r="J23" t="s">
        <v>1939</v>
      </c>
      <c r="K23" s="8">
        <v>45693</v>
      </c>
      <c r="Q23">
        <v>18736</v>
      </c>
      <c r="R23">
        <v>870</v>
      </c>
      <c r="S23" t="s">
        <v>1299</v>
      </c>
      <c r="T23" t="s">
        <v>215</v>
      </c>
      <c r="U23">
        <v>1</v>
      </c>
      <c r="V23">
        <v>3</v>
      </c>
      <c r="W23">
        <v>3.54</v>
      </c>
      <c r="X23">
        <v>0</v>
      </c>
      <c r="Y23">
        <v>3</v>
      </c>
      <c r="Z23">
        <v>18</v>
      </c>
      <c r="AA23">
        <v>0.54</v>
      </c>
      <c r="AB23">
        <v>3.54</v>
      </c>
      <c r="AC23">
        <v>1</v>
      </c>
      <c r="AD23">
        <v>1</v>
      </c>
      <c r="AE23" t="s">
        <v>232</v>
      </c>
      <c r="AF23" t="s">
        <v>29</v>
      </c>
      <c r="AG23">
        <v>2</v>
      </c>
      <c r="AH23" t="s">
        <v>25</v>
      </c>
      <c r="AI23">
        <v>1106</v>
      </c>
      <c r="AJ23" t="s">
        <v>239</v>
      </c>
      <c r="AK23" t="s">
        <v>1237</v>
      </c>
      <c r="AP23">
        <v>1176</v>
      </c>
      <c r="AQ23" t="s">
        <v>561</v>
      </c>
      <c r="AR23" t="s">
        <v>1295</v>
      </c>
      <c r="AS23" t="str">
        <f>+CONCATENATE(A23,"-",B23)</f>
        <v>BB01-734</v>
      </c>
    </row>
    <row r="24" spans="1:45" ht="15" customHeight="1">
      <c r="A24" t="s">
        <v>1216</v>
      </c>
      <c r="B24" s="21" t="s">
        <v>1737</v>
      </c>
      <c r="C24" t="s">
        <v>27</v>
      </c>
      <c r="D24" s="8">
        <v>45946</v>
      </c>
      <c r="E24" s="22">
        <v>45964.679016203707</v>
      </c>
      <c r="F24" t="s">
        <v>485</v>
      </c>
      <c r="H24">
        <v>6</v>
      </c>
      <c r="I24">
        <v>20609649039</v>
      </c>
      <c r="J24" t="s">
        <v>2722</v>
      </c>
      <c r="K24" s="8">
        <v>45946</v>
      </c>
      <c r="Q24">
        <v>31292</v>
      </c>
      <c r="R24">
        <v>216</v>
      </c>
      <c r="S24" t="s">
        <v>1300</v>
      </c>
      <c r="T24" t="s">
        <v>163</v>
      </c>
      <c r="U24">
        <v>1</v>
      </c>
      <c r="V24">
        <v>3.05</v>
      </c>
      <c r="W24">
        <v>3.6</v>
      </c>
      <c r="X24">
        <v>0</v>
      </c>
      <c r="Y24">
        <v>3.05</v>
      </c>
      <c r="Z24">
        <v>18</v>
      </c>
      <c r="AA24">
        <v>0.55000000000000004</v>
      </c>
      <c r="AB24">
        <v>3.6</v>
      </c>
      <c r="AC24">
        <v>1</v>
      </c>
      <c r="AD24">
        <v>1</v>
      </c>
      <c r="AE24" t="s">
        <v>1411</v>
      </c>
      <c r="AF24" t="s">
        <v>1412</v>
      </c>
      <c r="AG24">
        <v>2</v>
      </c>
      <c r="AH24" t="s">
        <v>25</v>
      </c>
      <c r="AI24">
        <v>6936</v>
      </c>
      <c r="AJ24" t="s">
        <v>1437</v>
      </c>
      <c r="AK24" t="s">
        <v>1433</v>
      </c>
      <c r="AL24">
        <v>3127</v>
      </c>
      <c r="AM24" t="s">
        <v>1833</v>
      </c>
      <c r="AN24" s="8">
        <v>45934</v>
      </c>
      <c r="AO24" s="8">
        <v>45934</v>
      </c>
      <c r="AP24">
        <v>1142</v>
      </c>
      <c r="AQ24" t="s">
        <v>485</v>
      </c>
      <c r="AR24" t="s">
        <v>12</v>
      </c>
      <c r="AS24" t="str">
        <f>+CONCATENATE(A24,"-",B24)</f>
        <v>(01) Factura FOF1-00000048</v>
      </c>
    </row>
    <row r="25" spans="1:45" ht="15" customHeight="1">
      <c r="A25" t="s">
        <v>1238</v>
      </c>
      <c r="B25">
        <v>735</v>
      </c>
      <c r="C25" t="s">
        <v>27</v>
      </c>
      <c r="D25" s="8">
        <v>45693</v>
      </c>
      <c r="E25" s="22">
        <v>45964</v>
      </c>
      <c r="F25" t="s">
        <v>561</v>
      </c>
      <c r="H25">
        <v>1</v>
      </c>
      <c r="I25">
        <v>47332687</v>
      </c>
      <c r="J25" t="s">
        <v>2744</v>
      </c>
      <c r="K25" s="8">
        <v>45693</v>
      </c>
      <c r="Q25">
        <v>18737</v>
      </c>
      <c r="R25">
        <v>877</v>
      </c>
      <c r="S25" t="s">
        <v>1300</v>
      </c>
      <c r="T25" t="s">
        <v>215</v>
      </c>
      <c r="U25">
        <v>1</v>
      </c>
      <c r="V25">
        <v>3.48</v>
      </c>
      <c r="W25">
        <v>4.1100000000000003</v>
      </c>
      <c r="X25">
        <v>0</v>
      </c>
      <c r="Y25">
        <v>3.48</v>
      </c>
      <c r="Z25">
        <v>18</v>
      </c>
      <c r="AA25">
        <v>0.63</v>
      </c>
      <c r="AB25">
        <v>4.1100000000000003</v>
      </c>
      <c r="AC25">
        <v>1</v>
      </c>
      <c r="AD25">
        <v>1</v>
      </c>
      <c r="AE25" t="s">
        <v>232</v>
      </c>
      <c r="AF25" t="s">
        <v>29</v>
      </c>
      <c r="AG25">
        <v>2</v>
      </c>
      <c r="AH25" t="s">
        <v>25</v>
      </c>
      <c r="AI25">
        <v>1106</v>
      </c>
      <c r="AJ25" t="s">
        <v>239</v>
      </c>
      <c r="AK25" t="s">
        <v>1237</v>
      </c>
      <c r="AP25">
        <v>1176</v>
      </c>
      <c r="AQ25" t="s">
        <v>561</v>
      </c>
      <c r="AR25" t="s">
        <v>1295</v>
      </c>
      <c r="AS25" t="str">
        <f>+CONCATENATE(A25,"-",B25)</f>
        <v>BB01-735</v>
      </c>
    </row>
    <row r="26" spans="1:45" ht="15" customHeight="1">
      <c r="A26" t="s">
        <v>1216</v>
      </c>
      <c r="B26" s="21" t="s">
        <v>1735</v>
      </c>
      <c r="C26" t="s">
        <v>27</v>
      </c>
      <c r="D26" s="8">
        <v>45946</v>
      </c>
      <c r="E26" s="22">
        <v>45964.679340277777</v>
      </c>
      <c r="F26" t="s">
        <v>485</v>
      </c>
      <c r="H26">
        <v>6</v>
      </c>
      <c r="I26">
        <v>20609649039</v>
      </c>
      <c r="J26" t="s">
        <v>2721</v>
      </c>
      <c r="K26" s="8">
        <v>45946</v>
      </c>
      <c r="Q26">
        <v>31295</v>
      </c>
      <c r="R26">
        <v>1786</v>
      </c>
      <c r="S26" t="s">
        <v>1299</v>
      </c>
      <c r="T26" t="s">
        <v>163</v>
      </c>
      <c r="U26">
        <v>1</v>
      </c>
      <c r="V26">
        <v>4.32</v>
      </c>
      <c r="W26">
        <v>5.0999999999999996</v>
      </c>
      <c r="X26">
        <v>0</v>
      </c>
      <c r="Y26">
        <v>4.32</v>
      </c>
      <c r="Z26">
        <v>18</v>
      </c>
      <c r="AA26">
        <v>0.78</v>
      </c>
      <c r="AB26">
        <v>5.0999999999999996</v>
      </c>
      <c r="AC26">
        <v>1</v>
      </c>
      <c r="AD26">
        <v>1</v>
      </c>
      <c r="AE26" t="s">
        <v>1411</v>
      </c>
      <c r="AF26" t="s">
        <v>1412</v>
      </c>
      <c r="AG26">
        <v>2</v>
      </c>
      <c r="AH26" t="s">
        <v>25</v>
      </c>
      <c r="AI26">
        <v>6937</v>
      </c>
      <c r="AJ26" t="s">
        <v>1414</v>
      </c>
      <c r="AK26" t="s">
        <v>1251</v>
      </c>
      <c r="AL26">
        <v>3127</v>
      </c>
      <c r="AM26" t="s">
        <v>1833</v>
      </c>
      <c r="AN26" s="8">
        <v>45934</v>
      </c>
      <c r="AO26" s="8">
        <v>45934</v>
      </c>
      <c r="AP26">
        <v>1142</v>
      </c>
      <c r="AQ26" t="s">
        <v>485</v>
      </c>
      <c r="AR26" t="s">
        <v>12</v>
      </c>
      <c r="AS26" t="str">
        <f>+CONCATENATE(A26,"-",B26)</f>
        <v>(01) Factura FOF1-00000049</v>
      </c>
    </row>
    <row r="27" spans="1:45" ht="15" customHeight="1">
      <c r="A27" t="s">
        <v>216</v>
      </c>
      <c r="B27">
        <v>1409</v>
      </c>
      <c r="C27" t="s">
        <v>27</v>
      </c>
      <c r="D27" s="8">
        <v>45693</v>
      </c>
      <c r="E27" s="22">
        <v>45964</v>
      </c>
      <c r="F27" t="s">
        <v>406</v>
      </c>
      <c r="H27">
        <v>6</v>
      </c>
      <c r="I27">
        <v>20611129212</v>
      </c>
      <c r="J27" t="s">
        <v>2739</v>
      </c>
      <c r="K27" s="8">
        <v>45693</v>
      </c>
      <c r="Q27">
        <v>18756</v>
      </c>
      <c r="R27">
        <v>870</v>
      </c>
      <c r="S27" t="s">
        <v>1299</v>
      </c>
      <c r="T27" t="s">
        <v>215</v>
      </c>
      <c r="U27">
        <v>1</v>
      </c>
      <c r="V27">
        <v>4.58</v>
      </c>
      <c r="W27">
        <v>5.4</v>
      </c>
      <c r="X27">
        <v>0</v>
      </c>
      <c r="Y27">
        <v>4.58</v>
      </c>
      <c r="Z27">
        <v>18</v>
      </c>
      <c r="AA27">
        <v>0.82</v>
      </c>
      <c r="AB27">
        <v>5.4</v>
      </c>
      <c r="AC27">
        <v>1</v>
      </c>
      <c r="AD27">
        <v>1</v>
      </c>
      <c r="AE27" t="s">
        <v>232</v>
      </c>
      <c r="AF27" t="s">
        <v>29</v>
      </c>
      <c r="AG27">
        <v>2</v>
      </c>
      <c r="AH27" t="s">
        <v>25</v>
      </c>
      <c r="AI27">
        <v>1106</v>
      </c>
      <c r="AJ27" t="s">
        <v>239</v>
      </c>
      <c r="AK27" t="s">
        <v>1237</v>
      </c>
      <c r="AP27">
        <v>1147</v>
      </c>
      <c r="AQ27" t="s">
        <v>406</v>
      </c>
      <c r="AR27" t="s">
        <v>12</v>
      </c>
      <c r="AS27" t="str">
        <f>+CONCATENATE(A27,"-",B27)</f>
        <v>FB01-1409</v>
      </c>
    </row>
    <row r="28" spans="1:45" ht="15" customHeight="1">
      <c r="A28" t="s">
        <v>1216</v>
      </c>
      <c r="B28" s="21" t="s">
        <v>1460</v>
      </c>
      <c r="C28" t="s">
        <v>27</v>
      </c>
      <c r="D28" s="8">
        <v>45954</v>
      </c>
      <c r="E28" s="22">
        <v>45964.603668981479</v>
      </c>
      <c r="F28" t="s">
        <v>1454</v>
      </c>
      <c r="H28">
        <v>6</v>
      </c>
      <c r="I28">
        <v>20608574663</v>
      </c>
      <c r="J28" t="s">
        <v>2701</v>
      </c>
      <c r="K28" s="8">
        <v>45954</v>
      </c>
      <c r="Q28">
        <v>32578</v>
      </c>
      <c r="R28">
        <v>2274</v>
      </c>
      <c r="S28" t="s">
        <v>1255</v>
      </c>
      <c r="T28" t="s">
        <v>215</v>
      </c>
      <c r="U28">
        <v>1</v>
      </c>
      <c r="V28">
        <v>4.75</v>
      </c>
      <c r="W28">
        <v>5.61</v>
      </c>
      <c r="X28">
        <v>0</v>
      </c>
      <c r="Y28">
        <v>4.75</v>
      </c>
      <c r="Z28">
        <v>18</v>
      </c>
      <c r="AA28">
        <v>0.86</v>
      </c>
      <c r="AB28">
        <v>5.61</v>
      </c>
      <c r="AC28">
        <v>1</v>
      </c>
      <c r="AD28">
        <v>1</v>
      </c>
      <c r="AE28" t="s">
        <v>1411</v>
      </c>
      <c r="AF28" t="s">
        <v>1412</v>
      </c>
      <c r="AG28">
        <v>2</v>
      </c>
      <c r="AH28" t="s">
        <v>25</v>
      </c>
      <c r="AI28">
        <v>6937</v>
      </c>
      <c r="AJ28" t="s">
        <v>1414</v>
      </c>
      <c r="AK28" t="s">
        <v>1433</v>
      </c>
      <c r="AL28">
        <v>3079</v>
      </c>
      <c r="AM28" t="s">
        <v>1456</v>
      </c>
      <c r="AN28" s="8">
        <v>45921</v>
      </c>
      <c r="AO28" s="8">
        <v>45921</v>
      </c>
      <c r="AP28">
        <v>5597</v>
      </c>
      <c r="AQ28" t="s">
        <v>1457</v>
      </c>
      <c r="AR28" t="s">
        <v>12</v>
      </c>
      <c r="AS28" t="str">
        <f>+CONCATENATE(A28,"-",B28)</f>
        <v>(01) Factura FOF1-00000180</v>
      </c>
    </row>
    <row r="29" spans="1:45" ht="15" customHeight="1">
      <c r="A29" t="s">
        <v>1238</v>
      </c>
      <c r="B29">
        <v>714</v>
      </c>
      <c r="C29" t="s">
        <v>27</v>
      </c>
      <c r="D29" s="8">
        <v>45687</v>
      </c>
      <c r="E29" s="22">
        <v>45964</v>
      </c>
      <c r="F29" t="s">
        <v>610</v>
      </c>
      <c r="H29">
        <v>1</v>
      </c>
      <c r="I29">
        <v>75329338</v>
      </c>
      <c r="J29" t="s">
        <v>2755</v>
      </c>
      <c r="K29" s="8">
        <v>45687</v>
      </c>
      <c r="Q29">
        <v>18680</v>
      </c>
      <c r="R29">
        <v>877</v>
      </c>
      <c r="S29" t="s">
        <v>1300</v>
      </c>
      <c r="T29" t="s">
        <v>215</v>
      </c>
      <c r="U29">
        <v>1</v>
      </c>
      <c r="V29">
        <v>4.83</v>
      </c>
      <c r="W29">
        <v>5.7</v>
      </c>
      <c r="X29">
        <v>0</v>
      </c>
      <c r="Y29">
        <v>4.83</v>
      </c>
      <c r="Z29">
        <v>18</v>
      </c>
      <c r="AA29">
        <v>0.87</v>
      </c>
      <c r="AB29">
        <v>5.7</v>
      </c>
      <c r="AC29">
        <v>1</v>
      </c>
      <c r="AD29">
        <v>1</v>
      </c>
      <c r="AE29" t="s">
        <v>232</v>
      </c>
      <c r="AF29" t="s">
        <v>29</v>
      </c>
      <c r="AG29">
        <v>2</v>
      </c>
      <c r="AH29" t="s">
        <v>25</v>
      </c>
      <c r="AI29">
        <v>1106</v>
      </c>
      <c r="AJ29" t="s">
        <v>239</v>
      </c>
      <c r="AK29" t="s">
        <v>1237</v>
      </c>
      <c r="AP29">
        <v>1173</v>
      </c>
      <c r="AQ29" t="s">
        <v>1839</v>
      </c>
      <c r="AR29" t="s">
        <v>1295</v>
      </c>
      <c r="AS29" t="str">
        <f>+CONCATENATE(A29,"-",B29)</f>
        <v>BB01-714</v>
      </c>
    </row>
    <row r="30" spans="1:45" ht="15" customHeight="1">
      <c r="A30" t="s">
        <v>216</v>
      </c>
      <c r="B30">
        <v>1370</v>
      </c>
      <c r="C30" t="s">
        <v>27</v>
      </c>
      <c r="D30" s="8">
        <v>45693</v>
      </c>
      <c r="E30" s="22">
        <v>45964</v>
      </c>
      <c r="F30" t="s">
        <v>501</v>
      </c>
      <c r="H30">
        <v>6</v>
      </c>
      <c r="I30">
        <v>10038775753</v>
      </c>
      <c r="J30" t="s">
        <v>2754</v>
      </c>
      <c r="K30" s="8">
        <v>45693</v>
      </c>
      <c r="Q30">
        <v>18699</v>
      </c>
      <c r="R30">
        <v>877</v>
      </c>
      <c r="S30" t="s">
        <v>1300</v>
      </c>
      <c r="T30" t="s">
        <v>215</v>
      </c>
      <c r="U30">
        <v>1</v>
      </c>
      <c r="V30">
        <v>4.95</v>
      </c>
      <c r="W30">
        <v>5.84</v>
      </c>
      <c r="X30">
        <v>0</v>
      </c>
      <c r="Y30">
        <v>4.95</v>
      </c>
      <c r="Z30">
        <v>18</v>
      </c>
      <c r="AA30">
        <v>0.89</v>
      </c>
      <c r="AB30">
        <v>5.84</v>
      </c>
      <c r="AC30">
        <v>1</v>
      </c>
      <c r="AD30">
        <v>1</v>
      </c>
      <c r="AE30" t="s">
        <v>232</v>
      </c>
      <c r="AF30" t="s">
        <v>29</v>
      </c>
      <c r="AG30">
        <v>2</v>
      </c>
      <c r="AH30" t="s">
        <v>25</v>
      </c>
      <c r="AI30">
        <v>1106</v>
      </c>
      <c r="AJ30" t="s">
        <v>239</v>
      </c>
      <c r="AK30" t="s">
        <v>1237</v>
      </c>
      <c r="AP30">
        <v>1141</v>
      </c>
      <c r="AQ30" t="s">
        <v>501</v>
      </c>
      <c r="AR30" t="s">
        <v>12</v>
      </c>
      <c r="AS30" t="str">
        <f>+CONCATENATE(A30,"-",B30)</f>
        <v>FB01-1370</v>
      </c>
    </row>
    <row r="31" spans="1:45" ht="15" customHeight="1">
      <c r="A31" t="s">
        <v>1214</v>
      </c>
      <c r="B31" s="21" t="s">
        <v>1543</v>
      </c>
      <c r="C31" t="s">
        <v>27</v>
      </c>
      <c r="D31" s="8">
        <v>45961</v>
      </c>
      <c r="E31" s="22">
        <v>45964.423356481479</v>
      </c>
      <c r="F31" t="s">
        <v>1031</v>
      </c>
      <c r="H31">
        <v>1</v>
      </c>
      <c r="I31" s="21" t="s">
        <v>2438</v>
      </c>
      <c r="J31" t="s">
        <v>2601</v>
      </c>
      <c r="K31" s="8">
        <v>45961</v>
      </c>
      <c r="Q31">
        <v>33175</v>
      </c>
      <c r="R31">
        <v>2274</v>
      </c>
      <c r="S31" t="s">
        <v>1255</v>
      </c>
      <c r="T31" t="s">
        <v>215</v>
      </c>
      <c r="U31">
        <v>1</v>
      </c>
      <c r="V31">
        <v>5</v>
      </c>
      <c r="W31">
        <v>5.9</v>
      </c>
      <c r="X31">
        <v>0</v>
      </c>
      <c r="Y31">
        <v>5</v>
      </c>
      <c r="Z31">
        <v>18</v>
      </c>
      <c r="AA31">
        <v>0.9</v>
      </c>
      <c r="AB31">
        <v>5.9</v>
      </c>
      <c r="AC31">
        <v>1</v>
      </c>
      <c r="AD31">
        <v>1</v>
      </c>
      <c r="AE31" t="s">
        <v>1411</v>
      </c>
      <c r="AF31" t="s">
        <v>1412</v>
      </c>
      <c r="AG31">
        <v>2</v>
      </c>
      <c r="AH31" t="s">
        <v>25</v>
      </c>
      <c r="AI31">
        <v>6937</v>
      </c>
      <c r="AJ31" t="s">
        <v>1414</v>
      </c>
      <c r="AK31" t="s">
        <v>1433</v>
      </c>
      <c r="AL31">
        <v>3319</v>
      </c>
      <c r="AM31" t="s">
        <v>2439</v>
      </c>
      <c r="AN31" s="8">
        <v>45957</v>
      </c>
      <c r="AO31" s="8">
        <v>45957</v>
      </c>
      <c r="AP31">
        <v>5710</v>
      </c>
      <c r="AQ31" t="s">
        <v>1031</v>
      </c>
      <c r="AR31" t="s">
        <v>1295</v>
      </c>
      <c r="AS31" t="str">
        <f>+CONCATENATE(A31,"-",B31)</f>
        <v>(03) Boleta BOB1-00000155</v>
      </c>
    </row>
    <row r="32" spans="1:45" ht="15" customHeight="1">
      <c r="A32" t="s">
        <v>1216</v>
      </c>
      <c r="B32" s="21" t="s">
        <v>2489</v>
      </c>
      <c r="C32" t="s">
        <v>27</v>
      </c>
      <c r="D32" s="8">
        <v>45959</v>
      </c>
      <c r="E32" s="22">
        <v>45964.634664351855</v>
      </c>
      <c r="F32" t="s">
        <v>2490</v>
      </c>
      <c r="H32">
        <v>6</v>
      </c>
      <c r="I32">
        <v>10749956238</v>
      </c>
      <c r="J32" t="s">
        <v>2671</v>
      </c>
      <c r="K32" s="8">
        <v>45959</v>
      </c>
      <c r="Q32">
        <v>32891</v>
      </c>
      <c r="R32">
        <v>2274</v>
      </c>
      <c r="S32" t="s">
        <v>1255</v>
      </c>
      <c r="T32" t="s">
        <v>215</v>
      </c>
      <c r="U32">
        <v>1</v>
      </c>
      <c r="V32">
        <v>5</v>
      </c>
      <c r="W32">
        <v>5.9</v>
      </c>
      <c r="X32">
        <v>0</v>
      </c>
      <c r="Y32">
        <v>5</v>
      </c>
      <c r="Z32">
        <v>18</v>
      </c>
      <c r="AA32">
        <v>0.9</v>
      </c>
      <c r="AB32">
        <v>5.9</v>
      </c>
      <c r="AC32">
        <v>1</v>
      </c>
      <c r="AD32">
        <v>1</v>
      </c>
      <c r="AE32" t="s">
        <v>1411</v>
      </c>
      <c r="AF32" t="s">
        <v>1412</v>
      </c>
      <c r="AG32">
        <v>2</v>
      </c>
      <c r="AH32" t="s">
        <v>25</v>
      </c>
      <c r="AI32">
        <v>6937</v>
      </c>
      <c r="AJ32" t="s">
        <v>1414</v>
      </c>
      <c r="AK32" t="s">
        <v>1433</v>
      </c>
      <c r="AL32">
        <v>3280</v>
      </c>
      <c r="AM32" t="s">
        <v>2491</v>
      </c>
      <c r="AN32" s="8">
        <v>45955</v>
      </c>
      <c r="AO32" s="8">
        <v>45955</v>
      </c>
      <c r="AP32">
        <v>6601</v>
      </c>
      <c r="AQ32" t="s">
        <v>2490</v>
      </c>
      <c r="AR32" t="s">
        <v>12</v>
      </c>
      <c r="AS32" t="str">
        <f>+CONCATENATE(A32,"-",B32)</f>
        <v>(01) Factura FOF1-00000208</v>
      </c>
    </row>
    <row r="33" spans="1:45" ht="15" customHeight="1">
      <c r="A33" t="s">
        <v>1216</v>
      </c>
      <c r="B33" s="21" t="s">
        <v>1566</v>
      </c>
      <c r="C33" t="s">
        <v>27</v>
      </c>
      <c r="D33" s="8">
        <v>45946</v>
      </c>
      <c r="E33" s="22">
        <v>45964.773136574076</v>
      </c>
      <c r="F33" t="s">
        <v>1794</v>
      </c>
      <c r="H33">
        <v>6</v>
      </c>
      <c r="I33">
        <v>10207250991</v>
      </c>
      <c r="J33" t="s">
        <v>1798</v>
      </c>
      <c r="K33" s="8">
        <v>45946</v>
      </c>
      <c r="Q33">
        <v>31397</v>
      </c>
      <c r="R33">
        <v>2276</v>
      </c>
      <c r="S33" t="s">
        <v>1504</v>
      </c>
      <c r="T33" t="s">
        <v>163</v>
      </c>
      <c r="U33">
        <v>1</v>
      </c>
      <c r="V33">
        <v>5</v>
      </c>
      <c r="W33">
        <v>5.9</v>
      </c>
      <c r="X33">
        <v>0</v>
      </c>
      <c r="Y33">
        <v>5</v>
      </c>
      <c r="Z33">
        <v>18</v>
      </c>
      <c r="AA33">
        <v>0.9</v>
      </c>
      <c r="AB33">
        <v>5.9</v>
      </c>
      <c r="AC33">
        <v>1</v>
      </c>
      <c r="AD33">
        <v>1</v>
      </c>
      <c r="AE33" t="s">
        <v>1411</v>
      </c>
      <c r="AF33" t="s">
        <v>1412</v>
      </c>
      <c r="AG33">
        <v>2</v>
      </c>
      <c r="AH33" t="s">
        <v>25</v>
      </c>
      <c r="AI33">
        <v>6959</v>
      </c>
      <c r="AJ33" t="s">
        <v>1401</v>
      </c>
      <c r="AK33" t="s">
        <v>169</v>
      </c>
      <c r="AL33">
        <v>2471</v>
      </c>
      <c r="AM33" t="s">
        <v>1796</v>
      </c>
      <c r="AN33" s="8">
        <v>45928</v>
      </c>
      <c r="AO33" s="8">
        <v>45928</v>
      </c>
      <c r="AP33">
        <v>5507</v>
      </c>
      <c r="AQ33" t="s">
        <v>1794</v>
      </c>
      <c r="AR33" t="s">
        <v>12</v>
      </c>
      <c r="AS33" t="str">
        <f>+CONCATENATE(A33,"-",B33)</f>
        <v>(01) Factura FOF1-00000075</v>
      </c>
    </row>
    <row r="34" spans="1:45" ht="15" customHeight="1">
      <c r="A34" t="s">
        <v>1238</v>
      </c>
      <c r="B34">
        <v>741</v>
      </c>
      <c r="C34" t="s">
        <v>27</v>
      </c>
      <c r="D34" s="8">
        <v>45693</v>
      </c>
      <c r="E34" s="22">
        <v>45964</v>
      </c>
      <c r="F34" t="s">
        <v>547</v>
      </c>
      <c r="G34" t="s">
        <v>158</v>
      </c>
      <c r="H34">
        <v>1</v>
      </c>
      <c r="I34">
        <v>44292844</v>
      </c>
      <c r="J34" t="s">
        <v>1925</v>
      </c>
      <c r="K34" s="8">
        <v>45693</v>
      </c>
      <c r="Q34">
        <v>18755</v>
      </c>
      <c r="R34">
        <v>874</v>
      </c>
      <c r="S34" t="s">
        <v>1248</v>
      </c>
      <c r="T34" t="s">
        <v>215</v>
      </c>
      <c r="U34">
        <v>1</v>
      </c>
      <c r="V34">
        <v>5</v>
      </c>
      <c r="W34">
        <v>5.9</v>
      </c>
      <c r="X34">
        <v>0</v>
      </c>
      <c r="Y34">
        <v>5</v>
      </c>
      <c r="Z34">
        <v>18</v>
      </c>
      <c r="AA34">
        <v>0.9</v>
      </c>
      <c r="AB34">
        <v>5.9</v>
      </c>
      <c r="AC34">
        <v>1</v>
      </c>
      <c r="AD34">
        <v>1</v>
      </c>
      <c r="AE34" t="s">
        <v>232</v>
      </c>
      <c r="AF34" t="s">
        <v>29</v>
      </c>
      <c r="AG34">
        <v>2</v>
      </c>
      <c r="AH34" t="s">
        <v>25</v>
      </c>
      <c r="AI34">
        <v>1106</v>
      </c>
      <c r="AJ34" t="s">
        <v>239</v>
      </c>
      <c r="AK34" t="s">
        <v>1237</v>
      </c>
      <c r="AP34">
        <v>463</v>
      </c>
      <c r="AQ34" t="s">
        <v>547</v>
      </c>
      <c r="AR34" t="s">
        <v>1295</v>
      </c>
      <c r="AS34" t="str">
        <f>+CONCATENATE(A34,"-",B34)</f>
        <v>BB01-741</v>
      </c>
    </row>
    <row r="35" spans="1:45" ht="15" customHeight="1">
      <c r="A35" t="s">
        <v>216</v>
      </c>
      <c r="B35">
        <v>1369</v>
      </c>
      <c r="C35" t="s">
        <v>27</v>
      </c>
      <c r="D35" s="8">
        <v>45693</v>
      </c>
      <c r="E35" s="22">
        <v>45964</v>
      </c>
      <c r="F35" t="s">
        <v>501</v>
      </c>
      <c r="H35">
        <v>6</v>
      </c>
      <c r="I35">
        <v>10038775753</v>
      </c>
      <c r="J35" t="s">
        <v>1967</v>
      </c>
      <c r="K35" s="8">
        <v>45693</v>
      </c>
      <c r="Q35">
        <v>18698</v>
      </c>
      <c r="R35">
        <v>870</v>
      </c>
      <c r="S35" t="s">
        <v>1299</v>
      </c>
      <c r="T35" t="s">
        <v>215</v>
      </c>
      <c r="U35">
        <v>1</v>
      </c>
      <c r="V35">
        <v>5</v>
      </c>
      <c r="W35">
        <v>5.9</v>
      </c>
      <c r="X35">
        <v>0</v>
      </c>
      <c r="Y35">
        <v>5</v>
      </c>
      <c r="Z35">
        <v>18</v>
      </c>
      <c r="AA35">
        <v>0.9</v>
      </c>
      <c r="AB35">
        <v>5.9</v>
      </c>
      <c r="AC35">
        <v>1</v>
      </c>
      <c r="AD35">
        <v>1</v>
      </c>
      <c r="AE35" t="s">
        <v>232</v>
      </c>
      <c r="AF35" t="s">
        <v>29</v>
      </c>
      <c r="AG35">
        <v>2</v>
      </c>
      <c r="AH35" t="s">
        <v>25</v>
      </c>
      <c r="AI35">
        <v>1106</v>
      </c>
      <c r="AJ35" t="s">
        <v>239</v>
      </c>
      <c r="AK35" t="s">
        <v>1237</v>
      </c>
      <c r="AP35">
        <v>1141</v>
      </c>
      <c r="AQ35" t="s">
        <v>501</v>
      </c>
      <c r="AR35" t="s">
        <v>12</v>
      </c>
      <c r="AS35" t="str">
        <f>+CONCATENATE(A35,"-",B35)</f>
        <v>FB01-1369</v>
      </c>
    </row>
    <row r="36" spans="1:45" ht="15" customHeight="1">
      <c r="A36" t="s">
        <v>216</v>
      </c>
      <c r="B36">
        <v>1334</v>
      </c>
      <c r="C36" t="s">
        <v>27</v>
      </c>
      <c r="D36" s="8">
        <v>45685</v>
      </c>
      <c r="E36" s="22">
        <v>45964</v>
      </c>
      <c r="F36" t="s">
        <v>415</v>
      </c>
      <c r="H36">
        <v>6</v>
      </c>
      <c r="I36">
        <v>20611890746</v>
      </c>
      <c r="J36" t="s">
        <v>2016</v>
      </c>
      <c r="K36" s="8">
        <v>45685</v>
      </c>
      <c r="Q36">
        <v>18647</v>
      </c>
      <c r="R36">
        <v>949</v>
      </c>
      <c r="S36" t="s">
        <v>1261</v>
      </c>
      <c r="T36" t="s">
        <v>215</v>
      </c>
      <c r="U36">
        <v>1</v>
      </c>
      <c r="V36">
        <v>5</v>
      </c>
      <c r="W36">
        <v>5.9</v>
      </c>
      <c r="X36">
        <v>0</v>
      </c>
      <c r="Y36">
        <v>5</v>
      </c>
      <c r="Z36">
        <v>18</v>
      </c>
      <c r="AA36">
        <v>0.9</v>
      </c>
      <c r="AB36">
        <v>5.9</v>
      </c>
      <c r="AC36">
        <v>1</v>
      </c>
      <c r="AD36">
        <v>1</v>
      </c>
      <c r="AE36" t="s">
        <v>232</v>
      </c>
      <c r="AF36" t="s">
        <v>29</v>
      </c>
      <c r="AG36">
        <v>2</v>
      </c>
      <c r="AH36" t="s">
        <v>25</v>
      </c>
      <c r="AI36">
        <v>1106</v>
      </c>
      <c r="AJ36" t="s">
        <v>239</v>
      </c>
      <c r="AK36" t="s">
        <v>1237</v>
      </c>
      <c r="AP36">
        <v>1136</v>
      </c>
      <c r="AQ36" t="s">
        <v>415</v>
      </c>
      <c r="AR36" t="s">
        <v>12</v>
      </c>
      <c r="AS36" t="str">
        <f>+CONCATENATE(A36,"-",B36)</f>
        <v>FB01-1334</v>
      </c>
    </row>
    <row r="37" spans="1:45" ht="15" customHeight="1">
      <c r="A37" t="s">
        <v>216</v>
      </c>
      <c r="B37">
        <v>1305</v>
      </c>
      <c r="C37" t="s">
        <v>27</v>
      </c>
      <c r="D37" s="8">
        <v>45680</v>
      </c>
      <c r="E37" s="22">
        <v>45964</v>
      </c>
      <c r="F37" t="s">
        <v>462</v>
      </c>
      <c r="G37" t="s">
        <v>158</v>
      </c>
      <c r="H37">
        <v>6</v>
      </c>
      <c r="I37">
        <v>20608627422</v>
      </c>
      <c r="J37" t="s">
        <v>2068</v>
      </c>
      <c r="K37" s="8">
        <v>45680</v>
      </c>
      <c r="Q37">
        <v>17827</v>
      </c>
      <c r="R37">
        <v>874</v>
      </c>
      <c r="S37" t="s">
        <v>1248</v>
      </c>
      <c r="T37" t="s">
        <v>215</v>
      </c>
      <c r="U37">
        <v>1</v>
      </c>
      <c r="V37">
        <v>5</v>
      </c>
      <c r="W37">
        <v>5.9</v>
      </c>
      <c r="X37">
        <v>0</v>
      </c>
      <c r="Y37">
        <v>5</v>
      </c>
      <c r="Z37">
        <v>18</v>
      </c>
      <c r="AA37">
        <v>0.9</v>
      </c>
      <c r="AB37">
        <v>5.9</v>
      </c>
      <c r="AC37">
        <v>1</v>
      </c>
      <c r="AD37">
        <v>1</v>
      </c>
      <c r="AE37" t="s">
        <v>232</v>
      </c>
      <c r="AF37" t="s">
        <v>29</v>
      </c>
      <c r="AG37">
        <v>2</v>
      </c>
      <c r="AH37" t="s">
        <v>25</v>
      </c>
      <c r="AI37">
        <v>1106</v>
      </c>
      <c r="AJ37" t="s">
        <v>239</v>
      </c>
      <c r="AK37" t="s">
        <v>1237</v>
      </c>
      <c r="AP37">
        <v>396</v>
      </c>
      <c r="AQ37" t="s">
        <v>462</v>
      </c>
      <c r="AR37" t="s">
        <v>12</v>
      </c>
      <c r="AS37" t="str">
        <f>+CONCATENATE(A37,"-",B37)</f>
        <v>FB01-1305</v>
      </c>
    </row>
    <row r="38" spans="1:45" ht="15" customHeight="1">
      <c r="A38" t="s">
        <v>1238</v>
      </c>
      <c r="B38">
        <v>675</v>
      </c>
      <c r="C38" t="s">
        <v>27</v>
      </c>
      <c r="D38" s="8">
        <v>45680</v>
      </c>
      <c r="E38" s="22">
        <v>45964</v>
      </c>
      <c r="F38" t="s">
        <v>1318</v>
      </c>
      <c r="G38" t="s">
        <v>158</v>
      </c>
      <c r="H38">
        <v>1</v>
      </c>
      <c r="I38">
        <v>73241854</v>
      </c>
      <c r="J38" t="s">
        <v>2767</v>
      </c>
      <c r="K38" s="8">
        <v>45680</v>
      </c>
      <c r="Q38">
        <v>17835</v>
      </c>
      <c r="R38">
        <v>933</v>
      </c>
      <c r="S38" t="s">
        <v>1320</v>
      </c>
      <c r="T38" t="s">
        <v>215</v>
      </c>
      <c r="U38">
        <v>1</v>
      </c>
      <c r="V38">
        <v>5.07</v>
      </c>
      <c r="W38">
        <v>5.98</v>
      </c>
      <c r="X38">
        <v>0</v>
      </c>
      <c r="Y38">
        <v>5.07</v>
      </c>
      <c r="Z38">
        <v>18</v>
      </c>
      <c r="AA38">
        <v>0.91</v>
      </c>
      <c r="AB38">
        <v>5.98</v>
      </c>
      <c r="AC38">
        <v>1</v>
      </c>
      <c r="AD38">
        <v>1</v>
      </c>
      <c r="AE38" t="s">
        <v>232</v>
      </c>
      <c r="AF38" t="s">
        <v>29</v>
      </c>
      <c r="AG38">
        <v>2</v>
      </c>
      <c r="AH38" t="s">
        <v>25</v>
      </c>
      <c r="AI38">
        <v>1106</v>
      </c>
      <c r="AJ38" t="s">
        <v>239</v>
      </c>
      <c r="AK38" t="s">
        <v>1237</v>
      </c>
      <c r="AP38">
        <v>418</v>
      </c>
      <c r="AQ38" t="s">
        <v>1318</v>
      </c>
      <c r="AR38" t="s">
        <v>1295</v>
      </c>
      <c r="AS38" t="str">
        <f>+CONCATENATE(A38,"-",B38)</f>
        <v>BB01-675</v>
      </c>
    </row>
    <row r="39" spans="1:45" ht="15" customHeight="1">
      <c r="A39" t="s">
        <v>1214</v>
      </c>
      <c r="B39" s="21" t="s">
        <v>1612</v>
      </c>
      <c r="C39" t="s">
        <v>27</v>
      </c>
      <c r="D39" s="8">
        <v>45959</v>
      </c>
      <c r="E39" s="22">
        <v>45964.7187037037</v>
      </c>
      <c r="F39" t="s">
        <v>2468</v>
      </c>
      <c r="H39">
        <v>1</v>
      </c>
      <c r="I39">
        <v>41503057</v>
      </c>
      <c r="J39" t="s">
        <v>2635</v>
      </c>
      <c r="K39" s="8">
        <v>45959</v>
      </c>
      <c r="Q39">
        <v>33023</v>
      </c>
      <c r="R39">
        <v>216</v>
      </c>
      <c r="S39" t="s">
        <v>1300</v>
      </c>
      <c r="T39" t="s">
        <v>163</v>
      </c>
      <c r="U39">
        <v>1</v>
      </c>
      <c r="V39">
        <v>5.08</v>
      </c>
      <c r="W39">
        <v>5.99</v>
      </c>
      <c r="X39">
        <v>0</v>
      </c>
      <c r="Y39">
        <v>5.08</v>
      </c>
      <c r="Z39">
        <v>18</v>
      </c>
      <c r="AA39">
        <v>0.91</v>
      </c>
      <c r="AB39">
        <v>5.99</v>
      </c>
      <c r="AC39">
        <v>1</v>
      </c>
      <c r="AD39">
        <v>1</v>
      </c>
      <c r="AE39" t="s">
        <v>1411</v>
      </c>
      <c r="AF39" t="s">
        <v>1412</v>
      </c>
      <c r="AG39">
        <v>2</v>
      </c>
      <c r="AH39" t="s">
        <v>25</v>
      </c>
      <c r="AI39">
        <v>6936</v>
      </c>
      <c r="AJ39" t="s">
        <v>1437</v>
      </c>
      <c r="AK39" t="s">
        <v>1433</v>
      </c>
      <c r="AL39">
        <v>3252</v>
      </c>
      <c r="AM39" t="s">
        <v>2469</v>
      </c>
      <c r="AN39" s="8">
        <v>45948</v>
      </c>
      <c r="AO39" s="8">
        <v>45948</v>
      </c>
      <c r="AP39">
        <v>5658</v>
      </c>
      <c r="AQ39" t="s">
        <v>2468</v>
      </c>
      <c r="AR39" t="s">
        <v>1295</v>
      </c>
      <c r="AS39" t="str">
        <f>+CONCATENATE(A39,"-",B39)</f>
        <v>(03) Boleta BOB1-00000131</v>
      </c>
    </row>
    <row r="40" spans="1:45" ht="15" customHeight="1">
      <c r="A40" t="s">
        <v>1214</v>
      </c>
      <c r="B40" s="21" t="s">
        <v>1609</v>
      </c>
      <c r="C40" t="s">
        <v>27</v>
      </c>
      <c r="D40" s="8">
        <v>45959</v>
      </c>
      <c r="E40" s="22">
        <v>45964.718946759262</v>
      </c>
      <c r="F40" t="s">
        <v>2468</v>
      </c>
      <c r="H40">
        <v>1</v>
      </c>
      <c r="I40">
        <v>41503057</v>
      </c>
      <c r="J40" t="s">
        <v>2634</v>
      </c>
      <c r="K40" s="8">
        <v>45959</v>
      </c>
      <c r="Q40">
        <v>33026</v>
      </c>
      <c r="R40">
        <v>1786</v>
      </c>
      <c r="S40" t="s">
        <v>1299</v>
      </c>
      <c r="T40" t="s">
        <v>163</v>
      </c>
      <c r="U40">
        <v>1</v>
      </c>
      <c r="V40">
        <v>5.25</v>
      </c>
      <c r="W40">
        <v>6.2</v>
      </c>
      <c r="X40">
        <v>0</v>
      </c>
      <c r="Y40">
        <v>5.25</v>
      </c>
      <c r="Z40">
        <v>18</v>
      </c>
      <c r="AA40">
        <v>0.95</v>
      </c>
      <c r="AB40">
        <v>6.2</v>
      </c>
      <c r="AC40">
        <v>1</v>
      </c>
      <c r="AD40">
        <v>1</v>
      </c>
      <c r="AE40" t="s">
        <v>1411</v>
      </c>
      <c r="AF40" t="s">
        <v>1412</v>
      </c>
      <c r="AG40">
        <v>2</v>
      </c>
      <c r="AH40" t="s">
        <v>25</v>
      </c>
      <c r="AI40">
        <v>6937</v>
      </c>
      <c r="AJ40" t="s">
        <v>1414</v>
      </c>
      <c r="AK40" t="s">
        <v>1251</v>
      </c>
      <c r="AL40">
        <v>3252</v>
      </c>
      <c r="AM40" t="s">
        <v>2469</v>
      </c>
      <c r="AN40" s="8">
        <v>45948</v>
      </c>
      <c r="AO40" s="8">
        <v>45948</v>
      </c>
      <c r="AP40">
        <v>5658</v>
      </c>
      <c r="AQ40" t="s">
        <v>2468</v>
      </c>
      <c r="AR40" t="s">
        <v>1295</v>
      </c>
      <c r="AS40" t="str">
        <f>+CONCATENATE(A40,"-",B40)</f>
        <v>(03) Boleta BOB1-00000132</v>
      </c>
    </row>
    <row r="41" spans="1:45" ht="15" customHeight="1">
      <c r="A41" t="s">
        <v>1214</v>
      </c>
      <c r="B41" s="21" t="s">
        <v>160</v>
      </c>
      <c r="C41" t="s">
        <v>27</v>
      </c>
      <c r="D41" s="8">
        <v>45959</v>
      </c>
      <c r="E41" s="22">
        <v>45964.641331018516</v>
      </c>
      <c r="F41" t="s">
        <v>610</v>
      </c>
      <c r="H41">
        <v>1</v>
      </c>
      <c r="I41">
        <v>75329338</v>
      </c>
      <c r="J41" t="s">
        <v>2666</v>
      </c>
      <c r="K41" s="8">
        <v>45959</v>
      </c>
      <c r="Q41">
        <v>32911</v>
      </c>
      <c r="R41">
        <v>1786</v>
      </c>
      <c r="S41" t="s">
        <v>1299</v>
      </c>
      <c r="T41" t="s">
        <v>163</v>
      </c>
      <c r="U41">
        <v>1</v>
      </c>
      <c r="V41">
        <v>5.59</v>
      </c>
      <c r="W41">
        <v>6.6</v>
      </c>
      <c r="X41">
        <v>0</v>
      </c>
      <c r="Y41">
        <v>5.59</v>
      </c>
      <c r="Z41">
        <v>18</v>
      </c>
      <c r="AA41">
        <v>1.01</v>
      </c>
      <c r="AB41">
        <v>6.6</v>
      </c>
      <c r="AC41">
        <v>1</v>
      </c>
      <c r="AD41">
        <v>1</v>
      </c>
      <c r="AE41" t="s">
        <v>1411</v>
      </c>
      <c r="AF41" t="s">
        <v>1412</v>
      </c>
      <c r="AG41">
        <v>2</v>
      </c>
      <c r="AH41" t="s">
        <v>25</v>
      </c>
      <c r="AI41">
        <v>6937</v>
      </c>
      <c r="AJ41" t="s">
        <v>1414</v>
      </c>
      <c r="AK41" t="s">
        <v>1251</v>
      </c>
      <c r="AL41">
        <v>3196</v>
      </c>
      <c r="AM41" t="s">
        <v>2486</v>
      </c>
      <c r="AN41" s="8">
        <v>45955</v>
      </c>
      <c r="AO41" s="8">
        <v>45955</v>
      </c>
      <c r="AP41">
        <v>1173</v>
      </c>
      <c r="AQ41" t="s">
        <v>1839</v>
      </c>
      <c r="AR41" t="s">
        <v>1295</v>
      </c>
      <c r="AS41" t="str">
        <f>+CONCATENATE(A41,"-",B41)</f>
        <v>(03) Boleta BOB1-00000104</v>
      </c>
    </row>
    <row r="42" spans="1:45" s="24" customFormat="1" ht="15" customHeight="1">
      <c r="A42" t="s">
        <v>1238</v>
      </c>
      <c r="B42">
        <v>676</v>
      </c>
      <c r="C42" t="s">
        <v>27</v>
      </c>
      <c r="D42" s="8">
        <v>45680</v>
      </c>
      <c r="E42" s="22">
        <v>45964</v>
      </c>
      <c r="F42" t="s">
        <v>1318</v>
      </c>
      <c r="G42" t="s">
        <v>158</v>
      </c>
      <c r="H42">
        <v>1</v>
      </c>
      <c r="I42">
        <v>73241854</v>
      </c>
      <c r="J42" t="s">
        <v>2766</v>
      </c>
      <c r="K42" s="8">
        <v>45680</v>
      </c>
      <c r="L42"/>
      <c r="M42"/>
      <c r="N42"/>
      <c r="O42"/>
      <c r="P42"/>
      <c r="Q42">
        <v>17836</v>
      </c>
      <c r="R42">
        <v>934</v>
      </c>
      <c r="S42" t="s">
        <v>1319</v>
      </c>
      <c r="T42" t="s">
        <v>215</v>
      </c>
      <c r="U42">
        <v>1</v>
      </c>
      <c r="V42">
        <v>5.99</v>
      </c>
      <c r="W42">
        <v>7.07</v>
      </c>
      <c r="X42">
        <v>0</v>
      </c>
      <c r="Y42">
        <v>5.99</v>
      </c>
      <c r="Z42">
        <v>18</v>
      </c>
      <c r="AA42">
        <v>1.08</v>
      </c>
      <c r="AB42">
        <v>7.07</v>
      </c>
      <c r="AC42">
        <v>1</v>
      </c>
      <c r="AD42">
        <v>1</v>
      </c>
      <c r="AE42" t="s">
        <v>232</v>
      </c>
      <c r="AF42" t="s">
        <v>29</v>
      </c>
      <c r="AG42">
        <v>2</v>
      </c>
      <c r="AH42" t="s">
        <v>25</v>
      </c>
      <c r="AI42">
        <v>1106</v>
      </c>
      <c r="AJ42" t="s">
        <v>239</v>
      </c>
      <c r="AK42" t="s">
        <v>1237</v>
      </c>
      <c r="AL42"/>
      <c r="AM42"/>
      <c r="AN42"/>
      <c r="AO42"/>
      <c r="AP42">
        <v>418</v>
      </c>
      <c r="AQ42" t="s">
        <v>1318</v>
      </c>
      <c r="AR42" t="s">
        <v>1295</v>
      </c>
      <c r="AS42" t="str">
        <f>+CONCATENATE(A42,"-",B42)</f>
        <v>BB01-676</v>
      </c>
    </row>
    <row r="43" spans="1:45" ht="15" customHeight="1">
      <c r="A43" t="s">
        <v>1216</v>
      </c>
      <c r="B43" s="21" t="s">
        <v>184</v>
      </c>
      <c r="C43" t="s">
        <v>27</v>
      </c>
      <c r="D43" s="8">
        <v>45945</v>
      </c>
      <c r="E43" s="22">
        <v>45964.751898148148</v>
      </c>
      <c r="F43" t="s">
        <v>316</v>
      </c>
      <c r="H43">
        <v>6</v>
      </c>
      <c r="I43">
        <v>20610320261</v>
      </c>
      <c r="J43" t="s">
        <v>1865</v>
      </c>
      <c r="K43" s="8">
        <v>45945</v>
      </c>
      <c r="Q43">
        <v>31181</v>
      </c>
      <c r="R43">
        <v>2317</v>
      </c>
      <c r="S43" t="s">
        <v>1248</v>
      </c>
      <c r="T43" t="s">
        <v>163</v>
      </c>
      <c r="U43">
        <v>1</v>
      </c>
      <c r="V43">
        <v>6</v>
      </c>
      <c r="W43">
        <v>7.08</v>
      </c>
      <c r="X43">
        <v>0</v>
      </c>
      <c r="Y43">
        <v>6</v>
      </c>
      <c r="Z43">
        <v>18</v>
      </c>
      <c r="AA43">
        <v>1.08</v>
      </c>
      <c r="AB43">
        <v>7.08</v>
      </c>
      <c r="AC43">
        <v>1</v>
      </c>
      <c r="AD43">
        <v>1</v>
      </c>
      <c r="AE43" t="s">
        <v>1411</v>
      </c>
      <c r="AF43" t="s">
        <v>1412</v>
      </c>
      <c r="AG43">
        <v>2</v>
      </c>
      <c r="AH43" t="s">
        <v>25</v>
      </c>
      <c r="AI43">
        <v>1106</v>
      </c>
      <c r="AJ43" t="s">
        <v>239</v>
      </c>
      <c r="AK43" t="s">
        <v>169</v>
      </c>
      <c r="AL43">
        <v>2898</v>
      </c>
      <c r="AM43" t="s">
        <v>323</v>
      </c>
      <c r="AN43" s="8">
        <v>45934</v>
      </c>
      <c r="AO43" s="8">
        <v>45934</v>
      </c>
      <c r="AP43">
        <v>5586</v>
      </c>
      <c r="AQ43" t="s">
        <v>316</v>
      </c>
      <c r="AR43" t="s">
        <v>12</v>
      </c>
      <c r="AS43" t="str">
        <f>+CONCATENATE(A43,"-",B43)</f>
        <v>(01) Factura FOF1-00000028</v>
      </c>
    </row>
    <row r="44" spans="1:45" ht="15" customHeight="1">
      <c r="A44" t="s">
        <v>1214</v>
      </c>
      <c r="B44" s="21" t="s">
        <v>210</v>
      </c>
      <c r="C44" t="s">
        <v>27</v>
      </c>
      <c r="D44" s="8">
        <v>45945</v>
      </c>
      <c r="E44" s="22">
        <v>45964.749178240738</v>
      </c>
      <c r="F44" t="s">
        <v>287</v>
      </c>
      <c r="H44">
        <v>1</v>
      </c>
      <c r="I44">
        <v>46168918</v>
      </c>
      <c r="J44" t="s">
        <v>1869</v>
      </c>
      <c r="K44" s="8">
        <v>45945</v>
      </c>
      <c r="Q44">
        <v>31169</v>
      </c>
      <c r="R44">
        <v>2317</v>
      </c>
      <c r="S44" t="s">
        <v>1248</v>
      </c>
      <c r="T44" t="s">
        <v>163</v>
      </c>
      <c r="U44">
        <v>1</v>
      </c>
      <c r="V44">
        <v>6</v>
      </c>
      <c r="W44">
        <v>7.08</v>
      </c>
      <c r="X44">
        <v>0</v>
      </c>
      <c r="Y44">
        <v>6</v>
      </c>
      <c r="Z44">
        <v>18</v>
      </c>
      <c r="AA44">
        <v>1.08</v>
      </c>
      <c r="AB44">
        <v>7.08</v>
      </c>
      <c r="AC44">
        <v>1</v>
      </c>
      <c r="AD44">
        <v>1</v>
      </c>
      <c r="AE44" t="s">
        <v>1411</v>
      </c>
      <c r="AF44" t="s">
        <v>1412</v>
      </c>
      <c r="AG44">
        <v>2</v>
      </c>
      <c r="AH44" t="s">
        <v>25</v>
      </c>
      <c r="AI44">
        <v>1106</v>
      </c>
      <c r="AJ44" t="s">
        <v>239</v>
      </c>
      <c r="AK44" t="s">
        <v>169</v>
      </c>
      <c r="AL44">
        <v>2953</v>
      </c>
      <c r="AM44" t="s">
        <v>1226</v>
      </c>
      <c r="AN44" s="8">
        <v>45934</v>
      </c>
      <c r="AO44" s="8">
        <v>45934</v>
      </c>
      <c r="AP44">
        <v>5592</v>
      </c>
      <c r="AQ44" t="s">
        <v>287</v>
      </c>
      <c r="AR44" t="s">
        <v>1295</v>
      </c>
      <c r="AS44" t="str">
        <f>+CONCATENATE(A44,"-",B44)</f>
        <v>(03) Boleta BOB1-00000017</v>
      </c>
    </row>
    <row r="45" spans="1:45" s="25" customFormat="1" ht="15" customHeight="1">
      <c r="A45" t="s">
        <v>216</v>
      </c>
      <c r="B45">
        <v>1223</v>
      </c>
      <c r="C45" t="s">
        <v>27</v>
      </c>
      <c r="D45" s="8">
        <v>45665</v>
      </c>
      <c r="E45" s="22">
        <v>45964</v>
      </c>
      <c r="F45" t="s">
        <v>1022</v>
      </c>
      <c r="G45"/>
      <c r="H45">
        <v>6</v>
      </c>
      <c r="I45">
        <v>20611545399</v>
      </c>
      <c r="J45" t="s">
        <v>2160</v>
      </c>
      <c r="K45" s="8">
        <v>45665</v>
      </c>
      <c r="L45"/>
      <c r="M45"/>
      <c r="N45"/>
      <c r="O45"/>
      <c r="P45"/>
      <c r="Q45">
        <v>17226</v>
      </c>
      <c r="R45">
        <v>870</v>
      </c>
      <c r="S45" t="s">
        <v>1299</v>
      </c>
      <c r="T45" t="s">
        <v>215</v>
      </c>
      <c r="U45">
        <v>1</v>
      </c>
      <c r="V45">
        <v>6</v>
      </c>
      <c r="W45">
        <v>7.08</v>
      </c>
      <c r="X45">
        <v>0</v>
      </c>
      <c r="Y45">
        <v>6</v>
      </c>
      <c r="Z45">
        <v>18</v>
      </c>
      <c r="AA45">
        <v>1.08</v>
      </c>
      <c r="AB45">
        <v>7.08</v>
      </c>
      <c r="AC45">
        <v>1</v>
      </c>
      <c r="AD45">
        <v>1</v>
      </c>
      <c r="AE45" t="s">
        <v>232</v>
      </c>
      <c r="AF45" t="s">
        <v>29</v>
      </c>
      <c r="AG45">
        <v>2</v>
      </c>
      <c r="AH45" t="s">
        <v>25</v>
      </c>
      <c r="AI45">
        <v>1106</v>
      </c>
      <c r="AJ45" t="s">
        <v>239</v>
      </c>
      <c r="AK45" t="s">
        <v>1237</v>
      </c>
      <c r="AL45"/>
      <c r="AM45"/>
      <c r="AN45"/>
      <c r="AO45"/>
      <c r="AP45">
        <v>1126</v>
      </c>
      <c r="AQ45" t="s">
        <v>1022</v>
      </c>
      <c r="AR45" t="s">
        <v>12</v>
      </c>
      <c r="AS45" t="str">
        <f>+CONCATENATE(A45,"-",B45)</f>
        <v>FB01-1223</v>
      </c>
    </row>
    <row r="46" spans="1:45" s="25" customFormat="1" ht="15" customHeight="1">
      <c r="A46" t="s">
        <v>1214</v>
      </c>
      <c r="B46" s="21" t="s">
        <v>1683</v>
      </c>
      <c r="C46" t="s">
        <v>27</v>
      </c>
      <c r="D46" s="8">
        <v>45959</v>
      </c>
      <c r="E46" s="22">
        <v>45964.706273148149</v>
      </c>
      <c r="F46" t="s">
        <v>2474</v>
      </c>
      <c r="G46"/>
      <c r="H46">
        <v>1</v>
      </c>
      <c r="I46">
        <v>72172923</v>
      </c>
      <c r="J46" t="s">
        <v>2649</v>
      </c>
      <c r="K46" s="8">
        <v>45959</v>
      </c>
      <c r="L46"/>
      <c r="M46"/>
      <c r="N46"/>
      <c r="O46"/>
      <c r="P46"/>
      <c r="Q46">
        <v>32977</v>
      </c>
      <c r="R46">
        <v>1786</v>
      </c>
      <c r="S46" t="s">
        <v>1299</v>
      </c>
      <c r="T46" t="s">
        <v>163</v>
      </c>
      <c r="U46">
        <v>1</v>
      </c>
      <c r="V46">
        <v>6.19</v>
      </c>
      <c r="W46">
        <v>7.3</v>
      </c>
      <c r="X46">
        <v>0</v>
      </c>
      <c r="Y46">
        <v>6.19</v>
      </c>
      <c r="Z46">
        <v>18</v>
      </c>
      <c r="AA46">
        <v>1.1100000000000001</v>
      </c>
      <c r="AB46">
        <v>7.3</v>
      </c>
      <c r="AC46">
        <v>1</v>
      </c>
      <c r="AD46">
        <v>1</v>
      </c>
      <c r="AE46" t="s">
        <v>1411</v>
      </c>
      <c r="AF46" t="s">
        <v>1412</v>
      </c>
      <c r="AG46">
        <v>2</v>
      </c>
      <c r="AH46" t="s">
        <v>25</v>
      </c>
      <c r="AI46">
        <v>6937</v>
      </c>
      <c r="AJ46" t="s">
        <v>1414</v>
      </c>
      <c r="AK46" t="s">
        <v>1251</v>
      </c>
      <c r="AL46">
        <v>3195</v>
      </c>
      <c r="AM46" t="s">
        <v>2475</v>
      </c>
      <c r="AN46" s="8">
        <v>45954</v>
      </c>
      <c r="AO46" s="8">
        <v>45954</v>
      </c>
      <c r="AP46">
        <v>5210</v>
      </c>
      <c r="AQ46" t="s">
        <v>2474</v>
      </c>
      <c r="AR46" t="s">
        <v>1295</v>
      </c>
      <c r="AS46" t="str">
        <f>+CONCATENATE(A46,"-",B46)</f>
        <v>(03) Boleta BOB1-00000117</v>
      </c>
    </row>
    <row r="47" spans="1:45" ht="15" customHeight="1">
      <c r="A47" t="s">
        <v>216</v>
      </c>
      <c r="B47">
        <v>1322</v>
      </c>
      <c r="C47" t="s">
        <v>27</v>
      </c>
      <c r="D47" s="8">
        <v>45685</v>
      </c>
      <c r="E47" s="22">
        <v>45964</v>
      </c>
      <c r="F47" t="s">
        <v>490</v>
      </c>
      <c r="H47">
        <v>6</v>
      </c>
      <c r="I47">
        <v>20611587741</v>
      </c>
      <c r="J47" t="s">
        <v>2759</v>
      </c>
      <c r="K47" s="8">
        <v>45685</v>
      </c>
      <c r="Q47">
        <v>18635</v>
      </c>
      <c r="R47">
        <v>870</v>
      </c>
      <c r="S47" t="s">
        <v>1299</v>
      </c>
      <c r="T47" t="s">
        <v>215</v>
      </c>
      <c r="U47">
        <v>1</v>
      </c>
      <c r="V47">
        <v>6.36</v>
      </c>
      <c r="W47">
        <v>7.5</v>
      </c>
      <c r="X47">
        <v>0</v>
      </c>
      <c r="Y47">
        <v>6.36</v>
      </c>
      <c r="Z47">
        <v>18</v>
      </c>
      <c r="AA47">
        <v>1.1399999999999999</v>
      </c>
      <c r="AB47">
        <v>7.5</v>
      </c>
      <c r="AC47">
        <v>1</v>
      </c>
      <c r="AD47">
        <v>1</v>
      </c>
      <c r="AE47" t="s">
        <v>232</v>
      </c>
      <c r="AF47" t="s">
        <v>29</v>
      </c>
      <c r="AG47">
        <v>2</v>
      </c>
      <c r="AH47" t="s">
        <v>25</v>
      </c>
      <c r="AI47">
        <v>1106</v>
      </c>
      <c r="AJ47" t="s">
        <v>239</v>
      </c>
      <c r="AK47" t="s">
        <v>1237</v>
      </c>
      <c r="AP47">
        <v>1130</v>
      </c>
      <c r="AQ47" t="s">
        <v>490</v>
      </c>
      <c r="AR47" t="s">
        <v>12</v>
      </c>
      <c r="AS47" t="str">
        <f>+CONCATENATE(A47,"-",B47)</f>
        <v>FB01-1322</v>
      </c>
    </row>
    <row r="48" spans="1:45" ht="15" customHeight="1">
      <c r="A48" t="s">
        <v>1214</v>
      </c>
      <c r="B48" s="21" t="s">
        <v>1633</v>
      </c>
      <c r="C48" t="s">
        <v>27</v>
      </c>
      <c r="D48" s="8">
        <v>45959</v>
      </c>
      <c r="E48" s="22">
        <v>45964.713842592595</v>
      </c>
      <c r="F48" t="s">
        <v>2470</v>
      </c>
      <c r="H48">
        <v>1</v>
      </c>
      <c r="I48">
        <v>73829192</v>
      </c>
      <c r="J48" t="s">
        <v>2640</v>
      </c>
      <c r="K48" s="8">
        <v>45959</v>
      </c>
      <c r="Q48">
        <v>33008</v>
      </c>
      <c r="R48">
        <v>2274</v>
      </c>
      <c r="S48" t="s">
        <v>1255</v>
      </c>
      <c r="T48" t="s">
        <v>215</v>
      </c>
      <c r="U48">
        <v>1</v>
      </c>
      <c r="V48">
        <v>6.5</v>
      </c>
      <c r="W48">
        <v>7.67</v>
      </c>
      <c r="X48">
        <v>0</v>
      </c>
      <c r="Y48">
        <v>6.5</v>
      </c>
      <c r="Z48">
        <v>18</v>
      </c>
      <c r="AA48">
        <v>1.17</v>
      </c>
      <c r="AB48">
        <v>7.67</v>
      </c>
      <c r="AC48">
        <v>1</v>
      </c>
      <c r="AD48">
        <v>1</v>
      </c>
      <c r="AE48" t="s">
        <v>1411</v>
      </c>
      <c r="AF48" t="s">
        <v>1412</v>
      </c>
      <c r="AG48">
        <v>2</v>
      </c>
      <c r="AH48" t="s">
        <v>25</v>
      </c>
      <c r="AI48">
        <v>6937</v>
      </c>
      <c r="AJ48" t="s">
        <v>1414</v>
      </c>
      <c r="AK48" t="s">
        <v>1433</v>
      </c>
      <c r="AL48">
        <v>3215</v>
      </c>
      <c r="AM48" t="s">
        <v>2471</v>
      </c>
      <c r="AN48" s="8">
        <v>45950</v>
      </c>
      <c r="AO48" s="8">
        <v>45950</v>
      </c>
      <c r="AP48">
        <v>5553</v>
      </c>
      <c r="AQ48" t="s">
        <v>2470</v>
      </c>
      <c r="AR48" t="s">
        <v>1295</v>
      </c>
      <c r="AS48" t="str">
        <f>+CONCATENATE(A48,"-",B48)</f>
        <v>(03) Boleta BOB1-00000126</v>
      </c>
    </row>
    <row r="49" spans="1:45" ht="15" customHeight="1">
      <c r="A49" t="s">
        <v>216</v>
      </c>
      <c r="B49">
        <v>1410</v>
      </c>
      <c r="C49" t="s">
        <v>27</v>
      </c>
      <c r="D49" s="8">
        <v>45693</v>
      </c>
      <c r="E49" s="22">
        <v>45964</v>
      </c>
      <c r="F49" t="s">
        <v>406</v>
      </c>
      <c r="H49">
        <v>6</v>
      </c>
      <c r="I49">
        <v>20611129212</v>
      </c>
      <c r="J49" t="s">
        <v>2738</v>
      </c>
      <c r="K49" s="8">
        <v>45693</v>
      </c>
      <c r="Q49">
        <v>18757</v>
      </c>
      <c r="R49">
        <v>877</v>
      </c>
      <c r="S49" t="s">
        <v>1300</v>
      </c>
      <c r="T49" t="s">
        <v>215</v>
      </c>
      <c r="U49">
        <v>1</v>
      </c>
      <c r="V49">
        <v>6.95</v>
      </c>
      <c r="W49">
        <v>8.1999999999999993</v>
      </c>
      <c r="X49">
        <v>0</v>
      </c>
      <c r="Y49">
        <v>6.95</v>
      </c>
      <c r="Z49">
        <v>18</v>
      </c>
      <c r="AA49">
        <v>1.25</v>
      </c>
      <c r="AB49">
        <v>8.1999999999999993</v>
      </c>
      <c r="AC49">
        <v>1</v>
      </c>
      <c r="AD49">
        <v>1</v>
      </c>
      <c r="AE49" t="s">
        <v>232</v>
      </c>
      <c r="AF49" t="s">
        <v>29</v>
      </c>
      <c r="AG49">
        <v>2</v>
      </c>
      <c r="AH49" t="s">
        <v>25</v>
      </c>
      <c r="AI49">
        <v>1106</v>
      </c>
      <c r="AJ49" t="s">
        <v>239</v>
      </c>
      <c r="AK49" t="s">
        <v>1237</v>
      </c>
      <c r="AP49">
        <v>1147</v>
      </c>
      <c r="AQ49" t="s">
        <v>406</v>
      </c>
      <c r="AR49" t="s">
        <v>12</v>
      </c>
      <c r="AS49" t="str">
        <f>+CONCATENATE(A49,"-",B49)</f>
        <v>FB01-1410</v>
      </c>
    </row>
    <row r="50" spans="1:45" ht="15" customHeight="1">
      <c r="A50" t="s">
        <v>1214</v>
      </c>
      <c r="B50" s="21" t="s">
        <v>176</v>
      </c>
      <c r="C50" t="s">
        <v>27</v>
      </c>
      <c r="D50" s="8">
        <v>45946</v>
      </c>
      <c r="E50" s="22">
        <v>45964.749039351853</v>
      </c>
      <c r="F50" t="s">
        <v>1636</v>
      </c>
      <c r="H50">
        <v>1</v>
      </c>
      <c r="I50">
        <v>48505208</v>
      </c>
      <c r="J50" t="s">
        <v>2715</v>
      </c>
      <c r="K50" s="8">
        <v>45946</v>
      </c>
      <c r="Q50">
        <v>31352</v>
      </c>
      <c r="R50">
        <v>1786</v>
      </c>
      <c r="S50" t="s">
        <v>1299</v>
      </c>
      <c r="T50" t="s">
        <v>163</v>
      </c>
      <c r="U50">
        <v>1</v>
      </c>
      <c r="V50">
        <v>7.46</v>
      </c>
      <c r="W50">
        <v>8.8000000000000007</v>
      </c>
      <c r="X50">
        <v>0</v>
      </c>
      <c r="Y50">
        <v>7.46</v>
      </c>
      <c r="Z50">
        <v>18</v>
      </c>
      <c r="AA50">
        <v>1.34</v>
      </c>
      <c r="AB50">
        <v>8.8000000000000007</v>
      </c>
      <c r="AC50">
        <v>1</v>
      </c>
      <c r="AD50">
        <v>1</v>
      </c>
      <c r="AE50" t="s">
        <v>1411</v>
      </c>
      <c r="AF50" t="s">
        <v>1412</v>
      </c>
      <c r="AG50">
        <v>2</v>
      </c>
      <c r="AH50" t="s">
        <v>25</v>
      </c>
      <c r="AI50">
        <v>6937</v>
      </c>
      <c r="AJ50" t="s">
        <v>1414</v>
      </c>
      <c r="AK50" t="s">
        <v>1251</v>
      </c>
      <c r="AL50">
        <v>3070</v>
      </c>
      <c r="AM50" t="s">
        <v>1659</v>
      </c>
      <c r="AN50" s="8">
        <v>45926</v>
      </c>
      <c r="AO50" s="8">
        <v>45926</v>
      </c>
      <c r="AP50">
        <v>5080</v>
      </c>
      <c r="AQ50" t="s">
        <v>1636</v>
      </c>
      <c r="AR50" t="s">
        <v>1295</v>
      </c>
      <c r="AS50" t="str">
        <f>+CONCATENATE(A50,"-",B50)</f>
        <v>(03) Boleta BOB1-00000039</v>
      </c>
    </row>
    <row r="51" spans="1:45" ht="15" customHeight="1">
      <c r="A51" t="s">
        <v>1216</v>
      </c>
      <c r="B51" s="21" t="s">
        <v>1466</v>
      </c>
      <c r="C51" t="s">
        <v>27</v>
      </c>
      <c r="D51" s="8">
        <v>45954</v>
      </c>
      <c r="E51" s="22">
        <v>45964.602523148147</v>
      </c>
      <c r="F51" t="s">
        <v>1454</v>
      </c>
      <c r="H51">
        <v>6</v>
      </c>
      <c r="I51">
        <v>20608574663</v>
      </c>
      <c r="J51" t="s">
        <v>1467</v>
      </c>
      <c r="K51" s="8">
        <v>45954</v>
      </c>
      <c r="Q51">
        <v>32569</v>
      </c>
      <c r="R51">
        <v>1916</v>
      </c>
      <c r="S51" t="s">
        <v>1301</v>
      </c>
      <c r="T51" t="s">
        <v>163</v>
      </c>
      <c r="U51">
        <v>1</v>
      </c>
      <c r="V51">
        <v>7.5</v>
      </c>
      <c r="W51">
        <v>8.85</v>
      </c>
      <c r="X51">
        <v>0</v>
      </c>
      <c r="Y51">
        <v>7.5</v>
      </c>
      <c r="Z51">
        <v>18</v>
      </c>
      <c r="AA51">
        <v>1.35</v>
      </c>
      <c r="AB51">
        <v>8.85</v>
      </c>
      <c r="AC51">
        <v>1</v>
      </c>
      <c r="AD51">
        <v>1</v>
      </c>
      <c r="AE51" t="s">
        <v>1411</v>
      </c>
      <c r="AF51" t="s">
        <v>1412</v>
      </c>
      <c r="AG51">
        <v>2</v>
      </c>
      <c r="AH51" t="s">
        <v>25</v>
      </c>
      <c r="AI51">
        <v>6959</v>
      </c>
      <c r="AJ51" t="s">
        <v>1401</v>
      </c>
      <c r="AK51" t="s">
        <v>1468</v>
      </c>
      <c r="AL51">
        <v>3079</v>
      </c>
      <c r="AM51" t="s">
        <v>1456</v>
      </c>
      <c r="AN51" s="8">
        <v>45921</v>
      </c>
      <c r="AO51" s="8">
        <v>45921</v>
      </c>
      <c r="AP51">
        <v>5597</v>
      </c>
      <c r="AQ51" t="s">
        <v>1457</v>
      </c>
      <c r="AR51" t="s">
        <v>12</v>
      </c>
      <c r="AS51" t="str">
        <f>+CONCATENATE(A51,"-",B51)</f>
        <v>(01) Factura FOF1-00000177</v>
      </c>
    </row>
    <row r="52" spans="1:45" ht="15" customHeight="1">
      <c r="A52" t="s">
        <v>1216</v>
      </c>
      <c r="B52" s="21" t="s">
        <v>1469</v>
      </c>
      <c r="C52" t="s">
        <v>27</v>
      </c>
      <c r="D52" s="8">
        <v>45954</v>
      </c>
      <c r="E52" s="22">
        <v>45964.602222222224</v>
      </c>
      <c r="F52" t="s">
        <v>1454</v>
      </c>
      <c r="H52">
        <v>6</v>
      </c>
      <c r="I52">
        <v>20608574663</v>
      </c>
      <c r="J52" t="s">
        <v>1470</v>
      </c>
      <c r="K52" s="8">
        <v>45954</v>
      </c>
      <c r="Q52">
        <v>32566</v>
      </c>
      <c r="R52">
        <v>2342</v>
      </c>
      <c r="S52" t="s">
        <v>1399</v>
      </c>
      <c r="T52" t="s">
        <v>163</v>
      </c>
      <c r="U52">
        <v>1</v>
      </c>
      <c r="V52">
        <v>7.5</v>
      </c>
      <c r="W52">
        <v>8.85</v>
      </c>
      <c r="X52">
        <v>0</v>
      </c>
      <c r="Y52">
        <v>7.5</v>
      </c>
      <c r="Z52">
        <v>18</v>
      </c>
      <c r="AA52">
        <v>1.35</v>
      </c>
      <c r="AB52">
        <v>8.85</v>
      </c>
      <c r="AC52">
        <v>1</v>
      </c>
      <c r="AD52">
        <v>1</v>
      </c>
      <c r="AE52" t="s">
        <v>1411</v>
      </c>
      <c r="AF52" t="s">
        <v>1412</v>
      </c>
      <c r="AG52">
        <v>2</v>
      </c>
      <c r="AH52" t="s">
        <v>25</v>
      </c>
      <c r="AI52">
        <v>6959</v>
      </c>
      <c r="AJ52" t="s">
        <v>1401</v>
      </c>
      <c r="AK52" t="s">
        <v>169</v>
      </c>
      <c r="AL52">
        <v>3079</v>
      </c>
      <c r="AM52" t="s">
        <v>1456</v>
      </c>
      <c r="AN52" s="8">
        <v>45921</v>
      </c>
      <c r="AO52" s="8">
        <v>45921</v>
      </c>
      <c r="AP52">
        <v>5597</v>
      </c>
      <c r="AQ52" t="s">
        <v>1457</v>
      </c>
      <c r="AR52" t="s">
        <v>12</v>
      </c>
      <c r="AS52" t="str">
        <f>+CONCATENATE(A52,"-",B52)</f>
        <v>(01) Factura FOF1-00000176</v>
      </c>
    </row>
    <row r="53" spans="1:45" ht="15" customHeight="1">
      <c r="A53" t="s">
        <v>1216</v>
      </c>
      <c r="B53" s="21" t="s">
        <v>1715</v>
      </c>
      <c r="C53" t="s">
        <v>27</v>
      </c>
      <c r="D53" s="8">
        <v>45946</v>
      </c>
      <c r="E53" s="22">
        <v>45964.83489583333</v>
      </c>
      <c r="F53" t="s">
        <v>415</v>
      </c>
      <c r="H53">
        <v>6</v>
      </c>
      <c r="I53">
        <v>20611890746</v>
      </c>
      <c r="J53" t="s">
        <v>1716</v>
      </c>
      <c r="K53" s="8">
        <v>45946</v>
      </c>
      <c r="Q53">
        <v>31551</v>
      </c>
      <c r="R53">
        <v>2274</v>
      </c>
      <c r="S53" t="s">
        <v>1255</v>
      </c>
      <c r="T53" t="s">
        <v>215</v>
      </c>
      <c r="U53">
        <v>1</v>
      </c>
      <c r="V53">
        <v>7.5</v>
      </c>
      <c r="W53">
        <v>8.85</v>
      </c>
      <c r="X53">
        <v>0</v>
      </c>
      <c r="Y53">
        <v>7.5</v>
      </c>
      <c r="Z53">
        <v>18</v>
      </c>
      <c r="AA53">
        <v>1.35</v>
      </c>
      <c r="AB53">
        <v>8.85</v>
      </c>
      <c r="AC53">
        <v>1</v>
      </c>
      <c r="AD53">
        <v>1</v>
      </c>
      <c r="AE53" t="s">
        <v>1411</v>
      </c>
      <c r="AF53" t="s">
        <v>1412</v>
      </c>
      <c r="AG53">
        <v>2</v>
      </c>
      <c r="AH53" t="s">
        <v>25</v>
      </c>
      <c r="AI53">
        <v>6937</v>
      </c>
      <c r="AJ53" t="s">
        <v>1414</v>
      </c>
      <c r="AK53" t="s">
        <v>1433</v>
      </c>
      <c r="AL53">
        <v>3134</v>
      </c>
      <c r="AM53" t="s">
        <v>1712</v>
      </c>
      <c r="AN53" s="8">
        <v>45935</v>
      </c>
      <c r="AO53" s="8">
        <v>45935</v>
      </c>
      <c r="AP53">
        <v>390</v>
      </c>
      <c r="AQ53" t="s">
        <v>1321</v>
      </c>
      <c r="AR53" t="s">
        <v>12</v>
      </c>
      <c r="AS53" t="str">
        <f>+CONCATENATE(A53,"-",B53)</f>
        <v>(01) Factura FOF1-00000113</v>
      </c>
    </row>
    <row r="54" spans="1:45" ht="15" customHeight="1">
      <c r="A54" t="s">
        <v>1216</v>
      </c>
      <c r="B54" s="21" t="s">
        <v>1725</v>
      </c>
      <c r="C54" t="s">
        <v>27</v>
      </c>
      <c r="D54" s="8">
        <v>45946</v>
      </c>
      <c r="E54" s="22">
        <v>45964.831956018519</v>
      </c>
      <c r="F54" t="s">
        <v>1321</v>
      </c>
      <c r="G54" t="s">
        <v>158</v>
      </c>
      <c r="H54">
        <v>6</v>
      </c>
      <c r="I54">
        <v>20296011356</v>
      </c>
      <c r="J54" t="s">
        <v>1726</v>
      </c>
      <c r="K54" s="8">
        <v>45946</v>
      </c>
      <c r="Q54">
        <v>31536</v>
      </c>
      <c r="R54">
        <v>2274</v>
      </c>
      <c r="S54" t="s">
        <v>1255</v>
      </c>
      <c r="T54" t="s">
        <v>215</v>
      </c>
      <c r="U54">
        <v>1</v>
      </c>
      <c r="V54">
        <v>7.5</v>
      </c>
      <c r="W54">
        <v>8.85</v>
      </c>
      <c r="X54">
        <v>0</v>
      </c>
      <c r="Y54">
        <v>7.5</v>
      </c>
      <c r="Z54">
        <v>18</v>
      </c>
      <c r="AA54">
        <v>1.35</v>
      </c>
      <c r="AB54">
        <v>8.85</v>
      </c>
      <c r="AC54">
        <v>1</v>
      </c>
      <c r="AD54">
        <v>1</v>
      </c>
      <c r="AE54" t="s">
        <v>1411</v>
      </c>
      <c r="AF54" t="s">
        <v>1412</v>
      </c>
      <c r="AG54">
        <v>2</v>
      </c>
      <c r="AH54" t="s">
        <v>25</v>
      </c>
      <c r="AI54">
        <v>6937</v>
      </c>
      <c r="AJ54" t="s">
        <v>1414</v>
      </c>
      <c r="AK54" t="s">
        <v>1433</v>
      </c>
      <c r="AL54">
        <v>3134</v>
      </c>
      <c r="AM54" t="s">
        <v>1712</v>
      </c>
      <c r="AN54" s="8">
        <v>45935</v>
      </c>
      <c r="AO54" s="8">
        <v>45935</v>
      </c>
      <c r="AP54">
        <v>390</v>
      </c>
      <c r="AQ54" t="s">
        <v>1321</v>
      </c>
      <c r="AR54" t="s">
        <v>12</v>
      </c>
      <c r="AS54" t="str">
        <f>+CONCATENATE(A54,"-",B54)</f>
        <v>(01) Factura FOF1-00000108</v>
      </c>
    </row>
    <row r="55" spans="1:45" ht="15" customHeight="1">
      <c r="A55" t="s">
        <v>1216</v>
      </c>
      <c r="B55" s="21" t="s">
        <v>206</v>
      </c>
      <c r="C55" t="s">
        <v>27</v>
      </c>
      <c r="D55" s="8">
        <v>45945</v>
      </c>
      <c r="E55" s="22">
        <v>45964.75403935185</v>
      </c>
      <c r="F55" t="s">
        <v>316</v>
      </c>
      <c r="H55">
        <v>6</v>
      </c>
      <c r="I55">
        <v>20610320261</v>
      </c>
      <c r="J55" t="s">
        <v>1862</v>
      </c>
      <c r="K55" s="8">
        <v>45945</v>
      </c>
      <c r="Q55">
        <v>31190</v>
      </c>
      <c r="R55">
        <v>2317</v>
      </c>
      <c r="S55" t="s">
        <v>1248</v>
      </c>
      <c r="T55" t="s">
        <v>163</v>
      </c>
      <c r="U55">
        <v>1</v>
      </c>
      <c r="V55">
        <v>7.5</v>
      </c>
      <c r="W55">
        <v>8.85</v>
      </c>
      <c r="X55">
        <v>0</v>
      </c>
      <c r="Y55">
        <v>7.5</v>
      </c>
      <c r="Z55">
        <v>18</v>
      </c>
      <c r="AA55">
        <v>1.35</v>
      </c>
      <c r="AB55">
        <v>8.85</v>
      </c>
      <c r="AC55">
        <v>1</v>
      </c>
      <c r="AD55">
        <v>1</v>
      </c>
      <c r="AE55" t="s">
        <v>1411</v>
      </c>
      <c r="AF55" t="s">
        <v>1412</v>
      </c>
      <c r="AG55">
        <v>2</v>
      </c>
      <c r="AH55" t="s">
        <v>25</v>
      </c>
      <c r="AI55">
        <v>1106</v>
      </c>
      <c r="AJ55" t="s">
        <v>239</v>
      </c>
      <c r="AK55" t="s">
        <v>169</v>
      </c>
      <c r="AL55">
        <v>2899</v>
      </c>
      <c r="AM55" t="s">
        <v>319</v>
      </c>
      <c r="AN55" s="8">
        <v>45933</v>
      </c>
      <c r="AO55" s="8">
        <v>45933</v>
      </c>
      <c r="AP55">
        <v>5586</v>
      </c>
      <c r="AQ55" t="s">
        <v>316</v>
      </c>
      <c r="AR55" t="s">
        <v>12</v>
      </c>
      <c r="AS55" t="str">
        <f>+CONCATENATE(A55,"-",B55)</f>
        <v>(01) Factura FOF1-00000031</v>
      </c>
    </row>
    <row r="56" spans="1:45" ht="15" customHeight="1">
      <c r="A56" t="s">
        <v>216</v>
      </c>
      <c r="B56">
        <v>1262</v>
      </c>
      <c r="C56" t="s">
        <v>27</v>
      </c>
      <c r="D56" s="8">
        <v>45672</v>
      </c>
      <c r="E56" s="22">
        <v>45964</v>
      </c>
      <c r="F56" t="s">
        <v>1325</v>
      </c>
      <c r="H56">
        <v>6</v>
      </c>
      <c r="I56">
        <v>20516587874</v>
      </c>
      <c r="J56" t="s">
        <v>2119</v>
      </c>
      <c r="K56" s="8">
        <v>45672</v>
      </c>
      <c r="Q56">
        <v>17771</v>
      </c>
      <c r="R56">
        <v>874</v>
      </c>
      <c r="S56" t="s">
        <v>1248</v>
      </c>
      <c r="T56" t="s">
        <v>215</v>
      </c>
      <c r="U56">
        <v>1</v>
      </c>
      <c r="V56">
        <v>7.5</v>
      </c>
      <c r="W56">
        <v>8.85</v>
      </c>
      <c r="X56">
        <v>0</v>
      </c>
      <c r="Y56">
        <v>7.5</v>
      </c>
      <c r="Z56">
        <v>18</v>
      </c>
      <c r="AA56">
        <v>1.35</v>
      </c>
      <c r="AB56">
        <v>8.85</v>
      </c>
      <c r="AC56">
        <v>1</v>
      </c>
      <c r="AD56">
        <v>1</v>
      </c>
      <c r="AE56" t="s">
        <v>232</v>
      </c>
      <c r="AF56" t="s">
        <v>29</v>
      </c>
      <c r="AG56">
        <v>2</v>
      </c>
      <c r="AH56" t="s">
        <v>25</v>
      </c>
      <c r="AI56">
        <v>1106</v>
      </c>
      <c r="AJ56" t="s">
        <v>239</v>
      </c>
      <c r="AK56" t="s">
        <v>1237</v>
      </c>
      <c r="AP56">
        <v>1116</v>
      </c>
      <c r="AQ56" t="s">
        <v>1325</v>
      </c>
      <c r="AR56" t="s">
        <v>12</v>
      </c>
      <c r="AS56" t="str">
        <f>+CONCATENATE(A56,"-",B56)</f>
        <v>FB01-1262</v>
      </c>
    </row>
    <row r="57" spans="1:45" ht="15" customHeight="1">
      <c r="A57" t="s">
        <v>1238</v>
      </c>
      <c r="B57">
        <v>736</v>
      </c>
      <c r="C57" t="s">
        <v>27</v>
      </c>
      <c r="D57" s="8">
        <v>45693</v>
      </c>
      <c r="E57" s="22">
        <v>45964</v>
      </c>
      <c r="F57" t="s">
        <v>1318</v>
      </c>
      <c r="G57" t="s">
        <v>158</v>
      </c>
      <c r="H57">
        <v>1</v>
      </c>
      <c r="I57">
        <v>73241854</v>
      </c>
      <c r="J57" t="s">
        <v>2743</v>
      </c>
      <c r="K57" s="8">
        <v>45693</v>
      </c>
      <c r="Q57">
        <v>18746</v>
      </c>
      <c r="R57">
        <v>933</v>
      </c>
      <c r="S57" t="s">
        <v>1320</v>
      </c>
      <c r="T57" t="s">
        <v>215</v>
      </c>
      <c r="U57">
        <v>1</v>
      </c>
      <c r="V57">
        <v>7.98</v>
      </c>
      <c r="W57">
        <v>9.42</v>
      </c>
      <c r="X57">
        <v>0</v>
      </c>
      <c r="Y57">
        <v>7.98</v>
      </c>
      <c r="Z57">
        <v>18</v>
      </c>
      <c r="AA57">
        <v>1.44</v>
      </c>
      <c r="AB57">
        <v>9.42</v>
      </c>
      <c r="AC57">
        <v>1</v>
      </c>
      <c r="AD57">
        <v>1</v>
      </c>
      <c r="AE57" t="s">
        <v>232</v>
      </c>
      <c r="AF57" t="s">
        <v>29</v>
      </c>
      <c r="AG57">
        <v>2</v>
      </c>
      <c r="AH57" t="s">
        <v>25</v>
      </c>
      <c r="AI57">
        <v>1106</v>
      </c>
      <c r="AJ57" t="s">
        <v>239</v>
      </c>
      <c r="AK57" t="s">
        <v>1237</v>
      </c>
      <c r="AP57">
        <v>418</v>
      </c>
      <c r="AQ57" t="s">
        <v>1318</v>
      </c>
      <c r="AR57" t="s">
        <v>1295</v>
      </c>
      <c r="AS57" t="str">
        <f>+CONCATENATE(A57,"-",B57)</f>
        <v>BB01-736</v>
      </c>
    </row>
    <row r="58" spans="1:45" ht="15" customHeight="1">
      <c r="A58" t="s">
        <v>216</v>
      </c>
      <c r="B58">
        <v>1184</v>
      </c>
      <c r="C58" t="s">
        <v>27</v>
      </c>
      <c r="D58" s="8">
        <v>45663</v>
      </c>
      <c r="E58" s="22">
        <v>45964</v>
      </c>
      <c r="F58" t="s">
        <v>1126</v>
      </c>
      <c r="H58">
        <v>6</v>
      </c>
      <c r="I58">
        <v>20611183110</v>
      </c>
      <c r="J58" t="s">
        <v>2791</v>
      </c>
      <c r="K58" s="8">
        <v>45663</v>
      </c>
      <c r="Q58">
        <v>17175</v>
      </c>
      <c r="R58">
        <v>878</v>
      </c>
      <c r="S58" t="s">
        <v>1334</v>
      </c>
      <c r="T58" t="s">
        <v>215</v>
      </c>
      <c r="U58">
        <v>1</v>
      </c>
      <c r="V58">
        <v>8.14</v>
      </c>
      <c r="W58">
        <v>9.6</v>
      </c>
      <c r="X58">
        <v>0</v>
      </c>
      <c r="Y58">
        <v>8.14</v>
      </c>
      <c r="Z58">
        <v>18</v>
      </c>
      <c r="AA58">
        <v>1.46</v>
      </c>
      <c r="AB58">
        <v>9.6</v>
      </c>
      <c r="AC58">
        <v>1</v>
      </c>
      <c r="AD58">
        <v>1</v>
      </c>
      <c r="AE58" t="s">
        <v>232</v>
      </c>
      <c r="AF58" t="s">
        <v>29</v>
      </c>
      <c r="AG58">
        <v>2</v>
      </c>
      <c r="AH58" t="s">
        <v>25</v>
      </c>
      <c r="AI58">
        <v>1106</v>
      </c>
      <c r="AJ58" t="s">
        <v>239</v>
      </c>
      <c r="AK58" t="s">
        <v>1237</v>
      </c>
      <c r="AP58">
        <v>1114</v>
      </c>
      <c r="AQ58" t="s">
        <v>1126</v>
      </c>
      <c r="AR58" t="s">
        <v>12</v>
      </c>
      <c r="AS58" t="str">
        <f>+CONCATENATE(A58,"-",B58)</f>
        <v>FB01-1184</v>
      </c>
    </row>
    <row r="59" spans="1:45" ht="15" customHeight="1">
      <c r="A59" t="s">
        <v>1214</v>
      </c>
      <c r="B59" s="21" t="s">
        <v>1452</v>
      </c>
      <c r="C59" t="s">
        <v>27</v>
      </c>
      <c r="D59" s="8">
        <v>45954</v>
      </c>
      <c r="E59" s="22">
        <v>45964.619641203702</v>
      </c>
      <c r="F59" t="s">
        <v>1318</v>
      </c>
      <c r="G59" t="s">
        <v>158</v>
      </c>
      <c r="H59">
        <v>1</v>
      </c>
      <c r="I59">
        <v>73241854</v>
      </c>
      <c r="J59" t="s">
        <v>2700</v>
      </c>
      <c r="K59" s="8">
        <v>45954</v>
      </c>
      <c r="Q59">
        <v>32587</v>
      </c>
      <c r="R59">
        <v>2315</v>
      </c>
      <c r="S59" t="s">
        <v>1304</v>
      </c>
      <c r="T59" t="s">
        <v>163</v>
      </c>
      <c r="U59">
        <v>1</v>
      </c>
      <c r="V59">
        <v>8.4700000000000006</v>
      </c>
      <c r="W59">
        <v>9.99</v>
      </c>
      <c r="X59">
        <v>0</v>
      </c>
      <c r="Y59">
        <v>8.4700000000000006</v>
      </c>
      <c r="Z59">
        <v>18</v>
      </c>
      <c r="AA59">
        <v>1.52</v>
      </c>
      <c r="AB59">
        <v>9.99</v>
      </c>
      <c r="AC59">
        <v>1</v>
      </c>
      <c r="AD59">
        <v>1</v>
      </c>
      <c r="AE59" t="s">
        <v>1411</v>
      </c>
      <c r="AF59" t="s">
        <v>1412</v>
      </c>
      <c r="AG59">
        <v>2</v>
      </c>
      <c r="AH59" t="s">
        <v>25</v>
      </c>
      <c r="AI59">
        <v>6959</v>
      </c>
      <c r="AJ59" t="s">
        <v>1401</v>
      </c>
      <c r="AK59" t="s">
        <v>1243</v>
      </c>
      <c r="AL59">
        <v>3023</v>
      </c>
      <c r="AM59" t="s">
        <v>1434</v>
      </c>
      <c r="AN59" s="8">
        <v>45941</v>
      </c>
      <c r="AO59" s="8">
        <v>45941</v>
      </c>
      <c r="AP59">
        <v>418</v>
      </c>
      <c r="AQ59" t="s">
        <v>1318</v>
      </c>
      <c r="AR59" t="s">
        <v>1295</v>
      </c>
      <c r="AS59" t="str">
        <f>+CONCATENATE(A59,"-",B59)</f>
        <v>(03) Boleta BOB1-00000088</v>
      </c>
    </row>
    <row r="60" spans="1:45" ht="15" customHeight="1">
      <c r="A60" t="s">
        <v>216</v>
      </c>
      <c r="B60">
        <v>1197</v>
      </c>
      <c r="C60" t="s">
        <v>27</v>
      </c>
      <c r="D60" s="8">
        <v>45663</v>
      </c>
      <c r="E60" s="22">
        <v>45964</v>
      </c>
      <c r="F60" t="s">
        <v>1321</v>
      </c>
      <c r="G60" t="s">
        <v>158</v>
      </c>
      <c r="H60">
        <v>6</v>
      </c>
      <c r="I60">
        <v>20296011356</v>
      </c>
      <c r="J60" t="s">
        <v>2191</v>
      </c>
      <c r="K60" s="8">
        <v>45663</v>
      </c>
      <c r="Q60">
        <v>17192</v>
      </c>
      <c r="R60">
        <v>874</v>
      </c>
      <c r="S60" t="s">
        <v>1248</v>
      </c>
      <c r="T60" t="s">
        <v>215</v>
      </c>
      <c r="U60">
        <v>1</v>
      </c>
      <c r="V60">
        <v>8.5</v>
      </c>
      <c r="W60">
        <v>10.029999999999999</v>
      </c>
      <c r="X60">
        <v>0</v>
      </c>
      <c r="Y60">
        <v>8.5</v>
      </c>
      <c r="Z60">
        <v>18</v>
      </c>
      <c r="AA60">
        <v>1.53</v>
      </c>
      <c r="AB60">
        <v>10.029999999999999</v>
      </c>
      <c r="AC60">
        <v>1</v>
      </c>
      <c r="AD60">
        <v>1</v>
      </c>
      <c r="AE60" t="s">
        <v>232</v>
      </c>
      <c r="AF60" t="s">
        <v>29</v>
      </c>
      <c r="AG60">
        <v>2</v>
      </c>
      <c r="AH60" t="s">
        <v>25</v>
      </c>
      <c r="AI60">
        <v>1106</v>
      </c>
      <c r="AJ60" t="s">
        <v>239</v>
      </c>
      <c r="AK60" t="s">
        <v>1237</v>
      </c>
      <c r="AP60">
        <v>390</v>
      </c>
      <c r="AQ60" t="s">
        <v>1321</v>
      </c>
      <c r="AR60" t="s">
        <v>12</v>
      </c>
      <c r="AS60" t="str">
        <f>+CONCATENATE(A60,"-",B60)</f>
        <v>FB01-1197</v>
      </c>
    </row>
    <row r="61" spans="1:45" ht="15" customHeight="1">
      <c r="A61" t="s">
        <v>1238</v>
      </c>
      <c r="B61">
        <v>737</v>
      </c>
      <c r="C61" t="s">
        <v>27</v>
      </c>
      <c r="D61" s="8">
        <v>45693</v>
      </c>
      <c r="E61" s="22">
        <v>45964</v>
      </c>
      <c r="F61" t="s">
        <v>1318</v>
      </c>
      <c r="G61" t="s">
        <v>158</v>
      </c>
      <c r="H61">
        <v>1</v>
      </c>
      <c r="I61">
        <v>73241854</v>
      </c>
      <c r="J61" t="s">
        <v>2742</v>
      </c>
      <c r="K61" s="8">
        <v>45693</v>
      </c>
      <c r="Q61">
        <v>18747</v>
      </c>
      <c r="R61">
        <v>934</v>
      </c>
      <c r="S61" t="s">
        <v>1319</v>
      </c>
      <c r="T61" t="s">
        <v>215</v>
      </c>
      <c r="U61">
        <v>1</v>
      </c>
      <c r="V61">
        <v>8.93</v>
      </c>
      <c r="W61">
        <v>10.54</v>
      </c>
      <c r="X61">
        <v>0</v>
      </c>
      <c r="Y61">
        <v>8.93</v>
      </c>
      <c r="Z61">
        <v>18</v>
      </c>
      <c r="AA61">
        <v>1.61</v>
      </c>
      <c r="AB61">
        <v>10.54</v>
      </c>
      <c r="AC61">
        <v>1</v>
      </c>
      <c r="AD61">
        <v>1</v>
      </c>
      <c r="AE61" t="s">
        <v>232</v>
      </c>
      <c r="AF61" t="s">
        <v>29</v>
      </c>
      <c r="AG61">
        <v>2</v>
      </c>
      <c r="AH61" t="s">
        <v>25</v>
      </c>
      <c r="AI61">
        <v>1106</v>
      </c>
      <c r="AJ61" t="s">
        <v>239</v>
      </c>
      <c r="AK61" t="s">
        <v>1237</v>
      </c>
      <c r="AP61">
        <v>418</v>
      </c>
      <c r="AQ61" t="s">
        <v>1318</v>
      </c>
      <c r="AR61" t="s">
        <v>1295</v>
      </c>
      <c r="AS61" t="str">
        <f>+CONCATENATE(A61,"-",B61)</f>
        <v>BB01-737</v>
      </c>
    </row>
    <row r="62" spans="1:45" ht="15" customHeight="1">
      <c r="A62" t="s">
        <v>1214</v>
      </c>
      <c r="B62" s="21" t="s">
        <v>1639</v>
      </c>
      <c r="C62" t="s">
        <v>27</v>
      </c>
      <c r="D62" s="8">
        <v>45947</v>
      </c>
      <c r="E62" s="22">
        <v>45964.437210648146</v>
      </c>
      <c r="F62" t="s">
        <v>1640</v>
      </c>
      <c r="G62" t="s">
        <v>158</v>
      </c>
      <c r="H62">
        <v>1</v>
      </c>
      <c r="I62">
        <v>72327214</v>
      </c>
      <c r="J62" t="s">
        <v>1641</v>
      </c>
      <c r="K62" s="8">
        <v>45947</v>
      </c>
      <c r="Q62">
        <v>31657</v>
      </c>
      <c r="R62">
        <v>2274</v>
      </c>
      <c r="S62" t="s">
        <v>1255</v>
      </c>
      <c r="T62" t="s">
        <v>215</v>
      </c>
      <c r="U62">
        <v>1</v>
      </c>
      <c r="V62">
        <v>9</v>
      </c>
      <c r="W62">
        <v>10.62</v>
      </c>
      <c r="X62">
        <v>0</v>
      </c>
      <c r="Y62">
        <v>9</v>
      </c>
      <c r="Z62">
        <v>18</v>
      </c>
      <c r="AA62">
        <v>1.62</v>
      </c>
      <c r="AB62">
        <v>10.62</v>
      </c>
      <c r="AC62">
        <v>1</v>
      </c>
      <c r="AD62">
        <v>1</v>
      </c>
      <c r="AE62" t="s">
        <v>1411</v>
      </c>
      <c r="AF62" t="s">
        <v>1412</v>
      </c>
      <c r="AG62">
        <v>2</v>
      </c>
      <c r="AH62" t="s">
        <v>25</v>
      </c>
      <c r="AI62">
        <v>6937</v>
      </c>
      <c r="AJ62" t="s">
        <v>1414</v>
      </c>
      <c r="AK62" t="s">
        <v>1433</v>
      </c>
      <c r="AL62">
        <v>2929</v>
      </c>
      <c r="AM62" t="s">
        <v>1642</v>
      </c>
      <c r="AN62" s="8">
        <v>45941</v>
      </c>
      <c r="AO62" s="8">
        <v>45941</v>
      </c>
      <c r="AP62">
        <v>416</v>
      </c>
      <c r="AQ62" t="s">
        <v>1640</v>
      </c>
      <c r="AR62" t="s">
        <v>1295</v>
      </c>
      <c r="AS62" t="str">
        <f>+CONCATENATE(A62,"-",B62)</f>
        <v>(03) Boleta BOB1-00000070</v>
      </c>
    </row>
    <row r="63" spans="1:45" ht="15" customHeight="1">
      <c r="A63" t="s">
        <v>1216</v>
      </c>
      <c r="B63" s="21" t="s">
        <v>1448</v>
      </c>
      <c r="C63" t="s">
        <v>27</v>
      </c>
      <c r="D63" s="8">
        <v>45946</v>
      </c>
      <c r="E63" s="22">
        <v>45964.79451388889</v>
      </c>
      <c r="F63" t="s">
        <v>1768</v>
      </c>
      <c r="H63">
        <v>6</v>
      </c>
      <c r="I63">
        <v>15611515500</v>
      </c>
      <c r="J63" t="s">
        <v>1769</v>
      </c>
      <c r="K63" s="8">
        <v>45946</v>
      </c>
      <c r="Q63">
        <v>31464</v>
      </c>
      <c r="R63">
        <v>2274</v>
      </c>
      <c r="S63" t="s">
        <v>1255</v>
      </c>
      <c r="T63" t="s">
        <v>215</v>
      </c>
      <c r="U63">
        <v>1</v>
      </c>
      <c r="V63">
        <v>9</v>
      </c>
      <c r="W63">
        <v>10.62</v>
      </c>
      <c r="X63">
        <v>0</v>
      </c>
      <c r="Y63">
        <v>9</v>
      </c>
      <c r="Z63">
        <v>18</v>
      </c>
      <c r="AA63">
        <v>1.62</v>
      </c>
      <c r="AB63">
        <v>10.62</v>
      </c>
      <c r="AC63">
        <v>1</v>
      </c>
      <c r="AD63">
        <v>1</v>
      </c>
      <c r="AE63" t="s">
        <v>1411</v>
      </c>
      <c r="AF63" t="s">
        <v>1412</v>
      </c>
      <c r="AG63">
        <v>2</v>
      </c>
      <c r="AH63" t="s">
        <v>25</v>
      </c>
      <c r="AI63">
        <v>6937</v>
      </c>
      <c r="AJ63" t="s">
        <v>1414</v>
      </c>
      <c r="AK63" t="s">
        <v>1433</v>
      </c>
      <c r="AL63">
        <v>3106</v>
      </c>
      <c r="AM63" t="s">
        <v>1770</v>
      </c>
      <c r="AN63" s="8">
        <v>45941</v>
      </c>
      <c r="AO63" s="8">
        <v>45941</v>
      </c>
      <c r="AP63">
        <v>5825</v>
      </c>
      <c r="AQ63" t="s">
        <v>1768</v>
      </c>
      <c r="AR63" t="s">
        <v>12</v>
      </c>
      <c r="AS63" t="str">
        <f>+CONCATENATE(A63,"-",B63)</f>
        <v>(01) Factura FOF1-00000091</v>
      </c>
    </row>
    <row r="64" spans="1:45" ht="15" customHeight="1">
      <c r="A64" t="s">
        <v>1214</v>
      </c>
      <c r="B64" s="21" t="s">
        <v>1751</v>
      </c>
      <c r="C64" t="s">
        <v>27</v>
      </c>
      <c r="D64" s="8">
        <v>45959</v>
      </c>
      <c r="E64" s="22">
        <v>45964.639594907407</v>
      </c>
      <c r="F64" t="s">
        <v>2487</v>
      </c>
      <c r="H64">
        <v>1</v>
      </c>
      <c r="I64">
        <v>72204247</v>
      </c>
      <c r="J64" t="s">
        <v>2668</v>
      </c>
      <c r="K64" s="8">
        <v>45959</v>
      </c>
      <c r="Q64">
        <v>32903</v>
      </c>
      <c r="R64">
        <v>2276</v>
      </c>
      <c r="S64" t="s">
        <v>1504</v>
      </c>
      <c r="T64" t="s">
        <v>163</v>
      </c>
      <c r="U64">
        <v>1</v>
      </c>
      <c r="V64">
        <v>9.5</v>
      </c>
      <c r="W64">
        <v>11.21</v>
      </c>
      <c r="X64">
        <v>0</v>
      </c>
      <c r="Y64">
        <v>9.5</v>
      </c>
      <c r="Z64">
        <v>18</v>
      </c>
      <c r="AA64">
        <v>1.71</v>
      </c>
      <c r="AB64">
        <v>11.21</v>
      </c>
      <c r="AC64">
        <v>1</v>
      </c>
      <c r="AD64">
        <v>1</v>
      </c>
      <c r="AE64" t="s">
        <v>1411</v>
      </c>
      <c r="AF64" t="s">
        <v>1412</v>
      </c>
      <c r="AG64">
        <v>2</v>
      </c>
      <c r="AH64" t="s">
        <v>25</v>
      </c>
      <c r="AI64">
        <v>6959</v>
      </c>
      <c r="AJ64" t="s">
        <v>1401</v>
      </c>
      <c r="AK64" t="s">
        <v>169</v>
      </c>
      <c r="AL64">
        <v>3211</v>
      </c>
      <c r="AM64" t="s">
        <v>2488</v>
      </c>
      <c r="AN64" s="8">
        <v>45955</v>
      </c>
      <c r="AO64" s="8">
        <v>45955</v>
      </c>
      <c r="AP64">
        <v>5490</v>
      </c>
      <c r="AQ64" t="s">
        <v>2487</v>
      </c>
      <c r="AR64" t="s">
        <v>1295</v>
      </c>
      <c r="AS64" t="str">
        <f>+CONCATENATE(A64,"-",B64)</f>
        <v>(03) Boleta BOB1-00000102</v>
      </c>
    </row>
    <row r="65" spans="1:45" ht="15" customHeight="1">
      <c r="A65" t="s">
        <v>1214</v>
      </c>
      <c r="B65" s="21" t="s">
        <v>1754</v>
      </c>
      <c r="C65" t="s">
        <v>27</v>
      </c>
      <c r="D65" s="8">
        <v>45959</v>
      </c>
      <c r="E65" s="22">
        <v>45964.639340277776</v>
      </c>
      <c r="F65" t="s">
        <v>2487</v>
      </c>
      <c r="H65">
        <v>1</v>
      </c>
      <c r="I65">
        <v>72204247</v>
      </c>
      <c r="J65" t="s">
        <v>2669</v>
      </c>
      <c r="K65" s="8">
        <v>45959</v>
      </c>
      <c r="Q65">
        <v>32900</v>
      </c>
      <c r="R65">
        <v>1786</v>
      </c>
      <c r="S65" t="s">
        <v>1299</v>
      </c>
      <c r="T65" t="s">
        <v>163</v>
      </c>
      <c r="U65">
        <v>1</v>
      </c>
      <c r="V65">
        <v>9.83</v>
      </c>
      <c r="W65">
        <v>11.6</v>
      </c>
      <c r="X65">
        <v>0</v>
      </c>
      <c r="Y65">
        <v>9.83</v>
      </c>
      <c r="Z65">
        <v>18</v>
      </c>
      <c r="AA65">
        <v>1.77</v>
      </c>
      <c r="AB65">
        <v>11.6</v>
      </c>
      <c r="AC65">
        <v>1</v>
      </c>
      <c r="AD65">
        <v>1</v>
      </c>
      <c r="AE65" t="s">
        <v>1411</v>
      </c>
      <c r="AF65" t="s">
        <v>1412</v>
      </c>
      <c r="AG65">
        <v>2</v>
      </c>
      <c r="AH65" t="s">
        <v>25</v>
      </c>
      <c r="AI65">
        <v>6937</v>
      </c>
      <c r="AJ65" t="s">
        <v>1414</v>
      </c>
      <c r="AK65" t="s">
        <v>1251</v>
      </c>
      <c r="AL65">
        <v>3211</v>
      </c>
      <c r="AM65" t="s">
        <v>2488</v>
      </c>
      <c r="AN65" s="8">
        <v>45955</v>
      </c>
      <c r="AO65" s="8">
        <v>45955</v>
      </c>
      <c r="AP65">
        <v>5490</v>
      </c>
      <c r="AQ65" t="s">
        <v>2487</v>
      </c>
      <c r="AR65" t="s">
        <v>1295</v>
      </c>
      <c r="AS65" t="str">
        <f>+CONCATENATE(A65,"-",B65)</f>
        <v>(03) Boleta BOB1-00000101</v>
      </c>
    </row>
    <row r="66" spans="1:45" ht="15" customHeight="1">
      <c r="A66" t="s">
        <v>216</v>
      </c>
      <c r="B66">
        <v>1224</v>
      </c>
      <c r="C66" t="s">
        <v>27</v>
      </c>
      <c r="D66" s="8">
        <v>45665</v>
      </c>
      <c r="E66" s="22">
        <v>45964</v>
      </c>
      <c r="F66" t="s">
        <v>1022</v>
      </c>
      <c r="H66">
        <v>6</v>
      </c>
      <c r="I66">
        <v>20611545399</v>
      </c>
      <c r="J66" t="s">
        <v>2784</v>
      </c>
      <c r="K66" s="8">
        <v>45665</v>
      </c>
      <c r="Q66">
        <v>17227</v>
      </c>
      <c r="R66">
        <v>877</v>
      </c>
      <c r="S66" t="s">
        <v>1300</v>
      </c>
      <c r="T66" t="s">
        <v>215</v>
      </c>
      <c r="U66">
        <v>1</v>
      </c>
      <c r="V66">
        <v>9.9</v>
      </c>
      <c r="W66">
        <v>11.68</v>
      </c>
      <c r="X66">
        <v>0</v>
      </c>
      <c r="Y66">
        <v>9.9</v>
      </c>
      <c r="Z66">
        <v>18</v>
      </c>
      <c r="AA66">
        <v>1.78</v>
      </c>
      <c r="AB66">
        <v>11.68</v>
      </c>
      <c r="AC66">
        <v>1</v>
      </c>
      <c r="AD66">
        <v>1</v>
      </c>
      <c r="AE66" t="s">
        <v>232</v>
      </c>
      <c r="AF66" t="s">
        <v>29</v>
      </c>
      <c r="AG66">
        <v>2</v>
      </c>
      <c r="AH66" t="s">
        <v>25</v>
      </c>
      <c r="AI66">
        <v>1106</v>
      </c>
      <c r="AJ66" t="s">
        <v>239</v>
      </c>
      <c r="AK66" t="s">
        <v>1237</v>
      </c>
      <c r="AP66">
        <v>1126</v>
      </c>
      <c r="AQ66" t="s">
        <v>1022</v>
      </c>
      <c r="AR66" t="s">
        <v>12</v>
      </c>
      <c r="AS66" t="str">
        <f>+CONCATENATE(A66,"-",B66)</f>
        <v>FB01-1224</v>
      </c>
    </row>
    <row r="67" spans="1:45" ht="15" customHeight="1">
      <c r="A67" t="s">
        <v>1216</v>
      </c>
      <c r="B67" s="21" t="s">
        <v>2497</v>
      </c>
      <c r="C67" t="s">
        <v>27</v>
      </c>
      <c r="D67" s="8">
        <v>45959</v>
      </c>
      <c r="E67" s="22">
        <v>45964.630289351851</v>
      </c>
      <c r="F67" t="s">
        <v>1321</v>
      </c>
      <c r="G67" t="s">
        <v>158</v>
      </c>
      <c r="H67">
        <v>6</v>
      </c>
      <c r="I67">
        <v>20296011356</v>
      </c>
      <c r="J67" t="s">
        <v>2676</v>
      </c>
      <c r="K67" s="8">
        <v>45959</v>
      </c>
      <c r="Q67">
        <v>32876</v>
      </c>
      <c r="R67">
        <v>2274</v>
      </c>
      <c r="S67" t="s">
        <v>1255</v>
      </c>
      <c r="T67" t="s">
        <v>215</v>
      </c>
      <c r="U67">
        <v>1</v>
      </c>
      <c r="V67">
        <v>10</v>
      </c>
      <c r="W67">
        <v>11.8</v>
      </c>
      <c r="X67">
        <v>0</v>
      </c>
      <c r="Y67">
        <v>10</v>
      </c>
      <c r="Z67">
        <v>18</v>
      </c>
      <c r="AA67">
        <v>1.8</v>
      </c>
      <c r="AB67">
        <v>11.8</v>
      </c>
      <c r="AC67">
        <v>1</v>
      </c>
      <c r="AD67">
        <v>1</v>
      </c>
      <c r="AE67" t="s">
        <v>1411</v>
      </c>
      <c r="AF67" t="s">
        <v>1412</v>
      </c>
      <c r="AG67">
        <v>2</v>
      </c>
      <c r="AH67" t="s">
        <v>25</v>
      </c>
      <c r="AI67">
        <v>6937</v>
      </c>
      <c r="AJ67" t="s">
        <v>1414</v>
      </c>
      <c r="AK67" t="s">
        <v>1433</v>
      </c>
      <c r="AL67">
        <v>3277</v>
      </c>
      <c r="AM67" t="s">
        <v>2498</v>
      </c>
      <c r="AN67" s="8">
        <v>45956</v>
      </c>
      <c r="AO67" s="8">
        <v>45956</v>
      </c>
      <c r="AP67">
        <v>390</v>
      </c>
      <c r="AQ67" t="s">
        <v>1321</v>
      </c>
      <c r="AR67" t="s">
        <v>12</v>
      </c>
      <c r="AS67" t="str">
        <f>+CONCATENATE(A67,"-",B67)</f>
        <v>(01) Factura FOF1-00000203</v>
      </c>
    </row>
    <row r="68" spans="1:45" ht="15" customHeight="1">
      <c r="A68" t="s">
        <v>216</v>
      </c>
      <c r="B68">
        <v>1404</v>
      </c>
      <c r="C68" t="s">
        <v>27</v>
      </c>
      <c r="D68" s="8">
        <v>45693</v>
      </c>
      <c r="E68" s="22">
        <v>45964</v>
      </c>
      <c r="F68" t="s">
        <v>1321</v>
      </c>
      <c r="G68" t="s">
        <v>158</v>
      </c>
      <c r="H68">
        <v>6</v>
      </c>
      <c r="I68">
        <v>20296011356</v>
      </c>
      <c r="J68" t="s">
        <v>1931</v>
      </c>
      <c r="K68" s="8">
        <v>45693</v>
      </c>
      <c r="Q68">
        <v>18745</v>
      </c>
      <c r="R68">
        <v>874</v>
      </c>
      <c r="S68" t="s">
        <v>1248</v>
      </c>
      <c r="T68" t="s">
        <v>215</v>
      </c>
      <c r="U68">
        <v>1</v>
      </c>
      <c r="V68">
        <v>10</v>
      </c>
      <c r="W68">
        <v>11.8</v>
      </c>
      <c r="X68">
        <v>0</v>
      </c>
      <c r="Y68">
        <v>10</v>
      </c>
      <c r="Z68">
        <v>18</v>
      </c>
      <c r="AA68">
        <v>1.8</v>
      </c>
      <c r="AB68">
        <v>11.8</v>
      </c>
      <c r="AC68">
        <v>1</v>
      </c>
      <c r="AD68">
        <v>1</v>
      </c>
      <c r="AE68" t="s">
        <v>232</v>
      </c>
      <c r="AF68" t="s">
        <v>29</v>
      </c>
      <c r="AG68">
        <v>2</v>
      </c>
      <c r="AH68" t="s">
        <v>25</v>
      </c>
      <c r="AI68">
        <v>1106</v>
      </c>
      <c r="AJ68" t="s">
        <v>239</v>
      </c>
      <c r="AK68" t="s">
        <v>1237</v>
      </c>
      <c r="AP68">
        <v>390</v>
      </c>
      <c r="AQ68" t="s">
        <v>1321</v>
      </c>
      <c r="AR68" t="s">
        <v>12</v>
      </c>
      <c r="AS68" t="str">
        <f>+CONCATENATE(A68,"-",B68)</f>
        <v>FB01-1404</v>
      </c>
    </row>
    <row r="69" spans="1:45" ht="15" customHeight="1">
      <c r="A69" t="s">
        <v>216</v>
      </c>
      <c r="B69">
        <v>1338</v>
      </c>
      <c r="C69" t="s">
        <v>27</v>
      </c>
      <c r="D69" s="8">
        <v>45686</v>
      </c>
      <c r="E69" s="22">
        <v>45964</v>
      </c>
      <c r="F69" t="s">
        <v>627</v>
      </c>
      <c r="H69">
        <v>6</v>
      </c>
      <c r="I69">
        <v>20101214771</v>
      </c>
      <c r="J69" t="s">
        <v>2012</v>
      </c>
      <c r="K69" s="8">
        <v>45686</v>
      </c>
      <c r="Q69">
        <v>18651</v>
      </c>
      <c r="R69">
        <v>874</v>
      </c>
      <c r="S69" t="s">
        <v>1248</v>
      </c>
      <c r="T69" t="s">
        <v>215</v>
      </c>
      <c r="U69">
        <v>1</v>
      </c>
      <c r="V69">
        <v>10</v>
      </c>
      <c r="W69">
        <v>11.8</v>
      </c>
      <c r="X69">
        <v>0</v>
      </c>
      <c r="Y69">
        <v>10</v>
      </c>
      <c r="Z69">
        <v>18</v>
      </c>
      <c r="AA69">
        <v>1.8</v>
      </c>
      <c r="AB69">
        <v>11.8</v>
      </c>
      <c r="AC69">
        <v>1</v>
      </c>
      <c r="AD69">
        <v>1</v>
      </c>
      <c r="AE69" t="s">
        <v>232</v>
      </c>
      <c r="AF69" t="s">
        <v>29</v>
      </c>
      <c r="AG69">
        <v>2</v>
      </c>
      <c r="AH69" t="s">
        <v>25</v>
      </c>
      <c r="AI69">
        <v>1106</v>
      </c>
      <c r="AJ69" t="s">
        <v>239</v>
      </c>
      <c r="AK69" t="s">
        <v>1237</v>
      </c>
      <c r="AP69">
        <v>1137</v>
      </c>
      <c r="AQ69" t="s">
        <v>627</v>
      </c>
      <c r="AR69" t="s">
        <v>12</v>
      </c>
      <c r="AS69" t="str">
        <f>+CONCATENATE(A69,"-",B69)</f>
        <v>FB01-1338</v>
      </c>
    </row>
    <row r="70" spans="1:45" ht="15" customHeight="1">
      <c r="A70" t="s">
        <v>1238</v>
      </c>
      <c r="B70">
        <v>636</v>
      </c>
      <c r="C70" t="s">
        <v>27</v>
      </c>
      <c r="D70" s="8">
        <v>45660</v>
      </c>
      <c r="E70" s="22">
        <v>45964</v>
      </c>
      <c r="F70" t="s">
        <v>1191</v>
      </c>
      <c r="G70" t="s">
        <v>158</v>
      </c>
      <c r="H70">
        <v>1</v>
      </c>
      <c r="I70">
        <v>43852005</v>
      </c>
      <c r="J70" t="s">
        <v>2205</v>
      </c>
      <c r="K70" s="8">
        <v>45660</v>
      </c>
      <c r="Q70">
        <v>17174</v>
      </c>
      <c r="R70">
        <v>874</v>
      </c>
      <c r="S70" t="s">
        <v>1248</v>
      </c>
      <c r="T70" t="s">
        <v>215</v>
      </c>
      <c r="U70">
        <v>1</v>
      </c>
      <c r="V70">
        <v>10</v>
      </c>
      <c r="W70">
        <v>11.8</v>
      </c>
      <c r="X70">
        <v>0</v>
      </c>
      <c r="Y70">
        <v>10</v>
      </c>
      <c r="Z70">
        <v>18</v>
      </c>
      <c r="AA70">
        <v>1.8</v>
      </c>
      <c r="AB70">
        <v>11.8</v>
      </c>
      <c r="AC70">
        <v>1</v>
      </c>
      <c r="AD70">
        <v>1</v>
      </c>
      <c r="AE70" t="s">
        <v>232</v>
      </c>
      <c r="AF70" t="s">
        <v>29</v>
      </c>
      <c r="AG70">
        <v>2</v>
      </c>
      <c r="AH70" t="s">
        <v>25</v>
      </c>
      <c r="AI70">
        <v>1106</v>
      </c>
      <c r="AJ70" t="s">
        <v>239</v>
      </c>
      <c r="AK70" t="s">
        <v>1237</v>
      </c>
      <c r="AP70">
        <v>441</v>
      </c>
      <c r="AQ70" t="s">
        <v>1191</v>
      </c>
      <c r="AR70" t="s">
        <v>1295</v>
      </c>
      <c r="AS70" t="str">
        <f>+CONCATENATE(A70,"-",B70)</f>
        <v>BB01-636</v>
      </c>
    </row>
    <row r="71" spans="1:45" ht="15" customHeight="1">
      <c r="A71" t="s">
        <v>216</v>
      </c>
      <c r="B71">
        <v>1183</v>
      </c>
      <c r="C71" t="s">
        <v>27</v>
      </c>
      <c r="D71" s="8">
        <v>45660</v>
      </c>
      <c r="E71" s="22">
        <v>45964</v>
      </c>
      <c r="F71" t="s">
        <v>1393</v>
      </c>
      <c r="H71">
        <v>6</v>
      </c>
      <c r="I71">
        <v>20609168961</v>
      </c>
      <c r="J71" t="s">
        <v>2210</v>
      </c>
      <c r="K71" s="8">
        <v>45660</v>
      </c>
      <c r="Q71">
        <v>17169</v>
      </c>
      <c r="R71">
        <v>874</v>
      </c>
      <c r="S71" t="s">
        <v>1248</v>
      </c>
      <c r="T71" t="s">
        <v>215</v>
      </c>
      <c r="U71">
        <v>1</v>
      </c>
      <c r="V71">
        <v>10</v>
      </c>
      <c r="W71">
        <v>11.8</v>
      </c>
      <c r="X71">
        <v>0</v>
      </c>
      <c r="Y71">
        <v>10</v>
      </c>
      <c r="Z71">
        <v>18</v>
      </c>
      <c r="AA71">
        <v>1.8</v>
      </c>
      <c r="AB71">
        <v>11.8</v>
      </c>
      <c r="AC71">
        <v>1</v>
      </c>
      <c r="AD71">
        <v>1</v>
      </c>
      <c r="AE71" t="s">
        <v>232</v>
      </c>
      <c r="AF71" t="s">
        <v>29</v>
      </c>
      <c r="AG71">
        <v>2</v>
      </c>
      <c r="AH71" t="s">
        <v>25</v>
      </c>
      <c r="AI71">
        <v>1106</v>
      </c>
      <c r="AJ71" t="s">
        <v>239</v>
      </c>
      <c r="AK71" t="s">
        <v>1237</v>
      </c>
      <c r="AP71">
        <v>1113</v>
      </c>
      <c r="AQ71" t="s">
        <v>1393</v>
      </c>
      <c r="AR71" t="s">
        <v>12</v>
      </c>
      <c r="AS71" t="str">
        <f>+CONCATENATE(A71,"-",B71)</f>
        <v>FB01-1183</v>
      </c>
    </row>
    <row r="72" spans="1:45" ht="15" customHeight="1">
      <c r="A72" t="s">
        <v>1214</v>
      </c>
      <c r="B72" s="21" t="s">
        <v>1654</v>
      </c>
      <c r="C72" t="s">
        <v>27</v>
      </c>
      <c r="D72" s="8">
        <v>45947</v>
      </c>
      <c r="E72" s="22">
        <v>45964.434328703705</v>
      </c>
      <c r="F72" t="s">
        <v>1640</v>
      </c>
      <c r="G72" t="s">
        <v>158</v>
      </c>
      <c r="H72">
        <v>1</v>
      </c>
      <c r="I72">
        <v>72327214</v>
      </c>
      <c r="J72" t="s">
        <v>2707</v>
      </c>
      <c r="K72" s="8">
        <v>45947</v>
      </c>
      <c r="Q72">
        <v>31639</v>
      </c>
      <c r="R72">
        <v>1786</v>
      </c>
      <c r="S72" t="s">
        <v>1299</v>
      </c>
      <c r="T72" t="s">
        <v>163</v>
      </c>
      <c r="U72">
        <v>1</v>
      </c>
      <c r="V72">
        <v>10.51</v>
      </c>
      <c r="W72">
        <v>12.4</v>
      </c>
      <c r="X72">
        <v>0</v>
      </c>
      <c r="Y72">
        <v>10.51</v>
      </c>
      <c r="Z72">
        <v>18</v>
      </c>
      <c r="AA72">
        <v>1.89</v>
      </c>
      <c r="AB72">
        <v>12.4</v>
      </c>
      <c r="AC72">
        <v>1</v>
      </c>
      <c r="AD72">
        <v>1</v>
      </c>
      <c r="AE72" t="s">
        <v>1411</v>
      </c>
      <c r="AF72" t="s">
        <v>1412</v>
      </c>
      <c r="AG72">
        <v>2</v>
      </c>
      <c r="AH72" t="s">
        <v>25</v>
      </c>
      <c r="AI72">
        <v>6937</v>
      </c>
      <c r="AJ72" t="s">
        <v>1414</v>
      </c>
      <c r="AK72" t="s">
        <v>1251</v>
      </c>
      <c r="AL72">
        <v>3124</v>
      </c>
      <c r="AM72" t="s">
        <v>1651</v>
      </c>
      <c r="AN72" s="8">
        <v>45940</v>
      </c>
      <c r="AO72" s="8">
        <v>45940</v>
      </c>
      <c r="AP72">
        <v>416</v>
      </c>
      <c r="AQ72" t="s">
        <v>1640</v>
      </c>
      <c r="AR72" t="s">
        <v>1295</v>
      </c>
      <c r="AS72" t="str">
        <f>+CONCATENATE(A72,"-",B72)</f>
        <v>(03) Boleta BOB1-00000064</v>
      </c>
    </row>
    <row r="73" spans="1:45" ht="15" customHeight="1">
      <c r="A73" t="s">
        <v>1216</v>
      </c>
      <c r="B73" s="21" t="s">
        <v>2485</v>
      </c>
      <c r="C73" t="s">
        <v>27</v>
      </c>
      <c r="D73" s="8">
        <v>45959</v>
      </c>
      <c r="E73" s="22">
        <v>45964.643807870372</v>
      </c>
      <c r="F73" t="s">
        <v>1553</v>
      </c>
      <c r="H73">
        <v>6</v>
      </c>
      <c r="I73">
        <v>20608747843</v>
      </c>
      <c r="J73" t="s">
        <v>2664</v>
      </c>
      <c r="K73" s="8">
        <v>45959</v>
      </c>
      <c r="Q73">
        <v>32917</v>
      </c>
      <c r="R73">
        <v>216</v>
      </c>
      <c r="S73" t="s">
        <v>1300</v>
      </c>
      <c r="T73" t="s">
        <v>163</v>
      </c>
      <c r="U73">
        <v>1</v>
      </c>
      <c r="V73">
        <v>10.68</v>
      </c>
      <c r="W73">
        <v>12.6</v>
      </c>
      <c r="X73">
        <v>0</v>
      </c>
      <c r="Y73">
        <v>10.68</v>
      </c>
      <c r="Z73">
        <v>18</v>
      </c>
      <c r="AA73">
        <v>1.92</v>
      </c>
      <c r="AB73">
        <v>12.6</v>
      </c>
      <c r="AC73">
        <v>1</v>
      </c>
      <c r="AD73">
        <v>1</v>
      </c>
      <c r="AE73" t="s">
        <v>1411</v>
      </c>
      <c r="AF73" t="s">
        <v>1412</v>
      </c>
      <c r="AG73">
        <v>2</v>
      </c>
      <c r="AH73" t="s">
        <v>25</v>
      </c>
      <c r="AI73">
        <v>6936</v>
      </c>
      <c r="AJ73" t="s">
        <v>1437</v>
      </c>
      <c r="AK73" t="s">
        <v>1433</v>
      </c>
      <c r="AL73">
        <v>3135</v>
      </c>
      <c r="AM73" t="s">
        <v>2484</v>
      </c>
      <c r="AN73" s="8">
        <v>45955</v>
      </c>
      <c r="AO73" s="8">
        <v>45955</v>
      </c>
      <c r="AP73">
        <v>5498</v>
      </c>
      <c r="AQ73" t="s">
        <v>1553</v>
      </c>
      <c r="AR73" t="s">
        <v>12</v>
      </c>
      <c r="AS73" t="str">
        <f>+CONCATENATE(A73,"-",B73)</f>
        <v>(01) Factura FOF1-00000209</v>
      </c>
    </row>
    <row r="74" spans="1:45" ht="15" customHeight="1">
      <c r="A74" t="s">
        <v>216</v>
      </c>
      <c r="B74">
        <v>1323</v>
      </c>
      <c r="C74" t="s">
        <v>27</v>
      </c>
      <c r="D74" s="8">
        <v>45685</v>
      </c>
      <c r="E74" s="22">
        <v>45964</v>
      </c>
      <c r="F74" t="s">
        <v>490</v>
      </c>
      <c r="H74">
        <v>6</v>
      </c>
      <c r="I74">
        <v>20611587741</v>
      </c>
      <c r="J74" t="s">
        <v>2758</v>
      </c>
      <c r="K74" s="8">
        <v>45685</v>
      </c>
      <c r="Q74">
        <v>18636</v>
      </c>
      <c r="R74">
        <v>877</v>
      </c>
      <c r="S74" t="s">
        <v>1300</v>
      </c>
      <c r="T74" t="s">
        <v>215</v>
      </c>
      <c r="U74">
        <v>1</v>
      </c>
      <c r="V74">
        <v>11.44</v>
      </c>
      <c r="W74">
        <v>13.5</v>
      </c>
      <c r="X74">
        <v>0</v>
      </c>
      <c r="Y74">
        <v>11.44</v>
      </c>
      <c r="Z74">
        <v>18</v>
      </c>
      <c r="AA74">
        <v>2.06</v>
      </c>
      <c r="AB74">
        <v>13.5</v>
      </c>
      <c r="AC74">
        <v>1</v>
      </c>
      <c r="AD74">
        <v>1</v>
      </c>
      <c r="AE74" t="s">
        <v>232</v>
      </c>
      <c r="AF74" t="s">
        <v>29</v>
      </c>
      <c r="AG74">
        <v>2</v>
      </c>
      <c r="AH74" t="s">
        <v>25</v>
      </c>
      <c r="AI74">
        <v>1106</v>
      </c>
      <c r="AJ74" t="s">
        <v>239</v>
      </c>
      <c r="AK74" t="s">
        <v>1237</v>
      </c>
      <c r="AP74">
        <v>1130</v>
      </c>
      <c r="AQ74" t="s">
        <v>490</v>
      </c>
      <c r="AR74" t="s">
        <v>12</v>
      </c>
      <c r="AS74" t="str">
        <f>+CONCATENATE(A74,"-",B74)</f>
        <v>FB01-1323</v>
      </c>
    </row>
    <row r="75" spans="1:45" ht="15" customHeight="1">
      <c r="A75" t="s">
        <v>216</v>
      </c>
      <c r="B75">
        <v>1390</v>
      </c>
      <c r="C75" t="s">
        <v>27</v>
      </c>
      <c r="D75" s="8">
        <v>45693</v>
      </c>
      <c r="E75" s="22">
        <v>45964</v>
      </c>
      <c r="F75" t="s">
        <v>457</v>
      </c>
      <c r="H75">
        <v>6</v>
      </c>
      <c r="I75">
        <v>20600937112</v>
      </c>
      <c r="J75" t="s">
        <v>2748</v>
      </c>
      <c r="K75" s="8">
        <v>45693</v>
      </c>
      <c r="Q75">
        <v>18729</v>
      </c>
      <c r="R75">
        <v>877</v>
      </c>
      <c r="S75" t="s">
        <v>1300</v>
      </c>
      <c r="T75" t="s">
        <v>215</v>
      </c>
      <c r="U75">
        <v>1</v>
      </c>
      <c r="V75">
        <v>11.47</v>
      </c>
      <c r="W75">
        <v>13.54</v>
      </c>
      <c r="X75">
        <v>0</v>
      </c>
      <c r="Y75">
        <v>11.47</v>
      </c>
      <c r="Z75">
        <v>18</v>
      </c>
      <c r="AA75">
        <v>2.0699999999999998</v>
      </c>
      <c r="AB75">
        <v>13.54</v>
      </c>
      <c r="AC75">
        <v>1</v>
      </c>
      <c r="AD75">
        <v>1</v>
      </c>
      <c r="AE75" t="s">
        <v>232</v>
      </c>
      <c r="AF75" t="s">
        <v>29</v>
      </c>
      <c r="AG75">
        <v>2</v>
      </c>
      <c r="AH75" t="s">
        <v>25</v>
      </c>
      <c r="AI75">
        <v>1106</v>
      </c>
      <c r="AJ75" t="s">
        <v>239</v>
      </c>
      <c r="AK75" t="s">
        <v>1237</v>
      </c>
      <c r="AP75">
        <v>1143</v>
      </c>
      <c r="AQ75" t="s">
        <v>457</v>
      </c>
      <c r="AR75" t="s">
        <v>12</v>
      </c>
      <c r="AS75" t="str">
        <f>+CONCATENATE(A75,"-",B75)</f>
        <v>FB01-1390</v>
      </c>
    </row>
    <row r="76" spans="1:45" ht="15" customHeight="1">
      <c r="A76" t="s">
        <v>216</v>
      </c>
      <c r="B76">
        <v>1185</v>
      </c>
      <c r="C76" t="s">
        <v>27</v>
      </c>
      <c r="D76" s="8">
        <v>45663</v>
      </c>
      <c r="E76" s="22">
        <v>45964</v>
      </c>
      <c r="F76" t="s">
        <v>1126</v>
      </c>
      <c r="H76">
        <v>6</v>
      </c>
      <c r="I76">
        <v>20611183110</v>
      </c>
      <c r="J76" t="s">
        <v>2790</v>
      </c>
      <c r="K76" s="8">
        <v>45663</v>
      </c>
      <c r="Q76">
        <v>17176</v>
      </c>
      <c r="R76">
        <v>871</v>
      </c>
      <c r="S76" t="s">
        <v>1316</v>
      </c>
      <c r="T76" t="s">
        <v>215</v>
      </c>
      <c r="U76">
        <v>1</v>
      </c>
      <c r="V76">
        <v>11.53</v>
      </c>
      <c r="W76">
        <v>13.6</v>
      </c>
      <c r="X76">
        <v>0</v>
      </c>
      <c r="Y76">
        <v>11.53</v>
      </c>
      <c r="Z76">
        <v>18</v>
      </c>
      <c r="AA76">
        <v>2.0699999999999998</v>
      </c>
      <c r="AB76">
        <v>13.6</v>
      </c>
      <c r="AC76">
        <v>1</v>
      </c>
      <c r="AD76">
        <v>1</v>
      </c>
      <c r="AE76" t="s">
        <v>232</v>
      </c>
      <c r="AF76" t="s">
        <v>29</v>
      </c>
      <c r="AG76">
        <v>2</v>
      </c>
      <c r="AH76" t="s">
        <v>25</v>
      </c>
      <c r="AI76">
        <v>1106</v>
      </c>
      <c r="AJ76" t="s">
        <v>239</v>
      </c>
      <c r="AK76" t="s">
        <v>1237</v>
      </c>
      <c r="AP76">
        <v>1114</v>
      </c>
      <c r="AQ76" t="s">
        <v>1126</v>
      </c>
      <c r="AR76" t="s">
        <v>12</v>
      </c>
      <c r="AS76" t="str">
        <f>+CONCATENATE(A76,"-",B76)</f>
        <v>FB01-1185</v>
      </c>
    </row>
    <row r="77" spans="1:45" ht="15" customHeight="1">
      <c r="A77" t="s">
        <v>1214</v>
      </c>
      <c r="B77" s="21" t="s">
        <v>1431</v>
      </c>
      <c r="C77" t="s">
        <v>27</v>
      </c>
      <c r="D77" s="8">
        <v>45954</v>
      </c>
      <c r="E77" s="22">
        <v>45964.622916666667</v>
      </c>
      <c r="F77" t="s">
        <v>526</v>
      </c>
      <c r="H77">
        <v>1</v>
      </c>
      <c r="I77">
        <v>19889371</v>
      </c>
      <c r="J77" t="s">
        <v>1432</v>
      </c>
      <c r="K77" s="8">
        <v>45954</v>
      </c>
      <c r="Q77">
        <v>32617</v>
      </c>
      <c r="R77">
        <v>2274</v>
      </c>
      <c r="S77" t="s">
        <v>1255</v>
      </c>
      <c r="T77" t="s">
        <v>215</v>
      </c>
      <c r="U77">
        <v>1</v>
      </c>
      <c r="V77">
        <v>12</v>
      </c>
      <c r="W77">
        <v>14.16</v>
      </c>
      <c r="X77">
        <v>0</v>
      </c>
      <c r="Y77">
        <v>12</v>
      </c>
      <c r="Z77">
        <v>18</v>
      </c>
      <c r="AA77">
        <v>2.16</v>
      </c>
      <c r="AB77">
        <v>14.16</v>
      </c>
      <c r="AC77">
        <v>1</v>
      </c>
      <c r="AD77">
        <v>1</v>
      </c>
      <c r="AE77" t="s">
        <v>1411</v>
      </c>
      <c r="AF77" t="s">
        <v>1412</v>
      </c>
      <c r="AG77">
        <v>2</v>
      </c>
      <c r="AH77" t="s">
        <v>25</v>
      </c>
      <c r="AI77">
        <v>6937</v>
      </c>
      <c r="AJ77" t="s">
        <v>1414</v>
      </c>
      <c r="AK77" t="s">
        <v>1433</v>
      </c>
      <c r="AL77">
        <v>3023</v>
      </c>
      <c r="AM77" t="s">
        <v>1434</v>
      </c>
      <c r="AN77" s="8">
        <v>45941</v>
      </c>
      <c r="AO77" s="8">
        <v>45941</v>
      </c>
      <c r="AP77">
        <v>418</v>
      </c>
      <c r="AQ77" t="s">
        <v>1318</v>
      </c>
      <c r="AR77" t="s">
        <v>1295</v>
      </c>
      <c r="AS77" t="str">
        <f>+CONCATENATE(A77,"-",B77)</f>
        <v>(03) Boleta BOB1-00000098</v>
      </c>
    </row>
    <row r="78" spans="1:45" ht="15" customHeight="1">
      <c r="A78" t="s">
        <v>1214</v>
      </c>
      <c r="B78" s="21" t="s">
        <v>1442</v>
      </c>
      <c r="C78" t="s">
        <v>27</v>
      </c>
      <c r="D78" s="8">
        <v>45954</v>
      </c>
      <c r="E78" s="22">
        <v>45964.621458333335</v>
      </c>
      <c r="F78" t="s">
        <v>519</v>
      </c>
      <c r="H78">
        <v>1</v>
      </c>
      <c r="I78">
        <v>19941551</v>
      </c>
      <c r="J78" t="s">
        <v>1443</v>
      </c>
      <c r="K78" s="8">
        <v>45954</v>
      </c>
      <c r="Q78">
        <v>32605</v>
      </c>
      <c r="R78">
        <v>2274</v>
      </c>
      <c r="S78" t="s">
        <v>1255</v>
      </c>
      <c r="T78" t="s">
        <v>215</v>
      </c>
      <c r="U78">
        <v>1</v>
      </c>
      <c r="V78">
        <v>12</v>
      </c>
      <c r="W78">
        <v>14.16</v>
      </c>
      <c r="X78">
        <v>0</v>
      </c>
      <c r="Y78">
        <v>12</v>
      </c>
      <c r="Z78">
        <v>18</v>
      </c>
      <c r="AA78">
        <v>2.16</v>
      </c>
      <c r="AB78">
        <v>14.16</v>
      </c>
      <c r="AC78">
        <v>1</v>
      </c>
      <c r="AD78">
        <v>1</v>
      </c>
      <c r="AE78" t="s">
        <v>1411</v>
      </c>
      <c r="AF78" t="s">
        <v>1412</v>
      </c>
      <c r="AG78">
        <v>2</v>
      </c>
      <c r="AH78" t="s">
        <v>25</v>
      </c>
      <c r="AI78">
        <v>6937</v>
      </c>
      <c r="AJ78" t="s">
        <v>1414</v>
      </c>
      <c r="AK78" t="s">
        <v>1433</v>
      </c>
      <c r="AL78">
        <v>3023</v>
      </c>
      <c r="AM78" t="s">
        <v>1434</v>
      </c>
      <c r="AN78" s="8">
        <v>45941</v>
      </c>
      <c r="AO78" s="8">
        <v>45941</v>
      </c>
      <c r="AP78">
        <v>418</v>
      </c>
      <c r="AQ78" t="s">
        <v>1318</v>
      </c>
      <c r="AR78" t="s">
        <v>1295</v>
      </c>
      <c r="AS78" t="str">
        <f>+CONCATENATE(A78,"-",B78)</f>
        <v>(03) Boleta BOB1-00000094</v>
      </c>
    </row>
    <row r="79" spans="1:45" ht="15" customHeight="1">
      <c r="A79" t="s">
        <v>1214</v>
      </c>
      <c r="B79" s="21" t="s">
        <v>182</v>
      </c>
      <c r="C79" t="s">
        <v>27</v>
      </c>
      <c r="D79" s="8">
        <v>45945</v>
      </c>
      <c r="E79" s="22">
        <v>45964.786851851852</v>
      </c>
      <c r="F79" t="s">
        <v>1834</v>
      </c>
      <c r="H79">
        <v>1</v>
      </c>
      <c r="I79">
        <v>75241793</v>
      </c>
      <c r="J79" t="s">
        <v>2723</v>
      </c>
      <c r="K79" s="8">
        <v>45945</v>
      </c>
      <c r="Q79">
        <v>31271</v>
      </c>
      <c r="R79">
        <v>1786</v>
      </c>
      <c r="S79" t="s">
        <v>1299</v>
      </c>
      <c r="T79" t="s">
        <v>163</v>
      </c>
      <c r="U79">
        <v>1</v>
      </c>
      <c r="V79">
        <v>12.2</v>
      </c>
      <c r="W79">
        <v>14.4</v>
      </c>
      <c r="X79">
        <v>0</v>
      </c>
      <c r="Y79">
        <v>12.2</v>
      </c>
      <c r="Z79">
        <v>18</v>
      </c>
      <c r="AA79">
        <v>2.2000000000000002</v>
      </c>
      <c r="AB79">
        <v>14.4</v>
      </c>
      <c r="AC79">
        <v>1</v>
      </c>
      <c r="AD79">
        <v>1</v>
      </c>
      <c r="AE79" t="s">
        <v>1411</v>
      </c>
      <c r="AF79" t="s">
        <v>1412</v>
      </c>
      <c r="AG79">
        <v>2</v>
      </c>
      <c r="AH79" t="s">
        <v>25</v>
      </c>
      <c r="AI79">
        <v>1106</v>
      </c>
      <c r="AJ79" t="s">
        <v>239</v>
      </c>
      <c r="AK79" t="s">
        <v>169</v>
      </c>
      <c r="AL79">
        <v>3100</v>
      </c>
      <c r="AM79" t="s">
        <v>264</v>
      </c>
      <c r="AN79" s="8">
        <v>45934</v>
      </c>
      <c r="AO79" s="8">
        <v>45934</v>
      </c>
      <c r="AP79">
        <v>5199</v>
      </c>
      <c r="AQ79" t="s">
        <v>1834</v>
      </c>
      <c r="AR79" t="s">
        <v>1295</v>
      </c>
      <c r="AS79" t="str">
        <f>+CONCATENATE(A79,"-",B79)</f>
        <v>(03) Boleta BOB1-00000030</v>
      </c>
    </row>
    <row r="80" spans="1:45" ht="15" customHeight="1">
      <c r="A80" t="s">
        <v>216</v>
      </c>
      <c r="B80">
        <v>1389</v>
      </c>
      <c r="C80" t="s">
        <v>27</v>
      </c>
      <c r="D80" s="8">
        <v>45693</v>
      </c>
      <c r="E80" s="22">
        <v>45964</v>
      </c>
      <c r="F80" t="s">
        <v>457</v>
      </c>
      <c r="H80">
        <v>6</v>
      </c>
      <c r="I80">
        <v>20600937112</v>
      </c>
      <c r="J80" t="s">
        <v>2749</v>
      </c>
      <c r="K80" s="8">
        <v>45693</v>
      </c>
      <c r="Q80">
        <v>18728</v>
      </c>
      <c r="R80">
        <v>870</v>
      </c>
      <c r="S80" t="s">
        <v>1299</v>
      </c>
      <c r="T80" t="s">
        <v>215</v>
      </c>
      <c r="U80">
        <v>1</v>
      </c>
      <c r="V80">
        <v>12.2</v>
      </c>
      <c r="W80">
        <v>14.4</v>
      </c>
      <c r="X80">
        <v>0</v>
      </c>
      <c r="Y80">
        <v>12.2</v>
      </c>
      <c r="Z80">
        <v>18</v>
      </c>
      <c r="AA80">
        <v>2.2000000000000002</v>
      </c>
      <c r="AB80">
        <v>14.4</v>
      </c>
      <c r="AC80">
        <v>1</v>
      </c>
      <c r="AD80">
        <v>1</v>
      </c>
      <c r="AE80" t="s">
        <v>232</v>
      </c>
      <c r="AF80" t="s">
        <v>29</v>
      </c>
      <c r="AG80">
        <v>2</v>
      </c>
      <c r="AH80" t="s">
        <v>25</v>
      </c>
      <c r="AI80">
        <v>1106</v>
      </c>
      <c r="AJ80" t="s">
        <v>239</v>
      </c>
      <c r="AK80" t="s">
        <v>1237</v>
      </c>
      <c r="AP80">
        <v>1143</v>
      </c>
      <c r="AQ80" t="s">
        <v>457</v>
      </c>
      <c r="AR80" t="s">
        <v>12</v>
      </c>
      <c r="AS80" t="str">
        <f>+CONCATENATE(A80,"-",B80)</f>
        <v>FB01-1389</v>
      </c>
    </row>
    <row r="81" spans="1:45" ht="15" customHeight="1">
      <c r="A81" t="s">
        <v>1238</v>
      </c>
      <c r="B81">
        <v>666</v>
      </c>
      <c r="C81" t="s">
        <v>27</v>
      </c>
      <c r="D81" s="8">
        <v>45680</v>
      </c>
      <c r="E81" s="22">
        <v>45964</v>
      </c>
      <c r="F81" t="s">
        <v>916</v>
      </c>
      <c r="H81">
        <v>1</v>
      </c>
      <c r="I81">
        <v>17850400</v>
      </c>
      <c r="J81" t="s">
        <v>2773</v>
      </c>
      <c r="K81" s="8">
        <v>45680</v>
      </c>
      <c r="Q81">
        <v>17791</v>
      </c>
      <c r="R81">
        <v>870</v>
      </c>
      <c r="S81" t="s">
        <v>1299</v>
      </c>
      <c r="T81" t="s">
        <v>215</v>
      </c>
      <c r="U81">
        <v>1</v>
      </c>
      <c r="V81">
        <v>12.2</v>
      </c>
      <c r="W81">
        <v>14.4</v>
      </c>
      <c r="X81">
        <v>0</v>
      </c>
      <c r="Y81">
        <v>12.2</v>
      </c>
      <c r="Z81">
        <v>18</v>
      </c>
      <c r="AA81">
        <v>2.2000000000000002</v>
      </c>
      <c r="AB81">
        <v>14.4</v>
      </c>
      <c r="AC81">
        <v>1</v>
      </c>
      <c r="AD81">
        <v>1</v>
      </c>
      <c r="AE81" t="s">
        <v>232</v>
      </c>
      <c r="AF81" t="s">
        <v>29</v>
      </c>
      <c r="AG81">
        <v>2</v>
      </c>
      <c r="AH81" t="s">
        <v>25</v>
      </c>
      <c r="AI81">
        <v>1106</v>
      </c>
      <c r="AJ81" t="s">
        <v>239</v>
      </c>
      <c r="AK81" t="s">
        <v>1237</v>
      </c>
      <c r="AP81">
        <v>1162</v>
      </c>
      <c r="AQ81" t="s">
        <v>916</v>
      </c>
      <c r="AR81" t="s">
        <v>1295</v>
      </c>
      <c r="AS81" t="str">
        <f>+CONCATENATE(A81,"-",B81)</f>
        <v>BB01-666</v>
      </c>
    </row>
    <row r="82" spans="1:45" ht="15" customHeight="1">
      <c r="A82" t="s">
        <v>1216</v>
      </c>
      <c r="B82" s="21" t="s">
        <v>208</v>
      </c>
      <c r="C82" t="s">
        <v>27</v>
      </c>
      <c r="D82" s="8">
        <v>45944</v>
      </c>
      <c r="E82" s="22">
        <v>45964.400462962964</v>
      </c>
      <c r="F82" t="s">
        <v>342</v>
      </c>
      <c r="H82">
        <v>6</v>
      </c>
      <c r="I82">
        <v>20480413700</v>
      </c>
      <c r="J82" t="s">
        <v>1884</v>
      </c>
      <c r="K82" s="8">
        <v>45944</v>
      </c>
      <c r="Q82">
        <v>31111</v>
      </c>
      <c r="R82">
        <v>2317</v>
      </c>
      <c r="S82" t="s">
        <v>1248</v>
      </c>
      <c r="T82" t="s">
        <v>163</v>
      </c>
      <c r="U82">
        <v>1</v>
      </c>
      <c r="V82">
        <v>12.5</v>
      </c>
      <c r="W82">
        <v>14.75</v>
      </c>
      <c r="X82">
        <v>0</v>
      </c>
      <c r="Y82">
        <v>12.5</v>
      </c>
      <c r="Z82">
        <v>18</v>
      </c>
      <c r="AA82">
        <v>2.25</v>
      </c>
      <c r="AB82">
        <v>14.75</v>
      </c>
      <c r="AC82">
        <v>1</v>
      </c>
      <c r="AD82">
        <v>1</v>
      </c>
      <c r="AE82" t="s">
        <v>1411</v>
      </c>
      <c r="AF82" t="s">
        <v>1412</v>
      </c>
      <c r="AG82">
        <v>2</v>
      </c>
      <c r="AH82" t="s">
        <v>25</v>
      </c>
      <c r="AI82">
        <v>1106</v>
      </c>
      <c r="AJ82" t="s">
        <v>239</v>
      </c>
      <c r="AK82" t="s">
        <v>169</v>
      </c>
      <c r="AL82">
        <v>3065</v>
      </c>
      <c r="AM82" t="s">
        <v>1228</v>
      </c>
      <c r="AN82" s="8">
        <v>45927</v>
      </c>
      <c r="AO82" s="8">
        <v>45927</v>
      </c>
      <c r="AP82">
        <v>5118</v>
      </c>
      <c r="AQ82" t="s">
        <v>342</v>
      </c>
      <c r="AR82" t="s">
        <v>12</v>
      </c>
      <c r="AS82" t="str">
        <f>+CONCATENATE(A82,"-",B82)</f>
        <v>(01) Factura FOF1-00000019</v>
      </c>
    </row>
    <row r="83" spans="1:45" ht="15" customHeight="1">
      <c r="A83" t="s">
        <v>216</v>
      </c>
      <c r="B83">
        <v>1411</v>
      </c>
      <c r="C83" t="s">
        <v>27</v>
      </c>
      <c r="D83" s="8">
        <v>45693</v>
      </c>
      <c r="E83" s="22">
        <v>45964</v>
      </c>
      <c r="F83" t="s">
        <v>406</v>
      </c>
      <c r="H83">
        <v>6</v>
      </c>
      <c r="I83">
        <v>20611129212</v>
      </c>
      <c r="J83" t="s">
        <v>2737</v>
      </c>
      <c r="K83" s="8">
        <v>45693</v>
      </c>
      <c r="Q83">
        <v>18758</v>
      </c>
      <c r="R83">
        <v>870</v>
      </c>
      <c r="S83" t="s">
        <v>1299</v>
      </c>
      <c r="T83" t="s">
        <v>215</v>
      </c>
      <c r="U83">
        <v>1</v>
      </c>
      <c r="V83">
        <v>12.71</v>
      </c>
      <c r="W83">
        <v>15</v>
      </c>
      <c r="X83">
        <v>0</v>
      </c>
      <c r="Y83">
        <v>12.71</v>
      </c>
      <c r="Z83">
        <v>18</v>
      </c>
      <c r="AA83">
        <v>2.29</v>
      </c>
      <c r="AB83">
        <v>15</v>
      </c>
      <c r="AC83">
        <v>1</v>
      </c>
      <c r="AD83">
        <v>1</v>
      </c>
      <c r="AE83" t="s">
        <v>232</v>
      </c>
      <c r="AF83" t="s">
        <v>29</v>
      </c>
      <c r="AG83">
        <v>2</v>
      </c>
      <c r="AH83" t="s">
        <v>25</v>
      </c>
      <c r="AI83">
        <v>1106</v>
      </c>
      <c r="AJ83" t="s">
        <v>239</v>
      </c>
      <c r="AK83" t="s">
        <v>1237</v>
      </c>
      <c r="AP83">
        <v>1147</v>
      </c>
      <c r="AQ83" t="s">
        <v>406</v>
      </c>
      <c r="AR83" t="s">
        <v>12</v>
      </c>
      <c r="AS83" t="str">
        <f>+CONCATENATE(A83,"-",B83)</f>
        <v>FB01-1411</v>
      </c>
    </row>
    <row r="84" spans="1:45" ht="15" customHeight="1">
      <c r="A84" t="s">
        <v>216</v>
      </c>
      <c r="B84">
        <v>1417</v>
      </c>
      <c r="C84" t="s">
        <v>27</v>
      </c>
      <c r="D84" s="8">
        <v>45693</v>
      </c>
      <c r="E84" s="22">
        <v>45964</v>
      </c>
      <c r="F84" t="s">
        <v>1240</v>
      </c>
      <c r="G84" t="s">
        <v>158</v>
      </c>
      <c r="H84">
        <v>6</v>
      </c>
      <c r="I84">
        <v>20602855733</v>
      </c>
      <c r="J84" t="s">
        <v>2733</v>
      </c>
      <c r="K84" s="8">
        <v>45693</v>
      </c>
      <c r="Q84">
        <v>18776</v>
      </c>
      <c r="R84">
        <v>981</v>
      </c>
      <c r="S84" t="s">
        <v>1241</v>
      </c>
      <c r="T84" t="s">
        <v>215</v>
      </c>
      <c r="U84">
        <v>1</v>
      </c>
      <c r="V84">
        <v>12.75</v>
      </c>
      <c r="W84">
        <v>15.04</v>
      </c>
      <c r="X84">
        <v>0</v>
      </c>
      <c r="Y84">
        <v>12.75</v>
      </c>
      <c r="Z84">
        <v>18</v>
      </c>
      <c r="AA84">
        <v>2.29</v>
      </c>
      <c r="AB84">
        <v>15.04</v>
      </c>
      <c r="AC84">
        <v>1</v>
      </c>
      <c r="AD84">
        <v>1</v>
      </c>
      <c r="AE84" t="s">
        <v>232</v>
      </c>
      <c r="AF84" t="s">
        <v>29</v>
      </c>
      <c r="AG84">
        <v>2</v>
      </c>
      <c r="AH84" t="s">
        <v>25</v>
      </c>
      <c r="AI84">
        <v>1106</v>
      </c>
      <c r="AJ84" t="s">
        <v>239</v>
      </c>
      <c r="AK84" t="s">
        <v>1237</v>
      </c>
      <c r="AP84">
        <v>385</v>
      </c>
      <c r="AQ84" t="s">
        <v>1240</v>
      </c>
      <c r="AR84" t="s">
        <v>12</v>
      </c>
      <c r="AS84" t="str">
        <f>+CONCATENATE(A84,"-",B84)</f>
        <v>FB01-1417</v>
      </c>
    </row>
    <row r="85" spans="1:45" ht="15" customHeight="1">
      <c r="A85" t="s">
        <v>1216</v>
      </c>
      <c r="B85" s="21" t="s">
        <v>1477</v>
      </c>
      <c r="C85" t="s">
        <v>27</v>
      </c>
      <c r="D85" s="8">
        <v>45954</v>
      </c>
      <c r="E85" s="22">
        <v>45964.598310185182</v>
      </c>
      <c r="F85" t="s">
        <v>1457</v>
      </c>
      <c r="H85">
        <v>6</v>
      </c>
      <c r="I85">
        <v>10737909609</v>
      </c>
      <c r="J85" t="s">
        <v>2702</v>
      </c>
      <c r="K85" s="8">
        <v>45954</v>
      </c>
      <c r="Q85">
        <v>32554</v>
      </c>
      <c r="R85">
        <v>2274</v>
      </c>
      <c r="S85" t="s">
        <v>1255</v>
      </c>
      <c r="T85" t="s">
        <v>215</v>
      </c>
      <c r="U85">
        <v>1</v>
      </c>
      <c r="V85">
        <v>14.25</v>
      </c>
      <c r="W85">
        <v>16.82</v>
      </c>
      <c r="X85">
        <v>0</v>
      </c>
      <c r="Y85">
        <v>14.25</v>
      </c>
      <c r="Z85">
        <v>18</v>
      </c>
      <c r="AA85">
        <v>2.57</v>
      </c>
      <c r="AB85">
        <v>16.82</v>
      </c>
      <c r="AC85">
        <v>1</v>
      </c>
      <c r="AD85">
        <v>1</v>
      </c>
      <c r="AE85" t="s">
        <v>1411</v>
      </c>
      <c r="AF85" t="s">
        <v>1412</v>
      </c>
      <c r="AG85">
        <v>2</v>
      </c>
      <c r="AH85" t="s">
        <v>25</v>
      </c>
      <c r="AI85">
        <v>6937</v>
      </c>
      <c r="AJ85" t="s">
        <v>1414</v>
      </c>
      <c r="AK85" t="s">
        <v>1433</v>
      </c>
      <c r="AL85">
        <v>3079</v>
      </c>
      <c r="AM85" t="s">
        <v>1456</v>
      </c>
      <c r="AN85" s="8">
        <v>45921</v>
      </c>
      <c r="AO85" s="8">
        <v>45921</v>
      </c>
      <c r="AP85">
        <v>5597</v>
      </c>
      <c r="AQ85" t="s">
        <v>1457</v>
      </c>
      <c r="AR85" t="s">
        <v>12</v>
      </c>
      <c r="AS85" t="str">
        <f>+CONCATENATE(A85,"-",B85)</f>
        <v>(01) Factura FOF1-00000172</v>
      </c>
    </row>
    <row r="86" spans="1:45" ht="15" customHeight="1">
      <c r="A86" t="s">
        <v>1216</v>
      </c>
      <c r="B86" s="21" t="s">
        <v>168</v>
      </c>
      <c r="C86" t="s">
        <v>27</v>
      </c>
      <c r="D86" s="8">
        <v>45945</v>
      </c>
      <c r="E86" s="22">
        <v>45964.783217592594</v>
      </c>
      <c r="F86" t="s">
        <v>32</v>
      </c>
      <c r="G86" t="s">
        <v>158</v>
      </c>
      <c r="H86">
        <v>6</v>
      </c>
      <c r="I86">
        <v>20608361074</v>
      </c>
      <c r="J86" t="s">
        <v>1840</v>
      </c>
      <c r="K86" s="8">
        <v>45945</v>
      </c>
      <c r="Q86">
        <v>31265</v>
      </c>
      <c r="R86">
        <v>2316</v>
      </c>
      <c r="S86" t="s">
        <v>1301</v>
      </c>
      <c r="T86" t="s">
        <v>163</v>
      </c>
      <c r="U86">
        <v>1</v>
      </c>
      <c r="V86">
        <v>14.5</v>
      </c>
      <c r="W86">
        <v>17.11</v>
      </c>
      <c r="X86">
        <v>0</v>
      </c>
      <c r="Y86">
        <v>14.5</v>
      </c>
      <c r="Z86">
        <v>18</v>
      </c>
      <c r="AA86">
        <v>2.61</v>
      </c>
      <c r="AB86">
        <v>17.11</v>
      </c>
      <c r="AC86">
        <v>1</v>
      </c>
      <c r="AD86">
        <v>1</v>
      </c>
      <c r="AE86" t="s">
        <v>1411</v>
      </c>
      <c r="AF86" t="s">
        <v>1412</v>
      </c>
      <c r="AG86">
        <v>2</v>
      </c>
      <c r="AH86" t="s">
        <v>25</v>
      </c>
      <c r="AI86">
        <v>1106</v>
      </c>
      <c r="AJ86" t="s">
        <v>239</v>
      </c>
      <c r="AK86" t="s">
        <v>169</v>
      </c>
      <c r="AL86">
        <v>3081</v>
      </c>
      <c r="AM86" t="s">
        <v>1217</v>
      </c>
      <c r="AN86" s="8">
        <v>45934</v>
      </c>
      <c r="AO86" s="8">
        <v>45934</v>
      </c>
      <c r="AP86">
        <v>397</v>
      </c>
      <c r="AQ86" t="s">
        <v>32</v>
      </c>
      <c r="AR86" t="s">
        <v>12</v>
      </c>
      <c r="AS86" t="str">
        <f>+CONCATENATE(A86,"-",B86)</f>
        <v>(01) Factura FOF1-00000046</v>
      </c>
    </row>
    <row r="87" spans="1:45" ht="15" customHeight="1">
      <c r="A87" t="s">
        <v>1216</v>
      </c>
      <c r="B87" s="21" t="s">
        <v>1532</v>
      </c>
      <c r="C87" t="s">
        <v>27</v>
      </c>
      <c r="D87" s="8">
        <v>45953</v>
      </c>
      <c r="E87" s="22">
        <v>45964.458333333336</v>
      </c>
      <c r="F87" t="s">
        <v>1530</v>
      </c>
      <c r="H87">
        <v>6</v>
      </c>
      <c r="I87">
        <v>10463513568</v>
      </c>
      <c r="J87" t="s">
        <v>1533</v>
      </c>
      <c r="K87" s="8">
        <v>45953</v>
      </c>
      <c r="Q87">
        <v>32400</v>
      </c>
      <c r="R87">
        <v>2264</v>
      </c>
      <c r="S87" t="s">
        <v>1526</v>
      </c>
      <c r="T87" t="s">
        <v>215</v>
      </c>
      <c r="U87">
        <v>50</v>
      </c>
      <c r="V87">
        <v>0.3</v>
      </c>
      <c r="W87">
        <v>0.35</v>
      </c>
      <c r="X87">
        <v>0</v>
      </c>
      <c r="Y87">
        <v>15</v>
      </c>
      <c r="Z87">
        <v>18</v>
      </c>
      <c r="AA87">
        <v>2.7</v>
      </c>
      <c r="AB87">
        <v>17.7</v>
      </c>
      <c r="AC87">
        <v>1</v>
      </c>
      <c r="AD87">
        <v>1</v>
      </c>
      <c r="AE87" t="s">
        <v>1411</v>
      </c>
      <c r="AF87" t="s">
        <v>1412</v>
      </c>
      <c r="AG87">
        <v>16</v>
      </c>
      <c r="AH87" t="s">
        <v>1400</v>
      </c>
      <c r="AI87">
        <v>1106</v>
      </c>
      <c r="AJ87" t="s">
        <v>239</v>
      </c>
      <c r="AK87" t="s">
        <v>1406</v>
      </c>
      <c r="AP87">
        <v>6723</v>
      </c>
      <c r="AQ87" t="s">
        <v>1530</v>
      </c>
      <c r="AR87" t="s">
        <v>12</v>
      </c>
      <c r="AS87" t="str">
        <f>+CONCATENATE(A87,"-",B87)</f>
        <v>(01) Factura FOF1-00000160</v>
      </c>
    </row>
    <row r="88" spans="1:45" ht="15" customHeight="1">
      <c r="A88" t="s">
        <v>1238</v>
      </c>
      <c r="B88">
        <v>655</v>
      </c>
      <c r="C88" t="s">
        <v>27</v>
      </c>
      <c r="D88" s="8">
        <v>45665</v>
      </c>
      <c r="E88" s="22">
        <v>45964</v>
      </c>
      <c r="F88" t="s">
        <v>1036</v>
      </c>
      <c r="H88">
        <v>1</v>
      </c>
      <c r="I88">
        <v>43200314</v>
      </c>
      <c r="J88" t="s">
        <v>2136</v>
      </c>
      <c r="K88" s="8">
        <v>45665</v>
      </c>
      <c r="Q88">
        <v>17750</v>
      </c>
      <c r="R88">
        <v>874</v>
      </c>
      <c r="S88" t="s">
        <v>1248</v>
      </c>
      <c r="T88" t="s">
        <v>215</v>
      </c>
      <c r="U88">
        <v>1</v>
      </c>
      <c r="V88">
        <v>15</v>
      </c>
      <c r="W88">
        <v>17.7</v>
      </c>
      <c r="X88">
        <v>0</v>
      </c>
      <c r="Y88">
        <v>15</v>
      </c>
      <c r="Z88">
        <v>18</v>
      </c>
      <c r="AA88">
        <v>2.7</v>
      </c>
      <c r="AB88">
        <v>17.7</v>
      </c>
      <c r="AC88">
        <v>1</v>
      </c>
      <c r="AD88">
        <v>1</v>
      </c>
      <c r="AE88" t="s">
        <v>232</v>
      </c>
      <c r="AF88" t="s">
        <v>29</v>
      </c>
      <c r="AG88">
        <v>2</v>
      </c>
      <c r="AH88" t="s">
        <v>25</v>
      </c>
      <c r="AI88">
        <v>1106</v>
      </c>
      <c r="AJ88" t="s">
        <v>239</v>
      </c>
      <c r="AK88" t="s">
        <v>1237</v>
      </c>
      <c r="AP88">
        <v>1159</v>
      </c>
      <c r="AQ88" t="s">
        <v>1036</v>
      </c>
      <c r="AR88" t="s">
        <v>1295</v>
      </c>
      <c r="AS88" t="str">
        <f>+CONCATENATE(A88,"-",B88)</f>
        <v>BB01-655</v>
      </c>
    </row>
    <row r="89" spans="1:45" ht="15" customHeight="1">
      <c r="A89" t="s">
        <v>216</v>
      </c>
      <c r="B89">
        <v>1200</v>
      </c>
      <c r="C89" t="s">
        <v>27</v>
      </c>
      <c r="D89" s="8">
        <v>45663</v>
      </c>
      <c r="E89" s="22">
        <v>45964</v>
      </c>
      <c r="F89" t="s">
        <v>1091</v>
      </c>
      <c r="H89">
        <v>6</v>
      </c>
      <c r="I89">
        <v>20609225107</v>
      </c>
      <c r="J89" t="s">
        <v>2787</v>
      </c>
      <c r="K89" s="8">
        <v>45663</v>
      </c>
      <c r="Q89">
        <v>17199</v>
      </c>
      <c r="R89">
        <v>870</v>
      </c>
      <c r="S89" t="s">
        <v>1299</v>
      </c>
      <c r="T89" t="s">
        <v>215</v>
      </c>
      <c r="U89">
        <v>1</v>
      </c>
      <c r="V89">
        <v>15.25</v>
      </c>
      <c r="W89">
        <v>18</v>
      </c>
      <c r="X89">
        <v>0</v>
      </c>
      <c r="Y89">
        <v>15.25</v>
      </c>
      <c r="Z89">
        <v>18</v>
      </c>
      <c r="AA89">
        <v>2.75</v>
      </c>
      <c r="AB89">
        <v>18</v>
      </c>
      <c r="AC89">
        <v>1</v>
      </c>
      <c r="AD89">
        <v>1</v>
      </c>
      <c r="AE89" t="s">
        <v>232</v>
      </c>
      <c r="AF89" t="s">
        <v>29</v>
      </c>
      <c r="AG89">
        <v>2</v>
      </c>
      <c r="AH89" t="s">
        <v>25</v>
      </c>
      <c r="AI89">
        <v>1106</v>
      </c>
      <c r="AJ89" t="s">
        <v>239</v>
      </c>
      <c r="AK89" t="s">
        <v>1237</v>
      </c>
      <c r="AP89">
        <v>1118</v>
      </c>
      <c r="AQ89" t="s">
        <v>1091</v>
      </c>
      <c r="AR89" t="s">
        <v>12</v>
      </c>
      <c r="AS89" t="str">
        <f>+CONCATENATE(A89,"-",B89)</f>
        <v>FB01-1200</v>
      </c>
    </row>
    <row r="90" spans="1:45" ht="15" customHeight="1">
      <c r="A90" t="s">
        <v>1216</v>
      </c>
      <c r="B90" s="21" t="s">
        <v>1564</v>
      </c>
      <c r="C90" t="s">
        <v>27</v>
      </c>
      <c r="D90" s="8">
        <v>45946</v>
      </c>
      <c r="E90" s="22">
        <v>45964.7734375</v>
      </c>
      <c r="F90" t="s">
        <v>1794</v>
      </c>
      <c r="H90">
        <v>6</v>
      </c>
      <c r="I90">
        <v>10207250991</v>
      </c>
      <c r="J90" t="s">
        <v>1797</v>
      </c>
      <c r="K90" s="8">
        <v>45946</v>
      </c>
      <c r="Q90">
        <v>31400</v>
      </c>
      <c r="R90">
        <v>2274</v>
      </c>
      <c r="S90" t="s">
        <v>1255</v>
      </c>
      <c r="T90" t="s">
        <v>215</v>
      </c>
      <c r="U90">
        <v>1</v>
      </c>
      <c r="V90">
        <v>15.5</v>
      </c>
      <c r="W90">
        <v>18.29</v>
      </c>
      <c r="X90">
        <v>0</v>
      </c>
      <c r="Y90">
        <v>15.5</v>
      </c>
      <c r="Z90">
        <v>18</v>
      </c>
      <c r="AA90">
        <v>2.79</v>
      </c>
      <c r="AB90">
        <v>18.29</v>
      </c>
      <c r="AC90">
        <v>1</v>
      </c>
      <c r="AD90">
        <v>1</v>
      </c>
      <c r="AE90" t="s">
        <v>1411</v>
      </c>
      <c r="AF90" t="s">
        <v>1412</v>
      </c>
      <c r="AG90">
        <v>2</v>
      </c>
      <c r="AH90" t="s">
        <v>25</v>
      </c>
      <c r="AI90">
        <v>6937</v>
      </c>
      <c r="AJ90" t="s">
        <v>1414</v>
      </c>
      <c r="AK90" t="s">
        <v>1433</v>
      </c>
      <c r="AL90">
        <v>2471</v>
      </c>
      <c r="AM90" t="s">
        <v>1796</v>
      </c>
      <c r="AN90" s="8">
        <v>45928</v>
      </c>
      <c r="AO90" s="8">
        <v>45928</v>
      </c>
      <c r="AP90">
        <v>5507</v>
      </c>
      <c r="AQ90" t="s">
        <v>1794</v>
      </c>
      <c r="AR90" t="s">
        <v>12</v>
      </c>
      <c r="AS90" t="str">
        <f>+CONCATENATE(A90,"-",B90)</f>
        <v>(01) Factura FOF1-00000076</v>
      </c>
    </row>
    <row r="91" spans="1:45" ht="15" customHeight="1">
      <c r="A91" t="s">
        <v>216</v>
      </c>
      <c r="B91">
        <v>1324</v>
      </c>
      <c r="C91" t="s">
        <v>27</v>
      </c>
      <c r="D91" s="8">
        <v>45685</v>
      </c>
      <c r="E91" s="22">
        <v>45964</v>
      </c>
      <c r="F91" t="s">
        <v>485</v>
      </c>
      <c r="H91">
        <v>6</v>
      </c>
      <c r="I91">
        <v>20609649039</v>
      </c>
      <c r="J91" t="s">
        <v>2025</v>
      </c>
      <c r="K91" s="8">
        <v>45685</v>
      </c>
      <c r="Q91">
        <v>18637</v>
      </c>
      <c r="R91">
        <v>870</v>
      </c>
      <c r="S91" t="s">
        <v>1299</v>
      </c>
      <c r="T91" t="s">
        <v>215</v>
      </c>
      <c r="U91">
        <v>1</v>
      </c>
      <c r="V91">
        <v>16</v>
      </c>
      <c r="W91">
        <v>18.88</v>
      </c>
      <c r="X91">
        <v>0</v>
      </c>
      <c r="Y91">
        <v>16</v>
      </c>
      <c r="Z91">
        <v>18</v>
      </c>
      <c r="AA91">
        <v>2.88</v>
      </c>
      <c r="AB91">
        <v>18.88</v>
      </c>
      <c r="AC91">
        <v>1</v>
      </c>
      <c r="AD91">
        <v>1</v>
      </c>
      <c r="AE91" t="s">
        <v>232</v>
      </c>
      <c r="AF91" t="s">
        <v>29</v>
      </c>
      <c r="AG91">
        <v>2</v>
      </c>
      <c r="AH91" t="s">
        <v>25</v>
      </c>
      <c r="AI91">
        <v>1106</v>
      </c>
      <c r="AJ91" t="s">
        <v>239</v>
      </c>
      <c r="AK91" t="s">
        <v>1237</v>
      </c>
      <c r="AP91">
        <v>1142</v>
      </c>
      <c r="AQ91" t="s">
        <v>485</v>
      </c>
      <c r="AR91" t="s">
        <v>12</v>
      </c>
      <c r="AS91" t="str">
        <f>+CONCATENATE(A91,"-",B91)</f>
        <v>FB01-1324</v>
      </c>
    </row>
    <row r="92" spans="1:45" ht="15" customHeight="1">
      <c r="A92" t="s">
        <v>216</v>
      </c>
      <c r="B92">
        <v>1394</v>
      </c>
      <c r="C92" t="s">
        <v>27</v>
      </c>
      <c r="D92" s="8">
        <v>45693</v>
      </c>
      <c r="E92" s="22">
        <v>45964</v>
      </c>
      <c r="F92" t="s">
        <v>447</v>
      </c>
      <c r="H92">
        <v>6</v>
      </c>
      <c r="I92">
        <v>20610014381</v>
      </c>
      <c r="J92" t="s">
        <v>1941</v>
      </c>
      <c r="K92" s="8">
        <v>45693</v>
      </c>
      <c r="Q92">
        <v>18733</v>
      </c>
      <c r="R92">
        <v>877</v>
      </c>
      <c r="S92" t="s">
        <v>1300</v>
      </c>
      <c r="T92" t="s">
        <v>215</v>
      </c>
      <c r="U92">
        <v>1</v>
      </c>
      <c r="V92">
        <v>16.440000000000001</v>
      </c>
      <c r="W92">
        <v>19.399999999999999</v>
      </c>
      <c r="X92">
        <v>0</v>
      </c>
      <c r="Y92">
        <v>16.440000000000001</v>
      </c>
      <c r="Z92">
        <v>18</v>
      </c>
      <c r="AA92">
        <v>2.96</v>
      </c>
      <c r="AB92">
        <v>19.399999999999999</v>
      </c>
      <c r="AC92">
        <v>1</v>
      </c>
      <c r="AD92">
        <v>1</v>
      </c>
      <c r="AE92" t="s">
        <v>232</v>
      </c>
      <c r="AF92" t="s">
        <v>29</v>
      </c>
      <c r="AG92">
        <v>2</v>
      </c>
      <c r="AH92" t="s">
        <v>25</v>
      </c>
      <c r="AI92">
        <v>1106</v>
      </c>
      <c r="AJ92" t="s">
        <v>239</v>
      </c>
      <c r="AK92" t="s">
        <v>1237</v>
      </c>
      <c r="AP92">
        <v>1144</v>
      </c>
      <c r="AQ92" t="s">
        <v>447</v>
      </c>
      <c r="AR92" t="s">
        <v>12</v>
      </c>
      <c r="AS92" t="str">
        <f>+CONCATENATE(A92,"-",B92)</f>
        <v>FB01-1394</v>
      </c>
    </row>
    <row r="93" spans="1:45" ht="15" customHeight="1">
      <c r="A93" t="s">
        <v>216</v>
      </c>
      <c r="B93">
        <v>1325</v>
      </c>
      <c r="C93" t="s">
        <v>27</v>
      </c>
      <c r="D93" s="8">
        <v>45685</v>
      </c>
      <c r="E93" s="22">
        <v>45964</v>
      </c>
      <c r="F93" t="s">
        <v>485</v>
      </c>
      <c r="H93">
        <v>6</v>
      </c>
      <c r="I93">
        <v>20609649039</v>
      </c>
      <c r="J93" t="s">
        <v>2757</v>
      </c>
      <c r="K93" s="8">
        <v>45685</v>
      </c>
      <c r="Q93">
        <v>18638</v>
      </c>
      <c r="R93">
        <v>877</v>
      </c>
      <c r="S93" t="s">
        <v>1300</v>
      </c>
      <c r="T93" t="s">
        <v>215</v>
      </c>
      <c r="U93">
        <v>1</v>
      </c>
      <c r="V93">
        <v>16.809999999999999</v>
      </c>
      <c r="W93">
        <v>19.84</v>
      </c>
      <c r="X93">
        <v>0</v>
      </c>
      <c r="Y93">
        <v>16.809999999999999</v>
      </c>
      <c r="Z93">
        <v>18</v>
      </c>
      <c r="AA93">
        <v>3.03</v>
      </c>
      <c r="AB93">
        <v>19.84</v>
      </c>
      <c r="AC93">
        <v>1</v>
      </c>
      <c r="AD93">
        <v>1</v>
      </c>
      <c r="AE93" t="s">
        <v>232</v>
      </c>
      <c r="AF93" t="s">
        <v>29</v>
      </c>
      <c r="AG93">
        <v>2</v>
      </c>
      <c r="AH93" t="s">
        <v>25</v>
      </c>
      <c r="AI93">
        <v>1106</v>
      </c>
      <c r="AJ93" t="s">
        <v>239</v>
      </c>
      <c r="AK93" t="s">
        <v>1237</v>
      </c>
      <c r="AP93">
        <v>1142</v>
      </c>
      <c r="AQ93" t="s">
        <v>485</v>
      </c>
      <c r="AR93" t="s">
        <v>12</v>
      </c>
      <c r="AS93" t="str">
        <f>+CONCATENATE(A93,"-",B93)</f>
        <v>FB01-1325</v>
      </c>
    </row>
    <row r="94" spans="1:45" ht="15" customHeight="1">
      <c r="A94" t="s">
        <v>1214</v>
      </c>
      <c r="B94" s="21" t="s">
        <v>1756</v>
      </c>
      <c r="C94" t="s">
        <v>27</v>
      </c>
      <c r="D94" s="8">
        <v>45959</v>
      </c>
      <c r="E94" s="22">
        <v>45964.639131944445</v>
      </c>
      <c r="F94" t="s">
        <v>2487</v>
      </c>
      <c r="H94">
        <v>1</v>
      </c>
      <c r="I94">
        <v>72204247</v>
      </c>
      <c r="J94" t="s">
        <v>2670</v>
      </c>
      <c r="K94" s="8">
        <v>45959</v>
      </c>
      <c r="Q94">
        <v>32897</v>
      </c>
      <c r="R94">
        <v>216</v>
      </c>
      <c r="S94" t="s">
        <v>1300</v>
      </c>
      <c r="T94" t="s">
        <v>163</v>
      </c>
      <c r="U94">
        <v>1</v>
      </c>
      <c r="V94">
        <v>16.96</v>
      </c>
      <c r="W94">
        <v>20.010000000000002</v>
      </c>
      <c r="X94">
        <v>0</v>
      </c>
      <c r="Y94">
        <v>16.96</v>
      </c>
      <c r="Z94">
        <v>18</v>
      </c>
      <c r="AA94">
        <v>3.05</v>
      </c>
      <c r="AB94">
        <v>20.010000000000002</v>
      </c>
      <c r="AC94">
        <v>1</v>
      </c>
      <c r="AD94">
        <v>1</v>
      </c>
      <c r="AE94" t="s">
        <v>1411</v>
      </c>
      <c r="AF94" t="s">
        <v>1412</v>
      </c>
      <c r="AG94">
        <v>2</v>
      </c>
      <c r="AH94" t="s">
        <v>25</v>
      </c>
      <c r="AI94">
        <v>6936</v>
      </c>
      <c r="AJ94" t="s">
        <v>1437</v>
      </c>
      <c r="AK94" t="s">
        <v>1433</v>
      </c>
      <c r="AL94">
        <v>3211</v>
      </c>
      <c r="AM94" t="s">
        <v>2488</v>
      </c>
      <c r="AN94" s="8">
        <v>45955</v>
      </c>
      <c r="AO94" s="8">
        <v>45955</v>
      </c>
      <c r="AP94">
        <v>5490</v>
      </c>
      <c r="AQ94" t="s">
        <v>2487</v>
      </c>
      <c r="AR94" t="s">
        <v>1295</v>
      </c>
      <c r="AS94" t="str">
        <f>+CONCATENATE(A94,"-",B94)</f>
        <v>(03) Boleta BOB1-00000100</v>
      </c>
    </row>
    <row r="95" spans="1:45" ht="15" customHeight="1">
      <c r="A95" t="s">
        <v>216</v>
      </c>
      <c r="B95">
        <v>1226</v>
      </c>
      <c r="C95" t="s">
        <v>27</v>
      </c>
      <c r="D95" s="8">
        <v>45665</v>
      </c>
      <c r="E95" s="22">
        <v>45964</v>
      </c>
      <c r="F95" t="s">
        <v>1022</v>
      </c>
      <c r="H95">
        <v>6</v>
      </c>
      <c r="I95">
        <v>20611545399</v>
      </c>
      <c r="J95" t="s">
        <v>2783</v>
      </c>
      <c r="K95" s="8">
        <v>45665</v>
      </c>
      <c r="Q95">
        <v>17229</v>
      </c>
      <c r="R95">
        <v>877</v>
      </c>
      <c r="S95" t="s">
        <v>1300</v>
      </c>
      <c r="T95" t="s">
        <v>215</v>
      </c>
      <c r="U95">
        <v>1</v>
      </c>
      <c r="V95">
        <v>17.100000000000001</v>
      </c>
      <c r="W95">
        <v>20.18</v>
      </c>
      <c r="X95">
        <v>0</v>
      </c>
      <c r="Y95">
        <v>17.100000000000001</v>
      </c>
      <c r="Z95">
        <v>18</v>
      </c>
      <c r="AA95">
        <v>3.08</v>
      </c>
      <c r="AB95">
        <v>20.18</v>
      </c>
      <c r="AC95">
        <v>1</v>
      </c>
      <c r="AD95">
        <v>1</v>
      </c>
      <c r="AE95" t="s">
        <v>232</v>
      </c>
      <c r="AF95" t="s">
        <v>29</v>
      </c>
      <c r="AG95">
        <v>2</v>
      </c>
      <c r="AH95" t="s">
        <v>25</v>
      </c>
      <c r="AI95">
        <v>1106</v>
      </c>
      <c r="AJ95" t="s">
        <v>239</v>
      </c>
      <c r="AK95" t="s">
        <v>1237</v>
      </c>
      <c r="AP95">
        <v>1126</v>
      </c>
      <c r="AQ95" t="s">
        <v>1022</v>
      </c>
      <c r="AR95" t="s">
        <v>12</v>
      </c>
      <c r="AS95" t="str">
        <f>+CONCATENATE(A95,"-",B95)</f>
        <v>FB01-1226</v>
      </c>
    </row>
    <row r="96" spans="1:45" ht="15" customHeight="1">
      <c r="A96" t="s">
        <v>216</v>
      </c>
      <c r="B96">
        <v>1391</v>
      </c>
      <c r="C96" t="s">
        <v>27</v>
      </c>
      <c r="D96" s="8">
        <v>45693</v>
      </c>
      <c r="E96" s="22">
        <v>45964</v>
      </c>
      <c r="F96" t="s">
        <v>1325</v>
      </c>
      <c r="H96">
        <v>6</v>
      </c>
      <c r="I96">
        <v>20516587874</v>
      </c>
      <c r="J96" t="s">
        <v>2747</v>
      </c>
      <c r="K96" s="8">
        <v>45693</v>
      </c>
      <c r="Q96">
        <v>18730</v>
      </c>
      <c r="R96">
        <v>870</v>
      </c>
      <c r="S96" t="s">
        <v>1299</v>
      </c>
      <c r="T96" t="s">
        <v>215</v>
      </c>
      <c r="U96">
        <v>1</v>
      </c>
      <c r="V96">
        <v>17.29</v>
      </c>
      <c r="W96">
        <v>20.399999999999999</v>
      </c>
      <c r="X96">
        <v>0</v>
      </c>
      <c r="Y96">
        <v>17.29</v>
      </c>
      <c r="Z96">
        <v>18</v>
      </c>
      <c r="AA96">
        <v>3.11</v>
      </c>
      <c r="AB96">
        <v>20.399999999999999</v>
      </c>
      <c r="AC96">
        <v>1</v>
      </c>
      <c r="AD96">
        <v>1</v>
      </c>
      <c r="AE96" t="s">
        <v>232</v>
      </c>
      <c r="AF96" t="s">
        <v>29</v>
      </c>
      <c r="AG96">
        <v>2</v>
      </c>
      <c r="AH96" t="s">
        <v>25</v>
      </c>
      <c r="AI96">
        <v>1106</v>
      </c>
      <c r="AJ96" t="s">
        <v>239</v>
      </c>
      <c r="AK96" t="s">
        <v>1237</v>
      </c>
      <c r="AP96">
        <v>1116</v>
      </c>
      <c r="AQ96" t="s">
        <v>1325</v>
      </c>
      <c r="AR96" t="s">
        <v>12</v>
      </c>
      <c r="AS96" t="str">
        <f>+CONCATENATE(A96,"-",B96)</f>
        <v>FB01-1391</v>
      </c>
    </row>
    <row r="97" spans="1:45" ht="15" customHeight="1">
      <c r="A97" t="s">
        <v>1216</v>
      </c>
      <c r="B97" s="21" t="s">
        <v>1413</v>
      </c>
      <c r="C97" t="s">
        <v>27</v>
      </c>
      <c r="D97" s="8">
        <v>45957</v>
      </c>
      <c r="E97" s="22">
        <v>45964.625</v>
      </c>
      <c r="F97" t="s">
        <v>415</v>
      </c>
      <c r="H97">
        <v>6</v>
      </c>
      <c r="I97">
        <v>20611890746</v>
      </c>
      <c r="J97" t="s">
        <v>2690</v>
      </c>
      <c r="K97" s="8">
        <v>45957</v>
      </c>
      <c r="Q97">
        <v>32789</v>
      </c>
      <c r="R97">
        <v>2274</v>
      </c>
      <c r="S97" t="s">
        <v>1255</v>
      </c>
      <c r="T97" t="s">
        <v>215</v>
      </c>
      <c r="U97">
        <v>1</v>
      </c>
      <c r="V97">
        <v>18</v>
      </c>
      <c r="W97">
        <v>21.24</v>
      </c>
      <c r="X97">
        <v>0</v>
      </c>
      <c r="Y97">
        <v>18</v>
      </c>
      <c r="Z97">
        <v>18</v>
      </c>
      <c r="AA97">
        <v>3.24</v>
      </c>
      <c r="AB97">
        <v>21.24</v>
      </c>
      <c r="AC97">
        <v>1</v>
      </c>
      <c r="AD97">
        <v>1</v>
      </c>
      <c r="AE97" t="s">
        <v>1411</v>
      </c>
      <c r="AF97" t="s">
        <v>1412</v>
      </c>
      <c r="AG97">
        <v>16</v>
      </c>
      <c r="AH97" t="s">
        <v>1400</v>
      </c>
      <c r="AI97">
        <v>6937</v>
      </c>
      <c r="AJ97" t="s">
        <v>1414</v>
      </c>
      <c r="AK97" t="s">
        <v>169</v>
      </c>
      <c r="AP97">
        <v>1136</v>
      </c>
      <c r="AQ97" t="s">
        <v>415</v>
      </c>
      <c r="AR97" t="s">
        <v>12</v>
      </c>
      <c r="AS97" t="str">
        <f>+CONCATENATE(A97,"-",B97)</f>
        <v>(01) Factura FOF1-00000189</v>
      </c>
    </row>
    <row r="98" spans="1:45" ht="15" customHeight="1">
      <c r="A98" t="s">
        <v>216</v>
      </c>
      <c r="B98">
        <v>1393</v>
      </c>
      <c r="C98" t="s">
        <v>27</v>
      </c>
      <c r="D98" s="8">
        <v>45693</v>
      </c>
      <c r="E98" s="22">
        <v>45964</v>
      </c>
      <c r="F98" t="s">
        <v>447</v>
      </c>
      <c r="H98">
        <v>6</v>
      </c>
      <c r="I98">
        <v>20610014381</v>
      </c>
      <c r="J98" t="s">
        <v>2746</v>
      </c>
      <c r="K98" s="8">
        <v>45693</v>
      </c>
      <c r="Q98">
        <v>18732</v>
      </c>
      <c r="R98">
        <v>870</v>
      </c>
      <c r="S98" t="s">
        <v>1299</v>
      </c>
      <c r="T98" t="s">
        <v>215</v>
      </c>
      <c r="U98">
        <v>1</v>
      </c>
      <c r="V98">
        <v>18.05</v>
      </c>
      <c r="W98">
        <v>21.3</v>
      </c>
      <c r="X98">
        <v>0</v>
      </c>
      <c r="Y98">
        <v>18.05</v>
      </c>
      <c r="Z98">
        <v>18</v>
      </c>
      <c r="AA98">
        <v>3.25</v>
      </c>
      <c r="AB98">
        <v>21.3</v>
      </c>
      <c r="AC98">
        <v>1</v>
      </c>
      <c r="AD98">
        <v>1</v>
      </c>
      <c r="AE98" t="s">
        <v>232</v>
      </c>
      <c r="AF98" t="s">
        <v>29</v>
      </c>
      <c r="AG98">
        <v>2</v>
      </c>
      <c r="AH98" t="s">
        <v>25</v>
      </c>
      <c r="AI98">
        <v>1106</v>
      </c>
      <c r="AJ98" t="s">
        <v>239</v>
      </c>
      <c r="AK98" t="s">
        <v>1237</v>
      </c>
      <c r="AP98">
        <v>1144</v>
      </c>
      <c r="AQ98" t="s">
        <v>447</v>
      </c>
      <c r="AR98" t="s">
        <v>12</v>
      </c>
      <c r="AS98" t="str">
        <f>+CONCATENATE(A98,"-",B98)</f>
        <v>FB01-1393</v>
      </c>
    </row>
    <row r="99" spans="1:45" ht="15" customHeight="1">
      <c r="A99" t="s">
        <v>216</v>
      </c>
      <c r="B99">
        <v>1374</v>
      </c>
      <c r="C99" t="s">
        <v>27</v>
      </c>
      <c r="D99" s="8">
        <v>45693</v>
      </c>
      <c r="E99" s="22">
        <v>45964</v>
      </c>
      <c r="F99" t="s">
        <v>490</v>
      </c>
      <c r="H99">
        <v>6</v>
      </c>
      <c r="I99">
        <v>20611587741</v>
      </c>
      <c r="J99" t="s">
        <v>2753</v>
      </c>
      <c r="K99" s="8">
        <v>45693</v>
      </c>
      <c r="Q99">
        <v>18703</v>
      </c>
      <c r="R99">
        <v>870</v>
      </c>
      <c r="S99" t="s">
        <v>1299</v>
      </c>
      <c r="T99" t="s">
        <v>215</v>
      </c>
      <c r="U99">
        <v>1</v>
      </c>
      <c r="V99">
        <v>18.05</v>
      </c>
      <c r="W99">
        <v>21.3</v>
      </c>
      <c r="X99">
        <v>0</v>
      </c>
      <c r="Y99">
        <v>18.05</v>
      </c>
      <c r="Z99">
        <v>18</v>
      </c>
      <c r="AA99">
        <v>3.25</v>
      </c>
      <c r="AB99">
        <v>21.3</v>
      </c>
      <c r="AC99">
        <v>1</v>
      </c>
      <c r="AD99">
        <v>1</v>
      </c>
      <c r="AE99" t="s">
        <v>232</v>
      </c>
      <c r="AF99" t="s">
        <v>29</v>
      </c>
      <c r="AG99">
        <v>2</v>
      </c>
      <c r="AH99" t="s">
        <v>25</v>
      </c>
      <c r="AI99">
        <v>1106</v>
      </c>
      <c r="AJ99" t="s">
        <v>239</v>
      </c>
      <c r="AK99" t="s">
        <v>1237</v>
      </c>
      <c r="AP99">
        <v>1130</v>
      </c>
      <c r="AQ99" t="s">
        <v>490</v>
      </c>
      <c r="AR99" t="s">
        <v>12</v>
      </c>
      <c r="AS99" t="str">
        <f>+CONCATENATE(A99,"-",B99)</f>
        <v>FB01-1374</v>
      </c>
    </row>
    <row r="100" spans="1:45" ht="15" customHeight="1">
      <c r="A100" t="s">
        <v>216</v>
      </c>
      <c r="B100">
        <v>1282</v>
      </c>
      <c r="C100" t="s">
        <v>27</v>
      </c>
      <c r="D100" s="8">
        <v>45680</v>
      </c>
      <c r="E100" s="22">
        <v>45964</v>
      </c>
      <c r="F100" t="s">
        <v>490</v>
      </c>
      <c r="H100">
        <v>6</v>
      </c>
      <c r="I100">
        <v>20611587741</v>
      </c>
      <c r="J100" t="s">
        <v>2771</v>
      </c>
      <c r="K100" s="8">
        <v>45680</v>
      </c>
      <c r="Q100">
        <v>17804</v>
      </c>
      <c r="R100">
        <v>870</v>
      </c>
      <c r="S100" t="s">
        <v>1299</v>
      </c>
      <c r="T100" t="s">
        <v>215</v>
      </c>
      <c r="U100">
        <v>1</v>
      </c>
      <c r="V100">
        <v>18.05</v>
      </c>
      <c r="W100">
        <v>21.3</v>
      </c>
      <c r="X100">
        <v>0</v>
      </c>
      <c r="Y100">
        <v>18.05</v>
      </c>
      <c r="Z100">
        <v>18</v>
      </c>
      <c r="AA100">
        <v>3.25</v>
      </c>
      <c r="AB100">
        <v>21.3</v>
      </c>
      <c r="AC100">
        <v>1</v>
      </c>
      <c r="AD100">
        <v>1</v>
      </c>
      <c r="AE100" t="s">
        <v>232</v>
      </c>
      <c r="AF100" t="s">
        <v>29</v>
      </c>
      <c r="AG100">
        <v>2</v>
      </c>
      <c r="AH100" t="s">
        <v>25</v>
      </c>
      <c r="AI100">
        <v>1106</v>
      </c>
      <c r="AJ100" t="s">
        <v>239</v>
      </c>
      <c r="AK100" t="s">
        <v>1237</v>
      </c>
      <c r="AP100">
        <v>1130</v>
      </c>
      <c r="AQ100" t="s">
        <v>490</v>
      </c>
      <c r="AR100" t="s">
        <v>12</v>
      </c>
      <c r="AS100" t="str">
        <f>+CONCATENATE(A100,"-",B100)</f>
        <v>FB01-1282</v>
      </c>
    </row>
    <row r="101" spans="1:45" ht="15" customHeight="1">
      <c r="A101" t="s">
        <v>1238</v>
      </c>
      <c r="B101">
        <v>683</v>
      </c>
      <c r="C101" t="s">
        <v>27</v>
      </c>
      <c r="D101" s="8">
        <v>45680</v>
      </c>
      <c r="E101" s="22">
        <v>45964</v>
      </c>
      <c r="F101" t="s">
        <v>1318</v>
      </c>
      <c r="G101" t="s">
        <v>158</v>
      </c>
      <c r="H101">
        <v>1</v>
      </c>
      <c r="I101">
        <v>73241854</v>
      </c>
      <c r="J101" t="s">
        <v>2765</v>
      </c>
      <c r="K101" s="8">
        <v>45680</v>
      </c>
      <c r="Q101">
        <v>17843</v>
      </c>
      <c r="R101">
        <v>933</v>
      </c>
      <c r="S101" t="s">
        <v>1320</v>
      </c>
      <c r="T101" t="s">
        <v>215</v>
      </c>
      <c r="U101">
        <v>1</v>
      </c>
      <c r="V101">
        <v>18.09</v>
      </c>
      <c r="W101">
        <v>21.35</v>
      </c>
      <c r="X101">
        <v>0</v>
      </c>
      <c r="Y101">
        <v>18.09</v>
      </c>
      <c r="Z101">
        <v>18</v>
      </c>
      <c r="AA101">
        <v>3.26</v>
      </c>
      <c r="AB101">
        <v>21.35</v>
      </c>
      <c r="AC101">
        <v>1</v>
      </c>
      <c r="AD101">
        <v>1</v>
      </c>
      <c r="AE101" t="s">
        <v>232</v>
      </c>
      <c r="AF101" t="s">
        <v>29</v>
      </c>
      <c r="AG101">
        <v>2</v>
      </c>
      <c r="AH101" t="s">
        <v>25</v>
      </c>
      <c r="AI101">
        <v>1106</v>
      </c>
      <c r="AJ101" t="s">
        <v>239</v>
      </c>
      <c r="AK101" t="s">
        <v>1237</v>
      </c>
      <c r="AP101">
        <v>418</v>
      </c>
      <c r="AQ101" t="s">
        <v>1318</v>
      </c>
      <c r="AR101" t="s">
        <v>1295</v>
      </c>
      <c r="AS101" t="str">
        <f>+CONCATENATE(A101,"-",B101)</f>
        <v>BB01-683</v>
      </c>
    </row>
    <row r="102" spans="1:45" ht="15" customHeight="1">
      <c r="A102" t="s">
        <v>1214</v>
      </c>
      <c r="B102" s="21" t="s">
        <v>189</v>
      </c>
      <c r="C102" t="s">
        <v>27</v>
      </c>
      <c r="D102" s="8">
        <v>45945</v>
      </c>
      <c r="E102" s="22">
        <v>45964.766099537039</v>
      </c>
      <c r="F102" t="s">
        <v>1219</v>
      </c>
      <c r="H102">
        <v>1</v>
      </c>
      <c r="I102" s="21" t="s">
        <v>1220</v>
      </c>
      <c r="J102" t="s">
        <v>2726</v>
      </c>
      <c r="K102" s="8">
        <v>45945</v>
      </c>
      <c r="Q102">
        <v>31229</v>
      </c>
      <c r="R102">
        <v>216</v>
      </c>
      <c r="S102" t="s">
        <v>1300</v>
      </c>
      <c r="T102" t="s">
        <v>163</v>
      </c>
      <c r="U102">
        <v>1</v>
      </c>
      <c r="V102">
        <v>18.309999999999999</v>
      </c>
      <c r="W102">
        <v>21.61</v>
      </c>
      <c r="X102">
        <v>0</v>
      </c>
      <c r="Y102">
        <v>18.309999999999999</v>
      </c>
      <c r="Z102">
        <v>18</v>
      </c>
      <c r="AA102">
        <v>3.3</v>
      </c>
      <c r="AB102">
        <v>21.61</v>
      </c>
      <c r="AC102">
        <v>1</v>
      </c>
      <c r="AD102">
        <v>1</v>
      </c>
      <c r="AE102" t="s">
        <v>1411</v>
      </c>
      <c r="AF102" t="s">
        <v>1412</v>
      </c>
      <c r="AG102">
        <v>2</v>
      </c>
      <c r="AH102" t="s">
        <v>25</v>
      </c>
      <c r="AI102">
        <v>1106</v>
      </c>
      <c r="AJ102" t="s">
        <v>239</v>
      </c>
      <c r="AK102" t="s">
        <v>169</v>
      </c>
      <c r="AL102">
        <v>3029</v>
      </c>
      <c r="AM102" t="s">
        <v>1221</v>
      </c>
      <c r="AN102" s="8">
        <v>45934</v>
      </c>
      <c r="AO102" s="8">
        <v>45934</v>
      </c>
      <c r="AP102">
        <v>5603</v>
      </c>
      <c r="AQ102" t="s">
        <v>1219</v>
      </c>
      <c r="AR102" t="s">
        <v>1295</v>
      </c>
      <c r="AS102" t="str">
        <f>+CONCATENATE(A102,"-",B102)</f>
        <v>(03) Boleta BOB1-00000023</v>
      </c>
    </row>
    <row r="103" spans="1:45" ht="15" customHeight="1">
      <c r="A103" t="s">
        <v>1216</v>
      </c>
      <c r="B103" s="21" t="s">
        <v>2483</v>
      </c>
      <c r="C103" t="s">
        <v>27</v>
      </c>
      <c r="D103" s="8">
        <v>45959</v>
      </c>
      <c r="E103" s="22">
        <v>45964.64402777778</v>
      </c>
      <c r="F103" t="s">
        <v>1553</v>
      </c>
      <c r="H103">
        <v>6</v>
      </c>
      <c r="I103">
        <v>20608747843</v>
      </c>
      <c r="J103" t="s">
        <v>2663</v>
      </c>
      <c r="K103" s="8">
        <v>45959</v>
      </c>
      <c r="Q103">
        <v>32920</v>
      </c>
      <c r="R103">
        <v>1786</v>
      </c>
      <c r="S103" t="s">
        <v>1299</v>
      </c>
      <c r="T103" t="s">
        <v>163</v>
      </c>
      <c r="U103">
        <v>1</v>
      </c>
      <c r="V103">
        <v>18.39</v>
      </c>
      <c r="W103">
        <v>21.7</v>
      </c>
      <c r="X103">
        <v>0</v>
      </c>
      <c r="Y103">
        <v>18.39</v>
      </c>
      <c r="Z103">
        <v>18</v>
      </c>
      <c r="AA103">
        <v>3.31</v>
      </c>
      <c r="AB103">
        <v>21.7</v>
      </c>
      <c r="AC103">
        <v>1</v>
      </c>
      <c r="AD103">
        <v>1</v>
      </c>
      <c r="AE103" t="s">
        <v>1411</v>
      </c>
      <c r="AF103" t="s">
        <v>1412</v>
      </c>
      <c r="AG103">
        <v>2</v>
      </c>
      <c r="AH103" t="s">
        <v>25</v>
      </c>
      <c r="AI103">
        <v>6937</v>
      </c>
      <c r="AJ103" t="s">
        <v>1414</v>
      </c>
      <c r="AK103" t="s">
        <v>1251</v>
      </c>
      <c r="AL103">
        <v>3135</v>
      </c>
      <c r="AM103" t="s">
        <v>2484</v>
      </c>
      <c r="AN103" s="8">
        <v>45955</v>
      </c>
      <c r="AO103" s="8">
        <v>45955</v>
      </c>
      <c r="AP103">
        <v>5498</v>
      </c>
      <c r="AQ103" t="s">
        <v>1553</v>
      </c>
      <c r="AR103" t="s">
        <v>12</v>
      </c>
      <c r="AS103" t="str">
        <f>+CONCATENATE(A103,"-",B103)</f>
        <v>(01) Factura FOF1-00000210</v>
      </c>
    </row>
    <row r="104" spans="1:45" ht="15" customHeight="1">
      <c r="A104" t="s">
        <v>216</v>
      </c>
      <c r="B104">
        <v>1412</v>
      </c>
      <c r="C104" t="s">
        <v>27</v>
      </c>
      <c r="D104" s="8">
        <v>45693</v>
      </c>
      <c r="E104" s="22">
        <v>45964</v>
      </c>
      <c r="F104" t="s">
        <v>406</v>
      </c>
      <c r="H104">
        <v>6</v>
      </c>
      <c r="I104">
        <v>20611129212</v>
      </c>
      <c r="J104" t="s">
        <v>2736</v>
      </c>
      <c r="K104" s="8">
        <v>45693</v>
      </c>
      <c r="Q104">
        <v>18759</v>
      </c>
      <c r="R104">
        <v>877</v>
      </c>
      <c r="S104" t="s">
        <v>1300</v>
      </c>
      <c r="T104" t="s">
        <v>215</v>
      </c>
      <c r="U104">
        <v>1</v>
      </c>
      <c r="V104">
        <v>18.64</v>
      </c>
      <c r="W104">
        <v>22</v>
      </c>
      <c r="X104">
        <v>0</v>
      </c>
      <c r="Y104">
        <v>18.64</v>
      </c>
      <c r="Z104">
        <v>18</v>
      </c>
      <c r="AA104">
        <v>3.36</v>
      </c>
      <c r="AB104">
        <v>22</v>
      </c>
      <c r="AC104">
        <v>1</v>
      </c>
      <c r="AD104">
        <v>1</v>
      </c>
      <c r="AE104" t="s">
        <v>232</v>
      </c>
      <c r="AF104" t="s">
        <v>29</v>
      </c>
      <c r="AG104">
        <v>2</v>
      </c>
      <c r="AH104" t="s">
        <v>25</v>
      </c>
      <c r="AI104">
        <v>1106</v>
      </c>
      <c r="AJ104" t="s">
        <v>239</v>
      </c>
      <c r="AK104" t="s">
        <v>1237</v>
      </c>
      <c r="AP104">
        <v>1147</v>
      </c>
      <c r="AQ104" t="s">
        <v>406</v>
      </c>
      <c r="AR104" t="s">
        <v>12</v>
      </c>
      <c r="AS104" t="str">
        <f>+CONCATENATE(A104,"-",B104)</f>
        <v>FB01-1412</v>
      </c>
    </row>
    <row r="105" spans="1:45" ht="15" customHeight="1">
      <c r="A105" t="s">
        <v>1216</v>
      </c>
      <c r="B105" s="21" t="s">
        <v>1534</v>
      </c>
      <c r="C105" t="s">
        <v>27</v>
      </c>
      <c r="D105" s="8">
        <v>45952</v>
      </c>
      <c r="E105" s="22">
        <v>45964.820625</v>
      </c>
      <c r="F105" t="s">
        <v>34</v>
      </c>
      <c r="H105">
        <v>6</v>
      </c>
      <c r="I105">
        <v>20611018925</v>
      </c>
      <c r="J105" t="s">
        <v>1535</v>
      </c>
      <c r="K105" s="8">
        <v>45952</v>
      </c>
      <c r="Q105">
        <v>32391</v>
      </c>
      <c r="R105">
        <v>2274</v>
      </c>
      <c r="S105" t="s">
        <v>1255</v>
      </c>
      <c r="T105" t="s">
        <v>215</v>
      </c>
      <c r="U105">
        <v>1</v>
      </c>
      <c r="V105">
        <v>19</v>
      </c>
      <c r="W105">
        <v>22.42</v>
      </c>
      <c r="X105">
        <v>0</v>
      </c>
      <c r="Y105">
        <v>19</v>
      </c>
      <c r="Z105">
        <v>18</v>
      </c>
      <c r="AA105">
        <v>3.42</v>
      </c>
      <c r="AB105">
        <v>22.42</v>
      </c>
      <c r="AC105">
        <v>1</v>
      </c>
      <c r="AD105">
        <v>1</v>
      </c>
      <c r="AE105" t="s">
        <v>1411</v>
      </c>
      <c r="AF105" t="s">
        <v>1412</v>
      </c>
      <c r="AG105">
        <v>2</v>
      </c>
      <c r="AH105" t="s">
        <v>25</v>
      </c>
      <c r="AI105">
        <v>6937</v>
      </c>
      <c r="AJ105" t="s">
        <v>1414</v>
      </c>
      <c r="AK105" t="s">
        <v>1433</v>
      </c>
      <c r="AL105">
        <v>3206</v>
      </c>
      <c r="AM105" t="s">
        <v>1536</v>
      </c>
      <c r="AN105" s="8">
        <v>45949</v>
      </c>
      <c r="AO105" s="8">
        <v>45949</v>
      </c>
      <c r="AP105">
        <v>1128</v>
      </c>
      <c r="AQ105" t="s">
        <v>34</v>
      </c>
      <c r="AR105" t="s">
        <v>12</v>
      </c>
      <c r="AS105" t="str">
        <f>+CONCATENATE(A105,"-",B105)</f>
        <v>(01) Factura FOF1-00000159</v>
      </c>
    </row>
    <row r="106" spans="1:45" ht="15" customHeight="1">
      <c r="A106" t="s">
        <v>1238</v>
      </c>
      <c r="B106">
        <v>705</v>
      </c>
      <c r="C106" t="s">
        <v>27</v>
      </c>
      <c r="D106" s="8">
        <v>45685</v>
      </c>
      <c r="E106" s="22">
        <v>45964</v>
      </c>
      <c r="F106" t="s">
        <v>732</v>
      </c>
      <c r="H106">
        <v>1</v>
      </c>
      <c r="I106">
        <v>48129748</v>
      </c>
      <c r="J106" t="s">
        <v>2762</v>
      </c>
      <c r="K106" s="8">
        <v>45685</v>
      </c>
      <c r="Q106">
        <v>18631</v>
      </c>
      <c r="R106">
        <v>870</v>
      </c>
      <c r="S106" t="s">
        <v>1299</v>
      </c>
      <c r="T106" t="s">
        <v>215</v>
      </c>
      <c r="U106">
        <v>1</v>
      </c>
      <c r="V106">
        <v>19.07</v>
      </c>
      <c r="W106">
        <v>22.5</v>
      </c>
      <c r="X106">
        <v>0</v>
      </c>
      <c r="Y106">
        <v>19.07</v>
      </c>
      <c r="Z106">
        <v>18</v>
      </c>
      <c r="AA106">
        <v>3.43</v>
      </c>
      <c r="AB106">
        <v>22.5</v>
      </c>
      <c r="AC106">
        <v>1</v>
      </c>
      <c r="AD106">
        <v>1</v>
      </c>
      <c r="AE106" t="s">
        <v>232</v>
      </c>
      <c r="AF106" t="s">
        <v>29</v>
      </c>
      <c r="AG106">
        <v>2</v>
      </c>
      <c r="AH106" t="s">
        <v>25</v>
      </c>
      <c r="AI106">
        <v>1106</v>
      </c>
      <c r="AJ106" t="s">
        <v>239</v>
      </c>
      <c r="AK106" t="s">
        <v>1237</v>
      </c>
      <c r="AP106">
        <v>1170</v>
      </c>
      <c r="AQ106" t="s">
        <v>732</v>
      </c>
      <c r="AR106" t="s">
        <v>1295</v>
      </c>
      <c r="AS106" t="str">
        <f>+CONCATENATE(A106,"-",B106)</f>
        <v>BB01-705</v>
      </c>
    </row>
    <row r="107" spans="1:45" ht="15" customHeight="1">
      <c r="A107" t="s">
        <v>1216</v>
      </c>
      <c r="B107" s="21" t="s">
        <v>1495</v>
      </c>
      <c r="C107" t="s">
        <v>27</v>
      </c>
      <c r="D107" s="8">
        <v>45946</v>
      </c>
      <c r="E107" s="22">
        <v>45964.789456018516</v>
      </c>
      <c r="F107" t="s">
        <v>1779</v>
      </c>
      <c r="H107">
        <v>6</v>
      </c>
      <c r="I107">
        <v>20521137330</v>
      </c>
      <c r="J107" t="s">
        <v>2714</v>
      </c>
      <c r="K107" s="8">
        <v>45946</v>
      </c>
      <c r="Q107">
        <v>31440</v>
      </c>
      <c r="R107">
        <v>216</v>
      </c>
      <c r="S107" t="s">
        <v>1300</v>
      </c>
      <c r="T107" t="s">
        <v>163</v>
      </c>
      <c r="U107">
        <v>1</v>
      </c>
      <c r="V107">
        <v>19.32</v>
      </c>
      <c r="W107">
        <v>22.8</v>
      </c>
      <c r="X107">
        <v>0</v>
      </c>
      <c r="Y107">
        <v>19.32</v>
      </c>
      <c r="Z107">
        <v>18</v>
      </c>
      <c r="AA107">
        <v>3.48</v>
      </c>
      <c r="AB107">
        <v>22.8</v>
      </c>
      <c r="AC107">
        <v>1</v>
      </c>
      <c r="AD107">
        <v>1</v>
      </c>
      <c r="AE107" t="s">
        <v>1411</v>
      </c>
      <c r="AF107" t="s">
        <v>1412</v>
      </c>
      <c r="AG107">
        <v>2</v>
      </c>
      <c r="AH107" t="s">
        <v>25</v>
      </c>
      <c r="AI107">
        <v>6936</v>
      </c>
      <c r="AJ107" t="s">
        <v>1437</v>
      </c>
      <c r="AK107" t="s">
        <v>1433</v>
      </c>
      <c r="AL107">
        <v>3057</v>
      </c>
      <c r="AM107" t="s">
        <v>1780</v>
      </c>
      <c r="AN107" s="8">
        <v>45941</v>
      </c>
      <c r="AO107" s="8">
        <v>45941</v>
      </c>
      <c r="AP107">
        <v>5228</v>
      </c>
      <c r="AQ107" t="s">
        <v>1779</v>
      </c>
      <c r="AR107" t="s">
        <v>12</v>
      </c>
      <c r="AS107" t="str">
        <f>+CONCATENATE(A107,"-",B107)</f>
        <v>(01) Factura FOF1-00000085</v>
      </c>
    </row>
    <row r="108" spans="1:45" ht="15" customHeight="1">
      <c r="A108" t="s">
        <v>1238</v>
      </c>
      <c r="B108">
        <v>667</v>
      </c>
      <c r="C108" t="s">
        <v>27</v>
      </c>
      <c r="D108" s="8">
        <v>45680</v>
      </c>
      <c r="E108" s="22">
        <v>45964</v>
      </c>
      <c r="F108" t="s">
        <v>916</v>
      </c>
      <c r="H108">
        <v>1</v>
      </c>
      <c r="I108">
        <v>17850400</v>
      </c>
      <c r="J108" t="s">
        <v>2772</v>
      </c>
      <c r="K108" s="8">
        <v>45680</v>
      </c>
      <c r="Q108">
        <v>17792</v>
      </c>
      <c r="R108">
        <v>871</v>
      </c>
      <c r="S108" t="s">
        <v>1316</v>
      </c>
      <c r="T108" t="s">
        <v>215</v>
      </c>
      <c r="U108">
        <v>1</v>
      </c>
      <c r="V108">
        <v>19.41</v>
      </c>
      <c r="W108">
        <v>22.9</v>
      </c>
      <c r="X108">
        <v>0</v>
      </c>
      <c r="Y108">
        <v>19.41</v>
      </c>
      <c r="Z108">
        <v>18</v>
      </c>
      <c r="AA108">
        <v>3.49</v>
      </c>
      <c r="AB108">
        <v>22.9</v>
      </c>
      <c r="AC108">
        <v>1</v>
      </c>
      <c r="AD108">
        <v>1</v>
      </c>
      <c r="AE108" t="s">
        <v>232</v>
      </c>
      <c r="AF108" t="s">
        <v>29</v>
      </c>
      <c r="AG108">
        <v>2</v>
      </c>
      <c r="AH108" t="s">
        <v>25</v>
      </c>
      <c r="AI108">
        <v>1106</v>
      </c>
      <c r="AJ108" t="s">
        <v>239</v>
      </c>
      <c r="AK108" t="s">
        <v>1237</v>
      </c>
      <c r="AP108">
        <v>1162</v>
      </c>
      <c r="AQ108" t="s">
        <v>916</v>
      </c>
      <c r="AR108" t="s">
        <v>1295</v>
      </c>
      <c r="AS108" t="str">
        <f>+CONCATENATE(A108,"-",B108)</f>
        <v>BB01-667</v>
      </c>
    </row>
    <row r="109" spans="1:45" ht="15" customHeight="1">
      <c r="A109" t="s">
        <v>1216</v>
      </c>
      <c r="B109" s="21" t="s">
        <v>1555</v>
      </c>
      <c r="C109" t="s">
        <v>27</v>
      </c>
      <c r="D109" s="8">
        <v>45952</v>
      </c>
      <c r="E109" s="22">
        <v>45964.814050925925</v>
      </c>
      <c r="F109" t="s">
        <v>1553</v>
      </c>
      <c r="H109">
        <v>6</v>
      </c>
      <c r="I109">
        <v>20608747843</v>
      </c>
      <c r="J109" t="s">
        <v>1556</v>
      </c>
      <c r="K109" s="8">
        <v>45952</v>
      </c>
      <c r="Q109">
        <v>32364</v>
      </c>
      <c r="R109">
        <v>216</v>
      </c>
      <c r="S109" t="s">
        <v>1300</v>
      </c>
      <c r="T109" t="s">
        <v>163</v>
      </c>
      <c r="U109">
        <v>1</v>
      </c>
      <c r="V109">
        <v>19.829999999999998</v>
      </c>
      <c r="W109">
        <v>23.4</v>
      </c>
      <c r="X109">
        <v>0</v>
      </c>
      <c r="Y109">
        <v>19.829999999999998</v>
      </c>
      <c r="Z109">
        <v>18</v>
      </c>
      <c r="AA109">
        <v>3.57</v>
      </c>
      <c r="AB109">
        <v>23.4</v>
      </c>
      <c r="AC109">
        <v>1</v>
      </c>
      <c r="AD109">
        <v>1</v>
      </c>
      <c r="AE109" t="s">
        <v>1411</v>
      </c>
      <c r="AF109" t="s">
        <v>1412</v>
      </c>
      <c r="AG109">
        <v>2</v>
      </c>
      <c r="AH109" t="s">
        <v>25</v>
      </c>
      <c r="AI109">
        <v>6936</v>
      </c>
      <c r="AJ109" t="s">
        <v>1437</v>
      </c>
      <c r="AK109" t="s">
        <v>1433</v>
      </c>
      <c r="AL109">
        <v>3249</v>
      </c>
      <c r="AM109" t="s">
        <v>1554</v>
      </c>
      <c r="AN109" s="8">
        <v>45948</v>
      </c>
      <c r="AO109" s="8">
        <v>45948</v>
      </c>
      <c r="AP109">
        <v>5498</v>
      </c>
      <c r="AQ109" t="s">
        <v>1553</v>
      </c>
      <c r="AR109" t="s">
        <v>12</v>
      </c>
      <c r="AS109" t="str">
        <f>+CONCATENATE(A109,"-",B109)</f>
        <v>(01) Factura FOF1-00000150</v>
      </c>
    </row>
    <row r="110" spans="1:45" ht="15" customHeight="1">
      <c r="A110" t="s">
        <v>1216</v>
      </c>
      <c r="B110" s="21" t="s">
        <v>2508</v>
      </c>
      <c r="C110" t="s">
        <v>27</v>
      </c>
      <c r="D110" s="8">
        <v>45959</v>
      </c>
      <c r="E110" s="22">
        <v>45964.6250462963</v>
      </c>
      <c r="F110" t="s">
        <v>1787</v>
      </c>
      <c r="G110" t="s">
        <v>158</v>
      </c>
      <c r="H110">
        <v>6</v>
      </c>
      <c r="I110">
        <v>20168142375</v>
      </c>
      <c r="J110" t="s">
        <v>2684</v>
      </c>
      <c r="K110" s="8">
        <v>45959</v>
      </c>
      <c r="Q110">
        <v>32852</v>
      </c>
      <c r="R110">
        <v>2261</v>
      </c>
      <c r="S110" t="s">
        <v>2509</v>
      </c>
      <c r="T110" t="s">
        <v>215</v>
      </c>
      <c r="U110">
        <v>1</v>
      </c>
      <c r="V110">
        <v>20</v>
      </c>
      <c r="W110">
        <v>23.6</v>
      </c>
      <c r="X110">
        <v>0</v>
      </c>
      <c r="Y110">
        <v>20</v>
      </c>
      <c r="Z110">
        <v>18</v>
      </c>
      <c r="AA110">
        <v>3.6</v>
      </c>
      <c r="AB110">
        <v>23.6</v>
      </c>
      <c r="AC110">
        <v>1</v>
      </c>
      <c r="AD110">
        <v>1</v>
      </c>
      <c r="AE110" t="s">
        <v>1411</v>
      </c>
      <c r="AF110" t="s">
        <v>1412</v>
      </c>
      <c r="AG110">
        <v>2</v>
      </c>
      <c r="AH110" t="s">
        <v>25</v>
      </c>
      <c r="AI110">
        <v>1106</v>
      </c>
      <c r="AJ110" t="s">
        <v>239</v>
      </c>
      <c r="AK110" t="s">
        <v>1468</v>
      </c>
      <c r="AL110">
        <v>3264</v>
      </c>
      <c r="AM110" t="s">
        <v>2507</v>
      </c>
      <c r="AN110" s="8">
        <v>45949</v>
      </c>
      <c r="AO110" s="8">
        <v>45949</v>
      </c>
      <c r="AP110">
        <v>388</v>
      </c>
      <c r="AQ110" t="s">
        <v>1787</v>
      </c>
      <c r="AR110" t="s">
        <v>12</v>
      </c>
      <c r="AS110" t="str">
        <f>+CONCATENATE(A110,"-",B110)</f>
        <v>(01) Factura FOF1-00000195</v>
      </c>
    </row>
    <row r="111" spans="1:45" ht="15" customHeight="1">
      <c r="A111" t="s">
        <v>1238</v>
      </c>
      <c r="B111">
        <v>738</v>
      </c>
      <c r="C111" t="s">
        <v>27</v>
      </c>
      <c r="D111" s="8">
        <v>45693</v>
      </c>
      <c r="E111" s="22">
        <v>45964</v>
      </c>
      <c r="F111" t="s">
        <v>1318</v>
      </c>
      <c r="G111" t="s">
        <v>158</v>
      </c>
      <c r="H111">
        <v>1</v>
      </c>
      <c r="I111">
        <v>73241854</v>
      </c>
      <c r="J111" t="s">
        <v>1930</v>
      </c>
      <c r="K111" s="8">
        <v>45693</v>
      </c>
      <c r="Q111">
        <v>18748</v>
      </c>
      <c r="R111">
        <v>974</v>
      </c>
      <c r="S111" t="s">
        <v>1250</v>
      </c>
      <c r="T111" t="s">
        <v>215</v>
      </c>
      <c r="U111">
        <v>1</v>
      </c>
      <c r="V111">
        <v>20</v>
      </c>
      <c r="W111">
        <v>23.6</v>
      </c>
      <c r="X111">
        <v>0</v>
      </c>
      <c r="Y111">
        <v>20</v>
      </c>
      <c r="Z111">
        <v>18</v>
      </c>
      <c r="AA111">
        <v>3.6</v>
      </c>
      <c r="AB111">
        <v>23.6</v>
      </c>
      <c r="AC111">
        <v>1</v>
      </c>
      <c r="AD111">
        <v>1</v>
      </c>
      <c r="AE111" t="s">
        <v>232</v>
      </c>
      <c r="AF111" t="s">
        <v>29</v>
      </c>
      <c r="AG111">
        <v>2</v>
      </c>
      <c r="AH111" t="s">
        <v>25</v>
      </c>
      <c r="AI111">
        <v>1106</v>
      </c>
      <c r="AJ111" t="s">
        <v>239</v>
      </c>
      <c r="AK111" t="s">
        <v>1243</v>
      </c>
      <c r="AP111">
        <v>418</v>
      </c>
      <c r="AQ111" t="s">
        <v>1318</v>
      </c>
      <c r="AR111" t="s">
        <v>1295</v>
      </c>
      <c r="AS111" t="str">
        <f>+CONCATENATE(A111,"-",B111)</f>
        <v>BB01-738</v>
      </c>
    </row>
    <row r="112" spans="1:45" ht="15" customHeight="1">
      <c r="A112" t="s">
        <v>216</v>
      </c>
      <c r="B112">
        <v>1362</v>
      </c>
      <c r="C112" t="s">
        <v>27</v>
      </c>
      <c r="D112" s="8">
        <v>45692</v>
      </c>
      <c r="E112" s="22">
        <v>45964</v>
      </c>
      <c r="F112" t="s">
        <v>415</v>
      </c>
      <c r="H112">
        <v>6</v>
      </c>
      <c r="I112">
        <v>20611890746</v>
      </c>
      <c r="J112" t="s">
        <v>1974</v>
      </c>
      <c r="K112" s="8">
        <v>45692</v>
      </c>
      <c r="Q112">
        <v>18691</v>
      </c>
      <c r="R112">
        <v>961</v>
      </c>
      <c r="S112" t="s">
        <v>1256</v>
      </c>
      <c r="T112" t="s">
        <v>215</v>
      </c>
      <c r="U112">
        <v>1</v>
      </c>
      <c r="V112">
        <v>20</v>
      </c>
      <c r="W112">
        <v>23.6</v>
      </c>
      <c r="X112">
        <v>0</v>
      </c>
      <c r="Y112">
        <v>20</v>
      </c>
      <c r="Z112">
        <v>18</v>
      </c>
      <c r="AA112">
        <v>3.6</v>
      </c>
      <c r="AB112">
        <v>23.6</v>
      </c>
      <c r="AC112">
        <v>1</v>
      </c>
      <c r="AD112">
        <v>1</v>
      </c>
      <c r="AE112" t="s">
        <v>232</v>
      </c>
      <c r="AF112" t="s">
        <v>29</v>
      </c>
      <c r="AG112">
        <v>2</v>
      </c>
      <c r="AH112" t="s">
        <v>25</v>
      </c>
      <c r="AI112">
        <v>1106</v>
      </c>
      <c r="AJ112" t="s">
        <v>239</v>
      </c>
      <c r="AK112" t="s">
        <v>1257</v>
      </c>
      <c r="AP112">
        <v>1136</v>
      </c>
      <c r="AQ112" t="s">
        <v>415</v>
      </c>
      <c r="AR112" t="s">
        <v>12</v>
      </c>
      <c r="AS112" t="str">
        <f>+CONCATENATE(A112,"-",B112)</f>
        <v>FB01-1362</v>
      </c>
    </row>
    <row r="113" spans="1:45" ht="15" customHeight="1">
      <c r="A113" t="s">
        <v>216</v>
      </c>
      <c r="B113">
        <v>1330</v>
      </c>
      <c r="C113" t="s">
        <v>27</v>
      </c>
      <c r="D113" s="8">
        <v>45685</v>
      </c>
      <c r="E113" s="22">
        <v>45964</v>
      </c>
      <c r="F113" t="s">
        <v>1321</v>
      </c>
      <c r="G113" t="s">
        <v>158</v>
      </c>
      <c r="H113">
        <v>6</v>
      </c>
      <c r="I113">
        <v>20296011356</v>
      </c>
      <c r="J113" t="s">
        <v>2020</v>
      </c>
      <c r="K113" s="8">
        <v>45685</v>
      </c>
      <c r="Q113">
        <v>18643</v>
      </c>
      <c r="R113">
        <v>874</v>
      </c>
      <c r="S113" t="s">
        <v>1248</v>
      </c>
      <c r="T113" t="s">
        <v>215</v>
      </c>
      <c r="U113">
        <v>1</v>
      </c>
      <c r="V113">
        <v>20</v>
      </c>
      <c r="W113">
        <v>23.6</v>
      </c>
      <c r="X113">
        <v>0</v>
      </c>
      <c r="Y113">
        <v>20</v>
      </c>
      <c r="Z113">
        <v>18</v>
      </c>
      <c r="AA113">
        <v>3.6</v>
      </c>
      <c r="AB113">
        <v>23.6</v>
      </c>
      <c r="AC113">
        <v>1</v>
      </c>
      <c r="AD113">
        <v>1</v>
      </c>
      <c r="AE113" t="s">
        <v>232</v>
      </c>
      <c r="AF113" t="s">
        <v>29</v>
      </c>
      <c r="AG113">
        <v>2</v>
      </c>
      <c r="AH113" t="s">
        <v>25</v>
      </c>
      <c r="AI113">
        <v>1106</v>
      </c>
      <c r="AJ113" t="s">
        <v>239</v>
      </c>
      <c r="AK113" t="s">
        <v>1237</v>
      </c>
      <c r="AP113">
        <v>390</v>
      </c>
      <c r="AQ113" t="s">
        <v>1321</v>
      </c>
      <c r="AR113" t="s">
        <v>12</v>
      </c>
      <c r="AS113" t="str">
        <f>+CONCATENATE(A113,"-",B113)</f>
        <v>FB01-1330</v>
      </c>
    </row>
    <row r="114" spans="1:45" ht="15" customHeight="1">
      <c r="A114" t="s">
        <v>216</v>
      </c>
      <c r="B114">
        <v>1418</v>
      </c>
      <c r="C114" t="s">
        <v>27</v>
      </c>
      <c r="D114" s="8">
        <v>45695</v>
      </c>
      <c r="E114" s="22">
        <v>45964</v>
      </c>
      <c r="F114" t="s">
        <v>36</v>
      </c>
      <c r="H114">
        <v>6</v>
      </c>
      <c r="I114">
        <v>10755725086</v>
      </c>
      <c r="J114" t="s">
        <v>2731</v>
      </c>
      <c r="K114" s="8">
        <v>45695</v>
      </c>
      <c r="Q114">
        <v>18779</v>
      </c>
      <c r="R114">
        <v>870</v>
      </c>
      <c r="S114" t="s">
        <v>1299</v>
      </c>
      <c r="T114" t="s">
        <v>215</v>
      </c>
      <c r="U114">
        <v>1</v>
      </c>
      <c r="V114">
        <v>20.190000000000001</v>
      </c>
      <c r="W114">
        <v>23.83</v>
      </c>
      <c r="X114">
        <v>0</v>
      </c>
      <c r="Y114">
        <v>20.190000000000001</v>
      </c>
      <c r="Z114">
        <v>18</v>
      </c>
      <c r="AA114">
        <v>3.64</v>
      </c>
      <c r="AB114">
        <v>23.83</v>
      </c>
      <c r="AC114">
        <v>1</v>
      </c>
      <c r="AD114">
        <v>1</v>
      </c>
      <c r="AE114" t="s">
        <v>232</v>
      </c>
      <c r="AF114" t="s">
        <v>29</v>
      </c>
      <c r="AG114">
        <v>2</v>
      </c>
      <c r="AH114" t="s">
        <v>25</v>
      </c>
      <c r="AI114">
        <v>1106</v>
      </c>
      <c r="AJ114" t="s">
        <v>239</v>
      </c>
      <c r="AK114" t="s">
        <v>1237</v>
      </c>
      <c r="AP114">
        <v>1149</v>
      </c>
      <c r="AQ114" t="s">
        <v>36</v>
      </c>
      <c r="AR114" t="s">
        <v>12</v>
      </c>
      <c r="AS114" t="str">
        <f>+CONCATENATE(A114,"-",B114)</f>
        <v>FB01-1418</v>
      </c>
    </row>
    <row r="115" spans="1:45" ht="15" customHeight="1">
      <c r="A115" t="s">
        <v>216</v>
      </c>
      <c r="B115">
        <v>1376</v>
      </c>
      <c r="C115" t="s">
        <v>27</v>
      </c>
      <c r="D115" s="8">
        <v>45693</v>
      </c>
      <c r="E115" s="22">
        <v>45964</v>
      </c>
      <c r="F115" t="s">
        <v>485</v>
      </c>
      <c r="H115">
        <v>6</v>
      </c>
      <c r="I115">
        <v>20609649039</v>
      </c>
      <c r="J115" t="s">
        <v>2751</v>
      </c>
      <c r="K115" s="8">
        <v>45693</v>
      </c>
      <c r="Q115">
        <v>18705</v>
      </c>
      <c r="R115">
        <v>870</v>
      </c>
      <c r="S115" t="s">
        <v>1299</v>
      </c>
      <c r="T115" t="s">
        <v>215</v>
      </c>
      <c r="U115">
        <v>1</v>
      </c>
      <c r="V115">
        <v>20.34</v>
      </c>
      <c r="W115">
        <v>24</v>
      </c>
      <c r="X115">
        <v>0</v>
      </c>
      <c r="Y115">
        <v>20.34</v>
      </c>
      <c r="Z115">
        <v>18</v>
      </c>
      <c r="AA115">
        <v>3.66</v>
      </c>
      <c r="AB115">
        <v>24</v>
      </c>
      <c r="AC115">
        <v>1</v>
      </c>
      <c r="AD115">
        <v>1</v>
      </c>
      <c r="AE115" t="s">
        <v>232</v>
      </c>
      <c r="AF115" t="s">
        <v>29</v>
      </c>
      <c r="AG115">
        <v>2</v>
      </c>
      <c r="AH115" t="s">
        <v>25</v>
      </c>
      <c r="AI115">
        <v>1106</v>
      </c>
      <c r="AJ115" t="s">
        <v>239</v>
      </c>
      <c r="AK115" t="s">
        <v>1237</v>
      </c>
      <c r="AP115">
        <v>1142</v>
      </c>
      <c r="AQ115" t="s">
        <v>485</v>
      </c>
      <c r="AR115" t="s">
        <v>12</v>
      </c>
      <c r="AS115" t="str">
        <f>+CONCATENATE(A115,"-",B115)</f>
        <v>FB01-1376</v>
      </c>
    </row>
    <row r="116" spans="1:45" ht="15" customHeight="1">
      <c r="A116" t="s">
        <v>1214</v>
      </c>
      <c r="B116" s="21" t="s">
        <v>1681</v>
      </c>
      <c r="C116" t="s">
        <v>27</v>
      </c>
      <c r="D116" s="8">
        <v>45959</v>
      </c>
      <c r="E116" s="22">
        <v>45964.706655092596</v>
      </c>
      <c r="F116" t="s">
        <v>2474</v>
      </c>
      <c r="H116">
        <v>1</v>
      </c>
      <c r="I116">
        <v>72172923</v>
      </c>
      <c r="J116" t="s">
        <v>2648</v>
      </c>
      <c r="K116" s="8">
        <v>45959</v>
      </c>
      <c r="Q116">
        <v>32980</v>
      </c>
      <c r="R116">
        <v>2276</v>
      </c>
      <c r="S116" t="s">
        <v>1504</v>
      </c>
      <c r="T116" t="s">
        <v>163</v>
      </c>
      <c r="U116">
        <v>1</v>
      </c>
      <c r="V116">
        <v>20.5</v>
      </c>
      <c r="W116">
        <v>24.19</v>
      </c>
      <c r="X116">
        <v>0</v>
      </c>
      <c r="Y116">
        <v>20.5</v>
      </c>
      <c r="Z116">
        <v>18</v>
      </c>
      <c r="AA116">
        <v>3.69</v>
      </c>
      <c r="AB116">
        <v>24.19</v>
      </c>
      <c r="AC116">
        <v>1</v>
      </c>
      <c r="AD116">
        <v>1</v>
      </c>
      <c r="AE116" t="s">
        <v>1411</v>
      </c>
      <c r="AF116" t="s">
        <v>1412</v>
      </c>
      <c r="AG116">
        <v>2</v>
      </c>
      <c r="AH116" t="s">
        <v>25</v>
      </c>
      <c r="AI116">
        <v>6959</v>
      </c>
      <c r="AJ116" t="s">
        <v>1401</v>
      </c>
      <c r="AK116" t="s">
        <v>169</v>
      </c>
      <c r="AL116">
        <v>3195</v>
      </c>
      <c r="AM116" t="s">
        <v>2475</v>
      </c>
      <c r="AN116" s="8">
        <v>45954</v>
      </c>
      <c r="AO116" s="8">
        <v>45954</v>
      </c>
      <c r="AP116">
        <v>5210</v>
      </c>
      <c r="AQ116" t="s">
        <v>2474</v>
      </c>
      <c r="AR116" t="s">
        <v>1295</v>
      </c>
      <c r="AS116" t="str">
        <f>+CONCATENATE(A116,"-",B116)</f>
        <v>(03) Boleta BOB1-00000118</v>
      </c>
    </row>
    <row r="117" spans="1:45" ht="15" customHeight="1">
      <c r="A117" t="s">
        <v>216</v>
      </c>
      <c r="B117">
        <v>1268</v>
      </c>
      <c r="C117" t="s">
        <v>27</v>
      </c>
      <c r="D117" s="8">
        <v>45680</v>
      </c>
      <c r="E117" s="22">
        <v>45964</v>
      </c>
      <c r="F117" t="s">
        <v>485</v>
      </c>
      <c r="H117">
        <v>6</v>
      </c>
      <c r="I117">
        <v>20609649039</v>
      </c>
      <c r="J117" t="s">
        <v>2109</v>
      </c>
      <c r="K117" s="8">
        <v>45680</v>
      </c>
      <c r="Q117">
        <v>17781</v>
      </c>
      <c r="R117">
        <v>870</v>
      </c>
      <c r="S117" t="s">
        <v>1299</v>
      </c>
      <c r="T117" t="s">
        <v>215</v>
      </c>
      <c r="U117">
        <v>1</v>
      </c>
      <c r="V117">
        <v>20.5</v>
      </c>
      <c r="W117">
        <v>24.19</v>
      </c>
      <c r="X117">
        <v>0</v>
      </c>
      <c r="Y117">
        <v>20.5</v>
      </c>
      <c r="Z117">
        <v>18</v>
      </c>
      <c r="AA117">
        <v>3.69</v>
      </c>
      <c r="AB117">
        <v>24.19</v>
      </c>
      <c r="AC117">
        <v>1</v>
      </c>
      <c r="AD117">
        <v>1</v>
      </c>
      <c r="AE117" t="s">
        <v>232</v>
      </c>
      <c r="AF117" t="s">
        <v>29</v>
      </c>
      <c r="AG117">
        <v>2</v>
      </c>
      <c r="AH117" t="s">
        <v>25</v>
      </c>
      <c r="AI117">
        <v>1106</v>
      </c>
      <c r="AJ117" t="s">
        <v>239</v>
      </c>
      <c r="AK117" t="s">
        <v>1237</v>
      </c>
      <c r="AP117">
        <v>1142</v>
      </c>
      <c r="AQ117" t="s">
        <v>485</v>
      </c>
      <c r="AR117" t="s">
        <v>12</v>
      </c>
      <c r="AS117" t="str">
        <f>+CONCATENATE(A117,"-",B117)</f>
        <v>FB01-1268</v>
      </c>
    </row>
    <row r="118" spans="1:45" ht="15" customHeight="1">
      <c r="A118" t="s">
        <v>1238</v>
      </c>
      <c r="B118">
        <v>691</v>
      </c>
      <c r="C118" t="s">
        <v>27</v>
      </c>
      <c r="D118" s="8">
        <v>45680</v>
      </c>
      <c r="E118" s="22">
        <v>45964</v>
      </c>
      <c r="F118" t="s">
        <v>1318</v>
      </c>
      <c r="G118" t="s">
        <v>158</v>
      </c>
      <c r="H118">
        <v>1</v>
      </c>
      <c r="I118">
        <v>73241854</v>
      </c>
      <c r="J118" t="s">
        <v>2763</v>
      </c>
      <c r="K118" s="8">
        <v>45680</v>
      </c>
      <c r="Q118">
        <v>18607</v>
      </c>
      <c r="R118">
        <v>943</v>
      </c>
      <c r="S118" t="s">
        <v>1348</v>
      </c>
      <c r="T118" t="s">
        <v>215</v>
      </c>
      <c r="U118">
        <v>1</v>
      </c>
      <c r="V118">
        <v>20.99</v>
      </c>
      <c r="W118">
        <v>24.77</v>
      </c>
      <c r="X118">
        <v>0</v>
      </c>
      <c r="Y118">
        <v>20.99</v>
      </c>
      <c r="Z118">
        <v>18</v>
      </c>
      <c r="AA118">
        <v>3.78</v>
      </c>
      <c r="AB118">
        <v>24.77</v>
      </c>
      <c r="AC118">
        <v>1</v>
      </c>
      <c r="AD118">
        <v>1</v>
      </c>
      <c r="AE118" t="s">
        <v>232</v>
      </c>
      <c r="AF118" t="s">
        <v>29</v>
      </c>
      <c r="AG118">
        <v>2</v>
      </c>
      <c r="AH118" t="s">
        <v>25</v>
      </c>
      <c r="AI118">
        <v>1106</v>
      </c>
      <c r="AJ118" t="s">
        <v>239</v>
      </c>
      <c r="AK118" t="s">
        <v>1237</v>
      </c>
      <c r="AP118">
        <v>418</v>
      </c>
      <c r="AQ118" t="s">
        <v>1318</v>
      </c>
      <c r="AR118" t="s">
        <v>1295</v>
      </c>
      <c r="AS118" t="str">
        <f>+CONCATENATE(A118,"-",B118)</f>
        <v>BB01-691</v>
      </c>
    </row>
    <row r="119" spans="1:45" ht="15" customHeight="1">
      <c r="A119" t="s">
        <v>1238</v>
      </c>
      <c r="B119">
        <v>684</v>
      </c>
      <c r="C119" t="s">
        <v>27</v>
      </c>
      <c r="D119" s="8">
        <v>45680</v>
      </c>
      <c r="E119" s="22">
        <v>45964</v>
      </c>
      <c r="F119" t="s">
        <v>1318</v>
      </c>
      <c r="G119" t="s">
        <v>158</v>
      </c>
      <c r="H119">
        <v>1</v>
      </c>
      <c r="I119">
        <v>73241854</v>
      </c>
      <c r="J119" t="s">
        <v>2764</v>
      </c>
      <c r="K119" s="8">
        <v>45680</v>
      </c>
      <c r="Q119">
        <v>17844</v>
      </c>
      <c r="R119">
        <v>934</v>
      </c>
      <c r="S119" t="s">
        <v>1319</v>
      </c>
      <c r="T119" t="s">
        <v>215</v>
      </c>
      <c r="U119">
        <v>1</v>
      </c>
      <c r="V119">
        <v>21.01</v>
      </c>
      <c r="W119">
        <v>24.79</v>
      </c>
      <c r="X119">
        <v>0</v>
      </c>
      <c r="Y119">
        <v>21.01</v>
      </c>
      <c r="Z119">
        <v>18</v>
      </c>
      <c r="AA119">
        <v>3.78</v>
      </c>
      <c r="AB119">
        <v>24.79</v>
      </c>
      <c r="AC119">
        <v>1</v>
      </c>
      <c r="AD119">
        <v>1</v>
      </c>
      <c r="AE119" t="s">
        <v>232</v>
      </c>
      <c r="AF119" t="s">
        <v>29</v>
      </c>
      <c r="AG119">
        <v>2</v>
      </c>
      <c r="AH119" t="s">
        <v>25</v>
      </c>
      <c r="AI119">
        <v>1106</v>
      </c>
      <c r="AJ119" t="s">
        <v>239</v>
      </c>
      <c r="AK119" t="s">
        <v>1237</v>
      </c>
      <c r="AP119">
        <v>418</v>
      </c>
      <c r="AQ119" t="s">
        <v>1318</v>
      </c>
      <c r="AR119" t="s">
        <v>1295</v>
      </c>
      <c r="AS119" t="str">
        <f>+CONCATENATE(A119,"-",B119)</f>
        <v>BB01-684</v>
      </c>
    </row>
    <row r="120" spans="1:45" ht="15" customHeight="1">
      <c r="A120" t="s">
        <v>1214</v>
      </c>
      <c r="B120" s="21" t="s">
        <v>1739</v>
      </c>
      <c r="C120" t="s">
        <v>27</v>
      </c>
      <c r="D120" s="8">
        <v>45959</v>
      </c>
      <c r="E120" s="22">
        <v>45964.641550925924</v>
      </c>
      <c r="F120" t="s">
        <v>610</v>
      </c>
      <c r="H120">
        <v>1</v>
      </c>
      <c r="I120">
        <v>75329338</v>
      </c>
      <c r="J120" t="s">
        <v>2665</v>
      </c>
      <c r="K120" s="8">
        <v>45959</v>
      </c>
      <c r="Q120">
        <v>32914</v>
      </c>
      <c r="R120">
        <v>2276</v>
      </c>
      <c r="S120" t="s">
        <v>1504</v>
      </c>
      <c r="T120" t="s">
        <v>163</v>
      </c>
      <c r="U120">
        <v>1</v>
      </c>
      <c r="V120">
        <v>21.6</v>
      </c>
      <c r="W120">
        <v>25.49</v>
      </c>
      <c r="X120">
        <v>0</v>
      </c>
      <c r="Y120">
        <v>21.6</v>
      </c>
      <c r="Z120">
        <v>18</v>
      </c>
      <c r="AA120">
        <v>3.89</v>
      </c>
      <c r="AB120">
        <v>25.49</v>
      </c>
      <c r="AC120">
        <v>1</v>
      </c>
      <c r="AD120">
        <v>1</v>
      </c>
      <c r="AE120" t="s">
        <v>1411</v>
      </c>
      <c r="AF120" t="s">
        <v>1412</v>
      </c>
      <c r="AG120">
        <v>2</v>
      </c>
      <c r="AH120" t="s">
        <v>25</v>
      </c>
      <c r="AI120">
        <v>6959</v>
      </c>
      <c r="AJ120" t="s">
        <v>1401</v>
      </c>
      <c r="AK120" t="s">
        <v>169</v>
      </c>
      <c r="AL120">
        <v>3196</v>
      </c>
      <c r="AM120" t="s">
        <v>2486</v>
      </c>
      <c r="AN120" s="8">
        <v>45955</v>
      </c>
      <c r="AO120" s="8">
        <v>45955</v>
      </c>
      <c r="AP120">
        <v>1173</v>
      </c>
      <c r="AQ120" t="s">
        <v>1839</v>
      </c>
      <c r="AR120" t="s">
        <v>1295</v>
      </c>
      <c r="AS120" t="str">
        <f>+CONCATENATE(A120,"-",B120)</f>
        <v>(03) Boleta BOB1-00000105</v>
      </c>
    </row>
    <row r="121" spans="1:45" ht="15" customHeight="1">
      <c r="A121" t="s">
        <v>216</v>
      </c>
      <c r="B121">
        <v>1201</v>
      </c>
      <c r="C121" t="s">
        <v>27</v>
      </c>
      <c r="D121" s="8">
        <v>45663</v>
      </c>
      <c r="E121" s="22">
        <v>45964</v>
      </c>
      <c r="F121" t="s">
        <v>1091</v>
      </c>
      <c r="H121">
        <v>6</v>
      </c>
      <c r="I121">
        <v>20609225107</v>
      </c>
      <c r="J121" t="s">
        <v>2184</v>
      </c>
      <c r="K121" s="8">
        <v>45663</v>
      </c>
      <c r="Q121">
        <v>17200</v>
      </c>
      <c r="R121">
        <v>877</v>
      </c>
      <c r="S121" t="s">
        <v>1300</v>
      </c>
      <c r="T121" t="s">
        <v>215</v>
      </c>
      <c r="U121">
        <v>1</v>
      </c>
      <c r="V121">
        <v>21.61</v>
      </c>
      <c r="W121">
        <v>25.5</v>
      </c>
      <c r="X121">
        <v>0</v>
      </c>
      <c r="Y121">
        <v>21.61</v>
      </c>
      <c r="Z121">
        <v>18</v>
      </c>
      <c r="AA121">
        <v>3.89</v>
      </c>
      <c r="AB121">
        <v>25.5</v>
      </c>
      <c r="AC121">
        <v>1</v>
      </c>
      <c r="AD121">
        <v>1</v>
      </c>
      <c r="AE121" t="s">
        <v>232</v>
      </c>
      <c r="AF121" t="s">
        <v>29</v>
      </c>
      <c r="AG121">
        <v>2</v>
      </c>
      <c r="AH121" t="s">
        <v>25</v>
      </c>
      <c r="AI121">
        <v>1106</v>
      </c>
      <c r="AJ121" t="s">
        <v>239</v>
      </c>
      <c r="AK121" t="s">
        <v>1237</v>
      </c>
      <c r="AP121">
        <v>1118</v>
      </c>
      <c r="AQ121" t="s">
        <v>1091</v>
      </c>
      <c r="AR121" t="s">
        <v>12</v>
      </c>
      <c r="AS121" t="str">
        <f>+CONCATENATE(A121,"-",B121)</f>
        <v>FB01-1201</v>
      </c>
    </row>
    <row r="122" spans="1:45" ht="15" customHeight="1">
      <c r="A122" t="s">
        <v>216</v>
      </c>
      <c r="B122">
        <v>1269</v>
      </c>
      <c r="C122" t="s">
        <v>27</v>
      </c>
      <c r="D122" s="8">
        <v>45680</v>
      </c>
      <c r="E122" s="22">
        <v>45964</v>
      </c>
      <c r="F122" t="s">
        <v>485</v>
      </c>
      <c r="H122">
        <v>6</v>
      </c>
      <c r="I122">
        <v>20609649039</v>
      </c>
      <c r="J122" t="s">
        <v>2108</v>
      </c>
      <c r="K122" s="8">
        <v>45680</v>
      </c>
      <c r="Q122">
        <v>17782</v>
      </c>
      <c r="R122">
        <v>877</v>
      </c>
      <c r="S122" t="s">
        <v>1300</v>
      </c>
      <c r="T122" t="s">
        <v>215</v>
      </c>
      <c r="U122">
        <v>1</v>
      </c>
      <c r="V122">
        <v>22</v>
      </c>
      <c r="W122">
        <v>25.96</v>
      </c>
      <c r="X122">
        <v>0</v>
      </c>
      <c r="Y122">
        <v>22</v>
      </c>
      <c r="Z122">
        <v>18</v>
      </c>
      <c r="AA122">
        <v>3.96</v>
      </c>
      <c r="AB122">
        <v>25.96</v>
      </c>
      <c r="AC122">
        <v>1</v>
      </c>
      <c r="AD122">
        <v>1</v>
      </c>
      <c r="AE122" t="s">
        <v>232</v>
      </c>
      <c r="AF122" t="s">
        <v>29</v>
      </c>
      <c r="AG122">
        <v>2</v>
      </c>
      <c r="AH122" t="s">
        <v>25</v>
      </c>
      <c r="AI122">
        <v>1106</v>
      </c>
      <c r="AJ122" t="s">
        <v>239</v>
      </c>
      <c r="AK122" t="s">
        <v>1237</v>
      </c>
      <c r="AP122">
        <v>1142</v>
      </c>
      <c r="AQ122" t="s">
        <v>485</v>
      </c>
      <c r="AR122" t="s">
        <v>12</v>
      </c>
      <c r="AS122" t="str">
        <f>+CONCATENATE(A122,"-",B122)</f>
        <v>FB01-1269</v>
      </c>
    </row>
    <row r="123" spans="1:45" ht="15" customHeight="1">
      <c r="A123" t="s">
        <v>1216</v>
      </c>
      <c r="B123" s="21" t="s">
        <v>1482</v>
      </c>
      <c r="C123" t="s">
        <v>27</v>
      </c>
      <c r="D123" s="8">
        <v>45954</v>
      </c>
      <c r="E123" s="22">
        <v>45964.597025462965</v>
      </c>
      <c r="F123" t="s">
        <v>1457</v>
      </c>
      <c r="H123">
        <v>6</v>
      </c>
      <c r="I123">
        <v>10737909609</v>
      </c>
      <c r="J123" t="s">
        <v>1483</v>
      </c>
      <c r="K123" s="8">
        <v>45954</v>
      </c>
      <c r="Q123">
        <v>32545</v>
      </c>
      <c r="R123">
        <v>1916</v>
      </c>
      <c r="S123" t="s">
        <v>1301</v>
      </c>
      <c r="T123" t="s">
        <v>163</v>
      </c>
      <c r="U123">
        <v>1</v>
      </c>
      <c r="V123">
        <v>22.5</v>
      </c>
      <c r="W123">
        <v>26.55</v>
      </c>
      <c r="X123">
        <v>0</v>
      </c>
      <c r="Y123">
        <v>22.5</v>
      </c>
      <c r="Z123">
        <v>18</v>
      </c>
      <c r="AA123">
        <v>4.05</v>
      </c>
      <c r="AB123">
        <v>26.55</v>
      </c>
      <c r="AC123">
        <v>1</v>
      </c>
      <c r="AD123">
        <v>1</v>
      </c>
      <c r="AE123" t="s">
        <v>1411</v>
      </c>
      <c r="AF123" t="s">
        <v>1412</v>
      </c>
      <c r="AG123">
        <v>2</v>
      </c>
      <c r="AH123" t="s">
        <v>25</v>
      </c>
      <c r="AI123">
        <v>6959</v>
      </c>
      <c r="AJ123" t="s">
        <v>1401</v>
      </c>
      <c r="AK123" t="s">
        <v>1468</v>
      </c>
      <c r="AL123">
        <v>3079</v>
      </c>
      <c r="AM123" t="s">
        <v>1456</v>
      </c>
      <c r="AN123" s="8">
        <v>45921</v>
      </c>
      <c r="AO123" s="8">
        <v>45921</v>
      </c>
      <c r="AP123">
        <v>5597</v>
      </c>
      <c r="AQ123" t="s">
        <v>1457</v>
      </c>
      <c r="AR123" t="s">
        <v>12</v>
      </c>
      <c r="AS123" t="str">
        <f>+CONCATENATE(A123,"-",B123)</f>
        <v>(01) Factura FOF1-00000169</v>
      </c>
    </row>
    <row r="124" spans="1:45" ht="15" customHeight="1">
      <c r="A124" t="s">
        <v>1216</v>
      </c>
      <c r="B124" s="21" t="s">
        <v>1484</v>
      </c>
      <c r="C124" t="s">
        <v>27</v>
      </c>
      <c r="D124" s="8">
        <v>45954</v>
      </c>
      <c r="E124" s="22">
        <v>45964.596562500003</v>
      </c>
      <c r="F124" t="s">
        <v>1457</v>
      </c>
      <c r="H124">
        <v>6</v>
      </c>
      <c r="I124">
        <v>10737909609</v>
      </c>
      <c r="J124" t="s">
        <v>1485</v>
      </c>
      <c r="K124" s="8">
        <v>45954</v>
      </c>
      <c r="Q124">
        <v>32542</v>
      </c>
      <c r="R124">
        <v>2342</v>
      </c>
      <c r="S124" t="s">
        <v>1399</v>
      </c>
      <c r="T124" t="s">
        <v>163</v>
      </c>
      <c r="U124">
        <v>1</v>
      </c>
      <c r="V124">
        <v>22.5</v>
      </c>
      <c r="W124">
        <v>26.55</v>
      </c>
      <c r="X124">
        <v>0</v>
      </c>
      <c r="Y124">
        <v>22.5</v>
      </c>
      <c r="Z124">
        <v>18</v>
      </c>
      <c r="AA124">
        <v>4.05</v>
      </c>
      <c r="AB124">
        <v>26.55</v>
      </c>
      <c r="AC124">
        <v>1</v>
      </c>
      <c r="AD124">
        <v>1</v>
      </c>
      <c r="AE124" t="s">
        <v>1411</v>
      </c>
      <c r="AF124" t="s">
        <v>1412</v>
      </c>
      <c r="AG124">
        <v>2</v>
      </c>
      <c r="AH124" t="s">
        <v>25</v>
      </c>
      <c r="AI124">
        <v>6959</v>
      </c>
      <c r="AJ124" t="s">
        <v>1401</v>
      </c>
      <c r="AK124" t="s">
        <v>169</v>
      </c>
      <c r="AL124">
        <v>3079</v>
      </c>
      <c r="AM124" t="s">
        <v>1456</v>
      </c>
      <c r="AN124" s="8">
        <v>45921</v>
      </c>
      <c r="AO124" s="8">
        <v>45921</v>
      </c>
      <c r="AP124">
        <v>5597</v>
      </c>
      <c r="AQ124" t="s">
        <v>1457</v>
      </c>
      <c r="AR124" t="s">
        <v>12</v>
      </c>
      <c r="AS124" t="str">
        <f>+CONCATENATE(A124,"-",B124)</f>
        <v>(01) Factura FOF1-00000168</v>
      </c>
    </row>
    <row r="125" spans="1:45" ht="15" customHeight="1">
      <c r="A125" t="s">
        <v>1216</v>
      </c>
      <c r="B125" s="21" t="s">
        <v>1689</v>
      </c>
      <c r="C125" t="s">
        <v>27</v>
      </c>
      <c r="D125" s="8">
        <v>45946</v>
      </c>
      <c r="E125" s="22">
        <v>45964.738333333335</v>
      </c>
      <c r="F125" t="s">
        <v>32</v>
      </c>
      <c r="G125" t="s">
        <v>158</v>
      </c>
      <c r="H125">
        <v>6</v>
      </c>
      <c r="I125">
        <v>20608361074</v>
      </c>
      <c r="J125" t="s">
        <v>1817</v>
      </c>
      <c r="K125" s="8">
        <v>45946</v>
      </c>
      <c r="Q125">
        <v>31337</v>
      </c>
      <c r="R125">
        <v>2274</v>
      </c>
      <c r="S125" t="s">
        <v>1255</v>
      </c>
      <c r="T125" t="s">
        <v>215</v>
      </c>
      <c r="U125">
        <v>1</v>
      </c>
      <c r="V125">
        <v>22.5</v>
      </c>
      <c r="W125">
        <v>26.55</v>
      </c>
      <c r="X125">
        <v>0</v>
      </c>
      <c r="Y125">
        <v>22.5</v>
      </c>
      <c r="Z125">
        <v>18</v>
      </c>
      <c r="AA125">
        <v>4.05</v>
      </c>
      <c r="AB125">
        <v>26.55</v>
      </c>
      <c r="AC125">
        <v>1</v>
      </c>
      <c r="AD125">
        <v>1</v>
      </c>
      <c r="AE125" t="s">
        <v>1411</v>
      </c>
      <c r="AF125" t="s">
        <v>1412</v>
      </c>
      <c r="AG125">
        <v>2</v>
      </c>
      <c r="AH125" t="s">
        <v>25</v>
      </c>
      <c r="AI125">
        <v>6937</v>
      </c>
      <c r="AJ125" t="s">
        <v>1414</v>
      </c>
      <c r="AK125" t="s">
        <v>1433</v>
      </c>
      <c r="AL125">
        <v>3050</v>
      </c>
      <c r="AM125" t="s">
        <v>1818</v>
      </c>
      <c r="AN125" s="8">
        <v>45935</v>
      </c>
      <c r="AO125" s="8">
        <v>45935</v>
      </c>
      <c r="AP125">
        <v>397</v>
      </c>
      <c r="AQ125" t="s">
        <v>32</v>
      </c>
      <c r="AR125" t="s">
        <v>12</v>
      </c>
      <c r="AS125" t="str">
        <f>+CONCATENATE(A125,"-",B125)</f>
        <v>(01) Factura FOF1-00000059</v>
      </c>
    </row>
    <row r="126" spans="1:45" ht="15" customHeight="1">
      <c r="A126" t="s">
        <v>1214</v>
      </c>
      <c r="B126" s="21" t="s">
        <v>173</v>
      </c>
      <c r="C126" t="s">
        <v>27</v>
      </c>
      <c r="D126" s="8">
        <v>45946</v>
      </c>
      <c r="E126" s="22">
        <v>45964.790752314817</v>
      </c>
      <c r="F126" t="s">
        <v>1387</v>
      </c>
      <c r="H126">
        <v>1</v>
      </c>
      <c r="I126">
        <v>10690613</v>
      </c>
      <c r="J126" t="s">
        <v>1778</v>
      </c>
      <c r="K126" s="8">
        <v>45946</v>
      </c>
      <c r="Q126">
        <v>31446</v>
      </c>
      <c r="R126">
        <v>216</v>
      </c>
      <c r="S126" t="s">
        <v>1300</v>
      </c>
      <c r="T126" t="s">
        <v>163</v>
      </c>
      <c r="U126">
        <v>1</v>
      </c>
      <c r="V126">
        <v>23</v>
      </c>
      <c r="W126">
        <v>27.14</v>
      </c>
      <c r="X126">
        <v>0</v>
      </c>
      <c r="Y126">
        <v>23</v>
      </c>
      <c r="Z126">
        <v>18</v>
      </c>
      <c r="AA126">
        <v>4.1399999999999997</v>
      </c>
      <c r="AB126">
        <v>27.14</v>
      </c>
      <c r="AC126">
        <v>1</v>
      </c>
      <c r="AD126">
        <v>1</v>
      </c>
      <c r="AE126" t="s">
        <v>1411</v>
      </c>
      <c r="AF126" t="s">
        <v>1412</v>
      </c>
      <c r="AG126">
        <v>2</v>
      </c>
      <c r="AH126" t="s">
        <v>25</v>
      </c>
      <c r="AI126">
        <v>6936</v>
      </c>
      <c r="AJ126" t="s">
        <v>1437</v>
      </c>
      <c r="AK126" t="s">
        <v>1433</v>
      </c>
      <c r="AL126">
        <v>3227</v>
      </c>
      <c r="AM126" t="s">
        <v>1777</v>
      </c>
      <c r="AN126" s="8">
        <v>45941</v>
      </c>
      <c r="AO126" s="8">
        <v>45941</v>
      </c>
      <c r="AP126">
        <v>1157</v>
      </c>
      <c r="AQ126" t="s">
        <v>1387</v>
      </c>
      <c r="AR126" t="s">
        <v>1295</v>
      </c>
      <c r="AS126" t="str">
        <f>+CONCATENATE(A126,"-",B126)</f>
        <v>(03) Boleta BOB1-00000042</v>
      </c>
    </row>
    <row r="127" spans="1:45" ht="15" customHeight="1">
      <c r="A127" t="s">
        <v>1216</v>
      </c>
      <c r="B127" s="21" t="s">
        <v>1446</v>
      </c>
      <c r="C127" t="s">
        <v>27</v>
      </c>
      <c r="D127" s="8">
        <v>45946</v>
      </c>
      <c r="E127" s="22">
        <v>45964.797175925924</v>
      </c>
      <c r="F127" t="s">
        <v>1553</v>
      </c>
      <c r="H127">
        <v>6</v>
      </c>
      <c r="I127">
        <v>20608747843</v>
      </c>
      <c r="J127" t="s">
        <v>1767</v>
      </c>
      <c r="K127" s="8">
        <v>45946</v>
      </c>
      <c r="Q127">
        <v>31467</v>
      </c>
      <c r="R127">
        <v>216</v>
      </c>
      <c r="S127" t="s">
        <v>1300</v>
      </c>
      <c r="T127" t="s">
        <v>163</v>
      </c>
      <c r="U127">
        <v>1</v>
      </c>
      <c r="V127">
        <v>23.39</v>
      </c>
      <c r="W127">
        <v>27.6</v>
      </c>
      <c r="X127">
        <v>0</v>
      </c>
      <c r="Y127">
        <v>23.39</v>
      </c>
      <c r="Z127">
        <v>18</v>
      </c>
      <c r="AA127">
        <v>4.21</v>
      </c>
      <c r="AB127">
        <v>27.6</v>
      </c>
      <c r="AC127">
        <v>1</v>
      </c>
      <c r="AD127">
        <v>1</v>
      </c>
      <c r="AE127" t="s">
        <v>1411</v>
      </c>
      <c r="AF127" t="s">
        <v>1412</v>
      </c>
      <c r="AG127">
        <v>2</v>
      </c>
      <c r="AH127" t="s">
        <v>25</v>
      </c>
      <c r="AI127">
        <v>6936</v>
      </c>
      <c r="AJ127" t="s">
        <v>1437</v>
      </c>
      <c r="AK127" t="s">
        <v>1433</v>
      </c>
      <c r="AL127">
        <v>3090</v>
      </c>
      <c r="AM127" t="s">
        <v>1766</v>
      </c>
      <c r="AN127" s="8">
        <v>45941</v>
      </c>
      <c r="AO127" s="8">
        <v>45941</v>
      </c>
      <c r="AP127">
        <v>5498</v>
      </c>
      <c r="AQ127" t="s">
        <v>1553</v>
      </c>
      <c r="AR127" t="s">
        <v>12</v>
      </c>
      <c r="AS127" t="str">
        <f>+CONCATENATE(A127,"-",B127)</f>
        <v>(01) Factura FOF1-00000092</v>
      </c>
    </row>
    <row r="128" spans="1:45" ht="15" customHeight="1">
      <c r="A128" t="s">
        <v>1216</v>
      </c>
      <c r="B128" s="21" t="s">
        <v>1508</v>
      </c>
      <c r="C128" t="s">
        <v>27</v>
      </c>
      <c r="D128" s="8">
        <v>45946</v>
      </c>
      <c r="E128" s="22">
        <v>45964.782650462963</v>
      </c>
      <c r="F128" t="s">
        <v>1787</v>
      </c>
      <c r="G128" t="s">
        <v>158</v>
      </c>
      <c r="H128">
        <v>6</v>
      </c>
      <c r="I128">
        <v>20168142375</v>
      </c>
      <c r="J128" t="s">
        <v>1790</v>
      </c>
      <c r="K128" s="8">
        <v>45946</v>
      </c>
      <c r="Q128">
        <v>31422</v>
      </c>
      <c r="R128">
        <v>2324</v>
      </c>
      <c r="S128" t="s">
        <v>1303</v>
      </c>
      <c r="T128" t="s">
        <v>215</v>
      </c>
      <c r="U128">
        <v>1</v>
      </c>
      <c r="V128">
        <v>24</v>
      </c>
      <c r="W128">
        <v>28.32</v>
      </c>
      <c r="X128">
        <v>0</v>
      </c>
      <c r="Y128">
        <v>24</v>
      </c>
      <c r="Z128">
        <v>18</v>
      </c>
      <c r="AA128">
        <v>4.32</v>
      </c>
      <c r="AB128">
        <v>28.32</v>
      </c>
      <c r="AC128">
        <v>1</v>
      </c>
      <c r="AD128">
        <v>1</v>
      </c>
      <c r="AE128" t="s">
        <v>1411</v>
      </c>
      <c r="AF128" t="s">
        <v>1412</v>
      </c>
      <c r="AG128">
        <v>2</v>
      </c>
      <c r="AH128" t="s">
        <v>25</v>
      </c>
      <c r="AI128">
        <v>1106</v>
      </c>
      <c r="AJ128" t="s">
        <v>239</v>
      </c>
      <c r="AK128" t="s">
        <v>1468</v>
      </c>
      <c r="AL128">
        <v>3191</v>
      </c>
      <c r="AM128" t="s">
        <v>1789</v>
      </c>
      <c r="AN128" s="8">
        <v>45935</v>
      </c>
      <c r="AO128" s="8">
        <v>45935</v>
      </c>
      <c r="AP128">
        <v>388</v>
      </c>
      <c r="AQ128" t="s">
        <v>1787</v>
      </c>
      <c r="AR128" t="s">
        <v>12</v>
      </c>
      <c r="AS128" t="str">
        <f>+CONCATENATE(A128,"-",B128)</f>
        <v>(01) Factura FOF1-00000081</v>
      </c>
    </row>
    <row r="129" spans="1:45" ht="15" customHeight="1">
      <c r="A129" t="s">
        <v>1238</v>
      </c>
      <c r="B129">
        <v>692</v>
      </c>
      <c r="C129" t="s">
        <v>27</v>
      </c>
      <c r="D129" s="8">
        <v>45680</v>
      </c>
      <c r="E129" s="22">
        <v>45964</v>
      </c>
      <c r="F129" t="s">
        <v>1318</v>
      </c>
      <c r="G129" t="s">
        <v>158</v>
      </c>
      <c r="H129">
        <v>1</v>
      </c>
      <c r="I129">
        <v>73241854</v>
      </c>
      <c r="J129" t="s">
        <v>2049</v>
      </c>
      <c r="K129" s="8">
        <v>45680</v>
      </c>
      <c r="Q129">
        <v>18608</v>
      </c>
      <c r="R129">
        <v>934</v>
      </c>
      <c r="S129" t="s">
        <v>1319</v>
      </c>
      <c r="T129" t="s">
        <v>215</v>
      </c>
      <c r="U129">
        <v>1</v>
      </c>
      <c r="V129">
        <v>24.11</v>
      </c>
      <c r="W129">
        <v>28.45</v>
      </c>
      <c r="X129">
        <v>0</v>
      </c>
      <c r="Y129">
        <v>24.11</v>
      </c>
      <c r="Z129">
        <v>18</v>
      </c>
      <c r="AA129">
        <v>4.34</v>
      </c>
      <c r="AB129">
        <v>28.45</v>
      </c>
      <c r="AC129">
        <v>1</v>
      </c>
      <c r="AD129">
        <v>1</v>
      </c>
      <c r="AE129" t="s">
        <v>232</v>
      </c>
      <c r="AF129" t="s">
        <v>29</v>
      </c>
      <c r="AG129">
        <v>2</v>
      </c>
      <c r="AH129" t="s">
        <v>25</v>
      </c>
      <c r="AI129">
        <v>1106</v>
      </c>
      <c r="AJ129" t="s">
        <v>239</v>
      </c>
      <c r="AK129" t="s">
        <v>1237</v>
      </c>
      <c r="AP129">
        <v>418</v>
      </c>
      <c r="AQ129" t="s">
        <v>1318</v>
      </c>
      <c r="AR129" t="s">
        <v>1295</v>
      </c>
      <c r="AS129" t="str">
        <f>+CONCATENATE(A129,"-",B129)</f>
        <v>BB01-692</v>
      </c>
    </row>
    <row r="130" spans="1:45" ht="15" customHeight="1">
      <c r="A130" t="s">
        <v>1238</v>
      </c>
      <c r="B130">
        <v>721</v>
      </c>
      <c r="C130" t="s">
        <v>27</v>
      </c>
      <c r="D130" s="8">
        <v>45688</v>
      </c>
      <c r="E130" s="22">
        <v>45964</v>
      </c>
      <c r="F130" t="s">
        <v>596</v>
      </c>
      <c r="H130">
        <v>1</v>
      </c>
      <c r="I130">
        <v>44849029</v>
      </c>
      <c r="J130" t="s">
        <v>1976</v>
      </c>
      <c r="K130" s="8">
        <v>45688</v>
      </c>
      <c r="Q130">
        <v>18689</v>
      </c>
      <c r="R130">
        <v>877</v>
      </c>
      <c r="S130" t="s">
        <v>1300</v>
      </c>
      <c r="T130" t="s">
        <v>215</v>
      </c>
      <c r="U130">
        <v>1</v>
      </c>
      <c r="V130">
        <v>24.56</v>
      </c>
      <c r="W130">
        <v>28.98</v>
      </c>
      <c r="X130">
        <v>0</v>
      </c>
      <c r="Y130">
        <v>24.56</v>
      </c>
      <c r="Z130">
        <v>18</v>
      </c>
      <c r="AA130">
        <v>4.42</v>
      </c>
      <c r="AB130">
        <v>28.98</v>
      </c>
      <c r="AC130">
        <v>1</v>
      </c>
      <c r="AD130">
        <v>1</v>
      </c>
      <c r="AE130" t="s">
        <v>232</v>
      </c>
      <c r="AF130" t="s">
        <v>29</v>
      </c>
      <c r="AG130">
        <v>2</v>
      </c>
      <c r="AH130" t="s">
        <v>25</v>
      </c>
      <c r="AI130">
        <v>1106</v>
      </c>
      <c r="AJ130" t="s">
        <v>239</v>
      </c>
      <c r="AK130" t="s">
        <v>1237</v>
      </c>
      <c r="AP130">
        <v>1175</v>
      </c>
      <c r="AQ130" t="s">
        <v>596</v>
      </c>
      <c r="AR130" t="s">
        <v>1295</v>
      </c>
      <c r="AS130" t="str">
        <f>+CONCATENATE(A130,"-",B130)</f>
        <v>BB01-721</v>
      </c>
    </row>
    <row r="131" spans="1:45" ht="15" customHeight="1">
      <c r="A131" t="s">
        <v>1238</v>
      </c>
      <c r="B131">
        <v>637</v>
      </c>
      <c r="C131" t="s">
        <v>27</v>
      </c>
      <c r="D131" s="8">
        <v>45663</v>
      </c>
      <c r="E131" s="22">
        <v>45964</v>
      </c>
      <c r="F131" t="s">
        <v>1160</v>
      </c>
      <c r="H131">
        <v>1</v>
      </c>
      <c r="I131">
        <v>40384386</v>
      </c>
      <c r="J131" t="s">
        <v>2788</v>
      </c>
      <c r="K131" s="8">
        <v>45663</v>
      </c>
      <c r="Q131">
        <v>17179</v>
      </c>
      <c r="R131">
        <v>878</v>
      </c>
      <c r="S131" t="s">
        <v>1334</v>
      </c>
      <c r="T131" t="s">
        <v>215</v>
      </c>
      <c r="U131">
        <v>1</v>
      </c>
      <c r="V131">
        <v>24.58</v>
      </c>
      <c r="W131">
        <v>29</v>
      </c>
      <c r="X131">
        <v>0</v>
      </c>
      <c r="Y131">
        <v>24.58</v>
      </c>
      <c r="Z131">
        <v>18</v>
      </c>
      <c r="AA131">
        <v>4.42</v>
      </c>
      <c r="AB131">
        <v>29</v>
      </c>
      <c r="AC131">
        <v>1</v>
      </c>
      <c r="AD131">
        <v>1</v>
      </c>
      <c r="AE131" t="s">
        <v>232</v>
      </c>
      <c r="AF131" t="s">
        <v>29</v>
      </c>
      <c r="AG131">
        <v>2</v>
      </c>
      <c r="AH131" t="s">
        <v>25</v>
      </c>
      <c r="AI131">
        <v>1106</v>
      </c>
      <c r="AJ131" t="s">
        <v>239</v>
      </c>
      <c r="AK131" t="s">
        <v>1237</v>
      </c>
      <c r="AP131">
        <v>1154</v>
      </c>
      <c r="AQ131" t="s">
        <v>1160</v>
      </c>
      <c r="AR131" t="s">
        <v>1295</v>
      </c>
      <c r="AS131" t="str">
        <f>+CONCATENATE(A131,"-",B131)</f>
        <v>BB01-637</v>
      </c>
    </row>
    <row r="132" spans="1:45" ht="15" customHeight="1">
      <c r="A132" t="s">
        <v>1214</v>
      </c>
      <c r="B132" s="21" t="s">
        <v>1742</v>
      </c>
      <c r="C132" t="s">
        <v>27</v>
      </c>
      <c r="D132" s="8">
        <v>45959</v>
      </c>
      <c r="E132" s="22">
        <v>45964.641053240739</v>
      </c>
      <c r="F132" t="s">
        <v>610</v>
      </c>
      <c r="H132">
        <v>1</v>
      </c>
      <c r="I132">
        <v>75329338</v>
      </c>
      <c r="J132" t="s">
        <v>2667</v>
      </c>
      <c r="K132" s="8">
        <v>45959</v>
      </c>
      <c r="Q132">
        <v>32908</v>
      </c>
      <c r="R132">
        <v>216</v>
      </c>
      <c r="S132" t="s">
        <v>1300</v>
      </c>
      <c r="T132" t="s">
        <v>163</v>
      </c>
      <c r="U132">
        <v>1</v>
      </c>
      <c r="V132">
        <v>24.66</v>
      </c>
      <c r="W132">
        <v>29.1</v>
      </c>
      <c r="X132">
        <v>0</v>
      </c>
      <c r="Y132">
        <v>24.66</v>
      </c>
      <c r="Z132">
        <v>18</v>
      </c>
      <c r="AA132">
        <v>4.4400000000000004</v>
      </c>
      <c r="AB132">
        <v>29.1</v>
      </c>
      <c r="AC132">
        <v>1</v>
      </c>
      <c r="AD132">
        <v>1</v>
      </c>
      <c r="AE132" t="s">
        <v>1411</v>
      </c>
      <c r="AF132" t="s">
        <v>1412</v>
      </c>
      <c r="AG132">
        <v>2</v>
      </c>
      <c r="AH132" t="s">
        <v>25</v>
      </c>
      <c r="AI132">
        <v>6936</v>
      </c>
      <c r="AJ132" t="s">
        <v>1437</v>
      </c>
      <c r="AK132" t="s">
        <v>1433</v>
      </c>
      <c r="AL132">
        <v>3196</v>
      </c>
      <c r="AM132" t="s">
        <v>2486</v>
      </c>
      <c r="AN132" s="8">
        <v>45955</v>
      </c>
      <c r="AO132" s="8">
        <v>45955</v>
      </c>
      <c r="AP132">
        <v>1173</v>
      </c>
      <c r="AQ132" t="s">
        <v>1839</v>
      </c>
      <c r="AR132" t="s">
        <v>1295</v>
      </c>
      <c r="AS132" t="str">
        <f>+CONCATENATE(A132,"-",B132)</f>
        <v>(03) Boleta BOB1-00000103</v>
      </c>
    </row>
    <row r="133" spans="1:45" ht="15" customHeight="1">
      <c r="A133" t="s">
        <v>216</v>
      </c>
      <c r="B133">
        <v>1375</v>
      </c>
      <c r="C133" t="s">
        <v>27</v>
      </c>
      <c r="D133" s="8">
        <v>45693</v>
      </c>
      <c r="E133" s="22">
        <v>45964</v>
      </c>
      <c r="F133" t="s">
        <v>490</v>
      </c>
      <c r="H133">
        <v>6</v>
      </c>
      <c r="I133">
        <v>20611587741</v>
      </c>
      <c r="J133" t="s">
        <v>2752</v>
      </c>
      <c r="K133" s="8">
        <v>45693</v>
      </c>
      <c r="Q133">
        <v>18704</v>
      </c>
      <c r="R133">
        <v>877</v>
      </c>
      <c r="S133" t="s">
        <v>1300</v>
      </c>
      <c r="T133" t="s">
        <v>215</v>
      </c>
      <c r="U133">
        <v>1</v>
      </c>
      <c r="V133">
        <v>24.75</v>
      </c>
      <c r="W133">
        <v>29.2</v>
      </c>
      <c r="X133">
        <v>0</v>
      </c>
      <c r="Y133">
        <v>24.75</v>
      </c>
      <c r="Z133">
        <v>18</v>
      </c>
      <c r="AA133">
        <v>4.45</v>
      </c>
      <c r="AB133">
        <v>29.2</v>
      </c>
      <c r="AC133">
        <v>1</v>
      </c>
      <c r="AD133">
        <v>1</v>
      </c>
      <c r="AE133" t="s">
        <v>232</v>
      </c>
      <c r="AF133" t="s">
        <v>29</v>
      </c>
      <c r="AG133">
        <v>2</v>
      </c>
      <c r="AH133" t="s">
        <v>25</v>
      </c>
      <c r="AI133">
        <v>1106</v>
      </c>
      <c r="AJ133" t="s">
        <v>239</v>
      </c>
      <c r="AK133" t="s">
        <v>1237</v>
      </c>
      <c r="AP133">
        <v>1130</v>
      </c>
      <c r="AQ133" t="s">
        <v>490</v>
      </c>
      <c r="AR133" t="s">
        <v>12</v>
      </c>
      <c r="AS133" t="str">
        <f>+CONCATENATE(A133,"-",B133)</f>
        <v>FB01-1375</v>
      </c>
    </row>
    <row r="134" spans="1:45" ht="15" customHeight="1">
      <c r="A134" t="s">
        <v>1214</v>
      </c>
      <c r="B134" s="21" t="s">
        <v>1694</v>
      </c>
      <c r="C134" t="s">
        <v>27</v>
      </c>
      <c r="D134" s="8">
        <v>45959</v>
      </c>
      <c r="E134" s="22">
        <v>45964.706030092595</v>
      </c>
      <c r="F134" t="s">
        <v>2474</v>
      </c>
      <c r="H134">
        <v>1</v>
      </c>
      <c r="I134">
        <v>72172923</v>
      </c>
      <c r="J134" t="s">
        <v>2650</v>
      </c>
      <c r="K134" s="8">
        <v>45959</v>
      </c>
      <c r="Q134">
        <v>32974</v>
      </c>
      <c r="R134">
        <v>216</v>
      </c>
      <c r="S134" t="s">
        <v>1300</v>
      </c>
      <c r="T134" t="s">
        <v>163</v>
      </c>
      <c r="U134">
        <v>1</v>
      </c>
      <c r="V134">
        <v>24.91</v>
      </c>
      <c r="W134">
        <v>29.39</v>
      </c>
      <c r="X134">
        <v>0</v>
      </c>
      <c r="Y134">
        <v>24.91</v>
      </c>
      <c r="Z134">
        <v>18</v>
      </c>
      <c r="AA134">
        <v>4.4800000000000004</v>
      </c>
      <c r="AB134">
        <v>29.39</v>
      </c>
      <c r="AC134">
        <v>1</v>
      </c>
      <c r="AD134">
        <v>1</v>
      </c>
      <c r="AE134" t="s">
        <v>1411</v>
      </c>
      <c r="AF134" t="s">
        <v>1412</v>
      </c>
      <c r="AG134">
        <v>2</v>
      </c>
      <c r="AH134" t="s">
        <v>25</v>
      </c>
      <c r="AI134">
        <v>6936</v>
      </c>
      <c r="AJ134" t="s">
        <v>1437</v>
      </c>
      <c r="AK134" t="s">
        <v>1433</v>
      </c>
      <c r="AL134">
        <v>3195</v>
      </c>
      <c r="AM134" t="s">
        <v>2475</v>
      </c>
      <c r="AN134" s="8">
        <v>45954</v>
      </c>
      <c r="AO134" s="8">
        <v>45954</v>
      </c>
      <c r="AP134">
        <v>5210</v>
      </c>
      <c r="AQ134" t="s">
        <v>2474</v>
      </c>
      <c r="AR134" t="s">
        <v>1295</v>
      </c>
      <c r="AS134" t="str">
        <f>+CONCATENATE(A134,"-",B134)</f>
        <v>(03) Boleta BOB1-00000116</v>
      </c>
    </row>
    <row r="135" spans="1:45" ht="15" customHeight="1">
      <c r="A135" t="s">
        <v>1216</v>
      </c>
      <c r="B135" s="21" t="s">
        <v>1463</v>
      </c>
      <c r="C135" t="s">
        <v>27</v>
      </c>
      <c r="D135" s="8">
        <v>45954</v>
      </c>
      <c r="E135" s="22">
        <v>45964.602905092594</v>
      </c>
      <c r="F135" t="s">
        <v>1454</v>
      </c>
      <c r="H135">
        <v>6</v>
      </c>
      <c r="I135">
        <v>20608574663</v>
      </c>
      <c r="J135" t="s">
        <v>1464</v>
      </c>
      <c r="K135" s="8">
        <v>45954</v>
      </c>
      <c r="Q135">
        <v>32572</v>
      </c>
      <c r="R135">
        <v>224</v>
      </c>
      <c r="S135" t="s">
        <v>1305</v>
      </c>
      <c r="T135" t="s">
        <v>163</v>
      </c>
      <c r="U135">
        <v>1</v>
      </c>
      <c r="V135">
        <v>25</v>
      </c>
      <c r="W135">
        <v>29.5</v>
      </c>
      <c r="X135">
        <v>0</v>
      </c>
      <c r="Y135">
        <v>25</v>
      </c>
      <c r="Z135">
        <v>18</v>
      </c>
      <c r="AA135">
        <v>4.5</v>
      </c>
      <c r="AB135">
        <v>29.5</v>
      </c>
      <c r="AC135">
        <v>1</v>
      </c>
      <c r="AD135">
        <v>1</v>
      </c>
      <c r="AE135" t="s">
        <v>1411</v>
      </c>
      <c r="AF135" t="s">
        <v>1412</v>
      </c>
      <c r="AG135">
        <v>2</v>
      </c>
      <c r="AH135" t="s">
        <v>25</v>
      </c>
      <c r="AI135">
        <v>6959</v>
      </c>
      <c r="AJ135" t="s">
        <v>1401</v>
      </c>
      <c r="AK135" t="s">
        <v>1465</v>
      </c>
      <c r="AL135">
        <v>3079</v>
      </c>
      <c r="AM135" t="s">
        <v>1456</v>
      </c>
      <c r="AN135" s="8">
        <v>45921</v>
      </c>
      <c r="AO135" s="8">
        <v>45921</v>
      </c>
      <c r="AP135">
        <v>5597</v>
      </c>
      <c r="AQ135" t="s">
        <v>1457</v>
      </c>
      <c r="AR135" t="s">
        <v>12</v>
      </c>
      <c r="AS135" t="str">
        <f>+CONCATENATE(A135,"-",B135)</f>
        <v>(01) Factura FOF1-00000178</v>
      </c>
    </row>
    <row r="136" spans="1:45" ht="15" customHeight="1">
      <c r="A136" t="s">
        <v>1216</v>
      </c>
      <c r="B136" s="21" t="s">
        <v>1516</v>
      </c>
      <c r="C136" t="s">
        <v>27</v>
      </c>
      <c r="D136" s="8">
        <v>45946</v>
      </c>
      <c r="E136" s="22">
        <v>45964.779826388891</v>
      </c>
      <c r="F136" t="s">
        <v>34</v>
      </c>
      <c r="H136">
        <v>6</v>
      </c>
      <c r="I136">
        <v>20611018925</v>
      </c>
      <c r="J136" t="s">
        <v>1793</v>
      </c>
      <c r="K136" s="8">
        <v>45946</v>
      </c>
      <c r="Q136">
        <v>31411</v>
      </c>
      <c r="R136">
        <v>2276</v>
      </c>
      <c r="S136" t="s">
        <v>1504</v>
      </c>
      <c r="T136" t="s">
        <v>163</v>
      </c>
      <c r="U136">
        <v>1</v>
      </c>
      <c r="V136">
        <v>25</v>
      </c>
      <c r="W136">
        <v>29.5</v>
      </c>
      <c r="X136">
        <v>0</v>
      </c>
      <c r="Y136">
        <v>25</v>
      </c>
      <c r="Z136">
        <v>18</v>
      </c>
      <c r="AA136">
        <v>4.5</v>
      </c>
      <c r="AB136">
        <v>29.5</v>
      </c>
      <c r="AC136">
        <v>1</v>
      </c>
      <c r="AD136">
        <v>1</v>
      </c>
      <c r="AE136" t="s">
        <v>1411</v>
      </c>
      <c r="AF136" t="s">
        <v>1412</v>
      </c>
      <c r="AG136">
        <v>2</v>
      </c>
      <c r="AH136" t="s">
        <v>25</v>
      </c>
      <c r="AI136">
        <v>6959</v>
      </c>
      <c r="AJ136" t="s">
        <v>1401</v>
      </c>
      <c r="AK136" t="s">
        <v>169</v>
      </c>
      <c r="AL136">
        <v>3157</v>
      </c>
      <c r="AM136" t="s">
        <v>1233</v>
      </c>
      <c r="AN136" s="8">
        <v>45925</v>
      </c>
      <c r="AO136" s="8">
        <v>45925</v>
      </c>
      <c r="AP136">
        <v>1128</v>
      </c>
      <c r="AQ136" t="s">
        <v>34</v>
      </c>
      <c r="AR136" t="s">
        <v>12</v>
      </c>
      <c r="AS136" t="str">
        <f>+CONCATENATE(A136,"-",B136)</f>
        <v>(01) Factura FOF1-00000078</v>
      </c>
    </row>
    <row r="137" spans="1:45" ht="15" customHeight="1">
      <c r="A137" t="s">
        <v>216</v>
      </c>
      <c r="B137">
        <v>1283</v>
      </c>
      <c r="C137" t="s">
        <v>27</v>
      </c>
      <c r="D137" s="8">
        <v>45680</v>
      </c>
      <c r="E137" s="22">
        <v>45964</v>
      </c>
      <c r="F137" t="s">
        <v>490</v>
      </c>
      <c r="H137">
        <v>6</v>
      </c>
      <c r="I137">
        <v>20611587741</v>
      </c>
      <c r="J137" t="s">
        <v>2088</v>
      </c>
      <c r="K137" s="8">
        <v>45680</v>
      </c>
      <c r="Q137">
        <v>17805</v>
      </c>
      <c r="R137">
        <v>877</v>
      </c>
      <c r="S137" t="s">
        <v>1300</v>
      </c>
      <c r="T137" t="s">
        <v>215</v>
      </c>
      <c r="U137">
        <v>1</v>
      </c>
      <c r="V137">
        <v>25.34</v>
      </c>
      <c r="W137">
        <v>29.9</v>
      </c>
      <c r="X137">
        <v>0</v>
      </c>
      <c r="Y137">
        <v>25.34</v>
      </c>
      <c r="Z137">
        <v>18</v>
      </c>
      <c r="AA137">
        <v>4.5599999999999996</v>
      </c>
      <c r="AB137">
        <v>29.9</v>
      </c>
      <c r="AC137">
        <v>1</v>
      </c>
      <c r="AD137">
        <v>1</v>
      </c>
      <c r="AE137" t="s">
        <v>232</v>
      </c>
      <c r="AF137" t="s">
        <v>29</v>
      </c>
      <c r="AG137">
        <v>2</v>
      </c>
      <c r="AH137" t="s">
        <v>25</v>
      </c>
      <c r="AI137">
        <v>1106</v>
      </c>
      <c r="AJ137" t="s">
        <v>239</v>
      </c>
      <c r="AK137" t="s">
        <v>1237</v>
      </c>
      <c r="AP137">
        <v>1130</v>
      </c>
      <c r="AQ137" t="s">
        <v>490</v>
      </c>
      <c r="AR137" t="s">
        <v>12</v>
      </c>
      <c r="AS137" t="str">
        <f>+CONCATENATE(A137,"-",B137)</f>
        <v>FB01-1283</v>
      </c>
    </row>
    <row r="138" spans="1:45" ht="15" customHeight="1">
      <c r="A138" t="s">
        <v>216</v>
      </c>
      <c r="B138">
        <v>1312</v>
      </c>
      <c r="C138" t="s">
        <v>27</v>
      </c>
      <c r="D138" s="8">
        <v>45680</v>
      </c>
      <c r="E138" s="22">
        <v>45964</v>
      </c>
      <c r="F138" t="s">
        <v>756</v>
      </c>
      <c r="H138">
        <v>6</v>
      </c>
      <c r="I138">
        <v>20612849251</v>
      </c>
      <c r="J138" t="s">
        <v>2768</v>
      </c>
      <c r="K138" s="8">
        <v>45680</v>
      </c>
      <c r="Q138">
        <v>17834</v>
      </c>
      <c r="R138">
        <v>874</v>
      </c>
      <c r="S138" t="s">
        <v>1248</v>
      </c>
      <c r="T138" t="s">
        <v>215</v>
      </c>
      <c r="U138">
        <v>1</v>
      </c>
      <c r="V138">
        <v>25.35</v>
      </c>
      <c r="W138">
        <v>29.91</v>
      </c>
      <c r="X138">
        <v>0</v>
      </c>
      <c r="Y138">
        <v>25.35</v>
      </c>
      <c r="Z138">
        <v>18</v>
      </c>
      <c r="AA138">
        <v>4.5599999999999996</v>
      </c>
      <c r="AB138">
        <v>29.91</v>
      </c>
      <c r="AC138">
        <v>1</v>
      </c>
      <c r="AD138">
        <v>1</v>
      </c>
      <c r="AE138" t="s">
        <v>232</v>
      </c>
      <c r="AF138" t="s">
        <v>29</v>
      </c>
      <c r="AG138">
        <v>2</v>
      </c>
      <c r="AH138" t="s">
        <v>25</v>
      </c>
      <c r="AI138">
        <v>1106</v>
      </c>
      <c r="AJ138" t="s">
        <v>239</v>
      </c>
      <c r="AK138" t="s">
        <v>1237</v>
      </c>
      <c r="AP138">
        <v>1132</v>
      </c>
      <c r="AQ138" t="s">
        <v>756</v>
      </c>
      <c r="AR138" t="s">
        <v>12</v>
      </c>
      <c r="AS138" t="str">
        <f>+CONCATENATE(A138,"-",B138)</f>
        <v>FB01-1312</v>
      </c>
    </row>
    <row r="139" spans="1:45" ht="15" customHeight="1">
      <c r="A139" t="s">
        <v>216</v>
      </c>
      <c r="B139">
        <v>1377</v>
      </c>
      <c r="C139" t="s">
        <v>27</v>
      </c>
      <c r="D139" s="8">
        <v>45693</v>
      </c>
      <c r="E139" s="22">
        <v>45964</v>
      </c>
      <c r="F139" t="s">
        <v>485</v>
      </c>
      <c r="H139">
        <v>6</v>
      </c>
      <c r="I139">
        <v>20609649039</v>
      </c>
      <c r="J139" t="s">
        <v>2750</v>
      </c>
      <c r="K139" s="8">
        <v>45693</v>
      </c>
      <c r="Q139">
        <v>18706</v>
      </c>
      <c r="R139">
        <v>877</v>
      </c>
      <c r="S139" t="s">
        <v>1300</v>
      </c>
      <c r="T139" t="s">
        <v>215</v>
      </c>
      <c r="U139">
        <v>1</v>
      </c>
      <c r="V139">
        <v>25.85</v>
      </c>
      <c r="W139">
        <v>30.5</v>
      </c>
      <c r="X139">
        <v>0</v>
      </c>
      <c r="Y139">
        <v>25.85</v>
      </c>
      <c r="Z139">
        <v>18</v>
      </c>
      <c r="AA139">
        <v>4.6500000000000004</v>
      </c>
      <c r="AB139">
        <v>30.5</v>
      </c>
      <c r="AC139">
        <v>1</v>
      </c>
      <c r="AD139">
        <v>1</v>
      </c>
      <c r="AE139" t="s">
        <v>232</v>
      </c>
      <c r="AF139" t="s">
        <v>29</v>
      </c>
      <c r="AG139">
        <v>2</v>
      </c>
      <c r="AH139" t="s">
        <v>25</v>
      </c>
      <c r="AI139">
        <v>1106</v>
      </c>
      <c r="AJ139" t="s">
        <v>239</v>
      </c>
      <c r="AK139" t="s">
        <v>1237</v>
      </c>
      <c r="AP139">
        <v>1142</v>
      </c>
      <c r="AQ139" t="s">
        <v>485</v>
      </c>
      <c r="AR139" t="s">
        <v>12</v>
      </c>
      <c r="AS139" t="str">
        <f>+CONCATENATE(A139,"-",B139)</f>
        <v>FB01-1377</v>
      </c>
    </row>
    <row r="140" spans="1:45" ht="15" customHeight="1">
      <c r="A140" t="s">
        <v>1214</v>
      </c>
      <c r="B140" s="21" t="s">
        <v>188</v>
      </c>
      <c r="C140" t="s">
        <v>27</v>
      </c>
      <c r="D140" s="8">
        <v>45945</v>
      </c>
      <c r="E140" s="22">
        <v>45964.766296296293</v>
      </c>
      <c r="F140" t="s">
        <v>1219</v>
      </c>
      <c r="H140">
        <v>1</v>
      </c>
      <c r="I140" s="21" t="s">
        <v>1220</v>
      </c>
      <c r="J140" t="s">
        <v>2725</v>
      </c>
      <c r="K140" s="8">
        <v>45945</v>
      </c>
      <c r="Q140">
        <v>31232</v>
      </c>
      <c r="R140">
        <v>1786</v>
      </c>
      <c r="S140" t="s">
        <v>1299</v>
      </c>
      <c r="T140" t="s">
        <v>163</v>
      </c>
      <c r="U140">
        <v>1</v>
      </c>
      <c r="V140">
        <v>25.93</v>
      </c>
      <c r="W140">
        <v>30.6</v>
      </c>
      <c r="X140">
        <v>0</v>
      </c>
      <c r="Y140">
        <v>25.93</v>
      </c>
      <c r="Z140">
        <v>18</v>
      </c>
      <c r="AA140">
        <v>4.67</v>
      </c>
      <c r="AB140">
        <v>30.6</v>
      </c>
      <c r="AC140">
        <v>1</v>
      </c>
      <c r="AD140">
        <v>1</v>
      </c>
      <c r="AE140" t="s">
        <v>1411</v>
      </c>
      <c r="AF140" t="s">
        <v>1412</v>
      </c>
      <c r="AG140">
        <v>2</v>
      </c>
      <c r="AH140" t="s">
        <v>25</v>
      </c>
      <c r="AI140">
        <v>1106</v>
      </c>
      <c r="AJ140" t="s">
        <v>239</v>
      </c>
      <c r="AK140" t="s">
        <v>169</v>
      </c>
      <c r="AL140">
        <v>3029</v>
      </c>
      <c r="AM140" t="s">
        <v>1221</v>
      </c>
      <c r="AN140" s="8">
        <v>45934</v>
      </c>
      <c r="AO140" s="8">
        <v>45934</v>
      </c>
      <c r="AP140">
        <v>5603</v>
      </c>
      <c r="AQ140" t="s">
        <v>1219</v>
      </c>
      <c r="AR140" t="s">
        <v>1295</v>
      </c>
      <c r="AS140" t="str">
        <f>+CONCATENATE(A140,"-",B140)</f>
        <v>(03) Boleta BOB1-00000024</v>
      </c>
    </row>
    <row r="141" spans="1:45" ht="15" customHeight="1">
      <c r="A141" t="s">
        <v>1238</v>
      </c>
      <c r="B141">
        <v>720</v>
      </c>
      <c r="C141" t="s">
        <v>27</v>
      </c>
      <c r="D141" s="8">
        <v>45688</v>
      </c>
      <c r="E141" s="22">
        <v>45964</v>
      </c>
      <c r="F141" t="s">
        <v>596</v>
      </c>
      <c r="H141">
        <v>1</v>
      </c>
      <c r="I141">
        <v>44849029</v>
      </c>
      <c r="J141" t="s">
        <v>1977</v>
      </c>
      <c r="K141" s="8">
        <v>45688</v>
      </c>
      <c r="Q141">
        <v>18688</v>
      </c>
      <c r="R141">
        <v>870</v>
      </c>
      <c r="S141" t="s">
        <v>1299</v>
      </c>
      <c r="T141" t="s">
        <v>215</v>
      </c>
      <c r="U141">
        <v>1</v>
      </c>
      <c r="V141">
        <v>26.45</v>
      </c>
      <c r="W141">
        <v>31.21</v>
      </c>
      <c r="X141">
        <v>0</v>
      </c>
      <c r="Y141">
        <v>26.45</v>
      </c>
      <c r="Z141">
        <v>18</v>
      </c>
      <c r="AA141">
        <v>4.76</v>
      </c>
      <c r="AB141">
        <v>31.21</v>
      </c>
      <c r="AC141">
        <v>1</v>
      </c>
      <c r="AD141">
        <v>1</v>
      </c>
      <c r="AE141" t="s">
        <v>232</v>
      </c>
      <c r="AF141" t="s">
        <v>29</v>
      </c>
      <c r="AG141">
        <v>2</v>
      </c>
      <c r="AH141" t="s">
        <v>25</v>
      </c>
      <c r="AI141">
        <v>1106</v>
      </c>
      <c r="AJ141" t="s">
        <v>239</v>
      </c>
      <c r="AK141" t="s">
        <v>1237</v>
      </c>
      <c r="AP141">
        <v>1175</v>
      </c>
      <c r="AQ141" t="s">
        <v>596</v>
      </c>
      <c r="AR141" t="s">
        <v>1295</v>
      </c>
      <c r="AS141" t="str">
        <f>+CONCATENATE(A141,"-",B141)</f>
        <v>BB01-720</v>
      </c>
    </row>
    <row r="142" spans="1:45" ht="15" customHeight="1">
      <c r="A142" t="s">
        <v>1216</v>
      </c>
      <c r="B142" s="21" t="s">
        <v>2476</v>
      </c>
      <c r="C142" t="s">
        <v>27</v>
      </c>
      <c r="D142" s="8">
        <v>45959</v>
      </c>
      <c r="E142" s="22">
        <v>45964.653668981482</v>
      </c>
      <c r="F142" t="s">
        <v>2477</v>
      </c>
      <c r="H142">
        <v>6</v>
      </c>
      <c r="I142">
        <v>20604257621</v>
      </c>
      <c r="J142" t="s">
        <v>2651</v>
      </c>
      <c r="K142" s="8">
        <v>45959</v>
      </c>
      <c r="Q142">
        <v>32959</v>
      </c>
      <c r="R142">
        <v>1786</v>
      </c>
      <c r="S142" t="s">
        <v>1299</v>
      </c>
      <c r="T142" t="s">
        <v>163</v>
      </c>
      <c r="U142">
        <v>1</v>
      </c>
      <c r="V142">
        <v>26.69</v>
      </c>
      <c r="W142">
        <v>31.49</v>
      </c>
      <c r="X142">
        <v>0</v>
      </c>
      <c r="Y142">
        <v>26.69</v>
      </c>
      <c r="Z142">
        <v>18</v>
      </c>
      <c r="AA142">
        <v>4.8</v>
      </c>
      <c r="AB142">
        <v>31.49</v>
      </c>
      <c r="AC142">
        <v>1</v>
      </c>
      <c r="AD142">
        <v>1</v>
      </c>
      <c r="AE142" t="s">
        <v>1411</v>
      </c>
      <c r="AF142" t="s">
        <v>1412</v>
      </c>
      <c r="AG142">
        <v>2</v>
      </c>
      <c r="AH142" t="s">
        <v>25</v>
      </c>
      <c r="AI142">
        <v>6937</v>
      </c>
      <c r="AJ142" t="s">
        <v>1414</v>
      </c>
      <c r="AK142" t="s">
        <v>1251</v>
      </c>
      <c r="AL142">
        <v>3275</v>
      </c>
      <c r="AM142" t="s">
        <v>2478</v>
      </c>
      <c r="AN142" s="8">
        <v>45954</v>
      </c>
      <c r="AO142" s="8">
        <v>45954</v>
      </c>
      <c r="AP142">
        <v>5473</v>
      </c>
      <c r="AQ142" t="s">
        <v>2477</v>
      </c>
      <c r="AR142" t="s">
        <v>12</v>
      </c>
      <c r="AS142" t="str">
        <f>+CONCATENATE(A142,"-",B142)</f>
        <v>(01) Factura FOF1-00000212</v>
      </c>
    </row>
    <row r="143" spans="1:45" ht="15" customHeight="1">
      <c r="A143" t="s">
        <v>216</v>
      </c>
      <c r="B143">
        <v>1320</v>
      </c>
      <c r="C143" t="s">
        <v>27</v>
      </c>
      <c r="D143" s="8">
        <v>45685</v>
      </c>
      <c r="E143" s="22">
        <v>45964</v>
      </c>
      <c r="F143" t="s">
        <v>462</v>
      </c>
      <c r="G143" t="s">
        <v>158</v>
      </c>
      <c r="H143">
        <v>6</v>
      </c>
      <c r="I143">
        <v>20608627422</v>
      </c>
      <c r="J143" t="s">
        <v>2760</v>
      </c>
      <c r="K143" s="8">
        <v>45685</v>
      </c>
      <c r="Q143">
        <v>18633</v>
      </c>
      <c r="R143">
        <v>870</v>
      </c>
      <c r="S143" t="s">
        <v>1299</v>
      </c>
      <c r="T143" t="s">
        <v>215</v>
      </c>
      <c r="U143">
        <v>1</v>
      </c>
      <c r="V143">
        <v>27.46</v>
      </c>
      <c r="W143">
        <v>32.4</v>
      </c>
      <c r="X143">
        <v>0</v>
      </c>
      <c r="Y143">
        <v>27.46</v>
      </c>
      <c r="Z143">
        <v>18</v>
      </c>
      <c r="AA143">
        <v>4.9400000000000004</v>
      </c>
      <c r="AB143">
        <v>32.4</v>
      </c>
      <c r="AC143">
        <v>1</v>
      </c>
      <c r="AD143">
        <v>1</v>
      </c>
      <c r="AE143" t="s">
        <v>232</v>
      </c>
      <c r="AF143" t="s">
        <v>29</v>
      </c>
      <c r="AG143">
        <v>2</v>
      </c>
      <c r="AH143" t="s">
        <v>25</v>
      </c>
      <c r="AI143">
        <v>1106</v>
      </c>
      <c r="AJ143" t="s">
        <v>239</v>
      </c>
      <c r="AK143" t="s">
        <v>1237</v>
      </c>
      <c r="AP143">
        <v>396</v>
      </c>
      <c r="AQ143" t="s">
        <v>462</v>
      </c>
      <c r="AR143" t="s">
        <v>12</v>
      </c>
      <c r="AS143" t="str">
        <f>+CONCATENATE(A143,"-",B143)</f>
        <v>FB01-1320</v>
      </c>
    </row>
    <row r="144" spans="1:45" ht="15" customHeight="1">
      <c r="A144" t="s">
        <v>216</v>
      </c>
      <c r="B144">
        <v>1395</v>
      </c>
      <c r="C144" t="s">
        <v>27</v>
      </c>
      <c r="D144" s="8">
        <v>45693</v>
      </c>
      <c r="E144" s="22">
        <v>45964</v>
      </c>
      <c r="F144" t="s">
        <v>442</v>
      </c>
      <c r="H144">
        <v>6</v>
      </c>
      <c r="I144">
        <v>20609584719</v>
      </c>
      <c r="J144" t="s">
        <v>2745</v>
      </c>
      <c r="K144" s="8">
        <v>45693</v>
      </c>
      <c r="Q144">
        <v>18734</v>
      </c>
      <c r="R144">
        <v>870</v>
      </c>
      <c r="S144" t="s">
        <v>1299</v>
      </c>
      <c r="T144" t="s">
        <v>215</v>
      </c>
      <c r="U144">
        <v>1</v>
      </c>
      <c r="V144">
        <v>29.49</v>
      </c>
      <c r="W144">
        <v>34.799999999999997</v>
      </c>
      <c r="X144">
        <v>0</v>
      </c>
      <c r="Y144">
        <v>29.49</v>
      </c>
      <c r="Z144">
        <v>18</v>
      </c>
      <c r="AA144">
        <v>5.31</v>
      </c>
      <c r="AB144">
        <v>34.799999999999997</v>
      </c>
      <c r="AC144">
        <v>1</v>
      </c>
      <c r="AD144">
        <v>1</v>
      </c>
      <c r="AE144" t="s">
        <v>232</v>
      </c>
      <c r="AF144" t="s">
        <v>29</v>
      </c>
      <c r="AG144">
        <v>2</v>
      </c>
      <c r="AH144" t="s">
        <v>25</v>
      </c>
      <c r="AI144">
        <v>1106</v>
      </c>
      <c r="AJ144" t="s">
        <v>239</v>
      </c>
      <c r="AK144" t="s">
        <v>1237</v>
      </c>
      <c r="AP144">
        <v>1145</v>
      </c>
      <c r="AQ144" t="s">
        <v>442</v>
      </c>
      <c r="AR144" t="s">
        <v>12</v>
      </c>
      <c r="AS144" t="str">
        <f>+CONCATENATE(A144,"-",B144)</f>
        <v>FB01-1395</v>
      </c>
    </row>
    <row r="145" spans="1:45" ht="15" customHeight="1">
      <c r="A145" t="s">
        <v>1216</v>
      </c>
      <c r="B145" s="21" t="s">
        <v>1415</v>
      </c>
      <c r="C145" t="s">
        <v>27</v>
      </c>
      <c r="D145" s="8">
        <v>45957</v>
      </c>
      <c r="E145" s="22">
        <v>45964.625</v>
      </c>
      <c r="F145" t="s">
        <v>1416</v>
      </c>
      <c r="H145">
        <v>6</v>
      </c>
      <c r="I145">
        <v>20609995433</v>
      </c>
      <c r="J145" t="s">
        <v>2691</v>
      </c>
      <c r="K145" s="8">
        <v>45957</v>
      </c>
      <c r="Q145">
        <v>32786</v>
      </c>
      <c r="R145">
        <v>1916</v>
      </c>
      <c r="S145" t="s">
        <v>1301</v>
      </c>
      <c r="T145" t="s">
        <v>163</v>
      </c>
      <c r="U145">
        <v>1</v>
      </c>
      <c r="V145">
        <v>29.66</v>
      </c>
      <c r="W145">
        <v>35</v>
      </c>
      <c r="X145">
        <v>0</v>
      </c>
      <c r="Y145">
        <v>29.66</v>
      </c>
      <c r="Z145">
        <v>18</v>
      </c>
      <c r="AA145">
        <v>5.34</v>
      </c>
      <c r="AB145">
        <v>35</v>
      </c>
      <c r="AC145">
        <v>1</v>
      </c>
      <c r="AD145">
        <v>1</v>
      </c>
      <c r="AE145" t="s">
        <v>1411</v>
      </c>
      <c r="AF145" t="s">
        <v>1412</v>
      </c>
      <c r="AG145">
        <v>16</v>
      </c>
      <c r="AH145" t="s">
        <v>1400</v>
      </c>
      <c r="AI145">
        <v>6959</v>
      </c>
      <c r="AJ145" t="s">
        <v>1401</v>
      </c>
      <c r="AK145" t="s">
        <v>1417</v>
      </c>
      <c r="AP145">
        <v>6833</v>
      </c>
      <c r="AQ145" t="s">
        <v>1416</v>
      </c>
      <c r="AR145" t="s">
        <v>12</v>
      </c>
      <c r="AS145" t="str">
        <f>+CONCATENATE(A145,"-",B145)</f>
        <v>(01) Factura FOF1-00000188</v>
      </c>
    </row>
    <row r="146" spans="1:45" ht="15" customHeight="1">
      <c r="A146" t="s">
        <v>1216</v>
      </c>
      <c r="B146" s="21" t="s">
        <v>2479</v>
      </c>
      <c r="C146" t="s">
        <v>27</v>
      </c>
      <c r="D146" s="8">
        <v>45959</v>
      </c>
      <c r="E146" s="22">
        <v>45964.653287037036</v>
      </c>
      <c r="F146" t="s">
        <v>2477</v>
      </c>
      <c r="H146">
        <v>6</v>
      </c>
      <c r="I146">
        <v>20604257621</v>
      </c>
      <c r="J146" t="s">
        <v>2652</v>
      </c>
      <c r="K146" s="8">
        <v>45959</v>
      </c>
      <c r="Q146">
        <v>32953</v>
      </c>
      <c r="R146">
        <v>216</v>
      </c>
      <c r="S146" t="s">
        <v>1300</v>
      </c>
      <c r="T146" t="s">
        <v>163</v>
      </c>
      <c r="U146">
        <v>1</v>
      </c>
      <c r="V146">
        <v>30</v>
      </c>
      <c r="W146">
        <v>35.4</v>
      </c>
      <c r="X146">
        <v>0</v>
      </c>
      <c r="Y146">
        <v>30</v>
      </c>
      <c r="Z146">
        <v>18</v>
      </c>
      <c r="AA146">
        <v>5.4</v>
      </c>
      <c r="AB146">
        <v>35.4</v>
      </c>
      <c r="AC146">
        <v>1</v>
      </c>
      <c r="AD146">
        <v>1</v>
      </c>
      <c r="AE146" t="s">
        <v>1411</v>
      </c>
      <c r="AF146" t="s">
        <v>1412</v>
      </c>
      <c r="AG146">
        <v>2</v>
      </c>
      <c r="AH146" t="s">
        <v>25</v>
      </c>
      <c r="AI146">
        <v>6936</v>
      </c>
      <c r="AJ146" t="s">
        <v>1437</v>
      </c>
      <c r="AK146" t="s">
        <v>1433</v>
      </c>
      <c r="AL146">
        <v>3275</v>
      </c>
      <c r="AM146" t="s">
        <v>2478</v>
      </c>
      <c r="AN146" s="8">
        <v>45954</v>
      </c>
      <c r="AO146" s="8">
        <v>45954</v>
      </c>
      <c r="AP146">
        <v>5473</v>
      </c>
      <c r="AQ146" t="s">
        <v>2477</v>
      </c>
      <c r="AR146" t="s">
        <v>12</v>
      </c>
      <c r="AS146" t="str">
        <f>+CONCATENATE(A146,"-",B146)</f>
        <v>(01) Factura FOF1-00000211</v>
      </c>
    </row>
    <row r="147" spans="1:45" ht="15" customHeight="1">
      <c r="A147" t="s">
        <v>1216</v>
      </c>
      <c r="B147" s="21" t="s">
        <v>1398</v>
      </c>
      <c r="C147" t="s">
        <v>27</v>
      </c>
      <c r="D147" s="8">
        <v>45958</v>
      </c>
      <c r="E147" s="22">
        <v>45964.708333333336</v>
      </c>
      <c r="F147" t="s">
        <v>971</v>
      </c>
      <c r="H147">
        <v>6</v>
      </c>
      <c r="I147">
        <v>20604570451</v>
      </c>
      <c r="J147" t="s">
        <v>2687</v>
      </c>
      <c r="K147" s="8">
        <v>45958</v>
      </c>
      <c r="Q147">
        <v>32826</v>
      </c>
      <c r="R147">
        <v>2342</v>
      </c>
      <c r="S147" t="s">
        <v>1399</v>
      </c>
      <c r="T147" t="s">
        <v>163</v>
      </c>
      <c r="U147">
        <v>1</v>
      </c>
      <c r="V147">
        <v>30</v>
      </c>
      <c r="W147">
        <v>35.4</v>
      </c>
      <c r="X147">
        <v>0</v>
      </c>
      <c r="Y147">
        <v>30</v>
      </c>
      <c r="Z147">
        <v>18</v>
      </c>
      <c r="AA147">
        <v>5.4</v>
      </c>
      <c r="AB147">
        <v>35.4</v>
      </c>
      <c r="AC147">
        <v>1</v>
      </c>
      <c r="AD147">
        <v>1</v>
      </c>
      <c r="AE147" t="s">
        <v>1411</v>
      </c>
      <c r="AF147" t="s">
        <v>1412</v>
      </c>
      <c r="AG147">
        <v>16</v>
      </c>
      <c r="AH147" t="s">
        <v>1400</v>
      </c>
      <c r="AI147">
        <v>6959</v>
      </c>
      <c r="AJ147" t="s">
        <v>1401</v>
      </c>
      <c r="AK147" t="s">
        <v>1402</v>
      </c>
      <c r="AL147">
        <v>3306</v>
      </c>
      <c r="AM147" t="s">
        <v>1403</v>
      </c>
      <c r="AN147" s="8">
        <v>45965</v>
      </c>
      <c r="AO147" s="8">
        <v>45965</v>
      </c>
      <c r="AP147">
        <v>1127</v>
      </c>
      <c r="AQ147" t="s">
        <v>971</v>
      </c>
      <c r="AR147" t="s">
        <v>12</v>
      </c>
      <c r="AS147" t="str">
        <f>+CONCATENATE(A147,"-",B147)</f>
        <v>(01) Factura FOF1-00000192</v>
      </c>
    </row>
    <row r="148" spans="1:45" ht="15" customHeight="1">
      <c r="A148" t="s">
        <v>1216</v>
      </c>
      <c r="B148" s="21" t="s">
        <v>1398</v>
      </c>
      <c r="C148" t="s">
        <v>27</v>
      </c>
      <c r="D148" s="8">
        <v>45958</v>
      </c>
      <c r="E148" s="22">
        <v>45964.708333333336</v>
      </c>
      <c r="F148" t="s">
        <v>971</v>
      </c>
      <c r="H148">
        <v>6</v>
      </c>
      <c r="I148">
        <v>20604570451</v>
      </c>
      <c r="J148" t="s">
        <v>2687</v>
      </c>
      <c r="K148" s="8">
        <v>45958</v>
      </c>
      <c r="Q148">
        <v>32827</v>
      </c>
      <c r="R148">
        <v>1916</v>
      </c>
      <c r="S148" t="s">
        <v>1301</v>
      </c>
      <c r="T148" t="s">
        <v>163</v>
      </c>
      <c r="U148">
        <v>1</v>
      </c>
      <c r="V148">
        <v>30</v>
      </c>
      <c r="W148">
        <v>35.4</v>
      </c>
      <c r="X148">
        <v>0</v>
      </c>
      <c r="Y148">
        <v>30</v>
      </c>
      <c r="Z148">
        <v>18</v>
      </c>
      <c r="AA148">
        <v>5.4</v>
      </c>
      <c r="AB148">
        <v>35.4</v>
      </c>
      <c r="AC148">
        <v>1</v>
      </c>
      <c r="AD148">
        <v>1</v>
      </c>
      <c r="AE148" t="s">
        <v>1411</v>
      </c>
      <c r="AF148" t="s">
        <v>1412</v>
      </c>
      <c r="AG148">
        <v>16</v>
      </c>
      <c r="AH148" t="s">
        <v>1400</v>
      </c>
      <c r="AI148">
        <v>6959</v>
      </c>
      <c r="AJ148" t="s">
        <v>1401</v>
      </c>
      <c r="AK148" t="s">
        <v>1402</v>
      </c>
      <c r="AL148">
        <v>3306</v>
      </c>
      <c r="AM148" t="s">
        <v>1403</v>
      </c>
      <c r="AN148" s="8">
        <v>45965</v>
      </c>
      <c r="AO148" s="8">
        <v>45965</v>
      </c>
      <c r="AP148">
        <v>1127</v>
      </c>
      <c r="AQ148" t="s">
        <v>971</v>
      </c>
      <c r="AR148" t="s">
        <v>12</v>
      </c>
      <c r="AS148" t="str">
        <f>+CONCATENATE(A148,"-",B148)</f>
        <v>(01) Factura FOF1-00000192</v>
      </c>
    </row>
    <row r="149" spans="1:45" ht="15" customHeight="1">
      <c r="A149" t="s">
        <v>1216</v>
      </c>
      <c r="B149" s="21" t="s">
        <v>1421</v>
      </c>
      <c r="C149" t="s">
        <v>27</v>
      </c>
      <c r="D149" s="8">
        <v>45954</v>
      </c>
      <c r="E149" s="22">
        <v>45964.708333333336</v>
      </c>
      <c r="F149" t="s">
        <v>415</v>
      </c>
      <c r="H149">
        <v>6</v>
      </c>
      <c r="I149">
        <v>20611890746</v>
      </c>
      <c r="J149" t="s">
        <v>2693</v>
      </c>
      <c r="K149" s="8">
        <v>45954</v>
      </c>
      <c r="Q149">
        <v>32771</v>
      </c>
      <c r="R149">
        <v>1916</v>
      </c>
      <c r="S149" t="s">
        <v>1301</v>
      </c>
      <c r="T149" t="s">
        <v>163</v>
      </c>
      <c r="U149">
        <v>1</v>
      </c>
      <c r="V149">
        <v>30</v>
      </c>
      <c r="W149">
        <v>35.4</v>
      </c>
      <c r="X149">
        <v>0</v>
      </c>
      <c r="Y149">
        <v>30</v>
      </c>
      <c r="Z149">
        <v>18</v>
      </c>
      <c r="AA149">
        <v>5.4</v>
      </c>
      <c r="AB149">
        <v>35.4</v>
      </c>
      <c r="AC149">
        <v>1</v>
      </c>
      <c r="AD149">
        <v>1</v>
      </c>
      <c r="AE149" t="s">
        <v>1411</v>
      </c>
      <c r="AF149" t="s">
        <v>1412</v>
      </c>
      <c r="AG149">
        <v>16</v>
      </c>
      <c r="AH149" t="s">
        <v>1400</v>
      </c>
      <c r="AI149">
        <v>6959</v>
      </c>
      <c r="AJ149" t="s">
        <v>1401</v>
      </c>
      <c r="AK149" t="s">
        <v>169</v>
      </c>
      <c r="AL149">
        <v>3317</v>
      </c>
      <c r="AM149" t="s">
        <v>1422</v>
      </c>
      <c r="AN149" s="8">
        <v>45955</v>
      </c>
      <c r="AO149" s="8">
        <v>45955</v>
      </c>
      <c r="AP149">
        <v>1136</v>
      </c>
      <c r="AQ149" t="s">
        <v>415</v>
      </c>
      <c r="AR149" t="s">
        <v>12</v>
      </c>
      <c r="AS149" t="str">
        <f>+CONCATENATE(A149,"-",B149)</f>
        <v>(01) Factura FOF1-00000186</v>
      </c>
    </row>
    <row r="150" spans="1:45" ht="15" customHeight="1">
      <c r="A150" t="s">
        <v>1214</v>
      </c>
      <c r="B150" s="21" t="s">
        <v>1423</v>
      </c>
      <c r="C150" t="s">
        <v>27</v>
      </c>
      <c r="D150" s="8">
        <v>45954</v>
      </c>
      <c r="E150" s="22">
        <v>45964.708333333336</v>
      </c>
      <c r="F150" t="s">
        <v>1424</v>
      </c>
      <c r="H150">
        <v>1</v>
      </c>
      <c r="I150">
        <v>46651175</v>
      </c>
      <c r="J150" t="s">
        <v>2694</v>
      </c>
      <c r="K150" s="8">
        <v>45954</v>
      </c>
      <c r="Q150">
        <v>32770</v>
      </c>
      <c r="R150">
        <v>1916</v>
      </c>
      <c r="S150" t="s">
        <v>1301</v>
      </c>
      <c r="T150" t="s">
        <v>163</v>
      </c>
      <c r="U150">
        <v>1</v>
      </c>
      <c r="V150">
        <v>30</v>
      </c>
      <c r="W150">
        <v>35.4</v>
      </c>
      <c r="X150">
        <v>0</v>
      </c>
      <c r="Y150">
        <v>30</v>
      </c>
      <c r="Z150">
        <v>18</v>
      </c>
      <c r="AA150">
        <v>5.4</v>
      </c>
      <c r="AB150">
        <v>35.4</v>
      </c>
      <c r="AC150">
        <v>1</v>
      </c>
      <c r="AD150">
        <v>1</v>
      </c>
      <c r="AE150" t="s">
        <v>1411</v>
      </c>
      <c r="AF150" t="s">
        <v>1412</v>
      </c>
      <c r="AG150">
        <v>16</v>
      </c>
      <c r="AH150" t="s">
        <v>1400</v>
      </c>
      <c r="AI150">
        <v>6959</v>
      </c>
      <c r="AJ150" t="s">
        <v>1401</v>
      </c>
      <c r="AK150" t="s">
        <v>1417</v>
      </c>
      <c r="AL150">
        <v>3288</v>
      </c>
      <c r="AM150" t="s">
        <v>1425</v>
      </c>
      <c r="AN150" s="8">
        <v>45985</v>
      </c>
      <c r="AO150" s="8">
        <v>45985</v>
      </c>
      <c r="AP150">
        <v>6660</v>
      </c>
      <c r="AQ150" t="s">
        <v>1424</v>
      </c>
      <c r="AR150" t="s">
        <v>1295</v>
      </c>
      <c r="AS150" t="str">
        <f>+CONCATENATE(A150,"-",B150)</f>
        <v>(03) Boleta BOB1-00000099</v>
      </c>
    </row>
    <row r="151" spans="1:45" ht="15" customHeight="1">
      <c r="A151" t="s">
        <v>1216</v>
      </c>
      <c r="B151" s="21" t="s">
        <v>1529</v>
      </c>
      <c r="C151" t="s">
        <v>27</v>
      </c>
      <c r="D151" s="8">
        <v>45953</v>
      </c>
      <c r="E151" s="22">
        <v>45964.486157407409</v>
      </c>
      <c r="F151" t="s">
        <v>1530</v>
      </c>
      <c r="H151">
        <v>6</v>
      </c>
      <c r="I151">
        <v>10463513568</v>
      </c>
      <c r="J151" t="s">
        <v>1531</v>
      </c>
      <c r="K151" s="8">
        <v>45953</v>
      </c>
      <c r="Q151">
        <v>32403</v>
      </c>
      <c r="R151">
        <v>1916</v>
      </c>
      <c r="S151" t="s">
        <v>1301</v>
      </c>
      <c r="T151" t="s">
        <v>163</v>
      </c>
      <c r="U151">
        <v>1</v>
      </c>
      <c r="V151">
        <v>30</v>
      </c>
      <c r="W151">
        <v>35.4</v>
      </c>
      <c r="X151">
        <v>0</v>
      </c>
      <c r="Y151">
        <v>30</v>
      </c>
      <c r="Z151">
        <v>18</v>
      </c>
      <c r="AA151">
        <v>5.4</v>
      </c>
      <c r="AB151">
        <v>35.4</v>
      </c>
      <c r="AC151">
        <v>1</v>
      </c>
      <c r="AD151">
        <v>1</v>
      </c>
      <c r="AE151" t="s">
        <v>1411</v>
      </c>
      <c r="AF151" t="s">
        <v>1412</v>
      </c>
      <c r="AG151">
        <v>16</v>
      </c>
      <c r="AH151" t="s">
        <v>1400</v>
      </c>
      <c r="AI151">
        <v>6959</v>
      </c>
      <c r="AJ151" t="s">
        <v>1401</v>
      </c>
      <c r="AK151" t="s">
        <v>1402</v>
      </c>
      <c r="AP151">
        <v>6723</v>
      </c>
      <c r="AQ151" t="s">
        <v>1530</v>
      </c>
      <c r="AR151" t="s">
        <v>12</v>
      </c>
      <c r="AS151" t="str">
        <f>+CONCATENATE(A151,"-",B151)</f>
        <v>(01) Factura FOF1-00000161</v>
      </c>
    </row>
    <row r="152" spans="1:45" ht="15" customHeight="1">
      <c r="A152" t="s">
        <v>1214</v>
      </c>
      <c r="B152" s="21" t="s">
        <v>1576</v>
      </c>
      <c r="C152" t="s">
        <v>27</v>
      </c>
      <c r="D152" s="8">
        <v>45952</v>
      </c>
      <c r="E152" s="22">
        <v>45964.75</v>
      </c>
      <c r="F152" t="s">
        <v>1577</v>
      </c>
      <c r="H152">
        <v>1</v>
      </c>
      <c r="I152">
        <v>41057476</v>
      </c>
      <c r="J152" t="s">
        <v>1578</v>
      </c>
      <c r="K152" s="8">
        <v>45952</v>
      </c>
      <c r="Q152">
        <v>32334</v>
      </c>
      <c r="R152">
        <v>1916</v>
      </c>
      <c r="S152" t="s">
        <v>1301</v>
      </c>
      <c r="T152" t="s">
        <v>163</v>
      </c>
      <c r="U152">
        <v>1</v>
      </c>
      <c r="V152">
        <v>30</v>
      </c>
      <c r="W152">
        <v>35.4</v>
      </c>
      <c r="X152">
        <v>0</v>
      </c>
      <c r="Y152">
        <v>30</v>
      </c>
      <c r="Z152">
        <v>18</v>
      </c>
      <c r="AA152">
        <v>5.4</v>
      </c>
      <c r="AB152">
        <v>35.4</v>
      </c>
      <c r="AC152">
        <v>1</v>
      </c>
      <c r="AD152">
        <v>1</v>
      </c>
      <c r="AE152" t="s">
        <v>1411</v>
      </c>
      <c r="AF152" t="s">
        <v>1412</v>
      </c>
      <c r="AG152">
        <v>16</v>
      </c>
      <c r="AH152" t="s">
        <v>1400</v>
      </c>
      <c r="AI152">
        <v>6959</v>
      </c>
      <c r="AJ152" t="s">
        <v>1401</v>
      </c>
      <c r="AK152" t="s">
        <v>1417</v>
      </c>
      <c r="AP152">
        <v>5284</v>
      </c>
      <c r="AQ152" t="s">
        <v>1577</v>
      </c>
      <c r="AR152" t="s">
        <v>1295</v>
      </c>
      <c r="AS152" t="str">
        <f>+CONCATENATE(A152,"-",B152)</f>
        <v>(03) Boleta BOB1-00000074</v>
      </c>
    </row>
    <row r="153" spans="1:45" ht="15" customHeight="1">
      <c r="A153" t="s">
        <v>1216</v>
      </c>
      <c r="B153" s="21" t="s">
        <v>1579</v>
      </c>
      <c r="C153" t="s">
        <v>27</v>
      </c>
      <c r="D153" s="8">
        <v>45952</v>
      </c>
      <c r="E153" s="22">
        <v>45964.782916666663</v>
      </c>
      <c r="F153" t="s">
        <v>1569</v>
      </c>
      <c r="H153">
        <v>6</v>
      </c>
      <c r="I153">
        <v>20603011601</v>
      </c>
      <c r="J153" t="s">
        <v>1580</v>
      </c>
      <c r="K153" s="8">
        <v>45952</v>
      </c>
      <c r="Q153">
        <v>32328</v>
      </c>
      <c r="R153">
        <v>1916</v>
      </c>
      <c r="S153" t="s">
        <v>1301</v>
      </c>
      <c r="T153" t="s">
        <v>163</v>
      </c>
      <c r="U153">
        <v>1</v>
      </c>
      <c r="V153">
        <v>30</v>
      </c>
      <c r="W153">
        <v>35.4</v>
      </c>
      <c r="X153">
        <v>0</v>
      </c>
      <c r="Y153">
        <v>30</v>
      </c>
      <c r="Z153">
        <v>18</v>
      </c>
      <c r="AA153">
        <v>5.4</v>
      </c>
      <c r="AB153">
        <v>35.4</v>
      </c>
      <c r="AC153">
        <v>1</v>
      </c>
      <c r="AD153">
        <v>1</v>
      </c>
      <c r="AE153" t="s">
        <v>1411</v>
      </c>
      <c r="AF153" t="s">
        <v>1412</v>
      </c>
      <c r="AG153">
        <v>16</v>
      </c>
      <c r="AH153" t="s">
        <v>1400</v>
      </c>
      <c r="AI153">
        <v>6959</v>
      </c>
      <c r="AJ153" t="s">
        <v>1401</v>
      </c>
      <c r="AK153" t="s">
        <v>1417</v>
      </c>
      <c r="AL153">
        <v>3271</v>
      </c>
      <c r="AM153" t="s">
        <v>1581</v>
      </c>
      <c r="AN153" s="8">
        <v>45968</v>
      </c>
      <c r="AO153" s="8">
        <v>45968</v>
      </c>
      <c r="AP153">
        <v>5613</v>
      </c>
      <c r="AQ153" t="s">
        <v>1569</v>
      </c>
      <c r="AR153" t="s">
        <v>12</v>
      </c>
      <c r="AS153" t="str">
        <f>+CONCATENATE(A153,"-",B153)</f>
        <v>(01) Factura FOF1-00000142</v>
      </c>
    </row>
    <row r="154" spans="1:45" ht="15" customHeight="1">
      <c r="A154" t="s">
        <v>1216</v>
      </c>
      <c r="B154" s="21" t="s">
        <v>1585</v>
      </c>
      <c r="C154" t="s">
        <v>27</v>
      </c>
      <c r="D154" s="8">
        <v>45952</v>
      </c>
      <c r="E154" s="22">
        <v>45964.774942129632</v>
      </c>
      <c r="F154" t="s">
        <v>1586</v>
      </c>
      <c r="H154">
        <v>6</v>
      </c>
      <c r="I154">
        <v>20613741799</v>
      </c>
      <c r="J154" t="s">
        <v>1587</v>
      </c>
      <c r="K154" s="8">
        <v>45952</v>
      </c>
      <c r="Q154">
        <v>32317</v>
      </c>
      <c r="R154">
        <v>1916</v>
      </c>
      <c r="S154" t="s">
        <v>1301</v>
      </c>
      <c r="T154" t="s">
        <v>163</v>
      </c>
      <c r="U154">
        <v>1</v>
      </c>
      <c r="V154">
        <v>30</v>
      </c>
      <c r="W154">
        <v>35.4</v>
      </c>
      <c r="X154">
        <v>0</v>
      </c>
      <c r="Y154">
        <v>30</v>
      </c>
      <c r="Z154">
        <v>18</v>
      </c>
      <c r="AA154">
        <v>5.4</v>
      </c>
      <c r="AB154">
        <v>35.4</v>
      </c>
      <c r="AC154">
        <v>1</v>
      </c>
      <c r="AD154">
        <v>1</v>
      </c>
      <c r="AE154" t="s">
        <v>1411</v>
      </c>
      <c r="AF154" t="s">
        <v>1412</v>
      </c>
      <c r="AG154">
        <v>16</v>
      </c>
      <c r="AH154" t="s">
        <v>1400</v>
      </c>
      <c r="AI154">
        <v>6959</v>
      </c>
      <c r="AJ154" t="s">
        <v>1401</v>
      </c>
      <c r="AK154" t="s">
        <v>169</v>
      </c>
      <c r="AL154">
        <v>3281</v>
      </c>
      <c r="AM154" t="s">
        <v>1589</v>
      </c>
      <c r="AN154" s="8">
        <v>45962</v>
      </c>
      <c r="AO154" s="8">
        <v>45962</v>
      </c>
      <c r="AP154">
        <v>5305</v>
      </c>
      <c r="AQ154" t="s">
        <v>1590</v>
      </c>
      <c r="AR154" t="s">
        <v>1295</v>
      </c>
      <c r="AS154" t="str">
        <f>+CONCATENATE(A154,"-",B154)</f>
        <v>(01) Factura FOF1-00000140</v>
      </c>
    </row>
    <row r="155" spans="1:45" ht="15" customHeight="1">
      <c r="A155" t="s">
        <v>1216</v>
      </c>
      <c r="B155" s="21" t="s">
        <v>1600</v>
      </c>
      <c r="C155" t="s">
        <v>27</v>
      </c>
      <c r="D155" s="8">
        <v>45948</v>
      </c>
      <c r="E155" s="22">
        <v>45964.416666666664</v>
      </c>
      <c r="F155" t="s">
        <v>1586</v>
      </c>
      <c r="H155">
        <v>6</v>
      </c>
      <c r="I155">
        <v>20613741799</v>
      </c>
      <c r="J155" t="s">
        <v>1601</v>
      </c>
      <c r="K155" s="8">
        <v>45948</v>
      </c>
      <c r="Q155">
        <v>31739</v>
      </c>
      <c r="R155">
        <v>1916</v>
      </c>
      <c r="S155" t="s">
        <v>1301</v>
      </c>
      <c r="T155" t="s">
        <v>163</v>
      </c>
      <c r="U155">
        <v>30</v>
      </c>
      <c r="V155">
        <v>1</v>
      </c>
      <c r="W155">
        <v>1.18</v>
      </c>
      <c r="X155">
        <v>0</v>
      </c>
      <c r="Y155">
        <v>30</v>
      </c>
      <c r="Z155">
        <v>18</v>
      </c>
      <c r="AA155">
        <v>5.4</v>
      </c>
      <c r="AB155">
        <v>35.4</v>
      </c>
      <c r="AC155">
        <v>1</v>
      </c>
      <c r="AD155">
        <v>1</v>
      </c>
      <c r="AE155" t="s">
        <v>1411</v>
      </c>
      <c r="AF155" t="s">
        <v>1412</v>
      </c>
      <c r="AG155">
        <v>16</v>
      </c>
      <c r="AH155" t="s">
        <v>1400</v>
      </c>
      <c r="AI155">
        <v>6959</v>
      </c>
      <c r="AJ155" t="s">
        <v>1401</v>
      </c>
      <c r="AK155" t="s">
        <v>169</v>
      </c>
      <c r="AL155">
        <v>3225</v>
      </c>
      <c r="AM155" t="s">
        <v>1602</v>
      </c>
      <c r="AN155" s="8">
        <v>45941</v>
      </c>
      <c r="AO155" s="8">
        <v>45941</v>
      </c>
      <c r="AP155">
        <v>5521</v>
      </c>
      <c r="AQ155" t="s">
        <v>1586</v>
      </c>
      <c r="AR155" t="s">
        <v>12</v>
      </c>
      <c r="AS155" t="str">
        <f>+CONCATENATE(A155,"-",B155)</f>
        <v>(01) Factura FOF1-00000135</v>
      </c>
    </row>
    <row r="156" spans="1:45" ht="15" customHeight="1">
      <c r="A156" t="s">
        <v>1216</v>
      </c>
      <c r="B156" s="21" t="s">
        <v>1612</v>
      </c>
      <c r="C156" t="s">
        <v>27</v>
      </c>
      <c r="D156" s="8">
        <v>45948</v>
      </c>
      <c r="E156" s="22">
        <v>45964.375</v>
      </c>
      <c r="F156" t="s">
        <v>34</v>
      </c>
      <c r="H156">
        <v>6</v>
      </c>
      <c r="I156">
        <v>20611018925</v>
      </c>
      <c r="J156" t="s">
        <v>1613</v>
      </c>
      <c r="K156" s="8">
        <v>45948</v>
      </c>
      <c r="Q156">
        <v>31724</v>
      </c>
      <c r="R156">
        <v>1916</v>
      </c>
      <c r="S156" t="s">
        <v>1301</v>
      </c>
      <c r="T156" t="s">
        <v>163</v>
      </c>
      <c r="U156">
        <v>1</v>
      </c>
      <c r="V156">
        <v>30</v>
      </c>
      <c r="W156">
        <v>35.4</v>
      </c>
      <c r="X156">
        <v>0</v>
      </c>
      <c r="Y156">
        <v>30</v>
      </c>
      <c r="Z156">
        <v>18</v>
      </c>
      <c r="AA156">
        <v>5.4</v>
      </c>
      <c r="AB156">
        <v>35.4</v>
      </c>
      <c r="AC156">
        <v>1</v>
      </c>
      <c r="AD156">
        <v>1</v>
      </c>
      <c r="AE156" t="s">
        <v>1411</v>
      </c>
      <c r="AF156" t="s">
        <v>1412</v>
      </c>
      <c r="AG156">
        <v>16</v>
      </c>
      <c r="AH156" t="s">
        <v>1400</v>
      </c>
      <c r="AI156">
        <v>6959</v>
      </c>
      <c r="AJ156" t="s">
        <v>1401</v>
      </c>
      <c r="AK156" t="s">
        <v>1417</v>
      </c>
      <c r="AL156">
        <v>3205</v>
      </c>
      <c r="AM156" t="s">
        <v>1559</v>
      </c>
      <c r="AN156" s="8">
        <v>45947</v>
      </c>
      <c r="AO156" s="8">
        <v>45947</v>
      </c>
      <c r="AP156">
        <v>1128</v>
      </c>
      <c r="AQ156" t="s">
        <v>34</v>
      </c>
      <c r="AR156" t="s">
        <v>12</v>
      </c>
      <c r="AS156" t="str">
        <f>+CONCATENATE(A156,"-",B156)</f>
        <v>(01) Factura FOF1-00000131</v>
      </c>
    </row>
    <row r="157" spans="1:45" ht="15" customHeight="1">
      <c r="A157" t="s">
        <v>1214</v>
      </c>
      <c r="B157" s="21" t="s">
        <v>1616</v>
      </c>
      <c r="C157" t="s">
        <v>27</v>
      </c>
      <c r="D157" s="8">
        <v>45948</v>
      </c>
      <c r="E157" s="22">
        <v>45964.375</v>
      </c>
      <c r="F157" t="s">
        <v>1617</v>
      </c>
      <c r="H157">
        <v>1</v>
      </c>
      <c r="I157">
        <v>32856162</v>
      </c>
      <c r="J157" t="s">
        <v>1618</v>
      </c>
      <c r="K157" s="8">
        <v>45948</v>
      </c>
      <c r="Q157">
        <v>31717</v>
      </c>
      <c r="R157">
        <v>1916</v>
      </c>
      <c r="S157" t="s">
        <v>1301</v>
      </c>
      <c r="T157" t="s">
        <v>163</v>
      </c>
      <c r="U157">
        <v>1</v>
      </c>
      <c r="V157">
        <v>30</v>
      </c>
      <c r="W157">
        <v>35.4</v>
      </c>
      <c r="X157">
        <v>0</v>
      </c>
      <c r="Y157">
        <v>30</v>
      </c>
      <c r="Z157">
        <v>18</v>
      </c>
      <c r="AA157">
        <v>5.4</v>
      </c>
      <c r="AB157">
        <v>35.4</v>
      </c>
      <c r="AC157">
        <v>1</v>
      </c>
      <c r="AD157">
        <v>1</v>
      </c>
      <c r="AE157" t="s">
        <v>1411</v>
      </c>
      <c r="AF157" t="s">
        <v>1412</v>
      </c>
      <c r="AG157">
        <v>16</v>
      </c>
      <c r="AH157" t="s">
        <v>1400</v>
      </c>
      <c r="AI157">
        <v>6959</v>
      </c>
      <c r="AJ157" t="s">
        <v>1401</v>
      </c>
      <c r="AK157" t="s">
        <v>169</v>
      </c>
      <c r="AL157">
        <v>3098</v>
      </c>
      <c r="AM157" t="s">
        <v>1619</v>
      </c>
      <c r="AN157" s="8">
        <v>45942</v>
      </c>
      <c r="AO157" s="8">
        <v>45942</v>
      </c>
      <c r="AP157">
        <v>5546</v>
      </c>
      <c r="AQ157" t="s">
        <v>1620</v>
      </c>
      <c r="AR157" t="s">
        <v>1295</v>
      </c>
      <c r="AS157" t="str">
        <f>+CONCATENATE(A157,"-",B157)</f>
        <v>(03) Boleta BOB1-00000072</v>
      </c>
    </row>
    <row r="158" spans="1:45" ht="15" customHeight="1">
      <c r="A158" t="s">
        <v>1216</v>
      </c>
      <c r="B158" s="21" t="s">
        <v>1621</v>
      </c>
      <c r="C158" t="s">
        <v>27</v>
      </c>
      <c r="D158" s="8">
        <v>45948</v>
      </c>
      <c r="E158" s="22">
        <v>45964.375</v>
      </c>
      <c r="F158" t="s">
        <v>1622</v>
      </c>
      <c r="H158">
        <v>6</v>
      </c>
      <c r="I158">
        <v>20480014678</v>
      </c>
      <c r="J158" t="s">
        <v>1623</v>
      </c>
      <c r="K158" s="8">
        <v>45948</v>
      </c>
      <c r="Q158">
        <v>31713</v>
      </c>
      <c r="R158">
        <v>1916</v>
      </c>
      <c r="S158" t="s">
        <v>1301</v>
      </c>
      <c r="T158" t="s">
        <v>163</v>
      </c>
      <c r="U158">
        <v>1</v>
      </c>
      <c r="V158">
        <v>30</v>
      </c>
      <c r="W158">
        <v>35.4</v>
      </c>
      <c r="X158">
        <v>0</v>
      </c>
      <c r="Y158">
        <v>30</v>
      </c>
      <c r="Z158">
        <v>18</v>
      </c>
      <c r="AA158">
        <v>5.4</v>
      </c>
      <c r="AB158">
        <v>35.4</v>
      </c>
      <c r="AC158">
        <v>1</v>
      </c>
      <c r="AD158">
        <v>1</v>
      </c>
      <c r="AE158" t="s">
        <v>1411</v>
      </c>
      <c r="AF158" t="s">
        <v>1412</v>
      </c>
      <c r="AG158">
        <v>16</v>
      </c>
      <c r="AH158" t="s">
        <v>1400</v>
      </c>
      <c r="AI158">
        <v>6959</v>
      </c>
      <c r="AJ158" t="s">
        <v>1401</v>
      </c>
      <c r="AK158" t="s">
        <v>169</v>
      </c>
      <c r="AP158">
        <v>6616</v>
      </c>
      <c r="AR158" t="s">
        <v>1295</v>
      </c>
      <c r="AS158" t="str">
        <f>+CONCATENATE(A158,"-",B158)</f>
        <v>(01) Factura FOF1-00000129</v>
      </c>
    </row>
    <row r="159" spans="1:45" ht="15" customHeight="1">
      <c r="A159" t="s">
        <v>1216</v>
      </c>
      <c r="B159" s="21" t="s">
        <v>1629</v>
      </c>
      <c r="C159" t="s">
        <v>27</v>
      </c>
      <c r="D159" s="8">
        <v>45947</v>
      </c>
      <c r="E159" s="22">
        <v>45964.75</v>
      </c>
      <c r="F159" t="s">
        <v>1630</v>
      </c>
      <c r="H159">
        <v>6</v>
      </c>
      <c r="I159">
        <v>20606672323</v>
      </c>
      <c r="J159" t="s">
        <v>1631</v>
      </c>
      <c r="K159" s="8">
        <v>45947</v>
      </c>
      <c r="Q159">
        <v>31705</v>
      </c>
      <c r="R159">
        <v>2342</v>
      </c>
      <c r="S159" t="s">
        <v>1399</v>
      </c>
      <c r="T159" t="s">
        <v>163</v>
      </c>
      <c r="U159">
        <v>1</v>
      </c>
      <c r="V159">
        <v>30</v>
      </c>
      <c r="W159">
        <v>35.4</v>
      </c>
      <c r="X159">
        <v>0</v>
      </c>
      <c r="Y159">
        <v>30</v>
      </c>
      <c r="Z159">
        <v>18</v>
      </c>
      <c r="AA159">
        <v>5.4</v>
      </c>
      <c r="AB159">
        <v>35.4</v>
      </c>
      <c r="AC159">
        <v>1</v>
      </c>
      <c r="AD159">
        <v>1</v>
      </c>
      <c r="AE159" t="s">
        <v>1411</v>
      </c>
      <c r="AF159" t="s">
        <v>1412</v>
      </c>
      <c r="AG159">
        <v>16</v>
      </c>
      <c r="AH159" t="s">
        <v>1400</v>
      </c>
      <c r="AI159">
        <v>6959</v>
      </c>
      <c r="AJ159" t="s">
        <v>1401</v>
      </c>
      <c r="AK159" t="s">
        <v>169</v>
      </c>
      <c r="AL159">
        <v>3035</v>
      </c>
      <c r="AM159" t="s">
        <v>1632</v>
      </c>
      <c r="AN159" s="8">
        <v>45934</v>
      </c>
      <c r="AO159" s="8">
        <v>45934</v>
      </c>
      <c r="AP159">
        <v>5606</v>
      </c>
      <c r="AQ159" t="s">
        <v>1630</v>
      </c>
      <c r="AR159" t="s">
        <v>12</v>
      </c>
      <c r="AS159" t="str">
        <f>+CONCATENATE(A159,"-",B159)</f>
        <v>(01) Factura FOF1-00000127</v>
      </c>
    </row>
    <row r="160" spans="1:45" ht="15" customHeight="1">
      <c r="A160" t="s">
        <v>1216</v>
      </c>
      <c r="B160" s="21" t="s">
        <v>1660</v>
      </c>
      <c r="C160" t="s">
        <v>27</v>
      </c>
      <c r="D160" s="8">
        <v>45947</v>
      </c>
      <c r="E160" s="22">
        <v>45964.402939814812</v>
      </c>
      <c r="F160" t="s">
        <v>1661</v>
      </c>
      <c r="H160">
        <v>6</v>
      </c>
      <c r="I160">
        <v>20609000415</v>
      </c>
      <c r="J160" t="s">
        <v>1662</v>
      </c>
      <c r="K160" s="8">
        <v>45947</v>
      </c>
      <c r="Q160">
        <v>31627</v>
      </c>
      <c r="R160">
        <v>2264</v>
      </c>
      <c r="S160" t="s">
        <v>1526</v>
      </c>
      <c r="T160" t="s">
        <v>215</v>
      </c>
      <c r="U160">
        <v>100</v>
      </c>
      <c r="V160">
        <v>0.3</v>
      </c>
      <c r="W160">
        <v>0.35</v>
      </c>
      <c r="X160">
        <v>0</v>
      </c>
      <c r="Y160">
        <v>30</v>
      </c>
      <c r="Z160">
        <v>18</v>
      </c>
      <c r="AA160">
        <v>5.4</v>
      </c>
      <c r="AB160">
        <v>35.4</v>
      </c>
      <c r="AC160">
        <v>1</v>
      </c>
      <c r="AD160">
        <v>1</v>
      </c>
      <c r="AE160" t="s">
        <v>1411</v>
      </c>
      <c r="AF160" t="s">
        <v>1412</v>
      </c>
      <c r="AG160">
        <v>16</v>
      </c>
      <c r="AH160" t="s">
        <v>1400</v>
      </c>
      <c r="AI160">
        <v>1106</v>
      </c>
      <c r="AJ160" t="s">
        <v>239</v>
      </c>
      <c r="AK160" t="s">
        <v>169</v>
      </c>
      <c r="AL160">
        <v>3177</v>
      </c>
      <c r="AM160" t="s">
        <v>1663</v>
      </c>
      <c r="AN160" s="8">
        <v>45934</v>
      </c>
      <c r="AO160" s="8">
        <v>45934</v>
      </c>
      <c r="AP160">
        <v>6104</v>
      </c>
      <c r="AQ160" t="s">
        <v>1661</v>
      </c>
      <c r="AR160" t="s">
        <v>12</v>
      </c>
      <c r="AS160" t="str">
        <f>+CONCATENATE(A160,"-",B160)</f>
        <v>(01) Factura FOF1-00000125</v>
      </c>
    </row>
    <row r="161" spans="1:45" ht="15" customHeight="1">
      <c r="A161" t="s">
        <v>1216</v>
      </c>
      <c r="B161" s="21" t="s">
        <v>1660</v>
      </c>
      <c r="C161" t="s">
        <v>27</v>
      </c>
      <c r="D161" s="8">
        <v>45947</v>
      </c>
      <c r="E161" s="22">
        <v>45964.402939814812</v>
      </c>
      <c r="F161" t="s">
        <v>1661</v>
      </c>
      <c r="H161">
        <v>6</v>
      </c>
      <c r="I161">
        <v>20609000415</v>
      </c>
      <c r="J161" t="s">
        <v>1662</v>
      </c>
      <c r="K161" s="8">
        <v>45947</v>
      </c>
      <c r="Q161">
        <v>31630</v>
      </c>
      <c r="R161">
        <v>1916</v>
      </c>
      <c r="S161" t="s">
        <v>1301</v>
      </c>
      <c r="T161" t="s">
        <v>163</v>
      </c>
      <c r="U161">
        <v>1</v>
      </c>
      <c r="V161">
        <v>30</v>
      </c>
      <c r="W161">
        <v>35.4</v>
      </c>
      <c r="X161">
        <v>0</v>
      </c>
      <c r="Y161">
        <v>30</v>
      </c>
      <c r="Z161">
        <v>18</v>
      </c>
      <c r="AA161">
        <v>5.4</v>
      </c>
      <c r="AB161">
        <v>35.4</v>
      </c>
      <c r="AC161">
        <v>1</v>
      </c>
      <c r="AD161">
        <v>1</v>
      </c>
      <c r="AE161" t="s">
        <v>1411</v>
      </c>
      <c r="AF161" t="s">
        <v>1412</v>
      </c>
      <c r="AG161">
        <v>16</v>
      </c>
      <c r="AH161" t="s">
        <v>1400</v>
      </c>
      <c r="AI161">
        <v>6959</v>
      </c>
      <c r="AJ161" t="s">
        <v>1401</v>
      </c>
      <c r="AK161" t="s">
        <v>169</v>
      </c>
      <c r="AL161">
        <v>3177</v>
      </c>
      <c r="AM161" t="s">
        <v>1663</v>
      </c>
      <c r="AN161" s="8">
        <v>45934</v>
      </c>
      <c r="AO161" s="8">
        <v>45934</v>
      </c>
      <c r="AP161">
        <v>6104</v>
      </c>
      <c r="AQ161" t="s">
        <v>1661</v>
      </c>
      <c r="AR161" t="s">
        <v>12</v>
      </c>
      <c r="AS161" t="str">
        <f>+CONCATENATE(A161,"-",B161)</f>
        <v>(01) Factura FOF1-00000125</v>
      </c>
    </row>
    <row r="162" spans="1:45" ht="15" customHeight="1">
      <c r="A162" t="s">
        <v>1216</v>
      </c>
      <c r="B162" s="21" t="s">
        <v>1664</v>
      </c>
      <c r="C162" t="s">
        <v>27</v>
      </c>
      <c r="D162" s="8">
        <v>45946</v>
      </c>
      <c r="E162" s="22">
        <v>45964.880879629629</v>
      </c>
      <c r="F162" t="s">
        <v>1665</v>
      </c>
      <c r="H162">
        <v>6</v>
      </c>
      <c r="I162">
        <v>20606812290</v>
      </c>
      <c r="J162" t="s">
        <v>1666</v>
      </c>
      <c r="K162" s="8">
        <v>45946</v>
      </c>
      <c r="Q162">
        <v>31622</v>
      </c>
      <c r="R162">
        <v>1916</v>
      </c>
      <c r="S162" t="s">
        <v>1301</v>
      </c>
      <c r="T162" t="s">
        <v>163</v>
      </c>
      <c r="U162">
        <v>1</v>
      </c>
      <c r="V162">
        <v>30</v>
      </c>
      <c r="W162">
        <v>35.4</v>
      </c>
      <c r="X162">
        <v>0</v>
      </c>
      <c r="Y162">
        <v>30</v>
      </c>
      <c r="Z162">
        <v>18</v>
      </c>
      <c r="AA162">
        <v>5.4</v>
      </c>
      <c r="AB162">
        <v>35.4</v>
      </c>
      <c r="AC162">
        <v>1</v>
      </c>
      <c r="AD162">
        <v>1</v>
      </c>
      <c r="AE162" t="s">
        <v>1411</v>
      </c>
      <c r="AF162" t="s">
        <v>1412</v>
      </c>
      <c r="AG162">
        <v>16</v>
      </c>
      <c r="AH162" t="s">
        <v>1400</v>
      </c>
      <c r="AI162">
        <v>6959</v>
      </c>
      <c r="AJ162" t="s">
        <v>1401</v>
      </c>
      <c r="AK162" t="s">
        <v>169</v>
      </c>
      <c r="AL162">
        <v>3165</v>
      </c>
      <c r="AM162" t="s">
        <v>1667</v>
      </c>
      <c r="AN162" s="8">
        <v>45935</v>
      </c>
      <c r="AO162" s="8">
        <v>45935</v>
      </c>
      <c r="AP162">
        <v>5445</v>
      </c>
      <c r="AQ162" t="s">
        <v>1668</v>
      </c>
      <c r="AR162" t="s">
        <v>12</v>
      </c>
      <c r="AS162" t="str">
        <f>+CONCATENATE(A162,"-",B162)</f>
        <v>(01) Factura FOF1-00000124</v>
      </c>
    </row>
    <row r="163" spans="1:45" ht="15" customHeight="1">
      <c r="A163" t="s">
        <v>1214</v>
      </c>
      <c r="B163" s="21" t="s">
        <v>209</v>
      </c>
      <c r="C163" t="s">
        <v>27</v>
      </c>
      <c r="D163" s="8">
        <v>45945</v>
      </c>
      <c r="E163" s="22">
        <v>45964.749386574076</v>
      </c>
      <c r="F163" t="s">
        <v>287</v>
      </c>
      <c r="H163">
        <v>1</v>
      </c>
      <c r="I163">
        <v>46168918</v>
      </c>
      <c r="J163" t="s">
        <v>1868</v>
      </c>
      <c r="K163" s="8">
        <v>45945</v>
      </c>
      <c r="Q163">
        <v>31172</v>
      </c>
      <c r="R163">
        <v>2316</v>
      </c>
      <c r="S163" t="s">
        <v>1301</v>
      </c>
      <c r="T163" t="s">
        <v>163</v>
      </c>
      <c r="U163">
        <v>1</v>
      </c>
      <c r="V163">
        <v>30</v>
      </c>
      <c r="W163">
        <v>35.4</v>
      </c>
      <c r="X163">
        <v>0</v>
      </c>
      <c r="Y163">
        <v>30</v>
      </c>
      <c r="Z163">
        <v>18</v>
      </c>
      <c r="AA163">
        <v>5.4</v>
      </c>
      <c r="AB163">
        <v>35.4</v>
      </c>
      <c r="AC163">
        <v>1</v>
      </c>
      <c r="AD163">
        <v>1</v>
      </c>
      <c r="AE163" t="s">
        <v>1411</v>
      </c>
      <c r="AF163" t="s">
        <v>1412</v>
      </c>
      <c r="AG163">
        <v>2</v>
      </c>
      <c r="AH163" t="s">
        <v>25</v>
      </c>
      <c r="AI163">
        <v>1106</v>
      </c>
      <c r="AJ163" t="s">
        <v>239</v>
      </c>
      <c r="AK163" t="s">
        <v>169</v>
      </c>
      <c r="AL163">
        <v>2953</v>
      </c>
      <c r="AM163" t="s">
        <v>1226</v>
      </c>
      <c r="AN163" s="8">
        <v>45934</v>
      </c>
      <c r="AO163" s="8">
        <v>45934</v>
      </c>
      <c r="AP163">
        <v>5592</v>
      </c>
      <c r="AQ163" t="s">
        <v>287</v>
      </c>
      <c r="AR163" t="s">
        <v>1295</v>
      </c>
      <c r="AS163" t="str">
        <f>+CONCATENATE(A163,"-",B163)</f>
        <v>(03) Boleta BOB1-00000018</v>
      </c>
    </row>
    <row r="164" spans="1:45" ht="15" customHeight="1">
      <c r="A164" t="s">
        <v>216</v>
      </c>
      <c r="B164">
        <v>1356</v>
      </c>
      <c r="C164" t="s">
        <v>27</v>
      </c>
      <c r="D164" s="8">
        <v>45686</v>
      </c>
      <c r="E164" s="22">
        <v>45964</v>
      </c>
      <c r="F164" t="s">
        <v>627</v>
      </c>
      <c r="H164">
        <v>6</v>
      </c>
      <c r="I164">
        <v>20101214771</v>
      </c>
      <c r="J164" t="s">
        <v>1994</v>
      </c>
      <c r="K164" s="8">
        <v>45686</v>
      </c>
      <c r="Q164">
        <v>18669</v>
      </c>
      <c r="R164">
        <v>957</v>
      </c>
      <c r="S164" t="s">
        <v>1263</v>
      </c>
      <c r="T164" t="s">
        <v>215</v>
      </c>
      <c r="U164">
        <v>1</v>
      </c>
      <c r="V164">
        <v>30</v>
      </c>
      <c r="W164">
        <v>35.4</v>
      </c>
      <c r="X164">
        <v>0</v>
      </c>
      <c r="Y164">
        <v>30</v>
      </c>
      <c r="Z164">
        <v>18</v>
      </c>
      <c r="AA164">
        <v>5.4</v>
      </c>
      <c r="AB164">
        <v>35.4</v>
      </c>
      <c r="AC164">
        <v>1</v>
      </c>
      <c r="AD164">
        <v>1</v>
      </c>
      <c r="AE164" t="s">
        <v>232</v>
      </c>
      <c r="AF164" t="s">
        <v>29</v>
      </c>
      <c r="AG164">
        <v>2</v>
      </c>
      <c r="AH164" t="s">
        <v>25</v>
      </c>
      <c r="AI164">
        <v>1106</v>
      </c>
      <c r="AJ164" t="s">
        <v>239</v>
      </c>
      <c r="AK164" t="s">
        <v>1237</v>
      </c>
      <c r="AP164">
        <v>1137</v>
      </c>
      <c r="AQ164" t="s">
        <v>627</v>
      </c>
      <c r="AR164" t="s">
        <v>12</v>
      </c>
      <c r="AS164" t="str">
        <f>+CONCATENATE(A164,"-",B164)</f>
        <v>FB01-1356</v>
      </c>
    </row>
    <row r="165" spans="1:45" ht="15" customHeight="1">
      <c r="A165" t="s">
        <v>1214</v>
      </c>
      <c r="B165" s="21" t="s">
        <v>1450</v>
      </c>
      <c r="C165" t="s">
        <v>27</v>
      </c>
      <c r="D165" s="8">
        <v>45954</v>
      </c>
      <c r="E165" s="22">
        <v>45964.620104166665</v>
      </c>
      <c r="F165" t="s">
        <v>1318</v>
      </c>
      <c r="G165" t="s">
        <v>158</v>
      </c>
      <c r="H165">
        <v>1</v>
      </c>
      <c r="I165">
        <v>73241854</v>
      </c>
      <c r="J165" t="s">
        <v>2698</v>
      </c>
      <c r="K165" s="8">
        <v>45954</v>
      </c>
      <c r="Q165">
        <v>32593</v>
      </c>
      <c r="R165">
        <v>1786</v>
      </c>
      <c r="S165" t="s">
        <v>1299</v>
      </c>
      <c r="T165" t="s">
        <v>163</v>
      </c>
      <c r="U165">
        <v>1</v>
      </c>
      <c r="V165">
        <v>30.19</v>
      </c>
      <c r="W165">
        <v>35.619999999999997</v>
      </c>
      <c r="X165">
        <v>0</v>
      </c>
      <c r="Y165">
        <v>30.19</v>
      </c>
      <c r="Z165">
        <v>18</v>
      </c>
      <c r="AA165">
        <v>5.43</v>
      </c>
      <c r="AB165">
        <v>35.619999999999997</v>
      </c>
      <c r="AC165">
        <v>1</v>
      </c>
      <c r="AD165">
        <v>1</v>
      </c>
      <c r="AE165" t="s">
        <v>1411</v>
      </c>
      <c r="AF165" t="s">
        <v>1412</v>
      </c>
      <c r="AG165">
        <v>2</v>
      </c>
      <c r="AH165" t="s">
        <v>25</v>
      </c>
      <c r="AI165">
        <v>6937</v>
      </c>
      <c r="AJ165" t="s">
        <v>1414</v>
      </c>
      <c r="AK165" t="s">
        <v>1251</v>
      </c>
      <c r="AL165">
        <v>3023</v>
      </c>
      <c r="AM165" t="s">
        <v>1434</v>
      </c>
      <c r="AN165" s="8">
        <v>45941</v>
      </c>
      <c r="AO165" s="8">
        <v>45941</v>
      </c>
      <c r="AP165">
        <v>418</v>
      </c>
      <c r="AQ165" t="s">
        <v>1318</v>
      </c>
      <c r="AR165" t="s">
        <v>1295</v>
      </c>
      <c r="AS165" t="str">
        <f>+CONCATENATE(A165,"-",B165)</f>
        <v>(03) Boleta BOB1-00000090</v>
      </c>
    </row>
    <row r="166" spans="1:45" ht="15" customHeight="1">
      <c r="A166" t="s">
        <v>216</v>
      </c>
      <c r="B166">
        <v>1392</v>
      </c>
      <c r="C166" t="s">
        <v>27</v>
      </c>
      <c r="D166" s="8">
        <v>45693</v>
      </c>
      <c r="E166" s="22">
        <v>45964</v>
      </c>
      <c r="F166" t="s">
        <v>1325</v>
      </c>
      <c r="H166">
        <v>6</v>
      </c>
      <c r="I166">
        <v>20516587874</v>
      </c>
      <c r="J166" t="s">
        <v>1942</v>
      </c>
      <c r="K166" s="8">
        <v>45693</v>
      </c>
      <c r="Q166">
        <v>18731</v>
      </c>
      <c r="R166">
        <v>877</v>
      </c>
      <c r="S166" t="s">
        <v>1300</v>
      </c>
      <c r="T166" t="s">
        <v>215</v>
      </c>
      <c r="U166">
        <v>1</v>
      </c>
      <c r="V166">
        <v>30.34</v>
      </c>
      <c r="W166">
        <v>35.799999999999997</v>
      </c>
      <c r="X166">
        <v>0</v>
      </c>
      <c r="Y166">
        <v>30.34</v>
      </c>
      <c r="Z166">
        <v>18</v>
      </c>
      <c r="AA166">
        <v>5.46</v>
      </c>
      <c r="AB166">
        <v>35.799999999999997</v>
      </c>
      <c r="AC166">
        <v>1</v>
      </c>
      <c r="AD166">
        <v>1</v>
      </c>
      <c r="AE166" t="s">
        <v>232</v>
      </c>
      <c r="AF166" t="s">
        <v>29</v>
      </c>
      <c r="AG166">
        <v>2</v>
      </c>
      <c r="AH166" t="s">
        <v>25</v>
      </c>
      <c r="AI166">
        <v>1106</v>
      </c>
      <c r="AJ166" t="s">
        <v>239</v>
      </c>
      <c r="AK166" t="s">
        <v>1237</v>
      </c>
      <c r="AP166">
        <v>1116</v>
      </c>
      <c r="AQ166" t="s">
        <v>1325</v>
      </c>
      <c r="AR166" t="s">
        <v>12</v>
      </c>
      <c r="AS166" t="str">
        <f>+CONCATENATE(A166,"-",B166)</f>
        <v>FB01-1392</v>
      </c>
    </row>
    <row r="167" spans="1:45" ht="15" customHeight="1">
      <c r="A167" t="s">
        <v>216</v>
      </c>
      <c r="B167">
        <v>1419</v>
      </c>
      <c r="C167" t="s">
        <v>27</v>
      </c>
      <c r="D167" s="8">
        <v>45695</v>
      </c>
      <c r="E167" s="22">
        <v>45964</v>
      </c>
      <c r="F167" t="s">
        <v>36</v>
      </c>
      <c r="H167">
        <v>6</v>
      </c>
      <c r="I167">
        <v>10755725086</v>
      </c>
      <c r="J167" t="s">
        <v>2730</v>
      </c>
      <c r="K167" s="8">
        <v>45695</v>
      </c>
      <c r="Q167">
        <v>18780</v>
      </c>
      <c r="R167">
        <v>877</v>
      </c>
      <c r="S167" t="s">
        <v>1300</v>
      </c>
      <c r="T167" t="s">
        <v>215</v>
      </c>
      <c r="U167">
        <v>1</v>
      </c>
      <c r="V167">
        <v>30.68</v>
      </c>
      <c r="W167">
        <v>36.200000000000003</v>
      </c>
      <c r="X167">
        <v>0</v>
      </c>
      <c r="Y167">
        <v>30.68</v>
      </c>
      <c r="Z167">
        <v>18</v>
      </c>
      <c r="AA167">
        <v>5.52</v>
      </c>
      <c r="AB167">
        <v>36.200000000000003</v>
      </c>
      <c r="AC167">
        <v>1</v>
      </c>
      <c r="AD167">
        <v>1</v>
      </c>
      <c r="AE167" t="s">
        <v>232</v>
      </c>
      <c r="AF167" t="s">
        <v>29</v>
      </c>
      <c r="AG167">
        <v>2</v>
      </c>
      <c r="AH167" t="s">
        <v>25</v>
      </c>
      <c r="AI167">
        <v>1106</v>
      </c>
      <c r="AJ167" t="s">
        <v>239</v>
      </c>
      <c r="AK167" t="s">
        <v>1237</v>
      </c>
      <c r="AP167">
        <v>1149</v>
      </c>
      <c r="AQ167" t="s">
        <v>36</v>
      </c>
      <c r="AR167" t="s">
        <v>12</v>
      </c>
      <c r="AS167" t="str">
        <f>+CONCATENATE(A167,"-",B167)</f>
        <v>FB01-1419</v>
      </c>
    </row>
    <row r="168" spans="1:45" ht="15" customHeight="1">
      <c r="A168" t="s">
        <v>1238</v>
      </c>
      <c r="B168">
        <v>727</v>
      </c>
      <c r="C168" t="s">
        <v>27</v>
      </c>
      <c r="D168" s="8">
        <v>45693</v>
      </c>
      <c r="E168" s="22">
        <v>45964</v>
      </c>
      <c r="F168" t="s">
        <v>335</v>
      </c>
      <c r="G168" t="s">
        <v>158</v>
      </c>
      <c r="H168">
        <v>1</v>
      </c>
      <c r="I168">
        <v>43908595</v>
      </c>
      <c r="J168" t="s">
        <v>1960</v>
      </c>
      <c r="K168" s="8">
        <v>45693</v>
      </c>
      <c r="Q168">
        <v>18710</v>
      </c>
      <c r="R168">
        <v>992</v>
      </c>
      <c r="S168" t="s">
        <v>1224</v>
      </c>
      <c r="T168" t="s">
        <v>215</v>
      </c>
      <c r="U168">
        <v>1</v>
      </c>
      <c r="V168">
        <v>32</v>
      </c>
      <c r="W168">
        <v>37.76</v>
      </c>
      <c r="X168">
        <v>0</v>
      </c>
      <c r="Y168">
        <v>32</v>
      </c>
      <c r="Z168">
        <v>18</v>
      </c>
      <c r="AA168">
        <v>5.76</v>
      </c>
      <c r="AB168">
        <v>37.76</v>
      </c>
      <c r="AC168">
        <v>1</v>
      </c>
      <c r="AD168">
        <v>1</v>
      </c>
      <c r="AE168" t="s">
        <v>232</v>
      </c>
      <c r="AF168" t="s">
        <v>29</v>
      </c>
      <c r="AG168">
        <v>2</v>
      </c>
      <c r="AH168" t="s">
        <v>25</v>
      </c>
      <c r="AI168">
        <v>1106</v>
      </c>
      <c r="AJ168" t="s">
        <v>239</v>
      </c>
      <c r="AK168" t="s">
        <v>1237</v>
      </c>
      <c r="AP168">
        <v>393</v>
      </c>
      <c r="AQ168" t="s">
        <v>335</v>
      </c>
      <c r="AR168" t="s">
        <v>1295</v>
      </c>
      <c r="AS168" t="str">
        <f>+CONCATENATE(A168,"-",B168)</f>
        <v>BB01-727</v>
      </c>
    </row>
    <row r="169" spans="1:45" ht="15" customHeight="1">
      <c r="A169" t="s">
        <v>216</v>
      </c>
      <c r="B169">
        <v>1266</v>
      </c>
      <c r="C169" t="s">
        <v>27</v>
      </c>
      <c r="D169" s="8">
        <v>45680</v>
      </c>
      <c r="E169" s="22">
        <v>45964</v>
      </c>
      <c r="F169" t="s">
        <v>848</v>
      </c>
      <c r="H169">
        <v>6</v>
      </c>
      <c r="I169">
        <v>20606865199</v>
      </c>
      <c r="J169" t="s">
        <v>2774</v>
      </c>
      <c r="K169" s="8">
        <v>45680</v>
      </c>
      <c r="Q169">
        <v>17779</v>
      </c>
      <c r="R169">
        <v>870</v>
      </c>
      <c r="S169" t="s">
        <v>1299</v>
      </c>
      <c r="T169" t="s">
        <v>215</v>
      </c>
      <c r="U169">
        <v>1</v>
      </c>
      <c r="V169">
        <v>32.200000000000003</v>
      </c>
      <c r="W169">
        <v>38</v>
      </c>
      <c r="X169">
        <v>0</v>
      </c>
      <c r="Y169">
        <v>32.200000000000003</v>
      </c>
      <c r="Z169">
        <v>18</v>
      </c>
      <c r="AA169">
        <v>5.8</v>
      </c>
      <c r="AB169">
        <v>38</v>
      </c>
      <c r="AC169">
        <v>1</v>
      </c>
      <c r="AD169">
        <v>1</v>
      </c>
      <c r="AE169" t="s">
        <v>232</v>
      </c>
      <c r="AF169" t="s">
        <v>29</v>
      </c>
      <c r="AG169">
        <v>2</v>
      </c>
      <c r="AH169" t="s">
        <v>25</v>
      </c>
      <c r="AI169">
        <v>1106</v>
      </c>
      <c r="AJ169" t="s">
        <v>239</v>
      </c>
      <c r="AK169" t="s">
        <v>1237</v>
      </c>
      <c r="AP169">
        <v>1129</v>
      </c>
      <c r="AQ169" t="s">
        <v>848</v>
      </c>
      <c r="AR169" t="s">
        <v>12</v>
      </c>
      <c r="AS169" t="str">
        <f>+CONCATENATE(A169,"-",B169)</f>
        <v>FB01-1266</v>
      </c>
    </row>
    <row r="170" spans="1:45" ht="15" customHeight="1">
      <c r="A170" t="s">
        <v>1214</v>
      </c>
      <c r="B170" s="21" t="s">
        <v>181</v>
      </c>
      <c r="C170" t="s">
        <v>27</v>
      </c>
      <c r="D170" s="8">
        <v>45946</v>
      </c>
      <c r="E170" s="22">
        <v>45964.674004629633</v>
      </c>
      <c r="F170" t="s">
        <v>1834</v>
      </c>
      <c r="H170">
        <v>1</v>
      </c>
      <c r="I170">
        <v>75241793</v>
      </c>
      <c r="J170" t="s">
        <v>1835</v>
      </c>
      <c r="K170" s="8">
        <v>45946</v>
      </c>
      <c r="Q170">
        <v>31289</v>
      </c>
      <c r="R170">
        <v>2276</v>
      </c>
      <c r="S170" t="s">
        <v>1504</v>
      </c>
      <c r="T170" t="s">
        <v>163</v>
      </c>
      <c r="U170">
        <v>1</v>
      </c>
      <c r="V170">
        <v>32.5</v>
      </c>
      <c r="W170">
        <v>38.35</v>
      </c>
      <c r="X170">
        <v>0</v>
      </c>
      <c r="Y170">
        <v>32.5</v>
      </c>
      <c r="Z170">
        <v>18</v>
      </c>
      <c r="AA170">
        <v>5.85</v>
      </c>
      <c r="AB170">
        <v>38.35</v>
      </c>
      <c r="AC170">
        <v>1</v>
      </c>
      <c r="AD170">
        <v>1</v>
      </c>
      <c r="AE170" t="s">
        <v>1411</v>
      </c>
      <c r="AF170" t="s">
        <v>1412</v>
      </c>
      <c r="AG170">
        <v>2</v>
      </c>
      <c r="AH170" t="s">
        <v>25</v>
      </c>
      <c r="AI170">
        <v>6959</v>
      </c>
      <c r="AJ170" t="s">
        <v>1401</v>
      </c>
      <c r="AK170" t="s">
        <v>169</v>
      </c>
      <c r="AL170">
        <v>3100</v>
      </c>
      <c r="AM170" t="s">
        <v>264</v>
      </c>
      <c r="AN170" s="8">
        <v>45934</v>
      </c>
      <c r="AO170" s="8">
        <v>45934</v>
      </c>
      <c r="AP170">
        <v>5199</v>
      </c>
      <c r="AQ170" t="s">
        <v>1834</v>
      </c>
      <c r="AR170" t="s">
        <v>1295</v>
      </c>
      <c r="AS170" t="str">
        <f>+CONCATENATE(A170,"-",B170)</f>
        <v>(03) Boleta BOB1-00000032</v>
      </c>
    </row>
    <row r="171" spans="1:45" ht="15" customHeight="1">
      <c r="A171" t="s">
        <v>1238</v>
      </c>
      <c r="B171">
        <v>715</v>
      </c>
      <c r="C171" t="s">
        <v>27</v>
      </c>
      <c r="D171" s="8">
        <v>45687</v>
      </c>
      <c r="E171" s="22">
        <v>45964</v>
      </c>
      <c r="F171" t="s">
        <v>610</v>
      </c>
      <c r="H171">
        <v>1</v>
      </c>
      <c r="I171">
        <v>75329338</v>
      </c>
      <c r="J171" t="s">
        <v>1984</v>
      </c>
      <c r="K171" s="8">
        <v>45687</v>
      </c>
      <c r="Q171">
        <v>18681</v>
      </c>
      <c r="R171">
        <v>959</v>
      </c>
      <c r="S171" t="s">
        <v>1259</v>
      </c>
      <c r="T171" t="s">
        <v>215</v>
      </c>
      <c r="U171">
        <v>1</v>
      </c>
      <c r="V171">
        <v>32.5</v>
      </c>
      <c r="W171">
        <v>38.35</v>
      </c>
      <c r="X171">
        <v>0</v>
      </c>
      <c r="Y171">
        <v>32.5</v>
      </c>
      <c r="Z171">
        <v>18</v>
      </c>
      <c r="AA171">
        <v>5.85</v>
      </c>
      <c r="AB171">
        <v>38.35</v>
      </c>
      <c r="AC171">
        <v>1</v>
      </c>
      <c r="AD171">
        <v>1</v>
      </c>
      <c r="AE171" t="s">
        <v>232</v>
      </c>
      <c r="AF171" t="s">
        <v>29</v>
      </c>
      <c r="AG171">
        <v>2</v>
      </c>
      <c r="AH171" t="s">
        <v>25</v>
      </c>
      <c r="AI171">
        <v>1106</v>
      </c>
      <c r="AJ171" t="s">
        <v>239</v>
      </c>
      <c r="AK171" t="s">
        <v>1260</v>
      </c>
      <c r="AP171">
        <v>1173</v>
      </c>
      <c r="AQ171" t="s">
        <v>1839</v>
      </c>
      <c r="AR171" t="s">
        <v>1295</v>
      </c>
      <c r="AS171" t="str">
        <f>+CONCATENATE(A171,"-",B171)</f>
        <v>BB01-715</v>
      </c>
    </row>
    <row r="172" spans="1:45" ht="15" customHeight="1">
      <c r="A172" t="s">
        <v>216</v>
      </c>
      <c r="B172">
        <v>1222</v>
      </c>
      <c r="C172" t="s">
        <v>27</v>
      </c>
      <c r="D172" s="8">
        <v>45663</v>
      </c>
      <c r="E172" s="22">
        <v>45964</v>
      </c>
      <c r="F172" t="s">
        <v>1386</v>
      </c>
      <c r="H172">
        <v>6</v>
      </c>
      <c r="I172">
        <v>20541708406</v>
      </c>
      <c r="J172" t="s">
        <v>2161</v>
      </c>
      <c r="K172" s="8">
        <v>45663</v>
      </c>
      <c r="Q172">
        <v>17225</v>
      </c>
      <c r="R172">
        <v>889</v>
      </c>
      <c r="S172" t="s">
        <v>1274</v>
      </c>
      <c r="T172" t="s">
        <v>215</v>
      </c>
      <c r="U172">
        <v>1</v>
      </c>
      <c r="V172">
        <v>32.5</v>
      </c>
      <c r="W172">
        <v>38.35</v>
      </c>
      <c r="X172">
        <v>0</v>
      </c>
      <c r="Y172">
        <v>32.5</v>
      </c>
      <c r="Z172">
        <v>18</v>
      </c>
      <c r="AA172">
        <v>5.85</v>
      </c>
      <c r="AB172">
        <v>38.35</v>
      </c>
      <c r="AC172">
        <v>1</v>
      </c>
      <c r="AD172">
        <v>1</v>
      </c>
      <c r="AE172" t="s">
        <v>232</v>
      </c>
      <c r="AF172" t="s">
        <v>29</v>
      </c>
      <c r="AG172">
        <v>2</v>
      </c>
      <c r="AH172" t="s">
        <v>25</v>
      </c>
      <c r="AI172">
        <v>1106</v>
      </c>
      <c r="AJ172" t="s">
        <v>239</v>
      </c>
      <c r="AK172" t="s">
        <v>1257</v>
      </c>
      <c r="AP172">
        <v>1125</v>
      </c>
      <c r="AQ172" t="s">
        <v>1386</v>
      </c>
      <c r="AR172" t="s">
        <v>12</v>
      </c>
      <c r="AS172" t="str">
        <f>+CONCATENATE(A172,"-",B172)</f>
        <v>FB01-1222</v>
      </c>
    </row>
    <row r="173" spans="1:45" ht="15" customHeight="1">
      <c r="A173" t="s">
        <v>1238</v>
      </c>
      <c r="B173">
        <v>673</v>
      </c>
      <c r="C173" t="s">
        <v>27</v>
      </c>
      <c r="D173" s="8">
        <v>45680</v>
      </c>
      <c r="E173" s="22">
        <v>45964</v>
      </c>
      <c r="F173" t="s">
        <v>901</v>
      </c>
      <c r="H173">
        <v>1</v>
      </c>
      <c r="I173">
        <v>76443681</v>
      </c>
      <c r="J173" t="s">
        <v>2091</v>
      </c>
      <c r="K173" s="8">
        <v>45680</v>
      </c>
      <c r="Q173">
        <v>17801</v>
      </c>
      <c r="R173">
        <v>870</v>
      </c>
      <c r="S173" t="s">
        <v>1299</v>
      </c>
      <c r="T173" t="s">
        <v>215</v>
      </c>
      <c r="U173">
        <v>1</v>
      </c>
      <c r="V173">
        <v>32.880000000000003</v>
      </c>
      <c r="W173">
        <v>38.799999999999997</v>
      </c>
      <c r="X173">
        <v>0</v>
      </c>
      <c r="Y173">
        <v>32.880000000000003</v>
      </c>
      <c r="Z173">
        <v>18</v>
      </c>
      <c r="AA173">
        <v>5.92</v>
      </c>
      <c r="AB173">
        <v>38.799999999999997</v>
      </c>
      <c r="AC173">
        <v>1</v>
      </c>
      <c r="AD173">
        <v>1</v>
      </c>
      <c r="AE173" t="s">
        <v>232</v>
      </c>
      <c r="AF173" t="s">
        <v>29</v>
      </c>
      <c r="AG173">
        <v>2</v>
      </c>
      <c r="AH173" t="s">
        <v>25</v>
      </c>
      <c r="AI173">
        <v>1106</v>
      </c>
      <c r="AJ173" t="s">
        <v>239</v>
      </c>
      <c r="AK173" t="s">
        <v>1237</v>
      </c>
      <c r="AP173">
        <v>1163</v>
      </c>
      <c r="AQ173" t="s">
        <v>901</v>
      </c>
      <c r="AR173" t="s">
        <v>1295</v>
      </c>
      <c r="AS173" t="str">
        <f>+CONCATENATE(A173,"-",B173)</f>
        <v>BB01-673</v>
      </c>
    </row>
    <row r="174" spans="1:45" ht="15" customHeight="1">
      <c r="A174" t="s">
        <v>216</v>
      </c>
      <c r="B174">
        <v>1299</v>
      </c>
      <c r="C174" t="s">
        <v>27</v>
      </c>
      <c r="D174" s="8">
        <v>45680</v>
      </c>
      <c r="E174" s="22">
        <v>45964</v>
      </c>
      <c r="F174" t="s">
        <v>1325</v>
      </c>
      <c r="H174">
        <v>6</v>
      </c>
      <c r="I174">
        <v>20516587874</v>
      </c>
      <c r="J174" t="s">
        <v>2072</v>
      </c>
      <c r="K174" s="8">
        <v>45680</v>
      </c>
      <c r="Q174">
        <v>17821</v>
      </c>
      <c r="R174">
        <v>870</v>
      </c>
      <c r="S174" t="s">
        <v>1299</v>
      </c>
      <c r="T174" t="s">
        <v>215</v>
      </c>
      <c r="U174">
        <v>1</v>
      </c>
      <c r="V174">
        <v>33.22</v>
      </c>
      <c r="W174">
        <v>39.200000000000003</v>
      </c>
      <c r="X174">
        <v>0</v>
      </c>
      <c r="Y174">
        <v>33.22</v>
      </c>
      <c r="Z174">
        <v>18</v>
      </c>
      <c r="AA174">
        <v>5.98</v>
      </c>
      <c r="AB174">
        <v>39.200000000000003</v>
      </c>
      <c r="AC174">
        <v>1</v>
      </c>
      <c r="AD174">
        <v>1</v>
      </c>
      <c r="AE174" t="s">
        <v>232</v>
      </c>
      <c r="AF174" t="s">
        <v>29</v>
      </c>
      <c r="AG174">
        <v>2</v>
      </c>
      <c r="AH174" t="s">
        <v>25</v>
      </c>
      <c r="AI174">
        <v>1106</v>
      </c>
      <c r="AJ174" t="s">
        <v>239</v>
      </c>
      <c r="AK174" t="s">
        <v>1237</v>
      </c>
      <c r="AP174">
        <v>1116</v>
      </c>
      <c r="AQ174" t="s">
        <v>1325</v>
      </c>
      <c r="AR174" t="s">
        <v>12</v>
      </c>
      <c r="AS174" t="str">
        <f>+CONCATENATE(A174,"-",B174)</f>
        <v>FB01-1299</v>
      </c>
    </row>
    <row r="175" spans="1:45" ht="15" customHeight="1">
      <c r="A175" t="s">
        <v>1238</v>
      </c>
      <c r="B175">
        <v>742</v>
      </c>
      <c r="C175" t="s">
        <v>27</v>
      </c>
      <c r="D175" s="8">
        <v>45693</v>
      </c>
      <c r="E175" s="22">
        <v>45964</v>
      </c>
      <c r="F175" t="s">
        <v>1246</v>
      </c>
      <c r="G175" t="s">
        <v>158</v>
      </c>
      <c r="H175">
        <v>1</v>
      </c>
      <c r="I175">
        <v>19988495</v>
      </c>
      <c r="J175" t="s">
        <v>2735</v>
      </c>
      <c r="K175" s="8">
        <v>45693</v>
      </c>
      <c r="Q175">
        <v>18762</v>
      </c>
      <c r="R175">
        <v>870</v>
      </c>
      <c r="S175" t="s">
        <v>1299</v>
      </c>
      <c r="T175" t="s">
        <v>215</v>
      </c>
      <c r="U175">
        <v>1</v>
      </c>
      <c r="V175">
        <v>33.47</v>
      </c>
      <c r="W175">
        <v>39.5</v>
      </c>
      <c r="X175">
        <v>0</v>
      </c>
      <c r="Y175">
        <v>33.47</v>
      </c>
      <c r="Z175">
        <v>18</v>
      </c>
      <c r="AA175">
        <v>6.03</v>
      </c>
      <c r="AB175">
        <v>39.5</v>
      </c>
      <c r="AC175">
        <v>1</v>
      </c>
      <c r="AD175">
        <v>1</v>
      </c>
      <c r="AE175" t="s">
        <v>232</v>
      </c>
      <c r="AF175" t="s">
        <v>29</v>
      </c>
      <c r="AG175">
        <v>2</v>
      </c>
      <c r="AH175" t="s">
        <v>25</v>
      </c>
      <c r="AI175">
        <v>1106</v>
      </c>
      <c r="AJ175" t="s">
        <v>239</v>
      </c>
      <c r="AK175" t="s">
        <v>1237</v>
      </c>
      <c r="AP175">
        <v>432</v>
      </c>
      <c r="AQ175" t="s">
        <v>1246</v>
      </c>
      <c r="AR175" t="s">
        <v>1295</v>
      </c>
      <c r="AS175" t="str">
        <f>+CONCATENATE(A175,"-",B175)</f>
        <v>BB01-742</v>
      </c>
    </row>
    <row r="176" spans="1:45" ht="15" customHeight="1">
      <c r="A176" t="s">
        <v>1214</v>
      </c>
      <c r="B176" s="21" t="s">
        <v>1607</v>
      </c>
      <c r="C176" t="s">
        <v>27</v>
      </c>
      <c r="D176" s="8">
        <v>45959</v>
      </c>
      <c r="E176" s="22">
        <v>45964.721064814818</v>
      </c>
      <c r="F176" t="s">
        <v>1636</v>
      </c>
      <c r="H176">
        <v>1</v>
      </c>
      <c r="I176">
        <v>48505208</v>
      </c>
      <c r="J176" t="s">
        <v>2633</v>
      </c>
      <c r="K176" s="8">
        <v>45959</v>
      </c>
      <c r="Q176">
        <v>33029</v>
      </c>
      <c r="R176">
        <v>216</v>
      </c>
      <c r="S176" t="s">
        <v>1300</v>
      </c>
      <c r="T176" t="s">
        <v>163</v>
      </c>
      <c r="U176">
        <v>1</v>
      </c>
      <c r="V176">
        <v>33.5</v>
      </c>
      <c r="W176">
        <v>39.53</v>
      </c>
      <c r="X176">
        <v>0</v>
      </c>
      <c r="Y176">
        <v>33.5</v>
      </c>
      <c r="Z176">
        <v>18</v>
      </c>
      <c r="AA176">
        <v>6.03</v>
      </c>
      <c r="AB176">
        <v>39.53</v>
      </c>
      <c r="AC176">
        <v>1</v>
      </c>
      <c r="AD176">
        <v>1</v>
      </c>
      <c r="AE176" t="s">
        <v>1411</v>
      </c>
      <c r="AF176" t="s">
        <v>1412</v>
      </c>
      <c r="AG176">
        <v>2</v>
      </c>
      <c r="AH176" t="s">
        <v>25</v>
      </c>
      <c r="AI176">
        <v>6936</v>
      </c>
      <c r="AJ176" t="s">
        <v>1437</v>
      </c>
      <c r="AK176" t="s">
        <v>1433</v>
      </c>
      <c r="AL176">
        <v>3200</v>
      </c>
      <c r="AM176" t="s">
        <v>2467</v>
      </c>
      <c r="AN176" s="8">
        <v>45955</v>
      </c>
      <c r="AO176" s="8">
        <v>45955</v>
      </c>
      <c r="AP176">
        <v>5080</v>
      </c>
      <c r="AQ176" t="s">
        <v>1636</v>
      </c>
      <c r="AR176" t="s">
        <v>1295</v>
      </c>
      <c r="AS176" t="str">
        <f>+CONCATENATE(A176,"-",B176)</f>
        <v>(03) Boleta BOB1-00000133</v>
      </c>
    </row>
    <row r="177" spans="1:45" ht="15" customHeight="1">
      <c r="A177" t="s">
        <v>1214</v>
      </c>
      <c r="B177" s="21" t="s">
        <v>1710</v>
      </c>
      <c r="C177" t="s">
        <v>27</v>
      </c>
      <c r="D177" s="8">
        <v>45959</v>
      </c>
      <c r="E177" s="22">
        <v>45964.649224537039</v>
      </c>
      <c r="F177" t="s">
        <v>2480</v>
      </c>
      <c r="H177">
        <v>1</v>
      </c>
      <c r="I177">
        <v>47248550</v>
      </c>
      <c r="J177" t="s">
        <v>2653</v>
      </c>
      <c r="K177" s="8">
        <v>45959</v>
      </c>
      <c r="Q177">
        <v>32950</v>
      </c>
      <c r="R177">
        <v>2274</v>
      </c>
      <c r="S177" t="s">
        <v>1255</v>
      </c>
      <c r="T177" t="s">
        <v>215</v>
      </c>
      <c r="U177">
        <v>1</v>
      </c>
      <c r="V177">
        <v>33.5</v>
      </c>
      <c r="W177">
        <v>39.53</v>
      </c>
      <c r="X177">
        <v>0</v>
      </c>
      <c r="Y177">
        <v>33.5</v>
      </c>
      <c r="Z177">
        <v>18</v>
      </c>
      <c r="AA177">
        <v>6.03</v>
      </c>
      <c r="AB177">
        <v>39.53</v>
      </c>
      <c r="AC177">
        <v>1</v>
      </c>
      <c r="AD177">
        <v>1</v>
      </c>
      <c r="AE177" t="s">
        <v>1411</v>
      </c>
      <c r="AF177" t="s">
        <v>1412</v>
      </c>
      <c r="AG177">
        <v>2</v>
      </c>
      <c r="AH177" t="s">
        <v>25</v>
      </c>
      <c r="AI177">
        <v>6937</v>
      </c>
      <c r="AJ177" t="s">
        <v>1414</v>
      </c>
      <c r="AK177" t="s">
        <v>1433</v>
      </c>
      <c r="AL177">
        <v>3025</v>
      </c>
      <c r="AM177" t="s">
        <v>2481</v>
      </c>
      <c r="AN177" s="8">
        <v>45955</v>
      </c>
      <c r="AO177" s="8">
        <v>45955</v>
      </c>
      <c r="AP177">
        <v>5601</v>
      </c>
      <c r="AQ177" t="s">
        <v>2480</v>
      </c>
      <c r="AR177" t="s">
        <v>1295</v>
      </c>
      <c r="AS177" t="str">
        <f>+CONCATENATE(A177,"-",B177)</f>
        <v>(03) Boleta BOB1-00000115</v>
      </c>
    </row>
    <row r="178" spans="1:45" ht="15" customHeight="1">
      <c r="A178" t="s">
        <v>1216</v>
      </c>
      <c r="B178" s="21" t="s">
        <v>1223</v>
      </c>
      <c r="C178" t="s">
        <v>27</v>
      </c>
      <c r="D178" s="8">
        <v>45945</v>
      </c>
      <c r="E178" s="22">
        <v>45964.763032407405</v>
      </c>
      <c r="F178" t="s">
        <v>32</v>
      </c>
      <c r="G178" t="s">
        <v>158</v>
      </c>
      <c r="H178">
        <v>6</v>
      </c>
      <c r="I178">
        <v>20608361074</v>
      </c>
      <c r="J178" t="s">
        <v>2727</v>
      </c>
      <c r="K178" s="8">
        <v>45945</v>
      </c>
      <c r="Q178">
        <v>31220</v>
      </c>
      <c r="R178">
        <v>2317</v>
      </c>
      <c r="S178" t="s">
        <v>1248</v>
      </c>
      <c r="T178" t="s">
        <v>163</v>
      </c>
      <c r="U178">
        <v>1</v>
      </c>
      <c r="V178">
        <v>33.9</v>
      </c>
      <c r="W178">
        <v>40</v>
      </c>
      <c r="X178">
        <v>0</v>
      </c>
      <c r="Y178">
        <v>33.9</v>
      </c>
      <c r="Z178">
        <v>18</v>
      </c>
      <c r="AA178">
        <v>6.1</v>
      </c>
      <c r="AB178">
        <v>40</v>
      </c>
      <c r="AC178">
        <v>1</v>
      </c>
      <c r="AD178">
        <v>1</v>
      </c>
      <c r="AE178" t="s">
        <v>1411</v>
      </c>
      <c r="AF178" t="s">
        <v>1412</v>
      </c>
      <c r="AG178">
        <v>2</v>
      </c>
      <c r="AH178" t="s">
        <v>25</v>
      </c>
      <c r="AI178">
        <v>1106</v>
      </c>
      <c r="AJ178" t="s">
        <v>239</v>
      </c>
      <c r="AK178" t="s">
        <v>169</v>
      </c>
      <c r="AL178">
        <v>3051</v>
      </c>
      <c r="AM178" t="s">
        <v>310</v>
      </c>
      <c r="AN178" s="8">
        <v>45933</v>
      </c>
      <c r="AO178" s="8">
        <v>45933</v>
      </c>
      <c r="AP178">
        <v>397</v>
      </c>
      <c r="AQ178" t="s">
        <v>32</v>
      </c>
      <c r="AR178" t="s">
        <v>12</v>
      </c>
      <c r="AS178" t="str">
        <f>+CONCATENATE(A178,"-",B178)</f>
        <v>(01) Factura FOF1-00000037</v>
      </c>
    </row>
    <row r="179" spans="1:45" ht="15" customHeight="1">
      <c r="A179" t="s">
        <v>1216</v>
      </c>
      <c r="B179" s="21" t="s">
        <v>1552</v>
      </c>
      <c r="C179" t="s">
        <v>27</v>
      </c>
      <c r="D179" s="8">
        <v>45952</v>
      </c>
      <c r="E179" s="22">
        <v>45964.814479166664</v>
      </c>
      <c r="F179" t="s">
        <v>1553</v>
      </c>
      <c r="H179">
        <v>6</v>
      </c>
      <c r="I179">
        <v>20608747843</v>
      </c>
      <c r="J179" t="s">
        <v>2706</v>
      </c>
      <c r="K179" s="8">
        <v>45952</v>
      </c>
      <c r="Q179">
        <v>32367</v>
      </c>
      <c r="R179">
        <v>1786</v>
      </c>
      <c r="S179" t="s">
        <v>1299</v>
      </c>
      <c r="T179" t="s">
        <v>163</v>
      </c>
      <c r="U179">
        <v>1</v>
      </c>
      <c r="V179">
        <v>34.15</v>
      </c>
      <c r="W179">
        <v>40.299999999999997</v>
      </c>
      <c r="X179">
        <v>0</v>
      </c>
      <c r="Y179">
        <v>34.15</v>
      </c>
      <c r="Z179">
        <v>18</v>
      </c>
      <c r="AA179">
        <v>6.15</v>
      </c>
      <c r="AB179">
        <v>40.299999999999997</v>
      </c>
      <c r="AC179">
        <v>1</v>
      </c>
      <c r="AD179">
        <v>1</v>
      </c>
      <c r="AE179" t="s">
        <v>1411</v>
      </c>
      <c r="AF179" t="s">
        <v>1412</v>
      </c>
      <c r="AG179">
        <v>2</v>
      </c>
      <c r="AH179" t="s">
        <v>25</v>
      </c>
      <c r="AI179">
        <v>6937</v>
      </c>
      <c r="AJ179" t="s">
        <v>1414</v>
      </c>
      <c r="AK179" t="s">
        <v>1251</v>
      </c>
      <c r="AL179">
        <v>3249</v>
      </c>
      <c r="AM179" t="s">
        <v>1554</v>
      </c>
      <c r="AN179" s="8">
        <v>45948</v>
      </c>
      <c r="AO179" s="8">
        <v>45948</v>
      </c>
      <c r="AP179">
        <v>5498</v>
      </c>
      <c r="AQ179" t="s">
        <v>1553</v>
      </c>
      <c r="AR179" t="s">
        <v>12</v>
      </c>
      <c r="AS179" t="str">
        <f>+CONCATENATE(A179,"-",B179)</f>
        <v>(01) Factura FOF1-00000151</v>
      </c>
    </row>
    <row r="180" spans="1:45" ht="15" customHeight="1">
      <c r="A180" t="s">
        <v>1238</v>
      </c>
      <c r="B180">
        <v>706</v>
      </c>
      <c r="C180" t="s">
        <v>27</v>
      </c>
      <c r="D180" s="8">
        <v>45685</v>
      </c>
      <c r="E180" s="22">
        <v>45964</v>
      </c>
      <c r="F180" t="s">
        <v>732</v>
      </c>
      <c r="H180">
        <v>1</v>
      </c>
      <c r="I180">
        <v>48129748</v>
      </c>
      <c r="J180" t="s">
        <v>2761</v>
      </c>
      <c r="K180" s="8">
        <v>45685</v>
      </c>
      <c r="Q180">
        <v>18632</v>
      </c>
      <c r="R180">
        <v>877</v>
      </c>
      <c r="S180" t="s">
        <v>1300</v>
      </c>
      <c r="T180" t="s">
        <v>215</v>
      </c>
      <c r="U180">
        <v>1</v>
      </c>
      <c r="V180">
        <v>34.32</v>
      </c>
      <c r="W180">
        <v>40.5</v>
      </c>
      <c r="X180">
        <v>0</v>
      </c>
      <c r="Y180">
        <v>34.32</v>
      </c>
      <c r="Z180">
        <v>18</v>
      </c>
      <c r="AA180">
        <v>6.18</v>
      </c>
      <c r="AB180">
        <v>40.5</v>
      </c>
      <c r="AC180">
        <v>1</v>
      </c>
      <c r="AD180">
        <v>1</v>
      </c>
      <c r="AE180" t="s">
        <v>232</v>
      </c>
      <c r="AF180" t="s">
        <v>29</v>
      </c>
      <c r="AG180">
        <v>2</v>
      </c>
      <c r="AH180" t="s">
        <v>25</v>
      </c>
      <c r="AI180">
        <v>1106</v>
      </c>
      <c r="AJ180" t="s">
        <v>239</v>
      </c>
      <c r="AK180" t="s">
        <v>1237</v>
      </c>
      <c r="AP180">
        <v>1170</v>
      </c>
      <c r="AQ180" t="s">
        <v>732</v>
      </c>
      <c r="AR180" t="s">
        <v>1295</v>
      </c>
      <c r="AS180" t="str">
        <f>+CONCATENATE(A180,"-",B180)</f>
        <v>BB01-706</v>
      </c>
    </row>
    <row r="181" spans="1:45" ht="15" customHeight="1">
      <c r="A181" t="s">
        <v>216</v>
      </c>
      <c r="B181">
        <v>1358</v>
      </c>
      <c r="C181" t="s">
        <v>27</v>
      </c>
      <c r="D181" s="8">
        <v>45686</v>
      </c>
      <c r="E181" s="22">
        <v>45964</v>
      </c>
      <c r="F181" t="s">
        <v>622</v>
      </c>
      <c r="H181">
        <v>6</v>
      </c>
      <c r="I181">
        <v>10064263248</v>
      </c>
      <c r="J181" t="s">
        <v>2756</v>
      </c>
      <c r="K181" s="8">
        <v>45686</v>
      </c>
      <c r="Q181">
        <v>18675</v>
      </c>
      <c r="R181">
        <v>878</v>
      </c>
      <c r="S181" t="s">
        <v>1334</v>
      </c>
      <c r="T181" t="s">
        <v>215</v>
      </c>
      <c r="U181">
        <v>1</v>
      </c>
      <c r="V181">
        <v>34.75</v>
      </c>
      <c r="W181">
        <v>41</v>
      </c>
      <c r="X181">
        <v>0</v>
      </c>
      <c r="Y181">
        <v>34.75</v>
      </c>
      <c r="Z181">
        <v>18</v>
      </c>
      <c r="AA181">
        <v>6.25</v>
      </c>
      <c r="AB181">
        <v>41</v>
      </c>
      <c r="AC181">
        <v>1</v>
      </c>
      <c r="AD181">
        <v>1</v>
      </c>
      <c r="AE181" t="s">
        <v>232</v>
      </c>
      <c r="AF181" t="s">
        <v>29</v>
      </c>
      <c r="AG181">
        <v>2</v>
      </c>
      <c r="AH181" t="s">
        <v>25</v>
      </c>
      <c r="AI181">
        <v>1106</v>
      </c>
      <c r="AJ181" t="s">
        <v>239</v>
      </c>
      <c r="AK181" t="s">
        <v>1237</v>
      </c>
      <c r="AP181">
        <v>1138</v>
      </c>
      <c r="AQ181" t="s">
        <v>622</v>
      </c>
      <c r="AR181" t="s">
        <v>12</v>
      </c>
      <c r="AS181" t="str">
        <f>+CONCATENATE(A181,"-",B181)</f>
        <v>FB01-1358</v>
      </c>
    </row>
    <row r="182" spans="1:45" ht="15" customHeight="1">
      <c r="A182" t="s">
        <v>1216</v>
      </c>
      <c r="B182" s="21" t="s">
        <v>1431</v>
      </c>
      <c r="C182" t="s">
        <v>27</v>
      </c>
      <c r="D182" s="8">
        <v>45946</v>
      </c>
      <c r="E182" s="22">
        <v>45964.800729166665</v>
      </c>
      <c r="F182" t="s">
        <v>1758</v>
      </c>
      <c r="H182">
        <v>6</v>
      </c>
      <c r="I182">
        <v>10451333351</v>
      </c>
      <c r="J182" t="s">
        <v>2710</v>
      </c>
      <c r="K182" s="8">
        <v>45946</v>
      </c>
      <c r="Q182">
        <v>31485</v>
      </c>
      <c r="R182">
        <v>216</v>
      </c>
      <c r="S182" t="s">
        <v>1300</v>
      </c>
      <c r="T182" t="s">
        <v>163</v>
      </c>
      <c r="U182">
        <v>1</v>
      </c>
      <c r="V182">
        <v>35.08</v>
      </c>
      <c r="W182">
        <v>41.39</v>
      </c>
      <c r="X182">
        <v>0</v>
      </c>
      <c r="Y182">
        <v>35.08</v>
      </c>
      <c r="Z182">
        <v>18</v>
      </c>
      <c r="AA182">
        <v>6.31</v>
      </c>
      <c r="AB182">
        <v>41.39</v>
      </c>
      <c r="AC182">
        <v>1</v>
      </c>
      <c r="AD182">
        <v>1</v>
      </c>
      <c r="AE182" t="s">
        <v>1411</v>
      </c>
      <c r="AF182" t="s">
        <v>1412</v>
      </c>
      <c r="AG182">
        <v>2</v>
      </c>
      <c r="AH182" t="s">
        <v>25</v>
      </c>
      <c r="AI182">
        <v>6936</v>
      </c>
      <c r="AJ182" t="s">
        <v>1437</v>
      </c>
      <c r="AK182" t="s">
        <v>1433</v>
      </c>
      <c r="AL182">
        <v>3037</v>
      </c>
      <c r="AM182" t="s">
        <v>1760</v>
      </c>
      <c r="AN182" s="8">
        <v>45899</v>
      </c>
      <c r="AO182" s="8">
        <v>45899</v>
      </c>
      <c r="AP182">
        <v>5554</v>
      </c>
      <c r="AQ182" t="s">
        <v>1758</v>
      </c>
      <c r="AR182" t="s">
        <v>12</v>
      </c>
      <c r="AS182" t="str">
        <f>+CONCATENATE(A182,"-",B182)</f>
        <v>(01) Factura FOF1-00000098</v>
      </c>
    </row>
    <row r="183" spans="1:45" ht="15" customHeight="1">
      <c r="A183" t="s">
        <v>1216</v>
      </c>
      <c r="B183" s="21" t="s">
        <v>1493</v>
      </c>
      <c r="C183" t="s">
        <v>27</v>
      </c>
      <c r="D183" s="8">
        <v>45946</v>
      </c>
      <c r="E183" s="22">
        <v>45964.789722222224</v>
      </c>
      <c r="F183" t="s">
        <v>1779</v>
      </c>
      <c r="H183">
        <v>6</v>
      </c>
      <c r="I183">
        <v>20521137330</v>
      </c>
      <c r="J183" t="s">
        <v>2713</v>
      </c>
      <c r="K183" s="8">
        <v>45946</v>
      </c>
      <c r="Q183">
        <v>31443</v>
      </c>
      <c r="R183">
        <v>1786</v>
      </c>
      <c r="S183" t="s">
        <v>1299</v>
      </c>
      <c r="T183" t="s">
        <v>163</v>
      </c>
      <c r="U183">
        <v>1</v>
      </c>
      <c r="V183">
        <v>35.42</v>
      </c>
      <c r="W183">
        <v>41.8</v>
      </c>
      <c r="X183">
        <v>0</v>
      </c>
      <c r="Y183">
        <v>35.42</v>
      </c>
      <c r="Z183">
        <v>18</v>
      </c>
      <c r="AA183">
        <v>6.38</v>
      </c>
      <c r="AB183">
        <v>41.8</v>
      </c>
      <c r="AC183">
        <v>1</v>
      </c>
      <c r="AD183">
        <v>1</v>
      </c>
      <c r="AE183" t="s">
        <v>1411</v>
      </c>
      <c r="AF183" t="s">
        <v>1412</v>
      </c>
      <c r="AG183">
        <v>2</v>
      </c>
      <c r="AH183" t="s">
        <v>25</v>
      </c>
      <c r="AI183">
        <v>6937</v>
      </c>
      <c r="AJ183" t="s">
        <v>1414</v>
      </c>
      <c r="AK183" t="s">
        <v>1251</v>
      </c>
      <c r="AL183">
        <v>3057</v>
      </c>
      <c r="AM183" t="s">
        <v>1780</v>
      </c>
      <c r="AN183" s="8">
        <v>45941</v>
      </c>
      <c r="AO183" s="8">
        <v>45941</v>
      </c>
      <c r="AP183">
        <v>5228</v>
      </c>
      <c r="AQ183" t="s">
        <v>1779</v>
      </c>
      <c r="AR183" t="s">
        <v>12</v>
      </c>
      <c r="AS183" t="str">
        <f>+CONCATENATE(A183,"-",B183)</f>
        <v>(01) Factura FOF1-00000086</v>
      </c>
    </row>
    <row r="184" spans="1:45" ht="15" customHeight="1">
      <c r="A184" t="s">
        <v>1238</v>
      </c>
      <c r="B184">
        <v>713</v>
      </c>
      <c r="C184" t="s">
        <v>27</v>
      </c>
      <c r="D184" s="8">
        <v>45687</v>
      </c>
      <c r="E184" s="22">
        <v>45964</v>
      </c>
      <c r="F184" t="s">
        <v>610</v>
      </c>
      <c r="H184">
        <v>1</v>
      </c>
      <c r="I184">
        <v>75329338</v>
      </c>
      <c r="J184" t="s">
        <v>1985</v>
      </c>
      <c r="K184" s="8">
        <v>45687</v>
      </c>
      <c r="Q184">
        <v>18679</v>
      </c>
      <c r="R184">
        <v>870</v>
      </c>
      <c r="S184" t="s">
        <v>1299</v>
      </c>
      <c r="T184" t="s">
        <v>215</v>
      </c>
      <c r="U184">
        <v>1</v>
      </c>
      <c r="V184">
        <v>35.549999999999997</v>
      </c>
      <c r="W184">
        <v>41.95</v>
      </c>
      <c r="X184">
        <v>0</v>
      </c>
      <c r="Y184">
        <v>35.549999999999997</v>
      </c>
      <c r="Z184">
        <v>18</v>
      </c>
      <c r="AA184">
        <v>6.4</v>
      </c>
      <c r="AB184">
        <v>41.95</v>
      </c>
      <c r="AC184">
        <v>1</v>
      </c>
      <c r="AD184">
        <v>1</v>
      </c>
      <c r="AE184" t="s">
        <v>232</v>
      </c>
      <c r="AF184" t="s">
        <v>29</v>
      </c>
      <c r="AG184">
        <v>2</v>
      </c>
      <c r="AH184" t="s">
        <v>25</v>
      </c>
      <c r="AI184">
        <v>1106</v>
      </c>
      <c r="AJ184" t="s">
        <v>239</v>
      </c>
      <c r="AK184" t="s">
        <v>1237</v>
      </c>
      <c r="AP184">
        <v>1173</v>
      </c>
      <c r="AQ184" t="s">
        <v>1839</v>
      </c>
      <c r="AR184" t="s">
        <v>1295</v>
      </c>
      <c r="AS184" t="str">
        <f>+CONCATENATE(A184,"-",B184)</f>
        <v>BB01-713</v>
      </c>
    </row>
    <row r="185" spans="1:45" ht="15" customHeight="1">
      <c r="A185" t="s">
        <v>1214</v>
      </c>
      <c r="B185" s="21" t="s">
        <v>1451</v>
      </c>
      <c r="C185" t="s">
        <v>27</v>
      </c>
      <c r="D185" s="8">
        <v>45954</v>
      </c>
      <c r="E185" s="22">
        <v>45964.619895833333</v>
      </c>
      <c r="F185" t="s">
        <v>1318</v>
      </c>
      <c r="G185" t="s">
        <v>158</v>
      </c>
      <c r="H185">
        <v>1</v>
      </c>
      <c r="I185">
        <v>73241854</v>
      </c>
      <c r="J185" t="s">
        <v>2699</v>
      </c>
      <c r="K185" s="8">
        <v>45954</v>
      </c>
      <c r="Q185">
        <v>32590</v>
      </c>
      <c r="R185">
        <v>216</v>
      </c>
      <c r="S185" t="s">
        <v>1300</v>
      </c>
      <c r="T185" t="s">
        <v>163</v>
      </c>
      <c r="U185">
        <v>1</v>
      </c>
      <c r="V185">
        <v>35.64</v>
      </c>
      <c r="W185">
        <v>42.06</v>
      </c>
      <c r="X185">
        <v>0</v>
      </c>
      <c r="Y185">
        <v>35.64</v>
      </c>
      <c r="Z185">
        <v>18</v>
      </c>
      <c r="AA185">
        <v>6.42</v>
      </c>
      <c r="AB185">
        <v>42.06</v>
      </c>
      <c r="AC185">
        <v>1</v>
      </c>
      <c r="AD185">
        <v>1</v>
      </c>
      <c r="AE185" t="s">
        <v>1411</v>
      </c>
      <c r="AF185" t="s">
        <v>1412</v>
      </c>
      <c r="AG185">
        <v>2</v>
      </c>
      <c r="AH185" t="s">
        <v>25</v>
      </c>
      <c r="AI185">
        <v>6936</v>
      </c>
      <c r="AJ185" t="s">
        <v>1437</v>
      </c>
      <c r="AK185" t="s">
        <v>1433</v>
      </c>
      <c r="AL185">
        <v>3023</v>
      </c>
      <c r="AM185" t="s">
        <v>1434</v>
      </c>
      <c r="AN185" s="8">
        <v>45941</v>
      </c>
      <c r="AO185" s="8">
        <v>45941</v>
      </c>
      <c r="AP185">
        <v>418</v>
      </c>
      <c r="AQ185" t="s">
        <v>1318</v>
      </c>
      <c r="AR185" t="s">
        <v>1295</v>
      </c>
      <c r="AS185" t="str">
        <f>+CONCATENATE(A185,"-",B185)</f>
        <v>(03) Boleta BOB1-00000089</v>
      </c>
    </row>
    <row r="186" spans="1:45" ht="15" customHeight="1">
      <c r="A186" t="s">
        <v>216</v>
      </c>
      <c r="B186">
        <v>1242</v>
      </c>
      <c r="C186" t="s">
        <v>27</v>
      </c>
      <c r="D186" s="8">
        <v>45665</v>
      </c>
      <c r="E186" s="22">
        <v>45964</v>
      </c>
      <c r="F186" t="s">
        <v>490</v>
      </c>
      <c r="H186">
        <v>6</v>
      </c>
      <c r="I186">
        <v>20611587741</v>
      </c>
      <c r="J186" t="s">
        <v>2143</v>
      </c>
      <c r="K186" s="8">
        <v>45665</v>
      </c>
      <c r="Q186">
        <v>17245</v>
      </c>
      <c r="R186">
        <v>870</v>
      </c>
      <c r="S186" t="s">
        <v>1299</v>
      </c>
      <c r="T186" t="s">
        <v>215</v>
      </c>
      <c r="U186">
        <v>1</v>
      </c>
      <c r="V186">
        <v>36.61</v>
      </c>
      <c r="W186">
        <v>43.2</v>
      </c>
      <c r="X186">
        <v>0</v>
      </c>
      <c r="Y186">
        <v>36.61</v>
      </c>
      <c r="Z186">
        <v>18</v>
      </c>
      <c r="AA186">
        <v>6.59</v>
      </c>
      <c r="AB186">
        <v>43.2</v>
      </c>
      <c r="AC186">
        <v>1</v>
      </c>
      <c r="AD186">
        <v>1</v>
      </c>
      <c r="AE186" t="s">
        <v>232</v>
      </c>
      <c r="AF186" t="s">
        <v>29</v>
      </c>
      <c r="AG186">
        <v>2</v>
      </c>
      <c r="AH186" t="s">
        <v>25</v>
      </c>
      <c r="AI186">
        <v>1106</v>
      </c>
      <c r="AJ186" t="s">
        <v>239</v>
      </c>
      <c r="AK186" t="s">
        <v>1237</v>
      </c>
      <c r="AP186">
        <v>1130</v>
      </c>
      <c r="AQ186" t="s">
        <v>490</v>
      </c>
      <c r="AR186" t="s">
        <v>12</v>
      </c>
      <c r="AS186" t="str">
        <f>+CONCATENATE(A186,"-",B186)</f>
        <v>FB01-1242</v>
      </c>
    </row>
    <row r="187" spans="1:45" ht="15" customHeight="1">
      <c r="A187" t="s">
        <v>1216</v>
      </c>
      <c r="B187" s="21" t="s">
        <v>1423</v>
      </c>
      <c r="C187" t="s">
        <v>27</v>
      </c>
      <c r="D187" s="8">
        <v>45946</v>
      </c>
      <c r="E187" s="22">
        <v>45964.80091435185</v>
      </c>
      <c r="F187" t="s">
        <v>1758</v>
      </c>
      <c r="H187">
        <v>6</v>
      </c>
      <c r="I187">
        <v>10451333351</v>
      </c>
      <c r="J187" t="s">
        <v>1759</v>
      </c>
      <c r="K187" s="8">
        <v>45946</v>
      </c>
      <c r="Q187">
        <v>31488</v>
      </c>
      <c r="R187">
        <v>1786</v>
      </c>
      <c r="S187" t="s">
        <v>1299</v>
      </c>
      <c r="T187" t="s">
        <v>163</v>
      </c>
      <c r="U187">
        <v>1</v>
      </c>
      <c r="V187">
        <v>37.119999999999997</v>
      </c>
      <c r="W187">
        <v>43.8</v>
      </c>
      <c r="X187">
        <v>0</v>
      </c>
      <c r="Y187">
        <v>37.119999999999997</v>
      </c>
      <c r="Z187">
        <v>18</v>
      </c>
      <c r="AA187">
        <v>6.68</v>
      </c>
      <c r="AB187">
        <v>43.8</v>
      </c>
      <c r="AC187">
        <v>1</v>
      </c>
      <c r="AD187">
        <v>1</v>
      </c>
      <c r="AE187" t="s">
        <v>1411</v>
      </c>
      <c r="AF187" t="s">
        <v>1412</v>
      </c>
      <c r="AG187">
        <v>2</v>
      </c>
      <c r="AH187" t="s">
        <v>25</v>
      </c>
      <c r="AI187">
        <v>6937</v>
      </c>
      <c r="AJ187" t="s">
        <v>1414</v>
      </c>
      <c r="AK187" t="s">
        <v>1251</v>
      </c>
      <c r="AL187">
        <v>3037</v>
      </c>
      <c r="AM187" t="s">
        <v>1760</v>
      </c>
      <c r="AN187" s="8">
        <v>45899</v>
      </c>
      <c r="AO187" s="8">
        <v>45899</v>
      </c>
      <c r="AP187">
        <v>5554</v>
      </c>
      <c r="AQ187" t="s">
        <v>1758</v>
      </c>
      <c r="AR187" t="s">
        <v>12</v>
      </c>
      <c r="AS187" t="str">
        <f>+CONCATENATE(A187,"-",B187)</f>
        <v>(01) Factura FOF1-00000099</v>
      </c>
    </row>
    <row r="188" spans="1:45" ht="15" customHeight="1">
      <c r="A188" t="s">
        <v>216</v>
      </c>
      <c r="B188">
        <v>1186</v>
      </c>
      <c r="C188" t="s">
        <v>27</v>
      </c>
      <c r="D188" s="8">
        <v>45663</v>
      </c>
      <c r="E188" s="22">
        <v>45964</v>
      </c>
      <c r="F188" t="s">
        <v>490</v>
      </c>
      <c r="H188">
        <v>6</v>
      </c>
      <c r="I188">
        <v>20611587741</v>
      </c>
      <c r="J188" t="s">
        <v>2789</v>
      </c>
      <c r="K188" s="8">
        <v>45663</v>
      </c>
      <c r="Q188">
        <v>17177</v>
      </c>
      <c r="R188">
        <v>870</v>
      </c>
      <c r="S188" t="s">
        <v>1299</v>
      </c>
      <c r="T188" t="s">
        <v>215</v>
      </c>
      <c r="U188">
        <v>1</v>
      </c>
      <c r="V188">
        <v>38.81</v>
      </c>
      <c r="W188">
        <v>45.8</v>
      </c>
      <c r="X188">
        <v>0</v>
      </c>
      <c r="Y188">
        <v>38.81</v>
      </c>
      <c r="Z188">
        <v>18</v>
      </c>
      <c r="AA188">
        <v>6.99</v>
      </c>
      <c r="AB188">
        <v>45.8</v>
      </c>
      <c r="AC188">
        <v>1</v>
      </c>
      <c r="AD188">
        <v>1</v>
      </c>
      <c r="AE188" t="s">
        <v>232</v>
      </c>
      <c r="AF188" t="s">
        <v>29</v>
      </c>
      <c r="AG188">
        <v>2</v>
      </c>
      <c r="AH188" t="s">
        <v>25</v>
      </c>
      <c r="AI188">
        <v>1106</v>
      </c>
      <c r="AJ188" t="s">
        <v>239</v>
      </c>
      <c r="AK188" t="s">
        <v>1237</v>
      </c>
      <c r="AP188">
        <v>1130</v>
      </c>
      <c r="AQ188" t="s">
        <v>490</v>
      </c>
      <c r="AR188" t="s">
        <v>12</v>
      </c>
      <c r="AS188" t="str">
        <f>+CONCATENATE(A188,"-",B188)</f>
        <v>FB01-1186</v>
      </c>
    </row>
    <row r="189" spans="1:45" ht="15" customHeight="1">
      <c r="A189" t="s">
        <v>1238</v>
      </c>
      <c r="B189">
        <v>638</v>
      </c>
      <c r="C189" t="s">
        <v>27</v>
      </c>
      <c r="D189" s="8">
        <v>45663</v>
      </c>
      <c r="E189" s="22">
        <v>45964</v>
      </c>
      <c r="F189" t="s">
        <v>1160</v>
      </c>
      <c r="H189">
        <v>1</v>
      </c>
      <c r="I189">
        <v>40384386</v>
      </c>
      <c r="J189" t="s">
        <v>2203</v>
      </c>
      <c r="K189" s="8">
        <v>45663</v>
      </c>
      <c r="Q189">
        <v>17180</v>
      </c>
      <c r="R189">
        <v>871</v>
      </c>
      <c r="S189" t="s">
        <v>1316</v>
      </c>
      <c r="T189" t="s">
        <v>215</v>
      </c>
      <c r="U189">
        <v>1</v>
      </c>
      <c r="V189">
        <v>39.729999999999997</v>
      </c>
      <c r="W189">
        <v>46.88</v>
      </c>
      <c r="X189">
        <v>0</v>
      </c>
      <c r="Y189">
        <v>39.729999999999997</v>
      </c>
      <c r="Z189">
        <v>18</v>
      </c>
      <c r="AA189">
        <v>7.15</v>
      </c>
      <c r="AB189">
        <v>46.88</v>
      </c>
      <c r="AC189">
        <v>1</v>
      </c>
      <c r="AD189">
        <v>1</v>
      </c>
      <c r="AE189" t="s">
        <v>232</v>
      </c>
      <c r="AF189" t="s">
        <v>29</v>
      </c>
      <c r="AG189">
        <v>2</v>
      </c>
      <c r="AH189" t="s">
        <v>25</v>
      </c>
      <c r="AI189">
        <v>1106</v>
      </c>
      <c r="AJ189" t="s">
        <v>239</v>
      </c>
      <c r="AK189" t="s">
        <v>1237</v>
      </c>
      <c r="AP189">
        <v>1154</v>
      </c>
      <c r="AQ189" t="s">
        <v>1160</v>
      </c>
      <c r="AR189" t="s">
        <v>1295</v>
      </c>
      <c r="AS189" t="str">
        <f>+CONCATENATE(A189,"-",B189)</f>
        <v>BB01-638</v>
      </c>
    </row>
    <row r="190" spans="1:45" ht="15" customHeight="1">
      <c r="A190" t="s">
        <v>1214</v>
      </c>
      <c r="B190" s="21" t="s">
        <v>172</v>
      </c>
      <c r="C190" t="s">
        <v>27</v>
      </c>
      <c r="D190" s="8">
        <v>45946</v>
      </c>
      <c r="E190" s="22">
        <v>45964.790960648148</v>
      </c>
      <c r="F190" t="s">
        <v>1387</v>
      </c>
      <c r="H190">
        <v>1</v>
      </c>
      <c r="I190">
        <v>10690613</v>
      </c>
      <c r="J190" t="s">
        <v>2712</v>
      </c>
      <c r="K190" s="8">
        <v>45946</v>
      </c>
      <c r="Q190">
        <v>31449</v>
      </c>
      <c r="R190">
        <v>1786</v>
      </c>
      <c r="S190" t="s">
        <v>1299</v>
      </c>
      <c r="T190" t="s">
        <v>163</v>
      </c>
      <c r="U190">
        <v>1</v>
      </c>
      <c r="V190">
        <v>39.76</v>
      </c>
      <c r="W190">
        <v>46.92</v>
      </c>
      <c r="X190">
        <v>0</v>
      </c>
      <c r="Y190">
        <v>39.76</v>
      </c>
      <c r="Z190">
        <v>18</v>
      </c>
      <c r="AA190">
        <v>7.16</v>
      </c>
      <c r="AB190">
        <v>46.92</v>
      </c>
      <c r="AC190">
        <v>1</v>
      </c>
      <c r="AD190">
        <v>1</v>
      </c>
      <c r="AE190" t="s">
        <v>1411</v>
      </c>
      <c r="AF190" t="s">
        <v>1412</v>
      </c>
      <c r="AG190">
        <v>2</v>
      </c>
      <c r="AH190" t="s">
        <v>25</v>
      </c>
      <c r="AI190">
        <v>6937</v>
      </c>
      <c r="AJ190" t="s">
        <v>1414</v>
      </c>
      <c r="AK190" t="s">
        <v>1251</v>
      </c>
      <c r="AL190">
        <v>3227</v>
      </c>
      <c r="AM190" t="s">
        <v>1777</v>
      </c>
      <c r="AN190" s="8">
        <v>45941</v>
      </c>
      <c r="AO190" s="8">
        <v>45941</v>
      </c>
      <c r="AP190">
        <v>1157</v>
      </c>
      <c r="AQ190" t="s">
        <v>1387</v>
      </c>
      <c r="AR190" t="s">
        <v>1295</v>
      </c>
      <c r="AS190" t="str">
        <f>+CONCATENATE(A190,"-",B190)</f>
        <v>(03) Boleta BOB1-00000043</v>
      </c>
    </row>
    <row r="191" spans="1:45" ht="15" customHeight="1">
      <c r="A191" t="s">
        <v>1216</v>
      </c>
      <c r="B191" s="21" t="s">
        <v>1603</v>
      </c>
      <c r="C191" t="s">
        <v>27</v>
      </c>
      <c r="D191" s="8">
        <v>45948</v>
      </c>
      <c r="E191" s="22">
        <v>45964.416666666664</v>
      </c>
      <c r="F191" t="s">
        <v>415</v>
      </c>
      <c r="H191">
        <v>6</v>
      </c>
      <c r="I191">
        <v>20611890746</v>
      </c>
      <c r="J191" t="s">
        <v>1604</v>
      </c>
      <c r="K191" s="8">
        <v>45948</v>
      </c>
      <c r="Q191">
        <v>31735</v>
      </c>
      <c r="R191">
        <v>1916</v>
      </c>
      <c r="S191" t="s">
        <v>1301</v>
      </c>
      <c r="T191" t="s">
        <v>163</v>
      </c>
      <c r="U191">
        <v>1</v>
      </c>
      <c r="V191">
        <v>40</v>
      </c>
      <c r="W191">
        <v>47.2</v>
      </c>
      <c r="X191">
        <v>0</v>
      </c>
      <c r="Y191">
        <v>40</v>
      </c>
      <c r="Z191">
        <v>18</v>
      </c>
      <c r="AA191">
        <v>7.2</v>
      </c>
      <c r="AB191">
        <v>47.2</v>
      </c>
      <c r="AC191">
        <v>1</v>
      </c>
      <c r="AD191">
        <v>1</v>
      </c>
      <c r="AE191" t="s">
        <v>1411</v>
      </c>
      <c r="AF191" t="s">
        <v>1412</v>
      </c>
      <c r="AG191">
        <v>16</v>
      </c>
      <c r="AH191" t="s">
        <v>1400</v>
      </c>
      <c r="AI191">
        <v>6959</v>
      </c>
      <c r="AJ191" t="s">
        <v>1401</v>
      </c>
      <c r="AK191" t="s">
        <v>1417</v>
      </c>
      <c r="AL191">
        <v>3198</v>
      </c>
      <c r="AM191" t="s">
        <v>1605</v>
      </c>
      <c r="AN191" s="8">
        <v>45940</v>
      </c>
      <c r="AO191" s="8">
        <v>45940</v>
      </c>
      <c r="AP191">
        <v>5519</v>
      </c>
      <c r="AQ191" t="s">
        <v>1606</v>
      </c>
      <c r="AR191" t="s">
        <v>12</v>
      </c>
      <c r="AS191" t="str">
        <f>+CONCATENATE(A191,"-",B191)</f>
        <v>(01) Factura FOF1-00000134</v>
      </c>
    </row>
    <row r="192" spans="1:45" ht="15" customHeight="1">
      <c r="A192" t="s">
        <v>1214</v>
      </c>
      <c r="B192" s="21" t="s">
        <v>206</v>
      </c>
      <c r="C192" t="s">
        <v>27</v>
      </c>
      <c r="D192" s="8">
        <v>45946</v>
      </c>
      <c r="E192" s="22">
        <v>45964.457592592589</v>
      </c>
      <c r="F192" t="s">
        <v>610</v>
      </c>
      <c r="H192">
        <v>1</v>
      </c>
      <c r="I192">
        <v>75329338</v>
      </c>
      <c r="J192" t="s">
        <v>1837</v>
      </c>
      <c r="K192" s="8">
        <v>45946</v>
      </c>
      <c r="Q192">
        <v>31281</v>
      </c>
      <c r="R192">
        <v>216</v>
      </c>
      <c r="S192" t="s">
        <v>1300</v>
      </c>
      <c r="T192" t="s">
        <v>163</v>
      </c>
      <c r="U192">
        <v>1</v>
      </c>
      <c r="V192">
        <v>40.89</v>
      </c>
      <c r="W192">
        <v>48.25</v>
      </c>
      <c r="X192">
        <v>0</v>
      </c>
      <c r="Y192">
        <v>40.89</v>
      </c>
      <c r="Z192">
        <v>18</v>
      </c>
      <c r="AA192">
        <v>7.36</v>
      </c>
      <c r="AB192">
        <v>48.25</v>
      </c>
      <c r="AC192">
        <v>1</v>
      </c>
      <c r="AD192">
        <v>1</v>
      </c>
      <c r="AE192" t="s">
        <v>1411</v>
      </c>
      <c r="AF192" t="s">
        <v>1412</v>
      </c>
      <c r="AG192">
        <v>2</v>
      </c>
      <c r="AH192" t="s">
        <v>25</v>
      </c>
      <c r="AI192">
        <v>6936</v>
      </c>
      <c r="AJ192" t="s">
        <v>1437</v>
      </c>
      <c r="AK192" t="s">
        <v>169</v>
      </c>
      <c r="AL192">
        <v>3060</v>
      </c>
      <c r="AM192" t="s">
        <v>1838</v>
      </c>
      <c r="AN192" s="8">
        <v>45927</v>
      </c>
      <c r="AO192" s="8">
        <v>45927</v>
      </c>
      <c r="AP192">
        <v>1173</v>
      </c>
      <c r="AQ192" t="s">
        <v>1839</v>
      </c>
      <c r="AR192" t="s">
        <v>1295</v>
      </c>
      <c r="AS192" t="str">
        <f>+CONCATENATE(A192,"-",B192)</f>
        <v>(03) Boleta BOB1-00000031</v>
      </c>
    </row>
    <row r="193" spans="1:45" ht="15" customHeight="1">
      <c r="A193" t="s">
        <v>1214</v>
      </c>
      <c r="B193" s="21" t="s">
        <v>1635</v>
      </c>
      <c r="C193" t="s">
        <v>27</v>
      </c>
      <c r="D193" s="8">
        <v>45947</v>
      </c>
      <c r="E193" s="22">
        <v>45964.438807870371</v>
      </c>
      <c r="F193" t="s">
        <v>1636</v>
      </c>
      <c r="H193">
        <v>1</v>
      </c>
      <c r="I193">
        <v>48505208</v>
      </c>
      <c r="J193" t="s">
        <v>1637</v>
      </c>
      <c r="K193" s="8">
        <v>45947</v>
      </c>
      <c r="Q193">
        <v>31660</v>
      </c>
      <c r="R193">
        <v>216</v>
      </c>
      <c r="S193" t="s">
        <v>1300</v>
      </c>
      <c r="T193" t="s">
        <v>163</v>
      </c>
      <c r="U193">
        <v>1</v>
      </c>
      <c r="V193">
        <v>41</v>
      </c>
      <c r="W193">
        <v>48.38</v>
      </c>
      <c r="X193">
        <v>0</v>
      </c>
      <c r="Y193">
        <v>41</v>
      </c>
      <c r="Z193">
        <v>18</v>
      </c>
      <c r="AA193">
        <v>7.38</v>
      </c>
      <c r="AB193">
        <v>48.38</v>
      </c>
      <c r="AC193">
        <v>1</v>
      </c>
      <c r="AD193">
        <v>1</v>
      </c>
      <c r="AE193" t="s">
        <v>1411</v>
      </c>
      <c r="AF193" t="s">
        <v>1412</v>
      </c>
      <c r="AG193">
        <v>2</v>
      </c>
      <c r="AH193" t="s">
        <v>25</v>
      </c>
      <c r="AI193">
        <v>6936</v>
      </c>
      <c r="AJ193" t="s">
        <v>1437</v>
      </c>
      <c r="AK193" t="s">
        <v>1433</v>
      </c>
      <c r="AL193">
        <v>3071</v>
      </c>
      <c r="AM193" t="s">
        <v>1638</v>
      </c>
      <c r="AN193" s="8">
        <v>45927</v>
      </c>
      <c r="AO193" s="8">
        <v>45927</v>
      </c>
      <c r="AP193">
        <v>5080</v>
      </c>
      <c r="AQ193" t="s">
        <v>1636</v>
      </c>
      <c r="AR193" t="s">
        <v>1295</v>
      </c>
      <c r="AS193" t="str">
        <f>+CONCATENATE(A193,"-",B193)</f>
        <v>(03) Boleta BOB1-00000071</v>
      </c>
    </row>
    <row r="194" spans="1:45" ht="15" customHeight="1">
      <c r="A194" t="s">
        <v>216</v>
      </c>
      <c r="B194">
        <v>1321</v>
      </c>
      <c r="C194" t="s">
        <v>27</v>
      </c>
      <c r="D194" s="8">
        <v>45685</v>
      </c>
      <c r="E194" s="22">
        <v>45964</v>
      </c>
      <c r="F194" t="s">
        <v>462</v>
      </c>
      <c r="G194" t="s">
        <v>158</v>
      </c>
      <c r="H194">
        <v>6</v>
      </c>
      <c r="I194">
        <v>20608627422</v>
      </c>
      <c r="J194" t="s">
        <v>2026</v>
      </c>
      <c r="K194" s="8">
        <v>45685</v>
      </c>
      <c r="Q194">
        <v>18634</v>
      </c>
      <c r="R194">
        <v>877</v>
      </c>
      <c r="S194" t="s">
        <v>1300</v>
      </c>
      <c r="T194" t="s">
        <v>215</v>
      </c>
      <c r="U194">
        <v>1</v>
      </c>
      <c r="V194">
        <v>41.1</v>
      </c>
      <c r="W194">
        <v>48.5</v>
      </c>
      <c r="X194">
        <v>0</v>
      </c>
      <c r="Y194">
        <v>41.1</v>
      </c>
      <c r="Z194">
        <v>18</v>
      </c>
      <c r="AA194">
        <v>7.4</v>
      </c>
      <c r="AB194">
        <v>48.5</v>
      </c>
      <c r="AC194">
        <v>1</v>
      </c>
      <c r="AD194">
        <v>1</v>
      </c>
      <c r="AE194" t="s">
        <v>232</v>
      </c>
      <c r="AF194" t="s">
        <v>29</v>
      </c>
      <c r="AG194">
        <v>2</v>
      </c>
      <c r="AH194" t="s">
        <v>25</v>
      </c>
      <c r="AI194">
        <v>1106</v>
      </c>
      <c r="AJ194" t="s">
        <v>239</v>
      </c>
      <c r="AK194" t="s">
        <v>1237</v>
      </c>
      <c r="AP194">
        <v>396</v>
      </c>
      <c r="AQ194" t="s">
        <v>462</v>
      </c>
      <c r="AR194" t="s">
        <v>12</v>
      </c>
      <c r="AS194" t="str">
        <f>+CONCATENATE(A194,"-",B194)</f>
        <v>FB01-1321</v>
      </c>
    </row>
    <row r="195" spans="1:45" ht="15" customHeight="1">
      <c r="A195" t="s">
        <v>1214</v>
      </c>
      <c r="B195" s="21" t="s">
        <v>183</v>
      </c>
      <c r="C195" t="s">
        <v>27</v>
      </c>
      <c r="D195" s="8">
        <v>45945</v>
      </c>
      <c r="E195" s="22">
        <v>45964.784988425927</v>
      </c>
      <c r="F195" t="s">
        <v>1834</v>
      </c>
      <c r="H195">
        <v>1</v>
      </c>
      <c r="I195">
        <v>75241793</v>
      </c>
      <c r="J195" t="s">
        <v>2724</v>
      </c>
      <c r="K195" s="8">
        <v>45945</v>
      </c>
      <c r="Q195">
        <v>31268</v>
      </c>
      <c r="R195">
        <v>216</v>
      </c>
      <c r="S195" t="s">
        <v>1300</v>
      </c>
      <c r="T195" t="s">
        <v>163</v>
      </c>
      <c r="U195">
        <v>1</v>
      </c>
      <c r="V195">
        <v>41.14</v>
      </c>
      <c r="W195">
        <v>48.55</v>
      </c>
      <c r="X195">
        <v>0</v>
      </c>
      <c r="Y195">
        <v>41.14</v>
      </c>
      <c r="Z195">
        <v>18</v>
      </c>
      <c r="AA195">
        <v>7.41</v>
      </c>
      <c r="AB195">
        <v>48.55</v>
      </c>
      <c r="AC195">
        <v>1</v>
      </c>
      <c r="AD195">
        <v>1</v>
      </c>
      <c r="AE195" t="s">
        <v>1411</v>
      </c>
      <c r="AF195" t="s">
        <v>1412</v>
      </c>
      <c r="AG195">
        <v>2</v>
      </c>
      <c r="AH195" t="s">
        <v>25</v>
      </c>
      <c r="AI195">
        <v>1106</v>
      </c>
      <c r="AJ195" t="s">
        <v>239</v>
      </c>
      <c r="AK195" t="s">
        <v>169</v>
      </c>
      <c r="AL195">
        <v>3100</v>
      </c>
      <c r="AM195" t="s">
        <v>264</v>
      </c>
      <c r="AN195" s="8">
        <v>45934</v>
      </c>
      <c r="AO195" s="8">
        <v>45934</v>
      </c>
      <c r="AP195">
        <v>5199</v>
      </c>
      <c r="AQ195" t="s">
        <v>1834</v>
      </c>
      <c r="AR195" t="s">
        <v>1295</v>
      </c>
      <c r="AS195" t="str">
        <f>+CONCATENATE(A195,"-",B195)</f>
        <v>(03) Boleta BOB1-00000029</v>
      </c>
    </row>
    <row r="196" spans="1:45" ht="15" customHeight="1">
      <c r="A196" t="s">
        <v>1238</v>
      </c>
      <c r="B196">
        <v>645</v>
      </c>
      <c r="C196" t="s">
        <v>27</v>
      </c>
      <c r="D196" s="8">
        <v>45663</v>
      </c>
      <c r="E196" s="22">
        <v>45964</v>
      </c>
      <c r="F196" t="s">
        <v>1141</v>
      </c>
      <c r="G196" t="s">
        <v>158</v>
      </c>
      <c r="H196">
        <v>1</v>
      </c>
      <c r="I196">
        <v>10482943</v>
      </c>
      <c r="J196" t="s">
        <v>2786</v>
      </c>
      <c r="K196" s="8">
        <v>45663</v>
      </c>
      <c r="Q196">
        <v>17203</v>
      </c>
      <c r="R196">
        <v>878</v>
      </c>
      <c r="S196" t="s">
        <v>1334</v>
      </c>
      <c r="T196" t="s">
        <v>215</v>
      </c>
      <c r="U196">
        <v>1</v>
      </c>
      <c r="V196">
        <v>41.47</v>
      </c>
      <c r="W196">
        <v>48.94</v>
      </c>
      <c r="X196">
        <v>0</v>
      </c>
      <c r="Y196">
        <v>41.47</v>
      </c>
      <c r="Z196">
        <v>18</v>
      </c>
      <c r="AA196">
        <v>7.47</v>
      </c>
      <c r="AB196">
        <v>48.94</v>
      </c>
      <c r="AC196">
        <v>1</v>
      </c>
      <c r="AD196">
        <v>1</v>
      </c>
      <c r="AE196" t="s">
        <v>232</v>
      </c>
      <c r="AF196" t="s">
        <v>29</v>
      </c>
      <c r="AG196">
        <v>2</v>
      </c>
      <c r="AH196" t="s">
        <v>25</v>
      </c>
      <c r="AI196">
        <v>1106</v>
      </c>
      <c r="AJ196" t="s">
        <v>239</v>
      </c>
      <c r="AK196" t="s">
        <v>1237</v>
      </c>
      <c r="AP196">
        <v>411</v>
      </c>
      <c r="AQ196" t="s">
        <v>1141</v>
      </c>
      <c r="AR196" t="s">
        <v>1295</v>
      </c>
      <c r="AS196" t="str">
        <f>+CONCATENATE(A196,"-",B196)</f>
        <v>BB01-645</v>
      </c>
    </row>
    <row r="197" spans="1:45" ht="15" customHeight="1">
      <c r="A197" t="s">
        <v>1216</v>
      </c>
      <c r="B197" s="21" t="s">
        <v>1444</v>
      </c>
      <c r="C197" t="s">
        <v>27</v>
      </c>
      <c r="D197" s="8">
        <v>45946</v>
      </c>
      <c r="E197" s="22">
        <v>45964.797384259262</v>
      </c>
      <c r="F197" t="s">
        <v>1553</v>
      </c>
      <c r="H197">
        <v>6</v>
      </c>
      <c r="I197">
        <v>20608747843</v>
      </c>
      <c r="J197" t="s">
        <v>2711</v>
      </c>
      <c r="K197" s="8">
        <v>45946</v>
      </c>
      <c r="Q197">
        <v>31470</v>
      </c>
      <c r="R197">
        <v>1786</v>
      </c>
      <c r="S197" t="s">
        <v>1299</v>
      </c>
      <c r="T197" t="s">
        <v>163</v>
      </c>
      <c r="U197">
        <v>1</v>
      </c>
      <c r="V197">
        <v>41.53</v>
      </c>
      <c r="W197">
        <v>49.01</v>
      </c>
      <c r="X197">
        <v>0</v>
      </c>
      <c r="Y197">
        <v>41.53</v>
      </c>
      <c r="Z197">
        <v>18</v>
      </c>
      <c r="AA197">
        <v>7.48</v>
      </c>
      <c r="AB197">
        <v>49.01</v>
      </c>
      <c r="AC197">
        <v>1</v>
      </c>
      <c r="AD197">
        <v>1</v>
      </c>
      <c r="AE197" t="s">
        <v>1411</v>
      </c>
      <c r="AF197" t="s">
        <v>1412</v>
      </c>
      <c r="AG197">
        <v>2</v>
      </c>
      <c r="AH197" t="s">
        <v>25</v>
      </c>
      <c r="AI197">
        <v>6937</v>
      </c>
      <c r="AJ197" t="s">
        <v>1414</v>
      </c>
      <c r="AK197" t="s">
        <v>1251</v>
      </c>
      <c r="AL197">
        <v>3090</v>
      </c>
      <c r="AM197" t="s">
        <v>1766</v>
      </c>
      <c r="AN197" s="8">
        <v>45941</v>
      </c>
      <c r="AO197" s="8">
        <v>45941</v>
      </c>
      <c r="AP197">
        <v>5498</v>
      </c>
      <c r="AQ197" t="s">
        <v>1553</v>
      </c>
      <c r="AR197" t="s">
        <v>12</v>
      </c>
      <c r="AS197" t="str">
        <f>+CONCATENATE(A197,"-",B197)</f>
        <v>(01) Factura FOF1-00000093</v>
      </c>
    </row>
    <row r="198" spans="1:45" ht="15" customHeight="1">
      <c r="A198" t="s">
        <v>1216</v>
      </c>
      <c r="B198" s="21" t="s">
        <v>2511</v>
      </c>
      <c r="C198" t="s">
        <v>27</v>
      </c>
      <c r="D198" s="8">
        <v>45959</v>
      </c>
      <c r="E198" s="22">
        <v>45964.624479166669</v>
      </c>
      <c r="F198" t="s">
        <v>1787</v>
      </c>
      <c r="G198" t="s">
        <v>158</v>
      </c>
      <c r="H198">
        <v>6</v>
      </c>
      <c r="I198">
        <v>20168142375</v>
      </c>
      <c r="J198" t="s">
        <v>2686</v>
      </c>
      <c r="K198" s="8">
        <v>45959</v>
      </c>
      <c r="Q198">
        <v>32846</v>
      </c>
      <c r="R198">
        <v>216</v>
      </c>
      <c r="S198" t="s">
        <v>1300</v>
      </c>
      <c r="T198" t="s">
        <v>163</v>
      </c>
      <c r="U198">
        <v>1</v>
      </c>
      <c r="V198">
        <v>42</v>
      </c>
      <c r="W198">
        <v>49.56</v>
      </c>
      <c r="X198">
        <v>0</v>
      </c>
      <c r="Y198">
        <v>42</v>
      </c>
      <c r="Z198">
        <v>18</v>
      </c>
      <c r="AA198">
        <v>7.56</v>
      </c>
      <c r="AB198">
        <v>49.56</v>
      </c>
      <c r="AC198">
        <v>1</v>
      </c>
      <c r="AD198">
        <v>1</v>
      </c>
      <c r="AE198" t="s">
        <v>1411</v>
      </c>
      <c r="AF198" t="s">
        <v>1412</v>
      </c>
      <c r="AG198">
        <v>2</v>
      </c>
      <c r="AH198" t="s">
        <v>25</v>
      </c>
      <c r="AI198">
        <v>6936</v>
      </c>
      <c r="AJ198" t="s">
        <v>1437</v>
      </c>
      <c r="AK198" t="s">
        <v>1433</v>
      </c>
      <c r="AL198">
        <v>3264</v>
      </c>
      <c r="AM198" t="s">
        <v>2507</v>
      </c>
      <c r="AN198" s="8">
        <v>45949</v>
      </c>
      <c r="AO198" s="8">
        <v>45949</v>
      </c>
      <c r="AP198">
        <v>388</v>
      </c>
      <c r="AQ198" t="s">
        <v>1787</v>
      </c>
      <c r="AR198" t="s">
        <v>12</v>
      </c>
      <c r="AS198" t="str">
        <f>+CONCATENATE(A198,"-",B198)</f>
        <v>(01) Factura FOF1-00000193</v>
      </c>
    </row>
    <row r="199" spans="1:45" ht="15" customHeight="1">
      <c r="A199" t="s">
        <v>1214</v>
      </c>
      <c r="B199" s="21" t="s">
        <v>1516</v>
      </c>
      <c r="C199" t="s">
        <v>27</v>
      </c>
      <c r="D199" s="8">
        <v>45954</v>
      </c>
      <c r="E199" s="22">
        <v>45964.482199074075</v>
      </c>
      <c r="F199" t="s">
        <v>1517</v>
      </c>
      <c r="H199">
        <v>1</v>
      </c>
      <c r="I199">
        <v>45978375</v>
      </c>
      <c r="J199" t="s">
        <v>2703</v>
      </c>
      <c r="K199" s="8">
        <v>45954</v>
      </c>
      <c r="Q199">
        <v>32506</v>
      </c>
      <c r="R199">
        <v>216</v>
      </c>
      <c r="S199" t="s">
        <v>1300</v>
      </c>
      <c r="T199" t="s">
        <v>163</v>
      </c>
      <c r="U199">
        <v>1</v>
      </c>
      <c r="V199">
        <v>42.2</v>
      </c>
      <c r="W199">
        <v>49.8</v>
      </c>
      <c r="X199">
        <v>0</v>
      </c>
      <c r="Y199">
        <v>42.2</v>
      </c>
      <c r="Z199">
        <v>18</v>
      </c>
      <c r="AA199">
        <v>7.6</v>
      </c>
      <c r="AB199">
        <v>49.8</v>
      </c>
      <c r="AC199">
        <v>1</v>
      </c>
      <c r="AD199">
        <v>1</v>
      </c>
      <c r="AE199" t="s">
        <v>1411</v>
      </c>
      <c r="AF199" t="s">
        <v>1412</v>
      </c>
      <c r="AG199">
        <v>2</v>
      </c>
      <c r="AH199" t="s">
        <v>25</v>
      </c>
      <c r="AI199">
        <v>6936</v>
      </c>
      <c r="AJ199" t="s">
        <v>1437</v>
      </c>
      <c r="AK199" t="s">
        <v>1433</v>
      </c>
      <c r="AL199">
        <v>3055</v>
      </c>
      <c r="AM199" t="s">
        <v>1518</v>
      </c>
      <c r="AN199" s="8">
        <v>45948</v>
      </c>
      <c r="AO199" s="8">
        <v>45948</v>
      </c>
      <c r="AP199">
        <v>5611</v>
      </c>
      <c r="AQ199" t="s">
        <v>1517</v>
      </c>
      <c r="AR199" t="s">
        <v>1295</v>
      </c>
      <c r="AS199" t="str">
        <f>+CONCATENATE(A199,"-",B199)</f>
        <v>(03) Boleta BOB1-00000078</v>
      </c>
    </row>
    <row r="200" spans="1:45" ht="15" customHeight="1">
      <c r="A200" t="s">
        <v>216</v>
      </c>
      <c r="B200">
        <v>1405</v>
      </c>
      <c r="C200" t="s">
        <v>27</v>
      </c>
      <c r="D200" s="8">
        <v>45693</v>
      </c>
      <c r="E200" s="22">
        <v>45964</v>
      </c>
      <c r="F200" t="s">
        <v>415</v>
      </c>
      <c r="H200">
        <v>6</v>
      </c>
      <c r="I200">
        <v>20611890746</v>
      </c>
      <c r="J200" t="s">
        <v>2741</v>
      </c>
      <c r="K200" s="8">
        <v>45693</v>
      </c>
      <c r="Q200">
        <v>18749</v>
      </c>
      <c r="R200">
        <v>870</v>
      </c>
      <c r="S200" t="s">
        <v>1299</v>
      </c>
      <c r="T200" t="s">
        <v>215</v>
      </c>
      <c r="U200">
        <v>1</v>
      </c>
      <c r="V200">
        <v>42.58</v>
      </c>
      <c r="W200">
        <v>50.24</v>
      </c>
      <c r="X200">
        <v>0</v>
      </c>
      <c r="Y200">
        <v>42.58</v>
      </c>
      <c r="Z200">
        <v>18</v>
      </c>
      <c r="AA200">
        <v>7.66</v>
      </c>
      <c r="AB200">
        <v>50.24</v>
      </c>
      <c r="AC200">
        <v>1</v>
      </c>
      <c r="AD200">
        <v>1</v>
      </c>
      <c r="AE200" t="s">
        <v>232</v>
      </c>
      <c r="AF200" t="s">
        <v>29</v>
      </c>
      <c r="AG200">
        <v>2</v>
      </c>
      <c r="AH200" t="s">
        <v>25</v>
      </c>
      <c r="AI200">
        <v>1106</v>
      </c>
      <c r="AJ200" t="s">
        <v>239</v>
      </c>
      <c r="AK200" t="s">
        <v>1237</v>
      </c>
      <c r="AP200">
        <v>1136</v>
      </c>
      <c r="AQ200" t="s">
        <v>415</v>
      </c>
      <c r="AR200" t="s">
        <v>12</v>
      </c>
      <c r="AS200" t="str">
        <f>+CONCATENATE(A200,"-",B200)</f>
        <v>FB01-1405</v>
      </c>
    </row>
    <row r="201" spans="1:45" ht="15" customHeight="1">
      <c r="A201" t="s">
        <v>1214</v>
      </c>
      <c r="B201" s="21" t="s">
        <v>1603</v>
      </c>
      <c r="C201" t="s">
        <v>27</v>
      </c>
      <c r="D201" s="8">
        <v>45959</v>
      </c>
      <c r="E201" s="22">
        <v>45964.72184027778</v>
      </c>
      <c r="F201" t="s">
        <v>1636</v>
      </c>
      <c r="H201">
        <v>1</v>
      </c>
      <c r="I201">
        <v>48505208</v>
      </c>
      <c r="J201" t="s">
        <v>2632</v>
      </c>
      <c r="K201" s="8">
        <v>45959</v>
      </c>
      <c r="Q201">
        <v>33032</v>
      </c>
      <c r="R201">
        <v>216</v>
      </c>
      <c r="S201" t="s">
        <v>1300</v>
      </c>
      <c r="T201" t="s">
        <v>163</v>
      </c>
      <c r="U201">
        <v>1</v>
      </c>
      <c r="V201">
        <v>43</v>
      </c>
      <c r="W201">
        <v>50.74</v>
      </c>
      <c r="X201">
        <v>0</v>
      </c>
      <c r="Y201">
        <v>43</v>
      </c>
      <c r="Z201">
        <v>18</v>
      </c>
      <c r="AA201">
        <v>7.74</v>
      </c>
      <c r="AB201">
        <v>50.74</v>
      </c>
      <c r="AC201">
        <v>1</v>
      </c>
      <c r="AD201">
        <v>1</v>
      </c>
      <c r="AE201" t="s">
        <v>1411</v>
      </c>
      <c r="AF201" t="s">
        <v>1412</v>
      </c>
      <c r="AG201">
        <v>2</v>
      </c>
      <c r="AH201" t="s">
        <v>25</v>
      </c>
      <c r="AI201">
        <v>6936</v>
      </c>
      <c r="AJ201" t="s">
        <v>1437</v>
      </c>
      <c r="AK201" t="s">
        <v>1433</v>
      </c>
      <c r="AL201">
        <v>3193</v>
      </c>
      <c r="AM201" t="s">
        <v>2466</v>
      </c>
      <c r="AN201" s="8">
        <v>45954</v>
      </c>
      <c r="AO201" s="8">
        <v>45954</v>
      </c>
      <c r="AP201">
        <v>5080</v>
      </c>
      <c r="AQ201" t="s">
        <v>1636</v>
      </c>
      <c r="AR201" t="s">
        <v>1295</v>
      </c>
      <c r="AS201" t="str">
        <f>+CONCATENATE(A201,"-",B201)</f>
        <v>(03) Boleta BOB1-00000134</v>
      </c>
    </row>
    <row r="202" spans="1:45" ht="15" customHeight="1">
      <c r="A202" t="s">
        <v>1238</v>
      </c>
      <c r="B202">
        <v>647</v>
      </c>
      <c r="C202" t="s">
        <v>27</v>
      </c>
      <c r="D202" s="8">
        <v>45663</v>
      </c>
      <c r="E202" s="22">
        <v>45964</v>
      </c>
      <c r="F202" t="s">
        <v>1136</v>
      </c>
      <c r="H202">
        <v>1</v>
      </c>
      <c r="I202">
        <v>44835970</v>
      </c>
      <c r="J202" t="s">
        <v>2180</v>
      </c>
      <c r="K202" s="8">
        <v>45663</v>
      </c>
      <c r="Q202">
        <v>17205</v>
      </c>
      <c r="R202">
        <v>878</v>
      </c>
      <c r="S202" t="s">
        <v>1334</v>
      </c>
      <c r="T202" t="s">
        <v>215</v>
      </c>
      <c r="U202">
        <v>1</v>
      </c>
      <c r="V202">
        <v>43</v>
      </c>
      <c r="W202">
        <v>50.74</v>
      </c>
      <c r="X202">
        <v>0</v>
      </c>
      <c r="Y202">
        <v>43</v>
      </c>
      <c r="Z202">
        <v>18</v>
      </c>
      <c r="AA202">
        <v>7.74</v>
      </c>
      <c r="AB202">
        <v>50.74</v>
      </c>
      <c r="AC202">
        <v>1</v>
      </c>
      <c r="AD202">
        <v>1</v>
      </c>
      <c r="AE202" t="s">
        <v>232</v>
      </c>
      <c r="AF202" t="s">
        <v>29</v>
      </c>
      <c r="AG202">
        <v>2</v>
      </c>
      <c r="AH202" t="s">
        <v>25</v>
      </c>
      <c r="AI202">
        <v>1106</v>
      </c>
      <c r="AJ202" t="s">
        <v>239</v>
      </c>
      <c r="AK202" t="s">
        <v>1237</v>
      </c>
      <c r="AP202">
        <v>1156</v>
      </c>
      <c r="AQ202" t="s">
        <v>1136</v>
      </c>
      <c r="AR202" t="s">
        <v>1295</v>
      </c>
      <c r="AS202" t="str">
        <f>+CONCATENATE(A202,"-",B202)</f>
        <v>BB01-647</v>
      </c>
    </row>
    <row r="203" spans="1:45" ht="15" customHeight="1">
      <c r="A203" t="s">
        <v>216</v>
      </c>
      <c r="B203">
        <v>1188</v>
      </c>
      <c r="C203" t="s">
        <v>27</v>
      </c>
      <c r="D203" s="8">
        <v>45663</v>
      </c>
      <c r="E203" s="22">
        <v>45964</v>
      </c>
      <c r="F203" t="s">
        <v>1117</v>
      </c>
      <c r="H203">
        <v>6</v>
      </c>
      <c r="I203">
        <v>20555933020</v>
      </c>
      <c r="J203" t="s">
        <v>2200</v>
      </c>
      <c r="K203" s="8">
        <v>45663</v>
      </c>
      <c r="Q203">
        <v>17183</v>
      </c>
      <c r="R203">
        <v>870</v>
      </c>
      <c r="S203" t="s">
        <v>1299</v>
      </c>
      <c r="T203" t="s">
        <v>215</v>
      </c>
      <c r="U203">
        <v>1</v>
      </c>
      <c r="V203">
        <v>43.22</v>
      </c>
      <c r="W203">
        <v>51</v>
      </c>
      <c r="X203">
        <v>0</v>
      </c>
      <c r="Y203">
        <v>43.22</v>
      </c>
      <c r="Z203">
        <v>18</v>
      </c>
      <c r="AA203">
        <v>7.78</v>
      </c>
      <c r="AB203">
        <v>51</v>
      </c>
      <c r="AC203">
        <v>1</v>
      </c>
      <c r="AD203">
        <v>1</v>
      </c>
      <c r="AE203" t="s">
        <v>232</v>
      </c>
      <c r="AF203" t="s">
        <v>29</v>
      </c>
      <c r="AG203">
        <v>2</v>
      </c>
      <c r="AH203" t="s">
        <v>25</v>
      </c>
      <c r="AI203">
        <v>1106</v>
      </c>
      <c r="AJ203" t="s">
        <v>239</v>
      </c>
      <c r="AK203" t="s">
        <v>1237</v>
      </c>
      <c r="AP203">
        <v>1115</v>
      </c>
      <c r="AQ203" t="s">
        <v>1117</v>
      </c>
      <c r="AR203" t="s">
        <v>12</v>
      </c>
      <c r="AS203" t="str">
        <f>+CONCATENATE(A203,"-",B203)</f>
        <v>FB01-1188</v>
      </c>
    </row>
    <row r="204" spans="1:45" ht="15" customHeight="1">
      <c r="A204" t="s">
        <v>1214</v>
      </c>
      <c r="B204" s="21" t="s">
        <v>1600</v>
      </c>
      <c r="C204" t="s">
        <v>27</v>
      </c>
      <c r="D204" s="8">
        <v>45959</v>
      </c>
      <c r="E204" s="22">
        <v>45964.723113425927</v>
      </c>
      <c r="F204" t="s">
        <v>1640</v>
      </c>
      <c r="G204" t="s">
        <v>158</v>
      </c>
      <c r="H204">
        <v>1</v>
      </c>
      <c r="I204">
        <v>72327214</v>
      </c>
      <c r="J204" t="s">
        <v>2631</v>
      </c>
      <c r="K204" s="8">
        <v>45959</v>
      </c>
      <c r="Q204">
        <v>33035</v>
      </c>
      <c r="R204">
        <v>216</v>
      </c>
      <c r="S204" t="s">
        <v>1300</v>
      </c>
      <c r="T204" t="s">
        <v>163</v>
      </c>
      <c r="U204">
        <v>1</v>
      </c>
      <c r="V204">
        <v>43.98</v>
      </c>
      <c r="W204">
        <v>51.9</v>
      </c>
      <c r="X204">
        <v>0</v>
      </c>
      <c r="Y204">
        <v>43.98</v>
      </c>
      <c r="Z204">
        <v>18</v>
      </c>
      <c r="AA204">
        <v>7.92</v>
      </c>
      <c r="AB204">
        <v>51.9</v>
      </c>
      <c r="AC204">
        <v>1</v>
      </c>
      <c r="AD204">
        <v>1</v>
      </c>
      <c r="AE204" t="s">
        <v>1411</v>
      </c>
      <c r="AF204" t="s">
        <v>1412</v>
      </c>
      <c r="AG204">
        <v>2</v>
      </c>
      <c r="AH204" t="s">
        <v>25</v>
      </c>
      <c r="AI204">
        <v>6936</v>
      </c>
      <c r="AJ204" t="s">
        <v>1437</v>
      </c>
      <c r="AK204" t="s">
        <v>1433</v>
      </c>
      <c r="AL204">
        <v>3142</v>
      </c>
      <c r="AM204" t="s">
        <v>2465</v>
      </c>
      <c r="AN204" s="8">
        <v>45948</v>
      </c>
      <c r="AO204" s="8">
        <v>45948</v>
      </c>
      <c r="AP204">
        <v>416</v>
      </c>
      <c r="AQ204" t="s">
        <v>1640</v>
      </c>
      <c r="AR204" t="s">
        <v>1295</v>
      </c>
      <c r="AS204" t="str">
        <f>+CONCATENATE(A204,"-",B204)</f>
        <v>(03) Boleta BOB1-00000135</v>
      </c>
    </row>
    <row r="205" spans="1:45" ht="15" customHeight="1">
      <c r="A205" t="s">
        <v>216</v>
      </c>
      <c r="B205">
        <v>1259</v>
      </c>
      <c r="C205" t="s">
        <v>27</v>
      </c>
      <c r="D205" s="8">
        <v>45665</v>
      </c>
      <c r="E205" s="22">
        <v>45964</v>
      </c>
      <c r="F205" t="s">
        <v>32</v>
      </c>
      <c r="G205" t="s">
        <v>158</v>
      </c>
      <c r="H205">
        <v>6</v>
      </c>
      <c r="I205">
        <v>20608361074</v>
      </c>
      <c r="J205" t="s">
        <v>2777</v>
      </c>
      <c r="K205" s="8">
        <v>45665</v>
      </c>
      <c r="Q205">
        <v>17764</v>
      </c>
      <c r="R205">
        <v>910</v>
      </c>
      <c r="S205" t="s">
        <v>1270</v>
      </c>
      <c r="T205" t="s">
        <v>215</v>
      </c>
      <c r="U205">
        <v>1</v>
      </c>
      <c r="V205">
        <v>44.97</v>
      </c>
      <c r="W205">
        <v>53.07</v>
      </c>
      <c r="X205">
        <v>0</v>
      </c>
      <c r="Y205">
        <v>44.97</v>
      </c>
      <c r="Z205">
        <v>18</v>
      </c>
      <c r="AA205">
        <v>8.1</v>
      </c>
      <c r="AB205">
        <v>53.07</v>
      </c>
      <c r="AC205">
        <v>1</v>
      </c>
      <c r="AD205">
        <v>1</v>
      </c>
      <c r="AE205" t="s">
        <v>232</v>
      </c>
      <c r="AF205" t="s">
        <v>29</v>
      </c>
      <c r="AG205">
        <v>2</v>
      </c>
      <c r="AH205" t="s">
        <v>25</v>
      </c>
      <c r="AI205">
        <v>1106</v>
      </c>
      <c r="AJ205" t="s">
        <v>239</v>
      </c>
      <c r="AK205" t="s">
        <v>1237</v>
      </c>
      <c r="AP205">
        <v>397</v>
      </c>
      <c r="AQ205" t="s">
        <v>32</v>
      </c>
      <c r="AR205" t="s">
        <v>12</v>
      </c>
      <c r="AS205" t="str">
        <f>+CONCATENATE(A205,"-",B205)</f>
        <v>FB01-1259</v>
      </c>
    </row>
    <row r="206" spans="1:45" ht="15" customHeight="1">
      <c r="A206" t="s">
        <v>1238</v>
      </c>
      <c r="B206">
        <v>674</v>
      </c>
      <c r="C206" t="s">
        <v>27</v>
      </c>
      <c r="D206" s="8">
        <v>45680</v>
      </c>
      <c r="E206" s="22">
        <v>45964</v>
      </c>
      <c r="F206" t="s">
        <v>901</v>
      </c>
      <c r="H206">
        <v>1</v>
      </c>
      <c r="I206">
        <v>76443681</v>
      </c>
      <c r="J206" t="s">
        <v>2090</v>
      </c>
      <c r="K206" s="8">
        <v>45680</v>
      </c>
      <c r="Q206">
        <v>17802</v>
      </c>
      <c r="R206">
        <v>877</v>
      </c>
      <c r="S206" t="s">
        <v>1300</v>
      </c>
      <c r="T206" t="s">
        <v>215</v>
      </c>
      <c r="U206">
        <v>1</v>
      </c>
      <c r="V206">
        <v>46.78</v>
      </c>
      <c r="W206">
        <v>55.2</v>
      </c>
      <c r="X206">
        <v>0</v>
      </c>
      <c r="Y206">
        <v>46.78</v>
      </c>
      <c r="Z206">
        <v>18</v>
      </c>
      <c r="AA206">
        <v>8.42</v>
      </c>
      <c r="AB206">
        <v>55.2</v>
      </c>
      <c r="AC206">
        <v>1</v>
      </c>
      <c r="AD206">
        <v>1</v>
      </c>
      <c r="AE206" t="s">
        <v>232</v>
      </c>
      <c r="AF206" t="s">
        <v>29</v>
      </c>
      <c r="AG206">
        <v>2</v>
      </c>
      <c r="AH206" t="s">
        <v>25</v>
      </c>
      <c r="AI206">
        <v>1106</v>
      </c>
      <c r="AJ206" t="s">
        <v>239</v>
      </c>
      <c r="AK206" t="s">
        <v>1237</v>
      </c>
      <c r="AP206">
        <v>1163</v>
      </c>
      <c r="AQ206" t="s">
        <v>901</v>
      </c>
      <c r="AR206" t="s">
        <v>1295</v>
      </c>
      <c r="AS206" t="str">
        <f>+CONCATENATE(A206,"-",B206)</f>
        <v>BB01-674</v>
      </c>
    </row>
    <row r="207" spans="1:45" ht="15" customHeight="1">
      <c r="A207" t="s">
        <v>1216</v>
      </c>
      <c r="B207" s="21" t="s">
        <v>2461</v>
      </c>
      <c r="C207" t="s">
        <v>27</v>
      </c>
      <c r="D207" s="8">
        <v>45960</v>
      </c>
      <c r="E207" s="22">
        <v>45964.591145833336</v>
      </c>
      <c r="F207" t="s">
        <v>34</v>
      </c>
      <c r="H207">
        <v>6</v>
      </c>
      <c r="I207">
        <v>20611018925</v>
      </c>
      <c r="J207" t="s">
        <v>2627</v>
      </c>
      <c r="K207" s="8">
        <v>45960</v>
      </c>
      <c r="Q207">
        <v>33087</v>
      </c>
      <c r="R207">
        <v>2276</v>
      </c>
      <c r="S207" t="s">
        <v>1504</v>
      </c>
      <c r="T207" t="s">
        <v>163</v>
      </c>
      <c r="U207">
        <v>1</v>
      </c>
      <c r="V207">
        <v>50</v>
      </c>
      <c r="W207">
        <v>59</v>
      </c>
      <c r="X207">
        <v>0</v>
      </c>
      <c r="Y207">
        <v>50</v>
      </c>
      <c r="Z207">
        <v>18</v>
      </c>
      <c r="AA207">
        <v>9</v>
      </c>
      <c r="AB207">
        <v>59</v>
      </c>
      <c r="AC207">
        <v>1</v>
      </c>
      <c r="AD207">
        <v>1</v>
      </c>
      <c r="AE207" t="s">
        <v>1411</v>
      </c>
      <c r="AF207" t="s">
        <v>1412</v>
      </c>
      <c r="AG207">
        <v>2</v>
      </c>
      <c r="AH207" t="s">
        <v>25</v>
      </c>
      <c r="AI207">
        <v>6959</v>
      </c>
      <c r="AJ207" t="s">
        <v>1401</v>
      </c>
      <c r="AK207" t="s">
        <v>169</v>
      </c>
      <c r="AL207">
        <v>3235</v>
      </c>
      <c r="AM207" t="s">
        <v>2462</v>
      </c>
      <c r="AN207" s="8">
        <v>45950</v>
      </c>
      <c r="AO207" s="8">
        <v>45950</v>
      </c>
      <c r="AP207">
        <v>1128</v>
      </c>
      <c r="AQ207" t="s">
        <v>34</v>
      </c>
      <c r="AR207" t="s">
        <v>12</v>
      </c>
      <c r="AS207" t="str">
        <f>+CONCATENATE(A207,"-",B207)</f>
        <v>(01) Factura FOF1-00000215</v>
      </c>
    </row>
    <row r="208" spans="1:45" ht="15" customHeight="1">
      <c r="A208" t="s">
        <v>1214</v>
      </c>
      <c r="B208" s="21" t="s">
        <v>1717</v>
      </c>
      <c r="C208" t="s">
        <v>27</v>
      </c>
      <c r="D208" s="8">
        <v>45959</v>
      </c>
      <c r="E208" s="22">
        <v>45964.646550925929</v>
      </c>
      <c r="F208" t="s">
        <v>1151</v>
      </c>
      <c r="G208" t="s">
        <v>158</v>
      </c>
      <c r="H208">
        <v>1</v>
      </c>
      <c r="I208">
        <v>44413438</v>
      </c>
      <c r="J208" t="s">
        <v>2656</v>
      </c>
      <c r="K208" s="8">
        <v>45959</v>
      </c>
      <c r="Q208">
        <v>32941</v>
      </c>
      <c r="R208">
        <v>2274</v>
      </c>
      <c r="S208" t="s">
        <v>1255</v>
      </c>
      <c r="T208" t="s">
        <v>215</v>
      </c>
      <c r="U208">
        <v>1</v>
      </c>
      <c r="V208">
        <v>50</v>
      </c>
      <c r="W208">
        <v>59</v>
      </c>
      <c r="X208">
        <v>0</v>
      </c>
      <c r="Y208">
        <v>50</v>
      </c>
      <c r="Z208">
        <v>18</v>
      </c>
      <c r="AA208">
        <v>9</v>
      </c>
      <c r="AB208">
        <v>59</v>
      </c>
      <c r="AC208">
        <v>1</v>
      </c>
      <c r="AD208">
        <v>1</v>
      </c>
      <c r="AE208" t="s">
        <v>1411</v>
      </c>
      <c r="AF208" t="s">
        <v>1412</v>
      </c>
      <c r="AG208">
        <v>2</v>
      </c>
      <c r="AH208" t="s">
        <v>25</v>
      </c>
      <c r="AI208">
        <v>6937</v>
      </c>
      <c r="AJ208" t="s">
        <v>1414</v>
      </c>
      <c r="AK208" t="s">
        <v>1433</v>
      </c>
      <c r="AL208">
        <v>3074</v>
      </c>
      <c r="AM208" t="s">
        <v>2482</v>
      </c>
      <c r="AN208" s="8">
        <v>45955</v>
      </c>
      <c r="AO208" s="8">
        <v>45955</v>
      </c>
      <c r="AP208">
        <v>405</v>
      </c>
      <c r="AQ208" t="s">
        <v>1151</v>
      </c>
      <c r="AR208" t="s">
        <v>1295</v>
      </c>
      <c r="AS208" t="str">
        <f>+CONCATENATE(A208,"-",B208)</f>
        <v>(03) Boleta BOB1-00000112</v>
      </c>
    </row>
    <row r="209" spans="1:45" ht="15" customHeight="1">
      <c r="A209" t="s">
        <v>1214</v>
      </c>
      <c r="B209" s="21" t="s">
        <v>1657</v>
      </c>
      <c r="C209" t="s">
        <v>27</v>
      </c>
      <c r="D209" s="8">
        <v>45947</v>
      </c>
      <c r="E209" s="22">
        <v>45964.426620370374</v>
      </c>
      <c r="F209" t="s">
        <v>1636</v>
      </c>
      <c r="H209">
        <v>1</v>
      </c>
      <c r="I209">
        <v>48505208</v>
      </c>
      <c r="J209" t="s">
        <v>1658</v>
      </c>
      <c r="K209" s="8">
        <v>45947</v>
      </c>
      <c r="Q209">
        <v>31633</v>
      </c>
      <c r="R209">
        <v>2276</v>
      </c>
      <c r="S209" t="s">
        <v>1504</v>
      </c>
      <c r="T209" t="s">
        <v>163</v>
      </c>
      <c r="U209">
        <v>1</v>
      </c>
      <c r="V209">
        <v>50</v>
      </c>
      <c r="W209">
        <v>59</v>
      </c>
      <c r="X209">
        <v>0</v>
      </c>
      <c r="Y209">
        <v>50</v>
      </c>
      <c r="Z209">
        <v>18</v>
      </c>
      <c r="AA209">
        <v>9</v>
      </c>
      <c r="AB209">
        <v>59</v>
      </c>
      <c r="AC209">
        <v>1</v>
      </c>
      <c r="AD209">
        <v>1</v>
      </c>
      <c r="AE209" t="s">
        <v>1411</v>
      </c>
      <c r="AF209" t="s">
        <v>1412</v>
      </c>
      <c r="AG209">
        <v>2</v>
      </c>
      <c r="AH209" t="s">
        <v>25</v>
      </c>
      <c r="AI209">
        <v>6959</v>
      </c>
      <c r="AJ209" t="s">
        <v>1401</v>
      </c>
      <c r="AK209" t="s">
        <v>169</v>
      </c>
      <c r="AL209">
        <v>3070</v>
      </c>
      <c r="AM209" t="s">
        <v>1659</v>
      </c>
      <c r="AN209" s="8">
        <v>45926</v>
      </c>
      <c r="AO209" s="8">
        <v>45926</v>
      </c>
      <c r="AP209">
        <v>5080</v>
      </c>
      <c r="AQ209" t="s">
        <v>1636</v>
      </c>
      <c r="AR209" t="s">
        <v>1295</v>
      </c>
      <c r="AS209" t="str">
        <f>+CONCATENATE(A209,"-",B209)</f>
        <v>(03) Boleta BOB1-00000062</v>
      </c>
    </row>
    <row r="210" spans="1:45" ht="15" customHeight="1">
      <c r="A210" t="s">
        <v>1214</v>
      </c>
      <c r="B210" s="21" t="s">
        <v>1223</v>
      </c>
      <c r="C210" t="s">
        <v>27</v>
      </c>
      <c r="D210" s="8">
        <v>45946</v>
      </c>
      <c r="E210" s="22">
        <v>45964.745462962965</v>
      </c>
      <c r="F210" t="s">
        <v>1810</v>
      </c>
      <c r="H210">
        <v>1</v>
      </c>
      <c r="I210">
        <v>40632612</v>
      </c>
      <c r="J210" t="s">
        <v>1811</v>
      </c>
      <c r="K210" s="8">
        <v>45946</v>
      </c>
      <c r="Q210">
        <v>31346</v>
      </c>
      <c r="R210">
        <v>2342</v>
      </c>
      <c r="S210" t="s">
        <v>1399</v>
      </c>
      <c r="T210" t="s">
        <v>163</v>
      </c>
      <c r="U210">
        <v>1</v>
      </c>
      <c r="V210">
        <v>50</v>
      </c>
      <c r="W210">
        <v>59</v>
      </c>
      <c r="X210">
        <v>0</v>
      </c>
      <c r="Y210">
        <v>50</v>
      </c>
      <c r="Z210">
        <v>18</v>
      </c>
      <c r="AA210">
        <v>9</v>
      </c>
      <c r="AB210">
        <v>59</v>
      </c>
      <c r="AC210">
        <v>1</v>
      </c>
      <c r="AD210">
        <v>1</v>
      </c>
      <c r="AE210" t="s">
        <v>1411</v>
      </c>
      <c r="AF210" t="s">
        <v>1412</v>
      </c>
      <c r="AG210">
        <v>2</v>
      </c>
      <c r="AH210" t="s">
        <v>25</v>
      </c>
      <c r="AI210">
        <v>6959</v>
      </c>
      <c r="AJ210" t="s">
        <v>1401</v>
      </c>
      <c r="AK210" t="s">
        <v>169</v>
      </c>
      <c r="AL210">
        <v>3141</v>
      </c>
      <c r="AM210" t="s">
        <v>1812</v>
      </c>
      <c r="AN210" s="8">
        <v>45934</v>
      </c>
      <c r="AO210" s="8">
        <v>45934</v>
      </c>
      <c r="AP210">
        <v>5933</v>
      </c>
      <c r="AQ210" t="s">
        <v>1810</v>
      </c>
      <c r="AR210" t="s">
        <v>1295</v>
      </c>
      <c r="AS210" t="str">
        <f>+CONCATENATE(A210,"-",B210)</f>
        <v>(03) Boleta BOB1-00000037</v>
      </c>
    </row>
    <row r="211" spans="1:45" ht="15" customHeight="1">
      <c r="A211" t="s">
        <v>216</v>
      </c>
      <c r="B211">
        <v>1217</v>
      </c>
      <c r="C211" t="s">
        <v>27</v>
      </c>
      <c r="D211" s="8">
        <v>45663</v>
      </c>
      <c r="E211" s="22">
        <v>45964</v>
      </c>
      <c r="F211" t="s">
        <v>359</v>
      </c>
      <c r="H211">
        <v>6</v>
      </c>
      <c r="I211">
        <v>20613294814</v>
      </c>
      <c r="J211" t="s">
        <v>2164</v>
      </c>
      <c r="K211" s="8">
        <v>45663</v>
      </c>
      <c r="Q211">
        <v>17222</v>
      </c>
      <c r="R211">
        <v>874</v>
      </c>
      <c r="S211" t="s">
        <v>1248</v>
      </c>
      <c r="T211" t="s">
        <v>215</v>
      </c>
      <c r="U211">
        <v>1</v>
      </c>
      <c r="V211">
        <v>50</v>
      </c>
      <c r="W211">
        <v>59</v>
      </c>
      <c r="X211">
        <v>0</v>
      </c>
      <c r="Y211">
        <v>50</v>
      </c>
      <c r="Z211">
        <v>18</v>
      </c>
      <c r="AA211">
        <v>9</v>
      </c>
      <c r="AB211">
        <v>59</v>
      </c>
      <c r="AC211">
        <v>1</v>
      </c>
      <c r="AD211">
        <v>1</v>
      </c>
      <c r="AE211" t="s">
        <v>232</v>
      </c>
      <c r="AF211" t="s">
        <v>29</v>
      </c>
      <c r="AG211">
        <v>2</v>
      </c>
      <c r="AH211" t="s">
        <v>25</v>
      </c>
      <c r="AI211">
        <v>1106</v>
      </c>
      <c r="AJ211" t="s">
        <v>239</v>
      </c>
      <c r="AK211" t="s">
        <v>1237</v>
      </c>
      <c r="AP211">
        <v>1124</v>
      </c>
      <c r="AQ211" t="s">
        <v>359</v>
      </c>
      <c r="AR211" t="s">
        <v>12</v>
      </c>
      <c r="AS211" t="str">
        <f>+CONCATENATE(A211,"-",B211)</f>
        <v>FB01-1217</v>
      </c>
    </row>
    <row r="212" spans="1:45" ht="15" customHeight="1">
      <c r="A212" t="s">
        <v>1238</v>
      </c>
      <c r="B212">
        <v>755</v>
      </c>
      <c r="C212" t="s">
        <v>27</v>
      </c>
      <c r="D212" s="8">
        <v>45695</v>
      </c>
      <c r="E212" s="22">
        <v>45964</v>
      </c>
      <c r="F212" t="s">
        <v>1239</v>
      </c>
      <c r="H212">
        <v>1</v>
      </c>
      <c r="I212">
        <v>72431289</v>
      </c>
      <c r="J212" t="s">
        <v>2732</v>
      </c>
      <c r="K212" s="8">
        <v>45695</v>
      </c>
      <c r="Q212">
        <v>18778</v>
      </c>
      <c r="R212">
        <v>877</v>
      </c>
      <c r="S212" t="s">
        <v>1300</v>
      </c>
      <c r="T212" t="s">
        <v>215</v>
      </c>
      <c r="U212">
        <v>1</v>
      </c>
      <c r="V212">
        <v>50.85</v>
      </c>
      <c r="W212">
        <v>60</v>
      </c>
      <c r="X212">
        <v>0</v>
      </c>
      <c r="Y212">
        <v>50.85</v>
      </c>
      <c r="Z212">
        <v>18</v>
      </c>
      <c r="AA212">
        <v>9.15</v>
      </c>
      <c r="AB212">
        <v>60</v>
      </c>
      <c r="AC212">
        <v>1</v>
      </c>
      <c r="AD212">
        <v>1</v>
      </c>
      <c r="AE212" t="s">
        <v>232</v>
      </c>
      <c r="AF212" t="s">
        <v>29</v>
      </c>
      <c r="AG212">
        <v>2</v>
      </c>
      <c r="AH212" t="s">
        <v>25</v>
      </c>
      <c r="AI212">
        <v>1106</v>
      </c>
      <c r="AJ212" t="s">
        <v>239</v>
      </c>
      <c r="AK212" t="s">
        <v>1237</v>
      </c>
      <c r="AP212">
        <v>1177</v>
      </c>
      <c r="AQ212" t="s">
        <v>1239</v>
      </c>
      <c r="AR212" t="s">
        <v>1295</v>
      </c>
      <c r="AS212" t="str">
        <f>+CONCATENATE(A212,"-",B212)</f>
        <v>BB01-755</v>
      </c>
    </row>
    <row r="213" spans="1:45" ht="15" customHeight="1">
      <c r="A213" t="s">
        <v>1214</v>
      </c>
      <c r="B213" s="21" t="s">
        <v>1652</v>
      </c>
      <c r="C213" t="s">
        <v>27</v>
      </c>
      <c r="D213" s="8">
        <v>45947</v>
      </c>
      <c r="E213" s="22">
        <v>45964.434837962966</v>
      </c>
      <c r="F213" t="s">
        <v>1640</v>
      </c>
      <c r="G213" t="s">
        <v>158</v>
      </c>
      <c r="H213">
        <v>1</v>
      </c>
      <c r="I213">
        <v>72327214</v>
      </c>
      <c r="J213" t="s">
        <v>1653</v>
      </c>
      <c r="K213" s="8">
        <v>45947</v>
      </c>
      <c r="Q213">
        <v>31642</v>
      </c>
      <c r="R213">
        <v>2276</v>
      </c>
      <c r="S213" t="s">
        <v>1504</v>
      </c>
      <c r="T213" t="s">
        <v>163</v>
      </c>
      <c r="U213">
        <v>1</v>
      </c>
      <c r="V213">
        <v>51</v>
      </c>
      <c r="W213">
        <v>60.18</v>
      </c>
      <c r="X213">
        <v>0</v>
      </c>
      <c r="Y213">
        <v>51</v>
      </c>
      <c r="Z213">
        <v>18</v>
      </c>
      <c r="AA213">
        <v>9.18</v>
      </c>
      <c r="AB213">
        <v>60.18</v>
      </c>
      <c r="AC213">
        <v>1</v>
      </c>
      <c r="AD213">
        <v>1</v>
      </c>
      <c r="AE213" t="s">
        <v>1411</v>
      </c>
      <c r="AF213" t="s">
        <v>1412</v>
      </c>
      <c r="AG213">
        <v>2</v>
      </c>
      <c r="AH213" t="s">
        <v>25</v>
      </c>
      <c r="AI213">
        <v>6959</v>
      </c>
      <c r="AJ213" t="s">
        <v>1401</v>
      </c>
      <c r="AK213" t="s">
        <v>169</v>
      </c>
      <c r="AL213">
        <v>3124</v>
      </c>
      <c r="AM213" t="s">
        <v>1651</v>
      </c>
      <c r="AN213" s="8">
        <v>45940</v>
      </c>
      <c r="AO213" s="8">
        <v>45940</v>
      </c>
      <c r="AP213">
        <v>416</v>
      </c>
      <c r="AQ213" t="s">
        <v>1640</v>
      </c>
      <c r="AR213" t="s">
        <v>1295</v>
      </c>
      <c r="AS213" t="str">
        <f>+CONCATENATE(A213,"-",B213)</f>
        <v>(03) Boleta BOB1-00000065</v>
      </c>
    </row>
    <row r="214" spans="1:45" ht="15" customHeight="1">
      <c r="A214" t="s">
        <v>1214</v>
      </c>
      <c r="B214" s="21" t="s">
        <v>1519</v>
      </c>
      <c r="C214" t="s">
        <v>27</v>
      </c>
      <c r="D214" s="8">
        <v>45954</v>
      </c>
      <c r="E214" s="22">
        <v>45964.481898148151</v>
      </c>
      <c r="F214" t="s">
        <v>1517</v>
      </c>
      <c r="H214">
        <v>1</v>
      </c>
      <c r="I214">
        <v>45978375</v>
      </c>
      <c r="J214" t="s">
        <v>1520</v>
      </c>
      <c r="K214" s="8">
        <v>45954</v>
      </c>
      <c r="Q214">
        <v>32503</v>
      </c>
      <c r="R214">
        <v>1786</v>
      </c>
      <c r="S214" t="s">
        <v>1299</v>
      </c>
      <c r="T214" t="s">
        <v>163</v>
      </c>
      <c r="U214">
        <v>1</v>
      </c>
      <c r="V214">
        <v>51.78</v>
      </c>
      <c r="W214">
        <v>61.1</v>
      </c>
      <c r="X214">
        <v>0</v>
      </c>
      <c r="Y214">
        <v>51.78</v>
      </c>
      <c r="Z214">
        <v>18</v>
      </c>
      <c r="AA214">
        <v>9.32</v>
      </c>
      <c r="AB214">
        <v>61.1</v>
      </c>
      <c r="AC214">
        <v>1</v>
      </c>
      <c r="AD214">
        <v>1</v>
      </c>
      <c r="AE214" t="s">
        <v>1411</v>
      </c>
      <c r="AF214" t="s">
        <v>1412</v>
      </c>
      <c r="AG214">
        <v>2</v>
      </c>
      <c r="AH214" t="s">
        <v>25</v>
      </c>
      <c r="AI214">
        <v>6937</v>
      </c>
      <c r="AJ214" t="s">
        <v>1414</v>
      </c>
      <c r="AK214" t="s">
        <v>1251</v>
      </c>
      <c r="AL214">
        <v>3055</v>
      </c>
      <c r="AM214" t="s">
        <v>1518</v>
      </c>
      <c r="AN214" s="8">
        <v>45948</v>
      </c>
      <c r="AO214" s="8">
        <v>45948</v>
      </c>
      <c r="AP214">
        <v>5611</v>
      </c>
      <c r="AQ214" t="s">
        <v>1517</v>
      </c>
      <c r="AR214" t="s">
        <v>1295</v>
      </c>
      <c r="AS214" t="str">
        <f>+CONCATENATE(A214,"-",B214)</f>
        <v>(03) Boleta BOB1-00000077</v>
      </c>
    </row>
    <row r="215" spans="1:45" ht="15" customHeight="1">
      <c r="A215" t="s">
        <v>1216</v>
      </c>
      <c r="B215" s="21" t="s">
        <v>1696</v>
      </c>
      <c r="C215" t="s">
        <v>27</v>
      </c>
      <c r="D215" s="8">
        <v>45946</v>
      </c>
      <c r="E215" s="22">
        <v>45964.716064814813</v>
      </c>
      <c r="F215" t="s">
        <v>1668</v>
      </c>
      <c r="H215">
        <v>6</v>
      </c>
      <c r="I215">
        <v>10749980163</v>
      </c>
      <c r="J215" t="s">
        <v>2718</v>
      </c>
      <c r="K215" s="8">
        <v>45946</v>
      </c>
      <c r="Q215">
        <v>31322</v>
      </c>
      <c r="R215">
        <v>216</v>
      </c>
      <c r="S215" t="s">
        <v>1300</v>
      </c>
      <c r="T215" t="s">
        <v>163</v>
      </c>
      <c r="U215">
        <v>1</v>
      </c>
      <c r="V215">
        <v>51.86</v>
      </c>
      <c r="W215">
        <v>61.19</v>
      </c>
      <c r="X215">
        <v>0</v>
      </c>
      <c r="Y215">
        <v>51.86</v>
      </c>
      <c r="Z215">
        <v>18</v>
      </c>
      <c r="AA215">
        <v>9.33</v>
      </c>
      <c r="AB215">
        <v>61.19</v>
      </c>
      <c r="AC215">
        <v>1</v>
      </c>
      <c r="AD215">
        <v>1</v>
      </c>
      <c r="AE215" t="s">
        <v>1411</v>
      </c>
      <c r="AF215" t="s">
        <v>1412</v>
      </c>
      <c r="AG215">
        <v>2</v>
      </c>
      <c r="AH215" t="s">
        <v>25</v>
      </c>
      <c r="AI215">
        <v>6936</v>
      </c>
      <c r="AJ215" t="s">
        <v>1437</v>
      </c>
      <c r="AK215" t="s">
        <v>1433</v>
      </c>
      <c r="AL215">
        <v>3165</v>
      </c>
      <c r="AM215" t="s">
        <v>1667</v>
      </c>
      <c r="AN215" s="8">
        <v>45935</v>
      </c>
      <c r="AO215" s="8">
        <v>45935</v>
      </c>
      <c r="AP215">
        <v>5445</v>
      </c>
      <c r="AQ215" t="s">
        <v>1668</v>
      </c>
      <c r="AR215" t="s">
        <v>12</v>
      </c>
      <c r="AS215" t="str">
        <f>+CONCATENATE(A215,"-",B215)</f>
        <v>(01) Factura FOF1-00000056</v>
      </c>
    </row>
    <row r="216" spans="1:45" ht="15" customHeight="1">
      <c r="A216" t="s">
        <v>216</v>
      </c>
      <c r="B216">
        <v>1267</v>
      </c>
      <c r="C216" t="s">
        <v>27</v>
      </c>
      <c r="D216" s="8">
        <v>45680</v>
      </c>
      <c r="E216" s="22">
        <v>45964</v>
      </c>
      <c r="F216" t="s">
        <v>848</v>
      </c>
      <c r="H216">
        <v>6</v>
      </c>
      <c r="I216">
        <v>20606865199</v>
      </c>
      <c r="J216" t="s">
        <v>2110</v>
      </c>
      <c r="K216" s="8">
        <v>45680</v>
      </c>
      <c r="Q216">
        <v>17780</v>
      </c>
      <c r="R216">
        <v>871</v>
      </c>
      <c r="S216" t="s">
        <v>1316</v>
      </c>
      <c r="T216" t="s">
        <v>215</v>
      </c>
      <c r="U216">
        <v>1</v>
      </c>
      <c r="V216">
        <v>52.29</v>
      </c>
      <c r="W216">
        <v>61.7</v>
      </c>
      <c r="X216">
        <v>0</v>
      </c>
      <c r="Y216">
        <v>52.29</v>
      </c>
      <c r="Z216">
        <v>18</v>
      </c>
      <c r="AA216">
        <v>9.41</v>
      </c>
      <c r="AB216">
        <v>61.7</v>
      </c>
      <c r="AC216">
        <v>1</v>
      </c>
      <c r="AD216">
        <v>1</v>
      </c>
      <c r="AE216" t="s">
        <v>232</v>
      </c>
      <c r="AF216" t="s">
        <v>29</v>
      </c>
      <c r="AG216">
        <v>2</v>
      </c>
      <c r="AH216" t="s">
        <v>25</v>
      </c>
      <c r="AI216">
        <v>1106</v>
      </c>
      <c r="AJ216" t="s">
        <v>239</v>
      </c>
      <c r="AK216" t="s">
        <v>1237</v>
      </c>
      <c r="AP216">
        <v>1129</v>
      </c>
      <c r="AQ216" t="s">
        <v>848</v>
      </c>
      <c r="AR216" t="s">
        <v>12</v>
      </c>
      <c r="AS216" t="str">
        <f>+CONCATENATE(A216,"-",B216)</f>
        <v>FB01-1267</v>
      </c>
    </row>
    <row r="217" spans="1:45" ht="15" customHeight="1">
      <c r="A217" t="s">
        <v>216</v>
      </c>
      <c r="B217">
        <v>1243</v>
      </c>
      <c r="C217" t="s">
        <v>27</v>
      </c>
      <c r="D217" s="8">
        <v>45665</v>
      </c>
      <c r="E217" s="22">
        <v>45964</v>
      </c>
      <c r="F217" t="s">
        <v>490</v>
      </c>
      <c r="H217">
        <v>6</v>
      </c>
      <c r="I217">
        <v>20611587741</v>
      </c>
      <c r="J217" t="s">
        <v>2782</v>
      </c>
      <c r="K217" s="8">
        <v>45665</v>
      </c>
      <c r="Q217">
        <v>17246</v>
      </c>
      <c r="R217">
        <v>877</v>
      </c>
      <c r="S217" t="s">
        <v>1300</v>
      </c>
      <c r="T217" t="s">
        <v>215</v>
      </c>
      <c r="U217">
        <v>1</v>
      </c>
      <c r="V217">
        <v>52.54</v>
      </c>
      <c r="W217">
        <v>62</v>
      </c>
      <c r="X217">
        <v>0</v>
      </c>
      <c r="Y217">
        <v>52.54</v>
      </c>
      <c r="Z217">
        <v>18</v>
      </c>
      <c r="AA217">
        <v>9.4600000000000009</v>
      </c>
      <c r="AB217">
        <v>62</v>
      </c>
      <c r="AC217">
        <v>1</v>
      </c>
      <c r="AD217">
        <v>1</v>
      </c>
      <c r="AE217" t="s">
        <v>232</v>
      </c>
      <c r="AF217" t="s">
        <v>29</v>
      </c>
      <c r="AG217">
        <v>2</v>
      </c>
      <c r="AH217" t="s">
        <v>25</v>
      </c>
      <c r="AI217">
        <v>1106</v>
      </c>
      <c r="AJ217" t="s">
        <v>239</v>
      </c>
      <c r="AK217" t="s">
        <v>1237</v>
      </c>
      <c r="AP217">
        <v>1130</v>
      </c>
      <c r="AQ217" t="s">
        <v>490</v>
      </c>
      <c r="AR217" t="s">
        <v>12</v>
      </c>
      <c r="AS217" t="str">
        <f>+CONCATENATE(A217,"-",B217)</f>
        <v>FB01-1243</v>
      </c>
    </row>
    <row r="218" spans="1:45" ht="15" customHeight="1">
      <c r="A218" t="s">
        <v>1216</v>
      </c>
      <c r="B218" s="21" t="s">
        <v>1678</v>
      </c>
      <c r="C218" t="s">
        <v>27</v>
      </c>
      <c r="D218" s="8">
        <v>45946</v>
      </c>
      <c r="E218" s="22">
        <v>45964.863888888889</v>
      </c>
      <c r="F218" t="s">
        <v>1670</v>
      </c>
      <c r="H218">
        <v>6</v>
      </c>
      <c r="I218">
        <v>20542731347</v>
      </c>
      <c r="J218" t="s">
        <v>2708</v>
      </c>
      <c r="K218" s="8">
        <v>45946</v>
      </c>
      <c r="Q218">
        <v>31605</v>
      </c>
      <c r="R218">
        <v>2276</v>
      </c>
      <c r="S218" t="s">
        <v>1504</v>
      </c>
      <c r="T218" t="s">
        <v>163</v>
      </c>
      <c r="U218">
        <v>1</v>
      </c>
      <c r="V218">
        <v>52.75</v>
      </c>
      <c r="W218">
        <v>62.25</v>
      </c>
      <c r="X218">
        <v>0</v>
      </c>
      <c r="Y218">
        <v>52.75</v>
      </c>
      <c r="Z218">
        <v>18</v>
      </c>
      <c r="AA218">
        <v>9.5</v>
      </c>
      <c r="AB218">
        <v>62.25</v>
      </c>
      <c r="AC218">
        <v>1</v>
      </c>
      <c r="AD218">
        <v>1</v>
      </c>
      <c r="AE218" t="s">
        <v>1411</v>
      </c>
      <c r="AF218" t="s">
        <v>1412</v>
      </c>
      <c r="AG218">
        <v>2</v>
      </c>
      <c r="AH218" t="s">
        <v>25</v>
      </c>
      <c r="AI218">
        <v>6959</v>
      </c>
      <c r="AJ218" t="s">
        <v>1401</v>
      </c>
      <c r="AK218" t="s">
        <v>169</v>
      </c>
      <c r="AL218">
        <v>2972</v>
      </c>
      <c r="AM218" t="s">
        <v>1672</v>
      </c>
      <c r="AN218" s="8">
        <v>45928</v>
      </c>
      <c r="AO218" s="8">
        <v>45928</v>
      </c>
      <c r="AP218">
        <v>435</v>
      </c>
      <c r="AQ218" t="s">
        <v>1673</v>
      </c>
      <c r="AR218" t="s">
        <v>1295</v>
      </c>
      <c r="AS218" t="str">
        <f>+CONCATENATE(A218,"-",B218)</f>
        <v>(01) Factura FOF1-00000120</v>
      </c>
    </row>
    <row r="219" spans="1:45" ht="15" customHeight="1">
      <c r="A219" t="s">
        <v>1214</v>
      </c>
      <c r="B219" s="21" t="s">
        <v>1693</v>
      </c>
      <c r="C219" t="s">
        <v>27</v>
      </c>
      <c r="D219" s="8">
        <v>45946</v>
      </c>
      <c r="E219" s="22">
        <v>45964.861516203702</v>
      </c>
      <c r="F219" t="s">
        <v>1673</v>
      </c>
      <c r="G219" t="s">
        <v>158</v>
      </c>
      <c r="H219">
        <v>1</v>
      </c>
      <c r="I219">
        <v>40469388</v>
      </c>
      <c r="J219" t="s">
        <v>2709</v>
      </c>
      <c r="K219" s="8">
        <v>45946</v>
      </c>
      <c r="Q219">
        <v>31581</v>
      </c>
      <c r="R219">
        <v>2276</v>
      </c>
      <c r="S219" t="s">
        <v>1504</v>
      </c>
      <c r="T219" t="s">
        <v>163</v>
      </c>
      <c r="U219">
        <v>1</v>
      </c>
      <c r="V219">
        <v>52.75</v>
      </c>
      <c r="W219">
        <v>62.25</v>
      </c>
      <c r="X219">
        <v>0</v>
      </c>
      <c r="Y219">
        <v>52.75</v>
      </c>
      <c r="Z219">
        <v>18</v>
      </c>
      <c r="AA219">
        <v>9.5</v>
      </c>
      <c r="AB219">
        <v>62.25</v>
      </c>
      <c r="AC219">
        <v>1</v>
      </c>
      <c r="AD219">
        <v>1</v>
      </c>
      <c r="AE219" t="s">
        <v>1411</v>
      </c>
      <c r="AF219" t="s">
        <v>1412</v>
      </c>
      <c r="AG219">
        <v>2</v>
      </c>
      <c r="AH219" t="s">
        <v>25</v>
      </c>
      <c r="AI219">
        <v>6959</v>
      </c>
      <c r="AJ219" t="s">
        <v>1401</v>
      </c>
      <c r="AK219" t="s">
        <v>169</v>
      </c>
      <c r="AL219">
        <v>2972</v>
      </c>
      <c r="AM219" t="s">
        <v>1672</v>
      </c>
      <c r="AN219" s="8">
        <v>45928</v>
      </c>
      <c r="AO219" s="8">
        <v>45928</v>
      </c>
      <c r="AP219">
        <v>435</v>
      </c>
      <c r="AQ219" t="s">
        <v>1673</v>
      </c>
      <c r="AR219" t="s">
        <v>1295</v>
      </c>
      <c r="AS219" t="str">
        <f>+CONCATENATE(A219,"-",B219)</f>
        <v>(03) Boleta BOB1-00000057</v>
      </c>
    </row>
    <row r="220" spans="1:45" ht="15" customHeight="1">
      <c r="A220" t="s">
        <v>216</v>
      </c>
      <c r="B220">
        <v>1359</v>
      </c>
      <c r="C220" t="s">
        <v>27</v>
      </c>
      <c r="D220" s="8">
        <v>45686</v>
      </c>
      <c r="E220" s="22">
        <v>45964</v>
      </c>
      <c r="F220" t="s">
        <v>622</v>
      </c>
      <c r="H220">
        <v>6</v>
      </c>
      <c r="I220">
        <v>10064263248</v>
      </c>
      <c r="J220" t="s">
        <v>1988</v>
      </c>
      <c r="K220" s="8">
        <v>45686</v>
      </c>
      <c r="Q220">
        <v>18676</v>
      </c>
      <c r="R220">
        <v>871</v>
      </c>
      <c r="S220" t="s">
        <v>1316</v>
      </c>
      <c r="T220" t="s">
        <v>215</v>
      </c>
      <c r="U220">
        <v>1</v>
      </c>
      <c r="V220">
        <v>53.56</v>
      </c>
      <c r="W220">
        <v>63.2</v>
      </c>
      <c r="X220">
        <v>0</v>
      </c>
      <c r="Y220">
        <v>53.56</v>
      </c>
      <c r="Z220">
        <v>18</v>
      </c>
      <c r="AA220">
        <v>9.64</v>
      </c>
      <c r="AB220">
        <v>63.2</v>
      </c>
      <c r="AC220">
        <v>1</v>
      </c>
      <c r="AD220">
        <v>1</v>
      </c>
      <c r="AE220" t="s">
        <v>232</v>
      </c>
      <c r="AF220" t="s">
        <v>29</v>
      </c>
      <c r="AG220">
        <v>2</v>
      </c>
      <c r="AH220" t="s">
        <v>25</v>
      </c>
      <c r="AI220">
        <v>1106</v>
      </c>
      <c r="AJ220" t="s">
        <v>239</v>
      </c>
      <c r="AK220" t="s">
        <v>1237</v>
      </c>
      <c r="AP220">
        <v>1138</v>
      </c>
      <c r="AQ220" t="s">
        <v>622</v>
      </c>
      <c r="AR220" t="s">
        <v>12</v>
      </c>
      <c r="AS220" t="str">
        <f>+CONCATENATE(A220,"-",B220)</f>
        <v>FB01-1359</v>
      </c>
    </row>
    <row r="221" spans="1:45" ht="15" customHeight="1">
      <c r="A221" t="s">
        <v>216</v>
      </c>
      <c r="B221">
        <v>1396</v>
      </c>
      <c r="C221" t="s">
        <v>27</v>
      </c>
      <c r="D221" s="8">
        <v>45693</v>
      </c>
      <c r="E221" s="22">
        <v>45964</v>
      </c>
      <c r="F221" t="s">
        <v>442</v>
      </c>
      <c r="H221">
        <v>6</v>
      </c>
      <c r="I221">
        <v>20609584719</v>
      </c>
      <c r="J221" t="s">
        <v>1940</v>
      </c>
      <c r="K221" s="8">
        <v>45693</v>
      </c>
      <c r="Q221">
        <v>18735</v>
      </c>
      <c r="R221">
        <v>877</v>
      </c>
      <c r="S221" t="s">
        <v>1300</v>
      </c>
      <c r="T221" t="s">
        <v>215</v>
      </c>
      <c r="U221">
        <v>1</v>
      </c>
      <c r="V221">
        <v>54.07</v>
      </c>
      <c r="W221">
        <v>63.8</v>
      </c>
      <c r="X221">
        <v>0</v>
      </c>
      <c r="Y221">
        <v>54.07</v>
      </c>
      <c r="Z221">
        <v>18</v>
      </c>
      <c r="AA221">
        <v>9.73</v>
      </c>
      <c r="AB221">
        <v>63.8</v>
      </c>
      <c r="AC221">
        <v>1</v>
      </c>
      <c r="AD221">
        <v>1</v>
      </c>
      <c r="AE221" t="s">
        <v>232</v>
      </c>
      <c r="AF221" t="s">
        <v>29</v>
      </c>
      <c r="AG221">
        <v>2</v>
      </c>
      <c r="AH221" t="s">
        <v>25</v>
      </c>
      <c r="AI221">
        <v>1106</v>
      </c>
      <c r="AJ221" t="s">
        <v>239</v>
      </c>
      <c r="AK221" t="s">
        <v>1237</v>
      </c>
      <c r="AP221">
        <v>1145</v>
      </c>
      <c r="AQ221" t="s">
        <v>442</v>
      </c>
      <c r="AR221" t="s">
        <v>12</v>
      </c>
      <c r="AS221" t="str">
        <f>+CONCATENATE(A221,"-",B221)</f>
        <v>FB01-1396</v>
      </c>
    </row>
    <row r="222" spans="1:45" ht="15" customHeight="1">
      <c r="A222" t="s">
        <v>216</v>
      </c>
      <c r="B222">
        <v>1300</v>
      </c>
      <c r="C222" t="s">
        <v>27</v>
      </c>
      <c r="D222" s="8">
        <v>45680</v>
      </c>
      <c r="E222" s="22">
        <v>45964</v>
      </c>
      <c r="F222" t="s">
        <v>1325</v>
      </c>
      <c r="H222">
        <v>6</v>
      </c>
      <c r="I222">
        <v>20516587874</v>
      </c>
      <c r="J222" t="s">
        <v>2770</v>
      </c>
      <c r="K222" s="8">
        <v>45680</v>
      </c>
      <c r="Q222">
        <v>17822</v>
      </c>
      <c r="R222">
        <v>877</v>
      </c>
      <c r="S222" t="s">
        <v>1300</v>
      </c>
      <c r="T222" t="s">
        <v>215</v>
      </c>
      <c r="U222">
        <v>1</v>
      </c>
      <c r="V222">
        <v>54.75</v>
      </c>
      <c r="W222">
        <v>64.599999999999994</v>
      </c>
      <c r="X222">
        <v>0</v>
      </c>
      <c r="Y222">
        <v>54.75</v>
      </c>
      <c r="Z222">
        <v>18</v>
      </c>
      <c r="AA222">
        <v>9.85</v>
      </c>
      <c r="AB222">
        <v>64.599999999999994</v>
      </c>
      <c r="AC222">
        <v>1</v>
      </c>
      <c r="AD222">
        <v>1</v>
      </c>
      <c r="AE222" t="s">
        <v>232</v>
      </c>
      <c r="AF222" t="s">
        <v>29</v>
      </c>
      <c r="AG222">
        <v>2</v>
      </c>
      <c r="AH222" t="s">
        <v>25</v>
      </c>
      <c r="AI222">
        <v>1106</v>
      </c>
      <c r="AJ222" t="s">
        <v>239</v>
      </c>
      <c r="AK222" t="s">
        <v>1237</v>
      </c>
      <c r="AP222">
        <v>1116</v>
      </c>
      <c r="AQ222" t="s">
        <v>1325</v>
      </c>
      <c r="AR222" t="s">
        <v>12</v>
      </c>
      <c r="AS222" t="str">
        <f>+CONCATENATE(A222,"-",B222)</f>
        <v>FB01-1300</v>
      </c>
    </row>
    <row r="223" spans="1:45" ht="15" customHeight="1">
      <c r="A223" t="s">
        <v>216</v>
      </c>
      <c r="B223">
        <v>1248</v>
      </c>
      <c r="C223" t="s">
        <v>27</v>
      </c>
      <c r="D223" s="8">
        <v>45665</v>
      </c>
      <c r="E223" s="22">
        <v>45964</v>
      </c>
      <c r="F223" t="s">
        <v>1325</v>
      </c>
      <c r="H223">
        <v>6</v>
      </c>
      <c r="I223">
        <v>20516587874</v>
      </c>
      <c r="J223" t="s">
        <v>2779</v>
      </c>
      <c r="K223" s="8">
        <v>45665</v>
      </c>
      <c r="Q223">
        <v>17751</v>
      </c>
      <c r="R223">
        <v>870</v>
      </c>
      <c r="S223" t="s">
        <v>1299</v>
      </c>
      <c r="T223" t="s">
        <v>215</v>
      </c>
      <c r="U223">
        <v>1</v>
      </c>
      <c r="V223">
        <v>54.75</v>
      </c>
      <c r="W223">
        <v>64.599999999999994</v>
      </c>
      <c r="X223">
        <v>0</v>
      </c>
      <c r="Y223">
        <v>54.75</v>
      </c>
      <c r="Z223">
        <v>18</v>
      </c>
      <c r="AA223">
        <v>9.85</v>
      </c>
      <c r="AB223">
        <v>64.599999999999994</v>
      </c>
      <c r="AC223">
        <v>1</v>
      </c>
      <c r="AD223">
        <v>1</v>
      </c>
      <c r="AE223" t="s">
        <v>232</v>
      </c>
      <c r="AF223" t="s">
        <v>29</v>
      </c>
      <c r="AG223">
        <v>2</v>
      </c>
      <c r="AH223" t="s">
        <v>25</v>
      </c>
      <c r="AI223">
        <v>1106</v>
      </c>
      <c r="AJ223" t="s">
        <v>239</v>
      </c>
      <c r="AK223" t="s">
        <v>1237</v>
      </c>
      <c r="AP223">
        <v>1116</v>
      </c>
      <c r="AQ223" t="s">
        <v>1325</v>
      </c>
      <c r="AR223" t="s">
        <v>12</v>
      </c>
      <c r="AS223" t="str">
        <f>+CONCATENATE(A223,"-",B223)</f>
        <v>FB01-1248</v>
      </c>
    </row>
    <row r="224" spans="1:45" ht="15" customHeight="1">
      <c r="A224" t="s">
        <v>1214</v>
      </c>
      <c r="B224" s="21" t="s">
        <v>177</v>
      </c>
      <c r="C224" t="s">
        <v>27</v>
      </c>
      <c r="D224" s="8">
        <v>45946</v>
      </c>
      <c r="E224" s="22">
        <v>45964.748703703706</v>
      </c>
      <c r="F224" t="s">
        <v>1636</v>
      </c>
      <c r="H224">
        <v>1</v>
      </c>
      <c r="I224">
        <v>48505208</v>
      </c>
      <c r="J224" t="s">
        <v>2716</v>
      </c>
      <c r="K224" s="8">
        <v>45946</v>
      </c>
      <c r="Q224">
        <v>31349</v>
      </c>
      <c r="R224">
        <v>216</v>
      </c>
      <c r="S224" t="s">
        <v>1300</v>
      </c>
      <c r="T224" t="s">
        <v>163</v>
      </c>
      <c r="U224">
        <v>1</v>
      </c>
      <c r="V224">
        <v>55.08</v>
      </c>
      <c r="W224">
        <v>64.989999999999995</v>
      </c>
      <c r="X224">
        <v>0</v>
      </c>
      <c r="Y224">
        <v>55.08</v>
      </c>
      <c r="Z224">
        <v>18</v>
      </c>
      <c r="AA224">
        <v>9.91</v>
      </c>
      <c r="AB224">
        <v>64.989999999999995</v>
      </c>
      <c r="AC224">
        <v>1</v>
      </c>
      <c r="AD224">
        <v>1</v>
      </c>
      <c r="AE224" t="s">
        <v>1411</v>
      </c>
      <c r="AF224" t="s">
        <v>1412</v>
      </c>
      <c r="AG224">
        <v>2</v>
      </c>
      <c r="AH224" t="s">
        <v>25</v>
      </c>
      <c r="AI224">
        <v>6936</v>
      </c>
      <c r="AJ224" t="s">
        <v>1437</v>
      </c>
      <c r="AK224" t="s">
        <v>1433</v>
      </c>
      <c r="AL224">
        <v>3070</v>
      </c>
      <c r="AM224" t="s">
        <v>1659</v>
      </c>
      <c r="AN224" s="8">
        <v>45926</v>
      </c>
      <c r="AO224" s="8">
        <v>45926</v>
      </c>
      <c r="AP224">
        <v>5080</v>
      </c>
      <c r="AQ224" t="s">
        <v>1636</v>
      </c>
      <c r="AR224" t="s">
        <v>1295</v>
      </c>
      <c r="AS224" t="str">
        <f>+CONCATENATE(A224,"-",B224)</f>
        <v>(03) Boleta BOB1-00000038</v>
      </c>
    </row>
    <row r="225" spans="1:45" ht="15" customHeight="1">
      <c r="A225" t="s">
        <v>1216</v>
      </c>
      <c r="B225" s="21" t="s">
        <v>2510</v>
      </c>
      <c r="C225" t="s">
        <v>27</v>
      </c>
      <c r="D225" s="8">
        <v>45959</v>
      </c>
      <c r="E225" s="22">
        <v>45964.624722222223</v>
      </c>
      <c r="F225" t="s">
        <v>1787</v>
      </c>
      <c r="G225" t="s">
        <v>158</v>
      </c>
      <c r="H225">
        <v>6</v>
      </c>
      <c r="I225">
        <v>20168142375</v>
      </c>
      <c r="J225" t="s">
        <v>2685</v>
      </c>
      <c r="K225" s="8">
        <v>45959</v>
      </c>
      <c r="Q225">
        <v>32849</v>
      </c>
      <c r="R225">
        <v>1786</v>
      </c>
      <c r="S225" t="s">
        <v>1299</v>
      </c>
      <c r="T225" t="s">
        <v>163</v>
      </c>
      <c r="U225">
        <v>1</v>
      </c>
      <c r="V225">
        <v>56.59</v>
      </c>
      <c r="W225">
        <v>66.78</v>
      </c>
      <c r="X225">
        <v>0</v>
      </c>
      <c r="Y225">
        <v>56.59</v>
      </c>
      <c r="Z225">
        <v>18</v>
      </c>
      <c r="AA225">
        <v>10.19</v>
      </c>
      <c r="AB225">
        <v>66.78</v>
      </c>
      <c r="AC225">
        <v>1</v>
      </c>
      <c r="AD225">
        <v>1</v>
      </c>
      <c r="AE225" t="s">
        <v>1411</v>
      </c>
      <c r="AF225" t="s">
        <v>1412</v>
      </c>
      <c r="AG225">
        <v>2</v>
      </c>
      <c r="AH225" t="s">
        <v>25</v>
      </c>
      <c r="AI225">
        <v>6937</v>
      </c>
      <c r="AJ225" t="s">
        <v>1414</v>
      </c>
      <c r="AK225" t="s">
        <v>1251</v>
      </c>
      <c r="AL225">
        <v>3264</v>
      </c>
      <c r="AM225" t="s">
        <v>2507</v>
      </c>
      <c r="AN225" s="8">
        <v>45949</v>
      </c>
      <c r="AO225" s="8">
        <v>45949</v>
      </c>
      <c r="AP225">
        <v>388</v>
      </c>
      <c r="AQ225" t="s">
        <v>1787</v>
      </c>
      <c r="AR225" t="s">
        <v>12</v>
      </c>
      <c r="AS225" t="str">
        <f>+CONCATENATE(A225,"-",B225)</f>
        <v>(01) Factura FOF1-00000194</v>
      </c>
    </row>
    <row r="226" spans="1:45" ht="15" customHeight="1">
      <c r="A226" t="s">
        <v>216</v>
      </c>
      <c r="B226">
        <v>1260</v>
      </c>
      <c r="C226" t="s">
        <v>27</v>
      </c>
      <c r="D226" s="8">
        <v>45672</v>
      </c>
      <c r="E226" s="22">
        <v>45964</v>
      </c>
      <c r="F226" t="s">
        <v>1325</v>
      </c>
      <c r="H226">
        <v>6</v>
      </c>
      <c r="I226">
        <v>20516587874</v>
      </c>
      <c r="J226" t="s">
        <v>2776</v>
      </c>
      <c r="K226" s="8">
        <v>45672</v>
      </c>
      <c r="Q226">
        <v>17769</v>
      </c>
      <c r="R226">
        <v>870</v>
      </c>
      <c r="S226" t="s">
        <v>1299</v>
      </c>
      <c r="T226" t="s">
        <v>215</v>
      </c>
      <c r="U226">
        <v>1</v>
      </c>
      <c r="V226">
        <v>56.69</v>
      </c>
      <c r="W226">
        <v>66.900000000000006</v>
      </c>
      <c r="X226">
        <v>0</v>
      </c>
      <c r="Y226">
        <v>56.69</v>
      </c>
      <c r="Z226">
        <v>18</v>
      </c>
      <c r="AA226">
        <v>10.210000000000001</v>
      </c>
      <c r="AB226">
        <v>66.900000000000006</v>
      </c>
      <c r="AC226">
        <v>1</v>
      </c>
      <c r="AD226">
        <v>1</v>
      </c>
      <c r="AE226" t="s">
        <v>232</v>
      </c>
      <c r="AF226" t="s">
        <v>29</v>
      </c>
      <c r="AG226">
        <v>2</v>
      </c>
      <c r="AH226" t="s">
        <v>25</v>
      </c>
      <c r="AI226">
        <v>1106</v>
      </c>
      <c r="AJ226" t="s">
        <v>239</v>
      </c>
      <c r="AK226" t="s">
        <v>1237</v>
      </c>
      <c r="AP226">
        <v>1116</v>
      </c>
      <c r="AQ226" t="s">
        <v>1325</v>
      </c>
      <c r="AR226" t="s">
        <v>12</v>
      </c>
      <c r="AS226" t="str">
        <f>+CONCATENATE(A226,"-",B226)</f>
        <v>FB01-1260</v>
      </c>
    </row>
    <row r="227" spans="1:45" ht="15" customHeight="1">
      <c r="A227" t="s">
        <v>1214</v>
      </c>
      <c r="B227" s="21" t="s">
        <v>1655</v>
      </c>
      <c r="C227" t="s">
        <v>27</v>
      </c>
      <c r="D227" s="8">
        <v>45947</v>
      </c>
      <c r="E227" s="22">
        <v>45964.433865740742</v>
      </c>
      <c r="F227" t="s">
        <v>1640</v>
      </c>
      <c r="G227" t="s">
        <v>158</v>
      </c>
      <c r="H227">
        <v>1</v>
      </c>
      <c r="I227">
        <v>72327214</v>
      </c>
      <c r="J227" t="s">
        <v>1656</v>
      </c>
      <c r="K227" s="8">
        <v>45947</v>
      </c>
      <c r="Q227">
        <v>31636</v>
      </c>
      <c r="R227">
        <v>216</v>
      </c>
      <c r="S227" t="s">
        <v>1300</v>
      </c>
      <c r="T227" t="s">
        <v>163</v>
      </c>
      <c r="U227">
        <v>1</v>
      </c>
      <c r="V227">
        <v>57.1</v>
      </c>
      <c r="W227">
        <v>67.38</v>
      </c>
      <c r="X227">
        <v>0</v>
      </c>
      <c r="Y227">
        <v>57.1</v>
      </c>
      <c r="Z227">
        <v>18</v>
      </c>
      <c r="AA227">
        <v>10.28</v>
      </c>
      <c r="AB227">
        <v>67.38</v>
      </c>
      <c r="AC227">
        <v>1</v>
      </c>
      <c r="AD227">
        <v>1</v>
      </c>
      <c r="AE227" t="s">
        <v>1411</v>
      </c>
      <c r="AF227" t="s">
        <v>1412</v>
      </c>
      <c r="AG227">
        <v>2</v>
      </c>
      <c r="AH227" t="s">
        <v>25</v>
      </c>
      <c r="AI227">
        <v>6936</v>
      </c>
      <c r="AJ227" t="s">
        <v>1437</v>
      </c>
      <c r="AK227" t="s">
        <v>1433</v>
      </c>
      <c r="AL227">
        <v>3124</v>
      </c>
      <c r="AM227" t="s">
        <v>1651</v>
      </c>
      <c r="AN227" s="8">
        <v>45940</v>
      </c>
      <c r="AO227" s="8">
        <v>45940</v>
      </c>
      <c r="AP227">
        <v>416</v>
      </c>
      <c r="AQ227" t="s">
        <v>1640</v>
      </c>
      <c r="AR227" t="s">
        <v>1295</v>
      </c>
      <c r="AS227" t="str">
        <f>+CONCATENATE(A227,"-",B227)</f>
        <v>(03) Boleta BOB1-00000063</v>
      </c>
    </row>
    <row r="228" spans="1:45" ht="15" customHeight="1">
      <c r="A228" t="s">
        <v>1238</v>
      </c>
      <c r="B228">
        <v>743</v>
      </c>
      <c r="C228" t="s">
        <v>27</v>
      </c>
      <c r="D228" s="8">
        <v>45693</v>
      </c>
      <c r="E228" s="22">
        <v>45964</v>
      </c>
      <c r="F228" t="s">
        <v>1246</v>
      </c>
      <c r="G228" t="s">
        <v>158</v>
      </c>
      <c r="H228">
        <v>1</v>
      </c>
      <c r="I228">
        <v>19988495</v>
      </c>
      <c r="J228" t="s">
        <v>2734</v>
      </c>
      <c r="K228" s="8">
        <v>45693</v>
      </c>
      <c r="Q228">
        <v>18763</v>
      </c>
      <c r="R228">
        <v>871</v>
      </c>
      <c r="S228" t="s">
        <v>1316</v>
      </c>
      <c r="T228" t="s">
        <v>215</v>
      </c>
      <c r="U228">
        <v>1</v>
      </c>
      <c r="V228">
        <v>57.2</v>
      </c>
      <c r="W228">
        <v>67.5</v>
      </c>
      <c r="X228">
        <v>0</v>
      </c>
      <c r="Y228">
        <v>57.2</v>
      </c>
      <c r="Z228">
        <v>18</v>
      </c>
      <c r="AA228">
        <v>10.3</v>
      </c>
      <c r="AB228">
        <v>67.5</v>
      </c>
      <c r="AC228">
        <v>1</v>
      </c>
      <c r="AD228">
        <v>1</v>
      </c>
      <c r="AE228" t="s">
        <v>232</v>
      </c>
      <c r="AF228" t="s">
        <v>29</v>
      </c>
      <c r="AG228">
        <v>2</v>
      </c>
      <c r="AH228" t="s">
        <v>25</v>
      </c>
      <c r="AI228">
        <v>1106</v>
      </c>
      <c r="AJ228" t="s">
        <v>239</v>
      </c>
      <c r="AK228" t="s">
        <v>1237</v>
      </c>
      <c r="AP228">
        <v>432</v>
      </c>
      <c r="AQ228" t="s">
        <v>1246</v>
      </c>
      <c r="AR228" t="s">
        <v>1295</v>
      </c>
      <c r="AS228" t="str">
        <f>+CONCATENATE(A228,"-",B228)</f>
        <v>BB01-743</v>
      </c>
    </row>
    <row r="229" spans="1:45" ht="15" customHeight="1">
      <c r="A229" t="s">
        <v>216</v>
      </c>
      <c r="B229">
        <v>1187</v>
      </c>
      <c r="C229" t="s">
        <v>27</v>
      </c>
      <c r="D229" s="8">
        <v>45663</v>
      </c>
      <c r="E229" s="22">
        <v>45964</v>
      </c>
      <c r="F229" t="s">
        <v>490</v>
      </c>
      <c r="H229">
        <v>6</v>
      </c>
      <c r="I229">
        <v>20611587741</v>
      </c>
      <c r="J229" t="s">
        <v>2204</v>
      </c>
      <c r="K229" s="8">
        <v>45663</v>
      </c>
      <c r="Q229">
        <v>17178</v>
      </c>
      <c r="R229">
        <v>870</v>
      </c>
      <c r="S229" t="s">
        <v>1299</v>
      </c>
      <c r="T229" t="s">
        <v>215</v>
      </c>
      <c r="U229">
        <v>1</v>
      </c>
      <c r="V229">
        <v>58.39</v>
      </c>
      <c r="W229">
        <v>68.900000000000006</v>
      </c>
      <c r="X229">
        <v>0</v>
      </c>
      <c r="Y229">
        <v>58.39</v>
      </c>
      <c r="Z229">
        <v>18</v>
      </c>
      <c r="AA229">
        <v>10.51</v>
      </c>
      <c r="AB229">
        <v>68.900000000000006</v>
      </c>
      <c r="AC229">
        <v>1</v>
      </c>
      <c r="AD229">
        <v>1</v>
      </c>
      <c r="AE229" t="s">
        <v>232</v>
      </c>
      <c r="AF229" t="s">
        <v>29</v>
      </c>
      <c r="AG229">
        <v>2</v>
      </c>
      <c r="AH229" t="s">
        <v>25</v>
      </c>
      <c r="AI229">
        <v>1106</v>
      </c>
      <c r="AJ229" t="s">
        <v>239</v>
      </c>
      <c r="AK229" t="s">
        <v>1237</v>
      </c>
      <c r="AP229">
        <v>1130</v>
      </c>
      <c r="AQ229" t="s">
        <v>490</v>
      </c>
      <c r="AR229" t="s">
        <v>12</v>
      </c>
      <c r="AS229" t="str">
        <f>+CONCATENATE(A229,"-",B229)</f>
        <v>FB01-1187</v>
      </c>
    </row>
    <row r="230" spans="1:45" ht="15" customHeight="1">
      <c r="A230" t="s">
        <v>216</v>
      </c>
      <c r="B230">
        <v>1297</v>
      </c>
      <c r="C230" t="s">
        <v>27</v>
      </c>
      <c r="D230" s="8">
        <v>45680</v>
      </c>
      <c r="E230" s="22">
        <v>45964</v>
      </c>
      <c r="F230" t="s">
        <v>785</v>
      </c>
      <c r="H230">
        <v>6</v>
      </c>
      <c r="I230">
        <v>10165565784</v>
      </c>
      <c r="J230" t="s">
        <v>2074</v>
      </c>
      <c r="K230" s="8">
        <v>45680</v>
      </c>
      <c r="Q230">
        <v>17819</v>
      </c>
      <c r="R230">
        <v>870</v>
      </c>
      <c r="S230" t="s">
        <v>1299</v>
      </c>
      <c r="T230" t="s">
        <v>215</v>
      </c>
      <c r="U230">
        <v>1</v>
      </c>
      <c r="V230">
        <v>59.07</v>
      </c>
      <c r="W230">
        <v>69.7</v>
      </c>
      <c r="X230">
        <v>0</v>
      </c>
      <c r="Y230">
        <v>59.07</v>
      </c>
      <c r="Z230">
        <v>18</v>
      </c>
      <c r="AA230">
        <v>10.63</v>
      </c>
      <c r="AB230">
        <v>69.7</v>
      </c>
      <c r="AC230">
        <v>1</v>
      </c>
      <c r="AD230">
        <v>1</v>
      </c>
      <c r="AE230" t="s">
        <v>232</v>
      </c>
      <c r="AF230" t="s">
        <v>29</v>
      </c>
      <c r="AG230">
        <v>2</v>
      </c>
      <c r="AH230" t="s">
        <v>25</v>
      </c>
      <c r="AI230">
        <v>1106</v>
      </c>
      <c r="AJ230" t="s">
        <v>239</v>
      </c>
      <c r="AK230" t="s">
        <v>1237</v>
      </c>
      <c r="AP230">
        <v>1131</v>
      </c>
      <c r="AQ230" t="s">
        <v>785</v>
      </c>
      <c r="AR230" t="s">
        <v>12</v>
      </c>
      <c r="AS230" t="str">
        <f>+CONCATENATE(A230,"-",B230)</f>
        <v>FB01-1297</v>
      </c>
    </row>
    <row r="231" spans="1:45" ht="15" customHeight="1">
      <c r="A231" t="s">
        <v>1238</v>
      </c>
      <c r="B231">
        <v>649</v>
      </c>
      <c r="C231" t="s">
        <v>27</v>
      </c>
      <c r="D231" s="8">
        <v>45663</v>
      </c>
      <c r="E231" s="22">
        <v>45964</v>
      </c>
      <c r="F231" t="s">
        <v>1387</v>
      </c>
      <c r="H231">
        <v>1</v>
      </c>
      <c r="I231">
        <v>10690613</v>
      </c>
      <c r="J231" t="s">
        <v>2785</v>
      </c>
      <c r="K231" s="8">
        <v>45663</v>
      </c>
      <c r="Q231">
        <v>17218</v>
      </c>
      <c r="R231">
        <v>870</v>
      </c>
      <c r="S231" t="s">
        <v>1299</v>
      </c>
      <c r="T231" t="s">
        <v>215</v>
      </c>
      <c r="U231">
        <v>1</v>
      </c>
      <c r="V231">
        <v>59.15</v>
      </c>
      <c r="W231">
        <v>69.8</v>
      </c>
      <c r="X231">
        <v>0</v>
      </c>
      <c r="Y231">
        <v>59.15</v>
      </c>
      <c r="Z231">
        <v>18</v>
      </c>
      <c r="AA231">
        <v>10.65</v>
      </c>
      <c r="AB231">
        <v>69.8</v>
      </c>
      <c r="AC231">
        <v>1</v>
      </c>
      <c r="AD231">
        <v>1</v>
      </c>
      <c r="AE231" t="s">
        <v>232</v>
      </c>
      <c r="AF231" t="s">
        <v>29</v>
      </c>
      <c r="AG231">
        <v>2</v>
      </c>
      <c r="AH231" t="s">
        <v>25</v>
      </c>
      <c r="AI231">
        <v>1106</v>
      </c>
      <c r="AJ231" t="s">
        <v>239</v>
      </c>
      <c r="AK231" t="s">
        <v>1237</v>
      </c>
      <c r="AP231">
        <v>1157</v>
      </c>
      <c r="AQ231" t="s">
        <v>1387</v>
      </c>
      <c r="AR231" t="s">
        <v>1295</v>
      </c>
      <c r="AS231" t="str">
        <f>+CONCATENATE(A231,"-",B231)</f>
        <v>BB01-649</v>
      </c>
    </row>
    <row r="232" spans="1:45" ht="15" customHeight="1">
      <c r="A232" t="s">
        <v>1238</v>
      </c>
      <c r="B232">
        <v>648</v>
      </c>
      <c r="C232" t="s">
        <v>27</v>
      </c>
      <c r="D232" s="8">
        <v>45663</v>
      </c>
      <c r="E232" s="22">
        <v>45964</v>
      </c>
      <c r="F232" t="s">
        <v>1136</v>
      </c>
      <c r="H232">
        <v>1</v>
      </c>
      <c r="I232">
        <v>44835970</v>
      </c>
      <c r="J232" t="s">
        <v>2179</v>
      </c>
      <c r="K232" s="8">
        <v>45663</v>
      </c>
      <c r="Q232">
        <v>17206</v>
      </c>
      <c r="R232">
        <v>877</v>
      </c>
      <c r="S232" t="s">
        <v>1300</v>
      </c>
      <c r="T232" t="s">
        <v>215</v>
      </c>
      <c r="U232">
        <v>1</v>
      </c>
      <c r="V232">
        <v>59.66</v>
      </c>
      <c r="W232">
        <v>70.400000000000006</v>
      </c>
      <c r="X232">
        <v>0</v>
      </c>
      <c r="Y232">
        <v>59.66</v>
      </c>
      <c r="Z232">
        <v>18</v>
      </c>
      <c r="AA232">
        <v>10.74</v>
      </c>
      <c r="AB232">
        <v>70.400000000000006</v>
      </c>
      <c r="AC232">
        <v>1</v>
      </c>
      <c r="AD232">
        <v>1</v>
      </c>
      <c r="AE232" t="s">
        <v>232</v>
      </c>
      <c r="AF232" t="s">
        <v>29</v>
      </c>
      <c r="AG232">
        <v>2</v>
      </c>
      <c r="AH232" t="s">
        <v>25</v>
      </c>
      <c r="AI232">
        <v>1106</v>
      </c>
      <c r="AJ232" t="s">
        <v>239</v>
      </c>
      <c r="AK232" t="s">
        <v>1237</v>
      </c>
      <c r="AP232">
        <v>1156</v>
      </c>
      <c r="AQ232" t="s">
        <v>1136</v>
      </c>
      <c r="AR232" t="s">
        <v>1295</v>
      </c>
      <c r="AS232" t="str">
        <f>+CONCATENATE(A232,"-",B232)</f>
        <v>BB01-648</v>
      </c>
    </row>
    <row r="233" spans="1:45" ht="15" customHeight="1">
      <c r="A233" t="s">
        <v>1216</v>
      </c>
      <c r="B233" s="21" t="s">
        <v>1408</v>
      </c>
      <c r="C233" t="s">
        <v>27</v>
      </c>
      <c r="D233" s="8">
        <v>45957</v>
      </c>
      <c r="E233" s="22">
        <v>45964.766041666669</v>
      </c>
      <c r="F233" t="s">
        <v>1409</v>
      </c>
      <c r="H233">
        <v>6</v>
      </c>
      <c r="I233">
        <v>20604680795</v>
      </c>
      <c r="J233" t="s">
        <v>2689</v>
      </c>
      <c r="K233" s="8">
        <v>45957</v>
      </c>
      <c r="Q233">
        <v>32798</v>
      </c>
      <c r="R233">
        <v>2342</v>
      </c>
      <c r="S233" t="s">
        <v>1399</v>
      </c>
      <c r="T233" t="s">
        <v>163</v>
      </c>
      <c r="U233">
        <v>2</v>
      </c>
      <c r="V233">
        <v>30</v>
      </c>
      <c r="W233">
        <v>35.4</v>
      </c>
      <c r="X233">
        <v>0</v>
      </c>
      <c r="Y233">
        <v>60</v>
      </c>
      <c r="Z233">
        <v>18</v>
      </c>
      <c r="AA233">
        <v>10.8</v>
      </c>
      <c r="AB233">
        <v>70.8</v>
      </c>
      <c r="AC233">
        <v>1</v>
      </c>
      <c r="AD233">
        <v>1</v>
      </c>
      <c r="AE233" t="s">
        <v>1411</v>
      </c>
      <c r="AF233" t="s">
        <v>1412</v>
      </c>
      <c r="AG233">
        <v>2</v>
      </c>
      <c r="AH233" t="s">
        <v>25</v>
      </c>
      <c r="AI233">
        <v>6959</v>
      </c>
      <c r="AJ233" t="s">
        <v>1401</v>
      </c>
      <c r="AK233" t="s">
        <v>169</v>
      </c>
      <c r="AP233">
        <v>5214</v>
      </c>
      <c r="AQ233" t="s">
        <v>1409</v>
      </c>
      <c r="AR233" t="s">
        <v>12</v>
      </c>
      <c r="AS233" t="str">
        <f>+CONCATENATE(A233,"-",B233)</f>
        <v>(01) Factura FOF1-00000190</v>
      </c>
    </row>
    <row r="234" spans="1:45" ht="15" customHeight="1">
      <c r="A234" t="s">
        <v>1216</v>
      </c>
      <c r="B234" s="21" t="s">
        <v>1660</v>
      </c>
      <c r="C234" t="s">
        <v>27</v>
      </c>
      <c r="D234" s="8">
        <v>45947</v>
      </c>
      <c r="E234" s="22">
        <v>45964.402939814812</v>
      </c>
      <c r="F234" t="s">
        <v>1661</v>
      </c>
      <c r="H234">
        <v>6</v>
      </c>
      <c r="I234">
        <v>20609000415</v>
      </c>
      <c r="J234" t="s">
        <v>1662</v>
      </c>
      <c r="K234" s="8">
        <v>45947</v>
      </c>
      <c r="Q234">
        <v>31628</v>
      </c>
      <c r="R234">
        <v>2264</v>
      </c>
      <c r="S234" t="s">
        <v>1526</v>
      </c>
      <c r="T234" t="s">
        <v>215</v>
      </c>
      <c r="U234">
        <v>200</v>
      </c>
      <c r="V234">
        <v>0.3</v>
      </c>
      <c r="W234">
        <v>0.35</v>
      </c>
      <c r="X234">
        <v>0</v>
      </c>
      <c r="Y234">
        <v>60</v>
      </c>
      <c r="Z234">
        <v>18</v>
      </c>
      <c r="AA234">
        <v>10.8</v>
      </c>
      <c r="AB234">
        <v>70.8</v>
      </c>
      <c r="AC234">
        <v>1</v>
      </c>
      <c r="AD234">
        <v>1</v>
      </c>
      <c r="AE234" t="s">
        <v>1411</v>
      </c>
      <c r="AF234" t="s">
        <v>1412</v>
      </c>
      <c r="AG234">
        <v>16</v>
      </c>
      <c r="AH234" t="s">
        <v>1400</v>
      </c>
      <c r="AI234">
        <v>1106</v>
      </c>
      <c r="AJ234" t="s">
        <v>239</v>
      </c>
      <c r="AK234" t="s">
        <v>169</v>
      </c>
      <c r="AL234">
        <v>3177</v>
      </c>
      <c r="AM234" t="s">
        <v>1663</v>
      </c>
      <c r="AN234" s="8">
        <v>45934</v>
      </c>
      <c r="AO234" s="8">
        <v>45934</v>
      </c>
      <c r="AP234">
        <v>6104</v>
      </c>
      <c r="AQ234" t="s">
        <v>1661</v>
      </c>
      <c r="AR234" t="s">
        <v>12</v>
      </c>
      <c r="AS234" t="str">
        <f>+CONCATENATE(A234,"-",B234)</f>
        <v>(01) Factura FOF1-00000125</v>
      </c>
    </row>
    <row r="235" spans="1:45" ht="15" customHeight="1">
      <c r="A235" t="s">
        <v>1214</v>
      </c>
      <c r="B235" s="21" t="s">
        <v>198</v>
      </c>
      <c r="C235" t="s">
        <v>27</v>
      </c>
      <c r="D235" s="8">
        <v>45944</v>
      </c>
      <c r="E235" s="22">
        <v>45964.618923611109</v>
      </c>
      <c r="F235" t="s">
        <v>335</v>
      </c>
      <c r="G235" t="s">
        <v>158</v>
      </c>
      <c r="H235">
        <v>1</v>
      </c>
      <c r="I235">
        <v>43908595</v>
      </c>
      <c r="J235" t="s">
        <v>1883</v>
      </c>
      <c r="K235" s="8">
        <v>45944</v>
      </c>
      <c r="Q235">
        <v>31122</v>
      </c>
      <c r="R235">
        <v>2316</v>
      </c>
      <c r="S235" t="s">
        <v>1301</v>
      </c>
      <c r="T235" t="s">
        <v>163</v>
      </c>
      <c r="U235">
        <v>1</v>
      </c>
      <c r="V235">
        <v>60</v>
      </c>
      <c r="W235">
        <v>70.8</v>
      </c>
      <c r="X235">
        <v>0</v>
      </c>
      <c r="Y235">
        <v>60</v>
      </c>
      <c r="Z235">
        <v>18</v>
      </c>
      <c r="AA235">
        <v>10.8</v>
      </c>
      <c r="AB235">
        <v>70.8</v>
      </c>
      <c r="AC235">
        <v>1</v>
      </c>
      <c r="AD235">
        <v>1</v>
      </c>
      <c r="AE235" t="s">
        <v>1411</v>
      </c>
      <c r="AF235" t="s">
        <v>1412</v>
      </c>
      <c r="AG235">
        <v>2</v>
      </c>
      <c r="AH235" t="s">
        <v>25</v>
      </c>
      <c r="AI235">
        <v>1106</v>
      </c>
      <c r="AJ235" t="s">
        <v>239</v>
      </c>
      <c r="AK235" t="s">
        <v>169</v>
      </c>
      <c r="AL235">
        <v>3123</v>
      </c>
      <c r="AM235" t="s">
        <v>334</v>
      </c>
      <c r="AN235" s="8">
        <v>45937</v>
      </c>
      <c r="AO235" s="8">
        <v>45937</v>
      </c>
      <c r="AP235">
        <v>393</v>
      </c>
      <c r="AQ235" t="s">
        <v>335</v>
      </c>
      <c r="AR235" t="s">
        <v>1295</v>
      </c>
      <c r="AS235" t="str">
        <f>+CONCATENATE(A235,"-",B235)</f>
        <v>(03) Boleta BOB1-00000009</v>
      </c>
    </row>
    <row r="236" spans="1:45" ht="15" customHeight="1">
      <c r="A236" t="s">
        <v>1238</v>
      </c>
      <c r="B236">
        <v>754</v>
      </c>
      <c r="C236" t="s">
        <v>27</v>
      </c>
      <c r="D236" s="8">
        <v>45695</v>
      </c>
      <c r="E236" s="22">
        <v>45964</v>
      </c>
      <c r="F236" t="s">
        <v>1239</v>
      </c>
      <c r="H236">
        <v>1</v>
      </c>
      <c r="I236">
        <v>72431289</v>
      </c>
      <c r="J236" t="s">
        <v>1910</v>
      </c>
      <c r="K236" s="8">
        <v>45695</v>
      </c>
      <c r="Q236">
        <v>18777</v>
      </c>
      <c r="R236">
        <v>870</v>
      </c>
      <c r="S236" t="s">
        <v>1299</v>
      </c>
      <c r="T236" t="s">
        <v>215</v>
      </c>
      <c r="U236">
        <v>1</v>
      </c>
      <c r="V236">
        <v>60</v>
      </c>
      <c r="W236">
        <v>70.8</v>
      </c>
      <c r="X236">
        <v>0</v>
      </c>
      <c r="Y236">
        <v>60</v>
      </c>
      <c r="Z236">
        <v>18</v>
      </c>
      <c r="AA236">
        <v>10.8</v>
      </c>
      <c r="AB236">
        <v>70.8</v>
      </c>
      <c r="AC236">
        <v>1</v>
      </c>
      <c r="AD236">
        <v>1</v>
      </c>
      <c r="AE236" t="s">
        <v>232</v>
      </c>
      <c r="AF236" t="s">
        <v>29</v>
      </c>
      <c r="AG236">
        <v>2</v>
      </c>
      <c r="AH236" t="s">
        <v>25</v>
      </c>
      <c r="AI236">
        <v>1106</v>
      </c>
      <c r="AJ236" t="s">
        <v>239</v>
      </c>
      <c r="AK236" t="s">
        <v>1237</v>
      </c>
      <c r="AP236">
        <v>1177</v>
      </c>
      <c r="AQ236" t="s">
        <v>1239</v>
      </c>
      <c r="AR236" t="s">
        <v>1295</v>
      </c>
      <c r="AS236" t="str">
        <f>+CONCATENATE(A236,"-",B236)</f>
        <v>BB01-754</v>
      </c>
    </row>
    <row r="237" spans="1:45" ht="15" customHeight="1">
      <c r="A237" t="s">
        <v>1216</v>
      </c>
      <c r="B237" s="21" t="s">
        <v>1700</v>
      </c>
      <c r="C237" t="s">
        <v>27</v>
      </c>
      <c r="D237" s="8">
        <v>45946</v>
      </c>
      <c r="E237" s="22">
        <v>45964.713275462964</v>
      </c>
      <c r="F237" t="s">
        <v>1824</v>
      </c>
      <c r="H237">
        <v>6</v>
      </c>
      <c r="I237">
        <v>10485350107</v>
      </c>
      <c r="J237" t="s">
        <v>2720</v>
      </c>
      <c r="K237" s="8">
        <v>45946</v>
      </c>
      <c r="Q237">
        <v>31316</v>
      </c>
      <c r="R237">
        <v>216</v>
      </c>
      <c r="S237" t="s">
        <v>1300</v>
      </c>
      <c r="T237" t="s">
        <v>163</v>
      </c>
      <c r="U237">
        <v>1</v>
      </c>
      <c r="V237">
        <v>61.02</v>
      </c>
      <c r="W237">
        <v>72</v>
      </c>
      <c r="X237">
        <v>0</v>
      </c>
      <c r="Y237">
        <v>61.02</v>
      </c>
      <c r="Z237">
        <v>18</v>
      </c>
      <c r="AA237">
        <v>10.98</v>
      </c>
      <c r="AB237">
        <v>72</v>
      </c>
      <c r="AC237">
        <v>1</v>
      </c>
      <c r="AD237">
        <v>1</v>
      </c>
      <c r="AE237" t="s">
        <v>1411</v>
      </c>
      <c r="AF237" t="s">
        <v>1412</v>
      </c>
      <c r="AG237">
        <v>2</v>
      </c>
      <c r="AH237" t="s">
        <v>25</v>
      </c>
      <c r="AI237">
        <v>6936</v>
      </c>
      <c r="AJ237" t="s">
        <v>1437</v>
      </c>
      <c r="AK237" t="s">
        <v>1433</v>
      </c>
      <c r="AL237">
        <v>3156</v>
      </c>
      <c r="AM237" t="s">
        <v>1825</v>
      </c>
      <c r="AN237" s="8">
        <v>45935</v>
      </c>
      <c r="AO237" s="8">
        <v>45935</v>
      </c>
      <c r="AP237">
        <v>5974</v>
      </c>
      <c r="AQ237" t="s">
        <v>1824</v>
      </c>
      <c r="AR237" t="s">
        <v>12</v>
      </c>
      <c r="AS237" t="str">
        <f>+CONCATENATE(A237,"-",B237)</f>
        <v>(01) Factura FOF1-00000054</v>
      </c>
    </row>
    <row r="238" spans="1:45" ht="15" customHeight="1">
      <c r="A238" t="s">
        <v>1238</v>
      </c>
      <c r="B238">
        <v>664</v>
      </c>
      <c r="C238" t="s">
        <v>27</v>
      </c>
      <c r="D238" s="8">
        <v>45672</v>
      </c>
      <c r="E238" s="22">
        <v>45964</v>
      </c>
      <c r="F238" t="s">
        <v>942</v>
      </c>
      <c r="H238">
        <v>1</v>
      </c>
      <c r="I238">
        <v>47929429</v>
      </c>
      <c r="J238" t="s">
        <v>2775</v>
      </c>
      <c r="K238" s="8">
        <v>45672</v>
      </c>
      <c r="Q238">
        <v>18785</v>
      </c>
      <c r="R238">
        <v>878</v>
      </c>
      <c r="S238" t="s">
        <v>1334</v>
      </c>
      <c r="T238" t="s">
        <v>215</v>
      </c>
      <c r="U238">
        <v>1</v>
      </c>
      <c r="V238">
        <v>61.02</v>
      </c>
      <c r="W238">
        <v>72</v>
      </c>
      <c r="X238">
        <v>0</v>
      </c>
      <c r="Y238">
        <v>61.02</v>
      </c>
      <c r="Z238">
        <v>18</v>
      </c>
      <c r="AA238">
        <v>10.98</v>
      </c>
      <c r="AB238">
        <v>72</v>
      </c>
      <c r="AC238">
        <v>1</v>
      </c>
      <c r="AD238">
        <v>1</v>
      </c>
      <c r="AE238" t="s">
        <v>232</v>
      </c>
      <c r="AF238" t="s">
        <v>29</v>
      </c>
      <c r="AG238">
        <v>2</v>
      </c>
      <c r="AH238" t="s">
        <v>25</v>
      </c>
      <c r="AI238">
        <v>1106</v>
      </c>
      <c r="AJ238" t="s">
        <v>239</v>
      </c>
      <c r="AK238" t="s">
        <v>1237</v>
      </c>
      <c r="AP238">
        <v>1161</v>
      </c>
      <c r="AQ238" s="28" t="s">
        <v>1269</v>
      </c>
      <c r="AR238" t="s">
        <v>1295</v>
      </c>
      <c r="AS238" t="str">
        <f>+CONCATENATE(A238,"-",B238)</f>
        <v>BB01-664</v>
      </c>
    </row>
    <row r="239" spans="1:45" ht="15" customHeight="1">
      <c r="A239" t="s">
        <v>1214</v>
      </c>
      <c r="B239" s="21" t="s">
        <v>1731</v>
      </c>
      <c r="C239" t="s">
        <v>27</v>
      </c>
      <c r="D239" s="8">
        <v>45946</v>
      </c>
      <c r="E239" s="22">
        <v>45964.824421296296</v>
      </c>
      <c r="F239" t="s">
        <v>1732</v>
      </c>
      <c r="H239">
        <v>1</v>
      </c>
      <c r="I239">
        <v>71004910</v>
      </c>
      <c r="J239" t="s">
        <v>1733</v>
      </c>
      <c r="K239" s="8">
        <v>45946</v>
      </c>
      <c r="Q239">
        <v>31527</v>
      </c>
      <c r="R239">
        <v>2274</v>
      </c>
      <c r="S239" t="s">
        <v>1255</v>
      </c>
      <c r="T239" t="s">
        <v>215</v>
      </c>
      <c r="U239">
        <v>1</v>
      </c>
      <c r="V239">
        <v>62.5</v>
      </c>
      <c r="W239">
        <v>73.75</v>
      </c>
      <c r="X239">
        <v>0</v>
      </c>
      <c r="Y239">
        <v>62.5</v>
      </c>
      <c r="Z239">
        <v>18</v>
      </c>
      <c r="AA239">
        <v>11.25</v>
      </c>
      <c r="AB239">
        <v>73.75</v>
      </c>
      <c r="AC239">
        <v>1</v>
      </c>
      <c r="AD239">
        <v>1</v>
      </c>
      <c r="AE239" t="s">
        <v>1411</v>
      </c>
      <c r="AF239" t="s">
        <v>1412</v>
      </c>
      <c r="AG239">
        <v>2</v>
      </c>
      <c r="AH239" t="s">
        <v>25</v>
      </c>
      <c r="AI239">
        <v>6937</v>
      </c>
      <c r="AJ239" t="s">
        <v>1414</v>
      </c>
      <c r="AK239" t="s">
        <v>1433</v>
      </c>
      <c r="AL239">
        <v>3176</v>
      </c>
      <c r="AM239" t="s">
        <v>1734</v>
      </c>
      <c r="AN239" s="8">
        <v>45938</v>
      </c>
      <c r="AO239" s="8">
        <v>45938</v>
      </c>
      <c r="AP239">
        <v>6085</v>
      </c>
      <c r="AQ239" t="s">
        <v>1522</v>
      </c>
      <c r="AR239" t="s">
        <v>12</v>
      </c>
      <c r="AS239" t="str">
        <f>+CONCATENATE(A239,"-",B239)</f>
        <v>(03) Boleta BOB1-00000050</v>
      </c>
    </row>
    <row r="240" spans="1:45" ht="15" customHeight="1">
      <c r="A240" t="s">
        <v>1216</v>
      </c>
      <c r="B240" s="21" t="s">
        <v>1739</v>
      </c>
      <c r="C240" t="s">
        <v>27</v>
      </c>
      <c r="D240" s="8">
        <v>45946</v>
      </c>
      <c r="E240" s="22">
        <v>45964.823472222219</v>
      </c>
      <c r="F240" t="s">
        <v>1522</v>
      </c>
      <c r="H240">
        <v>6</v>
      </c>
      <c r="I240">
        <v>20611536705</v>
      </c>
      <c r="J240" t="s">
        <v>1740</v>
      </c>
      <c r="K240" s="8">
        <v>45946</v>
      </c>
      <c r="Q240">
        <v>31518</v>
      </c>
      <c r="R240">
        <v>2274</v>
      </c>
      <c r="S240" t="s">
        <v>1255</v>
      </c>
      <c r="T240" t="s">
        <v>215</v>
      </c>
      <c r="U240">
        <v>1</v>
      </c>
      <c r="V240">
        <v>62.5</v>
      </c>
      <c r="W240">
        <v>73.75</v>
      </c>
      <c r="X240">
        <v>0</v>
      </c>
      <c r="Y240">
        <v>62.5</v>
      </c>
      <c r="Z240">
        <v>18</v>
      </c>
      <c r="AA240">
        <v>11.25</v>
      </c>
      <c r="AB240">
        <v>73.75</v>
      </c>
      <c r="AC240">
        <v>1</v>
      </c>
      <c r="AD240">
        <v>1</v>
      </c>
      <c r="AE240" t="s">
        <v>1411</v>
      </c>
      <c r="AF240" t="s">
        <v>1412</v>
      </c>
      <c r="AG240">
        <v>2</v>
      </c>
      <c r="AH240" t="s">
        <v>25</v>
      </c>
      <c r="AI240">
        <v>6937</v>
      </c>
      <c r="AJ240" t="s">
        <v>1414</v>
      </c>
      <c r="AK240" t="s">
        <v>1433</v>
      </c>
      <c r="AL240">
        <v>3176</v>
      </c>
      <c r="AM240" t="s">
        <v>1734</v>
      </c>
      <c r="AN240" s="8">
        <v>45938</v>
      </c>
      <c r="AO240" s="8">
        <v>45938</v>
      </c>
      <c r="AP240">
        <v>6085</v>
      </c>
      <c r="AQ240" t="s">
        <v>1522</v>
      </c>
      <c r="AR240" t="s">
        <v>12</v>
      </c>
      <c r="AS240" t="str">
        <f>+CONCATENATE(A240,"-",B240)</f>
        <v>(01) Factura FOF1-00000105</v>
      </c>
    </row>
    <row r="241" spans="1:45" ht="15" customHeight="1">
      <c r="A241" t="s">
        <v>1214</v>
      </c>
      <c r="B241" s="21" t="s">
        <v>190</v>
      </c>
      <c r="C241" t="s">
        <v>27</v>
      </c>
      <c r="D241" s="8">
        <v>45945</v>
      </c>
      <c r="E241" s="22">
        <v>45964.757743055554</v>
      </c>
      <c r="F241" t="s">
        <v>281</v>
      </c>
      <c r="H241">
        <v>1</v>
      </c>
      <c r="I241">
        <v>73252959</v>
      </c>
      <c r="J241" t="s">
        <v>1856</v>
      </c>
      <c r="K241" s="8">
        <v>45945</v>
      </c>
      <c r="Q241">
        <v>31208</v>
      </c>
      <c r="R241">
        <v>2317</v>
      </c>
      <c r="S241" t="s">
        <v>1248</v>
      </c>
      <c r="T241" t="s">
        <v>163</v>
      </c>
      <c r="U241">
        <v>1</v>
      </c>
      <c r="V241">
        <v>63</v>
      </c>
      <c r="W241">
        <v>74.34</v>
      </c>
      <c r="X241">
        <v>0</v>
      </c>
      <c r="Y241">
        <v>63</v>
      </c>
      <c r="Z241">
        <v>18</v>
      </c>
      <c r="AA241">
        <v>11.34</v>
      </c>
      <c r="AB241">
        <v>74.34</v>
      </c>
      <c r="AC241">
        <v>1</v>
      </c>
      <c r="AD241">
        <v>1</v>
      </c>
      <c r="AE241" t="s">
        <v>1411</v>
      </c>
      <c r="AF241" t="s">
        <v>1412</v>
      </c>
      <c r="AG241">
        <v>2</v>
      </c>
      <c r="AH241" t="s">
        <v>25</v>
      </c>
      <c r="AI241">
        <v>1106</v>
      </c>
      <c r="AJ241" t="s">
        <v>239</v>
      </c>
      <c r="AK241" t="s">
        <v>169</v>
      </c>
      <c r="AL241">
        <v>3030</v>
      </c>
      <c r="AM241" t="s">
        <v>1225</v>
      </c>
      <c r="AN241" s="8">
        <v>45934</v>
      </c>
      <c r="AO241" s="8">
        <v>45934</v>
      </c>
      <c r="AP241">
        <v>5605</v>
      </c>
      <c r="AQ241" t="s">
        <v>281</v>
      </c>
      <c r="AR241" t="s">
        <v>1295</v>
      </c>
      <c r="AS241" t="str">
        <f>+CONCATENATE(A241,"-",B241)</f>
        <v>(03) Boleta BOB1-00000022</v>
      </c>
    </row>
    <row r="242" spans="1:45" ht="15" customHeight="1">
      <c r="A242" t="s">
        <v>1216</v>
      </c>
      <c r="B242" s="21" t="s">
        <v>1693</v>
      </c>
      <c r="C242" t="s">
        <v>27</v>
      </c>
      <c r="D242" s="8">
        <v>45946</v>
      </c>
      <c r="E242" s="22">
        <v>45964.71634259259</v>
      </c>
      <c r="F242" t="s">
        <v>1668</v>
      </c>
      <c r="H242">
        <v>6</v>
      </c>
      <c r="I242">
        <v>10749980163</v>
      </c>
      <c r="J242" t="s">
        <v>1823</v>
      </c>
      <c r="K242" s="8">
        <v>45946</v>
      </c>
      <c r="Q242">
        <v>31325</v>
      </c>
      <c r="R242">
        <v>1786</v>
      </c>
      <c r="S242" t="s">
        <v>1299</v>
      </c>
      <c r="T242" t="s">
        <v>163</v>
      </c>
      <c r="U242">
        <v>1</v>
      </c>
      <c r="V242">
        <v>63.39</v>
      </c>
      <c r="W242">
        <v>74.8</v>
      </c>
      <c r="X242">
        <v>0</v>
      </c>
      <c r="Y242">
        <v>63.39</v>
      </c>
      <c r="Z242">
        <v>18</v>
      </c>
      <c r="AA242">
        <v>11.41</v>
      </c>
      <c r="AB242">
        <v>74.8</v>
      </c>
      <c r="AC242">
        <v>1</v>
      </c>
      <c r="AD242">
        <v>1</v>
      </c>
      <c r="AE242" t="s">
        <v>1411</v>
      </c>
      <c r="AF242" t="s">
        <v>1412</v>
      </c>
      <c r="AG242">
        <v>2</v>
      </c>
      <c r="AH242" t="s">
        <v>25</v>
      </c>
      <c r="AI242">
        <v>6937</v>
      </c>
      <c r="AJ242" t="s">
        <v>1414</v>
      </c>
      <c r="AK242" t="s">
        <v>1251</v>
      </c>
      <c r="AL242">
        <v>3165</v>
      </c>
      <c r="AM242" t="s">
        <v>1667</v>
      </c>
      <c r="AN242" s="8">
        <v>45935</v>
      </c>
      <c r="AO242" s="8">
        <v>45935</v>
      </c>
      <c r="AP242">
        <v>5445</v>
      </c>
      <c r="AQ242" t="s">
        <v>1668</v>
      </c>
      <c r="AR242" t="s">
        <v>12</v>
      </c>
      <c r="AS242" t="str">
        <f>+CONCATENATE(A242,"-",B242)</f>
        <v>(01) Factura FOF1-00000057</v>
      </c>
    </row>
    <row r="243" spans="1:45" ht="15" customHeight="1">
      <c r="A243" t="s">
        <v>1238</v>
      </c>
      <c r="B243">
        <v>672</v>
      </c>
      <c r="C243" t="s">
        <v>27</v>
      </c>
      <c r="D243" s="8">
        <v>45680</v>
      </c>
      <c r="E243" s="22">
        <v>45964</v>
      </c>
      <c r="F243" t="s">
        <v>335</v>
      </c>
      <c r="G243" t="s">
        <v>158</v>
      </c>
      <c r="H243">
        <v>1</v>
      </c>
      <c r="I243">
        <v>43908595</v>
      </c>
      <c r="J243" t="s">
        <v>2089</v>
      </c>
      <c r="K243" s="8">
        <v>45680</v>
      </c>
      <c r="Q243">
        <v>17803</v>
      </c>
      <c r="R243">
        <v>992</v>
      </c>
      <c r="S243" t="s">
        <v>1224</v>
      </c>
      <c r="T243" t="s">
        <v>215</v>
      </c>
      <c r="U243">
        <v>1</v>
      </c>
      <c r="V243">
        <v>65</v>
      </c>
      <c r="W243">
        <v>76.7</v>
      </c>
      <c r="X243">
        <v>0</v>
      </c>
      <c r="Y243">
        <v>65</v>
      </c>
      <c r="Z243">
        <v>18</v>
      </c>
      <c r="AA243">
        <v>11.7</v>
      </c>
      <c r="AB243">
        <v>76.7</v>
      </c>
      <c r="AC243">
        <v>1</v>
      </c>
      <c r="AD243">
        <v>1</v>
      </c>
      <c r="AE243" t="s">
        <v>232</v>
      </c>
      <c r="AF243" t="s">
        <v>29</v>
      </c>
      <c r="AG243">
        <v>2</v>
      </c>
      <c r="AH243" t="s">
        <v>25</v>
      </c>
      <c r="AI243">
        <v>1106</v>
      </c>
      <c r="AJ243" t="s">
        <v>239</v>
      </c>
      <c r="AK243" t="s">
        <v>1237</v>
      </c>
      <c r="AP243">
        <v>393</v>
      </c>
      <c r="AQ243" t="s">
        <v>335</v>
      </c>
      <c r="AR243" t="s">
        <v>1295</v>
      </c>
      <c r="AS243" t="str">
        <f>+CONCATENATE(A243,"-",B243)</f>
        <v>BB01-672</v>
      </c>
    </row>
    <row r="244" spans="1:45" ht="15" customHeight="1">
      <c r="A244" t="s">
        <v>1216</v>
      </c>
      <c r="B244" s="21" t="s">
        <v>1698</v>
      </c>
      <c r="C244" t="s">
        <v>27</v>
      </c>
      <c r="D244" s="8">
        <v>45946</v>
      </c>
      <c r="E244" s="22">
        <v>45964.713587962964</v>
      </c>
      <c r="F244" t="s">
        <v>1824</v>
      </c>
      <c r="H244">
        <v>6</v>
      </c>
      <c r="I244">
        <v>10485350107</v>
      </c>
      <c r="J244" t="s">
        <v>2719</v>
      </c>
      <c r="K244" s="8">
        <v>45946</v>
      </c>
      <c r="Q244">
        <v>31319</v>
      </c>
      <c r="R244">
        <v>1786</v>
      </c>
      <c r="S244" t="s">
        <v>1299</v>
      </c>
      <c r="T244" t="s">
        <v>163</v>
      </c>
      <c r="U244">
        <v>1</v>
      </c>
      <c r="V244">
        <v>65.08</v>
      </c>
      <c r="W244">
        <v>76.790000000000006</v>
      </c>
      <c r="X244">
        <v>0</v>
      </c>
      <c r="Y244">
        <v>65.08</v>
      </c>
      <c r="Z244">
        <v>18</v>
      </c>
      <c r="AA244">
        <v>11.71</v>
      </c>
      <c r="AB244">
        <v>76.790000000000006</v>
      </c>
      <c r="AC244">
        <v>1</v>
      </c>
      <c r="AD244">
        <v>1</v>
      </c>
      <c r="AE244" t="s">
        <v>1411</v>
      </c>
      <c r="AF244" t="s">
        <v>1412</v>
      </c>
      <c r="AG244">
        <v>2</v>
      </c>
      <c r="AH244" t="s">
        <v>25</v>
      </c>
      <c r="AI244">
        <v>6937</v>
      </c>
      <c r="AJ244" t="s">
        <v>1414</v>
      </c>
      <c r="AK244" t="s">
        <v>1251</v>
      </c>
      <c r="AL244">
        <v>3156</v>
      </c>
      <c r="AM244" t="s">
        <v>1825</v>
      </c>
      <c r="AN244" s="8">
        <v>45935</v>
      </c>
      <c r="AO244" s="8">
        <v>45935</v>
      </c>
      <c r="AP244">
        <v>5974</v>
      </c>
      <c r="AQ244" t="s">
        <v>1824</v>
      </c>
      <c r="AR244" t="s">
        <v>12</v>
      </c>
      <c r="AS244" t="str">
        <f>+CONCATENATE(A244,"-",B244)</f>
        <v>(01) Factura FOF1-00000055</v>
      </c>
    </row>
    <row r="245" spans="1:45" ht="15" customHeight="1">
      <c r="A245" t="s">
        <v>1238</v>
      </c>
      <c r="B245">
        <v>646</v>
      </c>
      <c r="C245" t="s">
        <v>27</v>
      </c>
      <c r="D245" s="8">
        <v>45663</v>
      </c>
      <c r="E245" s="22">
        <v>45964</v>
      </c>
      <c r="F245" t="s">
        <v>1141</v>
      </c>
      <c r="G245" t="s">
        <v>158</v>
      </c>
      <c r="H245">
        <v>1</v>
      </c>
      <c r="I245">
        <v>10482943</v>
      </c>
      <c r="J245" t="s">
        <v>2181</v>
      </c>
      <c r="K245" s="8">
        <v>45663</v>
      </c>
      <c r="Q245">
        <v>17204</v>
      </c>
      <c r="R245">
        <v>877</v>
      </c>
      <c r="S245" t="s">
        <v>1300</v>
      </c>
      <c r="T245" t="s">
        <v>215</v>
      </c>
      <c r="U245">
        <v>1</v>
      </c>
      <c r="V245">
        <v>66.45</v>
      </c>
      <c r="W245">
        <v>78.41</v>
      </c>
      <c r="X245">
        <v>0</v>
      </c>
      <c r="Y245">
        <v>66.45</v>
      </c>
      <c r="Z245">
        <v>18</v>
      </c>
      <c r="AA245">
        <v>11.96</v>
      </c>
      <c r="AB245">
        <v>78.41</v>
      </c>
      <c r="AC245">
        <v>1</v>
      </c>
      <c r="AD245">
        <v>1</v>
      </c>
      <c r="AE245" t="s">
        <v>232</v>
      </c>
      <c r="AF245" t="s">
        <v>29</v>
      </c>
      <c r="AG245">
        <v>2</v>
      </c>
      <c r="AH245" t="s">
        <v>25</v>
      </c>
      <c r="AI245">
        <v>1106</v>
      </c>
      <c r="AJ245" t="s">
        <v>239</v>
      </c>
      <c r="AK245" t="s">
        <v>1237</v>
      </c>
      <c r="AP245">
        <v>411</v>
      </c>
      <c r="AQ245" t="s">
        <v>1141</v>
      </c>
      <c r="AR245" t="s">
        <v>1295</v>
      </c>
      <c r="AS245" t="str">
        <f>+CONCATENATE(A245,"-",B245)</f>
        <v>BB01-646</v>
      </c>
    </row>
    <row r="246" spans="1:45" ht="15" customHeight="1">
      <c r="A246" t="s">
        <v>216</v>
      </c>
      <c r="B246">
        <v>1301</v>
      </c>
      <c r="C246" t="s">
        <v>27</v>
      </c>
      <c r="D246" s="8">
        <v>45680</v>
      </c>
      <c r="E246" s="22">
        <v>45964</v>
      </c>
      <c r="F246" t="s">
        <v>442</v>
      </c>
      <c r="H246">
        <v>6</v>
      </c>
      <c r="I246">
        <v>20609584719</v>
      </c>
      <c r="J246" t="s">
        <v>2769</v>
      </c>
      <c r="K246" s="8">
        <v>45680</v>
      </c>
      <c r="Q246">
        <v>17823</v>
      </c>
      <c r="R246">
        <v>870</v>
      </c>
      <c r="S246" t="s">
        <v>1299</v>
      </c>
      <c r="T246" t="s">
        <v>215</v>
      </c>
      <c r="U246">
        <v>1</v>
      </c>
      <c r="V246">
        <v>66.69</v>
      </c>
      <c r="W246">
        <v>78.7</v>
      </c>
      <c r="X246">
        <v>0</v>
      </c>
      <c r="Y246">
        <v>66.69</v>
      </c>
      <c r="Z246">
        <v>18</v>
      </c>
      <c r="AA246">
        <v>12.01</v>
      </c>
      <c r="AB246">
        <v>78.7</v>
      </c>
      <c r="AC246">
        <v>1</v>
      </c>
      <c r="AD246">
        <v>1</v>
      </c>
      <c r="AE246" t="s">
        <v>232</v>
      </c>
      <c r="AF246" t="s">
        <v>29</v>
      </c>
      <c r="AG246">
        <v>2</v>
      </c>
      <c r="AH246" t="s">
        <v>25</v>
      </c>
      <c r="AI246">
        <v>1106</v>
      </c>
      <c r="AJ246" t="s">
        <v>239</v>
      </c>
      <c r="AK246" t="s">
        <v>1237</v>
      </c>
      <c r="AP246">
        <v>1145</v>
      </c>
      <c r="AQ246" t="s">
        <v>442</v>
      </c>
      <c r="AR246" t="s">
        <v>12</v>
      </c>
      <c r="AS246" t="str">
        <f>+CONCATENATE(A246,"-",B246)</f>
        <v>FB01-1301</v>
      </c>
    </row>
    <row r="247" spans="1:45" ht="15" customHeight="1">
      <c r="A247" t="s">
        <v>216</v>
      </c>
      <c r="B247">
        <v>1406</v>
      </c>
      <c r="C247" t="s">
        <v>27</v>
      </c>
      <c r="D247" s="8">
        <v>45693</v>
      </c>
      <c r="E247" s="22">
        <v>45964</v>
      </c>
      <c r="F247" t="s">
        <v>415</v>
      </c>
      <c r="H247">
        <v>6</v>
      </c>
      <c r="I247">
        <v>20611890746</v>
      </c>
      <c r="J247" t="s">
        <v>2740</v>
      </c>
      <c r="K247" s="8">
        <v>45693</v>
      </c>
      <c r="Q247">
        <v>18750</v>
      </c>
      <c r="R247">
        <v>877</v>
      </c>
      <c r="S247" t="s">
        <v>1300</v>
      </c>
      <c r="T247" t="s">
        <v>215</v>
      </c>
      <c r="U247">
        <v>1</v>
      </c>
      <c r="V247">
        <v>69.42</v>
      </c>
      <c r="W247">
        <v>81.92</v>
      </c>
      <c r="X247">
        <v>0</v>
      </c>
      <c r="Y247">
        <v>69.42</v>
      </c>
      <c r="Z247">
        <v>18</v>
      </c>
      <c r="AA247">
        <v>12.5</v>
      </c>
      <c r="AB247">
        <v>81.92</v>
      </c>
      <c r="AC247">
        <v>1</v>
      </c>
      <c r="AD247">
        <v>1</v>
      </c>
      <c r="AE247" t="s">
        <v>232</v>
      </c>
      <c r="AF247" t="s">
        <v>29</v>
      </c>
      <c r="AG247">
        <v>2</v>
      </c>
      <c r="AH247" t="s">
        <v>25</v>
      </c>
      <c r="AI247">
        <v>1106</v>
      </c>
      <c r="AJ247" t="s">
        <v>239</v>
      </c>
      <c r="AK247" t="s">
        <v>1237</v>
      </c>
      <c r="AP247">
        <v>1136</v>
      </c>
      <c r="AQ247" t="s">
        <v>415</v>
      </c>
      <c r="AR247" t="s">
        <v>12</v>
      </c>
      <c r="AS247" t="str">
        <f>+CONCATENATE(A247,"-",B247)</f>
        <v>FB01-1406</v>
      </c>
    </row>
    <row r="248" spans="1:45" ht="15" customHeight="1">
      <c r="A248" t="s">
        <v>1214</v>
      </c>
      <c r="B248" s="21" t="s">
        <v>1674</v>
      </c>
      <c r="C248" t="s">
        <v>27</v>
      </c>
      <c r="D248" s="8">
        <v>45959</v>
      </c>
      <c r="E248" s="22">
        <v>45964.711192129631</v>
      </c>
      <c r="F248" t="s">
        <v>1640</v>
      </c>
      <c r="G248" t="s">
        <v>158</v>
      </c>
      <c r="H248">
        <v>1</v>
      </c>
      <c r="I248">
        <v>72327214</v>
      </c>
      <c r="J248" t="s">
        <v>2644</v>
      </c>
      <c r="K248" s="8">
        <v>45959</v>
      </c>
      <c r="Q248">
        <v>32996</v>
      </c>
      <c r="R248">
        <v>1786</v>
      </c>
      <c r="S248" t="s">
        <v>1299</v>
      </c>
      <c r="T248" t="s">
        <v>163</v>
      </c>
      <c r="U248">
        <v>1</v>
      </c>
      <c r="V248">
        <v>72.459999999999994</v>
      </c>
      <c r="W248">
        <v>85.5</v>
      </c>
      <c r="X248">
        <v>0</v>
      </c>
      <c r="Y248">
        <v>72.459999999999994</v>
      </c>
      <c r="Z248">
        <v>18</v>
      </c>
      <c r="AA248">
        <v>13.04</v>
      </c>
      <c r="AB248">
        <v>85.5</v>
      </c>
      <c r="AC248">
        <v>1</v>
      </c>
      <c r="AD248">
        <v>1</v>
      </c>
      <c r="AE248" t="s">
        <v>1411</v>
      </c>
      <c r="AF248" t="s">
        <v>1412</v>
      </c>
      <c r="AG248">
        <v>2</v>
      </c>
      <c r="AH248" t="s">
        <v>25</v>
      </c>
      <c r="AI248">
        <v>6937</v>
      </c>
      <c r="AJ248" t="s">
        <v>1414</v>
      </c>
      <c r="AK248" t="s">
        <v>1251</v>
      </c>
      <c r="AL248">
        <v>3163</v>
      </c>
      <c r="AM248" t="s">
        <v>2472</v>
      </c>
      <c r="AN248" s="8">
        <v>45954</v>
      </c>
      <c r="AO248" s="8">
        <v>45954</v>
      </c>
      <c r="AP248">
        <v>416</v>
      </c>
      <c r="AQ248" t="s">
        <v>1640</v>
      </c>
      <c r="AR248" t="s">
        <v>1295</v>
      </c>
      <c r="AS248" t="str">
        <f>+CONCATENATE(A248,"-",B248)</f>
        <v>(03) Boleta BOB1-00000122</v>
      </c>
    </row>
    <row r="249" spans="1:45" ht="15" customHeight="1">
      <c r="A249" t="s">
        <v>1214</v>
      </c>
      <c r="B249" s="21" t="s">
        <v>204</v>
      </c>
      <c r="C249" t="s">
        <v>27</v>
      </c>
      <c r="D249" s="8">
        <v>45940</v>
      </c>
      <c r="E249" s="22">
        <v>45964.72996527778</v>
      </c>
      <c r="F249" t="s">
        <v>366</v>
      </c>
      <c r="H249">
        <v>1</v>
      </c>
      <c r="I249">
        <v>46377925</v>
      </c>
      <c r="J249" t="s">
        <v>2729</v>
      </c>
      <c r="K249" s="8">
        <v>45940</v>
      </c>
      <c r="Q249">
        <v>30996</v>
      </c>
      <c r="R249">
        <v>216</v>
      </c>
      <c r="S249" t="s">
        <v>1300</v>
      </c>
      <c r="T249" t="s">
        <v>163</v>
      </c>
      <c r="U249">
        <v>1</v>
      </c>
      <c r="V249">
        <v>73.47</v>
      </c>
      <c r="W249">
        <v>86.69</v>
      </c>
      <c r="X249">
        <v>0</v>
      </c>
      <c r="Y249">
        <v>73.47</v>
      </c>
      <c r="Z249">
        <v>18</v>
      </c>
      <c r="AA249">
        <v>13.22</v>
      </c>
      <c r="AB249">
        <v>86.69</v>
      </c>
      <c r="AC249">
        <v>1</v>
      </c>
      <c r="AD249">
        <v>1</v>
      </c>
      <c r="AE249" t="s">
        <v>1411</v>
      </c>
      <c r="AF249" t="s">
        <v>1412</v>
      </c>
      <c r="AG249">
        <v>2</v>
      </c>
      <c r="AH249" t="s">
        <v>25</v>
      </c>
      <c r="AI249">
        <v>1106</v>
      </c>
      <c r="AJ249" t="s">
        <v>239</v>
      </c>
      <c r="AK249" t="s">
        <v>169</v>
      </c>
      <c r="AL249">
        <v>3149</v>
      </c>
      <c r="AM249" t="s">
        <v>1232</v>
      </c>
      <c r="AN249" s="8">
        <v>45934</v>
      </c>
      <c r="AO249" s="8">
        <v>45934</v>
      </c>
      <c r="AP249">
        <v>5562</v>
      </c>
      <c r="AQ249" t="s">
        <v>366</v>
      </c>
      <c r="AR249" t="s">
        <v>1295</v>
      </c>
      <c r="AS249" t="str">
        <f>+CONCATENATE(A249,"-",B249)</f>
        <v>(03) Boleta BOB1-00000002</v>
      </c>
    </row>
    <row r="250" spans="1:45" ht="15" customHeight="1">
      <c r="A250" t="s">
        <v>1216</v>
      </c>
      <c r="B250" s="21" t="s">
        <v>1756</v>
      </c>
      <c r="C250" t="s">
        <v>27</v>
      </c>
      <c r="D250" s="8">
        <v>45946</v>
      </c>
      <c r="E250" s="22">
        <v>45964.802291666667</v>
      </c>
      <c r="F250" t="s">
        <v>1606</v>
      </c>
      <c r="H250">
        <v>6</v>
      </c>
      <c r="I250">
        <v>10427831812</v>
      </c>
      <c r="J250" t="s">
        <v>1757</v>
      </c>
      <c r="K250" s="8">
        <v>45946</v>
      </c>
      <c r="Q250">
        <v>31491</v>
      </c>
      <c r="R250">
        <v>216</v>
      </c>
      <c r="S250" t="s">
        <v>1300</v>
      </c>
      <c r="T250" t="s">
        <v>163</v>
      </c>
      <c r="U250">
        <v>1</v>
      </c>
      <c r="V250">
        <v>73.73</v>
      </c>
      <c r="W250">
        <v>87</v>
      </c>
      <c r="X250">
        <v>0</v>
      </c>
      <c r="Y250">
        <v>73.73</v>
      </c>
      <c r="Z250">
        <v>18</v>
      </c>
      <c r="AA250">
        <v>13.27</v>
      </c>
      <c r="AB250">
        <v>87</v>
      </c>
      <c r="AC250">
        <v>1</v>
      </c>
      <c r="AD250">
        <v>1</v>
      </c>
      <c r="AE250" t="s">
        <v>1411</v>
      </c>
      <c r="AF250" t="s">
        <v>1412</v>
      </c>
      <c r="AG250">
        <v>2</v>
      </c>
      <c r="AH250" t="s">
        <v>25</v>
      </c>
      <c r="AI250">
        <v>6936</v>
      </c>
      <c r="AJ250" t="s">
        <v>1437</v>
      </c>
      <c r="AK250" t="s">
        <v>1433</v>
      </c>
      <c r="AL250">
        <v>3197</v>
      </c>
      <c r="AM250" t="s">
        <v>1753</v>
      </c>
      <c r="AN250" s="8">
        <v>45941</v>
      </c>
      <c r="AO250" s="8">
        <v>45941</v>
      </c>
      <c r="AP250">
        <v>5519</v>
      </c>
      <c r="AQ250" t="s">
        <v>1606</v>
      </c>
      <c r="AR250" t="s">
        <v>12</v>
      </c>
      <c r="AS250" t="str">
        <f>+CONCATENATE(A250,"-",B250)</f>
        <v>(01) Factura FOF1-00000100</v>
      </c>
    </row>
    <row r="251" spans="1:45" ht="15" customHeight="1">
      <c r="A251" t="s">
        <v>1216</v>
      </c>
      <c r="B251" s="21" t="s">
        <v>1480</v>
      </c>
      <c r="C251" t="s">
        <v>27</v>
      </c>
      <c r="D251" s="8">
        <v>45954</v>
      </c>
      <c r="E251" s="22">
        <v>45964.597268518519</v>
      </c>
      <c r="F251" t="s">
        <v>1457</v>
      </c>
      <c r="H251">
        <v>6</v>
      </c>
      <c r="I251">
        <v>10737909609</v>
      </c>
      <c r="J251" t="s">
        <v>1481</v>
      </c>
      <c r="K251" s="8">
        <v>45954</v>
      </c>
      <c r="Q251">
        <v>32548</v>
      </c>
      <c r="R251">
        <v>224</v>
      </c>
      <c r="S251" t="s">
        <v>1305</v>
      </c>
      <c r="T251" t="s">
        <v>163</v>
      </c>
      <c r="U251">
        <v>1</v>
      </c>
      <c r="V251">
        <v>75</v>
      </c>
      <c r="W251">
        <v>88.5</v>
      </c>
      <c r="X251">
        <v>0</v>
      </c>
      <c r="Y251">
        <v>75</v>
      </c>
      <c r="Z251">
        <v>18</v>
      </c>
      <c r="AA251">
        <v>13.5</v>
      </c>
      <c r="AB251">
        <v>88.5</v>
      </c>
      <c r="AC251">
        <v>1</v>
      </c>
      <c r="AD251">
        <v>1</v>
      </c>
      <c r="AE251" t="s">
        <v>1411</v>
      </c>
      <c r="AF251" t="s">
        <v>1412</v>
      </c>
      <c r="AG251">
        <v>2</v>
      </c>
      <c r="AH251" t="s">
        <v>25</v>
      </c>
      <c r="AI251">
        <v>6959</v>
      </c>
      <c r="AJ251" t="s">
        <v>1401</v>
      </c>
      <c r="AK251" t="s">
        <v>1465</v>
      </c>
      <c r="AL251">
        <v>3079</v>
      </c>
      <c r="AM251" t="s">
        <v>1456</v>
      </c>
      <c r="AN251" s="8">
        <v>45921</v>
      </c>
      <c r="AO251" s="8">
        <v>45921</v>
      </c>
      <c r="AP251">
        <v>5597</v>
      </c>
      <c r="AQ251" t="s">
        <v>1457</v>
      </c>
      <c r="AR251" t="s">
        <v>12</v>
      </c>
      <c r="AS251" t="str">
        <f>+CONCATENATE(A251,"-",B251)</f>
        <v>(01) Factura FOF1-00000170</v>
      </c>
    </row>
    <row r="252" spans="1:45" ht="15" customHeight="1">
      <c r="A252" t="s">
        <v>1216</v>
      </c>
      <c r="B252" s="21" t="s">
        <v>192</v>
      </c>
      <c r="C252" t="s">
        <v>27</v>
      </c>
      <c r="D252" s="8">
        <v>45943</v>
      </c>
      <c r="E252" s="22">
        <v>45964.768680555557</v>
      </c>
      <c r="F252" t="s">
        <v>307</v>
      </c>
      <c r="H252">
        <v>6</v>
      </c>
      <c r="I252">
        <v>20509594903</v>
      </c>
      <c r="J252" t="s">
        <v>1894</v>
      </c>
      <c r="K252" s="8">
        <v>45943</v>
      </c>
      <c r="Q252">
        <v>31076</v>
      </c>
      <c r="R252">
        <v>2317</v>
      </c>
      <c r="S252" t="s">
        <v>1248</v>
      </c>
      <c r="T252" t="s">
        <v>163</v>
      </c>
      <c r="U252">
        <v>1</v>
      </c>
      <c r="V252">
        <v>75</v>
      </c>
      <c r="W252">
        <v>88.5</v>
      </c>
      <c r="X252">
        <v>0</v>
      </c>
      <c r="Y252">
        <v>75</v>
      </c>
      <c r="Z252">
        <v>18</v>
      </c>
      <c r="AA252">
        <v>13.5</v>
      </c>
      <c r="AB252">
        <v>88.5</v>
      </c>
      <c r="AC252">
        <v>1</v>
      </c>
      <c r="AD252">
        <v>1</v>
      </c>
      <c r="AE252" t="s">
        <v>1411</v>
      </c>
      <c r="AF252" t="s">
        <v>1412</v>
      </c>
      <c r="AG252">
        <v>2</v>
      </c>
      <c r="AH252" t="s">
        <v>25</v>
      </c>
      <c r="AI252">
        <v>1106</v>
      </c>
      <c r="AJ252" t="s">
        <v>239</v>
      </c>
      <c r="AK252" t="s">
        <v>169</v>
      </c>
      <c r="AL252">
        <v>3168</v>
      </c>
      <c r="AM252" t="s">
        <v>1230</v>
      </c>
      <c r="AN252" s="8">
        <v>45937</v>
      </c>
      <c r="AO252" s="8">
        <v>45937</v>
      </c>
      <c r="AP252">
        <v>5251</v>
      </c>
      <c r="AQ252" t="s">
        <v>307</v>
      </c>
      <c r="AR252" t="s">
        <v>12</v>
      </c>
      <c r="AS252" t="str">
        <f>+CONCATENATE(A252,"-",B252)</f>
        <v>(01) Factura FOF1-00000014</v>
      </c>
    </row>
    <row r="253" spans="1:45" ht="15" customHeight="1">
      <c r="A253" t="s">
        <v>216</v>
      </c>
      <c r="B253">
        <v>1189</v>
      </c>
      <c r="C253" t="s">
        <v>27</v>
      </c>
      <c r="D253" s="8">
        <v>45663</v>
      </c>
      <c r="E253" s="22">
        <v>45964</v>
      </c>
      <c r="F253" t="s">
        <v>1117</v>
      </c>
      <c r="H253">
        <v>6</v>
      </c>
      <c r="I253">
        <v>20555933020</v>
      </c>
      <c r="J253" t="s">
        <v>2199</v>
      </c>
      <c r="K253" s="8">
        <v>45663</v>
      </c>
      <c r="Q253">
        <v>17184</v>
      </c>
      <c r="R253">
        <v>877</v>
      </c>
      <c r="S253" t="s">
        <v>1300</v>
      </c>
      <c r="T253" t="s">
        <v>215</v>
      </c>
      <c r="U253">
        <v>1</v>
      </c>
      <c r="V253">
        <v>75.680000000000007</v>
      </c>
      <c r="W253">
        <v>89.3</v>
      </c>
      <c r="X253">
        <v>0</v>
      </c>
      <c r="Y253">
        <v>75.680000000000007</v>
      </c>
      <c r="Z253">
        <v>18</v>
      </c>
      <c r="AA253">
        <v>13.62</v>
      </c>
      <c r="AB253">
        <v>89.3</v>
      </c>
      <c r="AC253">
        <v>1</v>
      </c>
      <c r="AD253">
        <v>1</v>
      </c>
      <c r="AE253" t="s">
        <v>232</v>
      </c>
      <c r="AF253" t="s">
        <v>29</v>
      </c>
      <c r="AG253">
        <v>2</v>
      </c>
      <c r="AH253" t="s">
        <v>25</v>
      </c>
      <c r="AI253">
        <v>1106</v>
      </c>
      <c r="AJ253" t="s">
        <v>239</v>
      </c>
      <c r="AK253" t="s">
        <v>1237</v>
      </c>
      <c r="AP253">
        <v>1115</v>
      </c>
      <c r="AQ253" t="s">
        <v>1117</v>
      </c>
      <c r="AR253" t="s">
        <v>12</v>
      </c>
      <c r="AS253" t="str">
        <f>+CONCATENATE(A253,"-",B253)</f>
        <v>FB01-1189</v>
      </c>
    </row>
    <row r="254" spans="1:45" ht="15" customHeight="1">
      <c r="A254" t="s">
        <v>1216</v>
      </c>
      <c r="B254" s="21" t="s">
        <v>1506</v>
      </c>
      <c r="C254" t="s">
        <v>27</v>
      </c>
      <c r="D254" s="8">
        <v>45946</v>
      </c>
      <c r="E254" s="22">
        <v>45964.782847222225</v>
      </c>
      <c r="F254" t="s">
        <v>1787</v>
      </c>
      <c r="G254" t="s">
        <v>158</v>
      </c>
      <c r="H254">
        <v>6</v>
      </c>
      <c r="I254">
        <v>20168142375</v>
      </c>
      <c r="J254" t="s">
        <v>1788</v>
      </c>
      <c r="K254" s="8">
        <v>45946</v>
      </c>
      <c r="Q254">
        <v>31425</v>
      </c>
      <c r="R254">
        <v>2274</v>
      </c>
      <c r="S254" t="s">
        <v>1255</v>
      </c>
      <c r="T254" t="s">
        <v>215</v>
      </c>
      <c r="U254">
        <v>1</v>
      </c>
      <c r="V254">
        <v>76</v>
      </c>
      <c r="W254">
        <v>89.68</v>
      </c>
      <c r="X254">
        <v>0</v>
      </c>
      <c r="Y254">
        <v>76</v>
      </c>
      <c r="Z254">
        <v>18</v>
      </c>
      <c r="AA254">
        <v>13.68</v>
      </c>
      <c r="AB254">
        <v>89.68</v>
      </c>
      <c r="AC254">
        <v>1</v>
      </c>
      <c r="AD254">
        <v>1</v>
      </c>
      <c r="AE254" t="s">
        <v>1411</v>
      </c>
      <c r="AF254" t="s">
        <v>1412</v>
      </c>
      <c r="AG254">
        <v>2</v>
      </c>
      <c r="AH254" t="s">
        <v>25</v>
      </c>
      <c r="AI254">
        <v>6937</v>
      </c>
      <c r="AJ254" t="s">
        <v>1414</v>
      </c>
      <c r="AK254" t="s">
        <v>1433</v>
      </c>
      <c r="AL254">
        <v>3191</v>
      </c>
      <c r="AM254" t="s">
        <v>1789</v>
      </c>
      <c r="AN254" s="8">
        <v>45935</v>
      </c>
      <c r="AO254" s="8">
        <v>45935</v>
      </c>
      <c r="AP254">
        <v>388</v>
      </c>
      <c r="AQ254" t="s">
        <v>1787</v>
      </c>
      <c r="AR254" t="s">
        <v>12</v>
      </c>
      <c r="AS254" t="str">
        <f>+CONCATENATE(A254,"-",B254)</f>
        <v>(01) Factura FOF1-00000082</v>
      </c>
    </row>
    <row r="255" spans="1:45" ht="15" customHeight="1">
      <c r="A255" t="s">
        <v>1214</v>
      </c>
      <c r="B255" s="21" t="s">
        <v>179</v>
      </c>
      <c r="C255" t="s">
        <v>27</v>
      </c>
      <c r="D255" s="8">
        <v>45946</v>
      </c>
      <c r="E255" s="22">
        <v>45964.718715277777</v>
      </c>
      <c r="F255" t="s">
        <v>1820</v>
      </c>
      <c r="H255">
        <v>1</v>
      </c>
      <c r="I255">
        <v>70440013</v>
      </c>
      <c r="J255" t="s">
        <v>2717</v>
      </c>
      <c r="K255" s="8">
        <v>45946</v>
      </c>
      <c r="Q255">
        <v>31328</v>
      </c>
      <c r="R255">
        <v>216</v>
      </c>
      <c r="S255" t="s">
        <v>1300</v>
      </c>
      <c r="T255" t="s">
        <v>163</v>
      </c>
      <c r="U255">
        <v>1</v>
      </c>
      <c r="V255">
        <v>76.19</v>
      </c>
      <c r="W255">
        <v>89.9</v>
      </c>
      <c r="X255">
        <v>0</v>
      </c>
      <c r="Y255">
        <v>76.19</v>
      </c>
      <c r="Z255">
        <v>18</v>
      </c>
      <c r="AA255">
        <v>13.71</v>
      </c>
      <c r="AB255">
        <v>89.9</v>
      </c>
      <c r="AC255">
        <v>1</v>
      </c>
      <c r="AD255">
        <v>1</v>
      </c>
      <c r="AE255" t="s">
        <v>1411</v>
      </c>
      <c r="AF255" t="s">
        <v>1412</v>
      </c>
      <c r="AG255">
        <v>2</v>
      </c>
      <c r="AH255" t="s">
        <v>25</v>
      </c>
      <c r="AI255">
        <v>6936</v>
      </c>
      <c r="AJ255" t="s">
        <v>1437</v>
      </c>
      <c r="AK255" t="s">
        <v>1433</v>
      </c>
      <c r="AL255">
        <v>3015</v>
      </c>
      <c r="AM255" t="s">
        <v>1822</v>
      </c>
      <c r="AN255" s="8">
        <v>45934</v>
      </c>
      <c r="AO255" s="8">
        <v>45934</v>
      </c>
      <c r="AP255">
        <v>5600</v>
      </c>
      <c r="AQ255" t="s">
        <v>1820</v>
      </c>
      <c r="AR255" t="s">
        <v>1295</v>
      </c>
      <c r="AS255" t="str">
        <f>+CONCATENATE(A255,"-",B255)</f>
        <v>(03) Boleta BOB1-00000035</v>
      </c>
    </row>
    <row r="256" spans="1:45" ht="15" customHeight="1">
      <c r="A256" t="s">
        <v>216</v>
      </c>
      <c r="B256">
        <v>1347</v>
      </c>
      <c r="C256" t="s">
        <v>27</v>
      </c>
      <c r="D256" s="8">
        <v>45686</v>
      </c>
      <c r="E256" s="22">
        <v>45964</v>
      </c>
      <c r="F256" t="s">
        <v>627</v>
      </c>
      <c r="H256">
        <v>6</v>
      </c>
      <c r="I256">
        <v>20101214771</v>
      </c>
      <c r="J256" t="s">
        <v>2003</v>
      </c>
      <c r="K256" s="8">
        <v>45686</v>
      </c>
      <c r="Q256">
        <v>18660</v>
      </c>
      <c r="R256">
        <v>870</v>
      </c>
      <c r="S256" t="s">
        <v>1299</v>
      </c>
      <c r="T256" t="s">
        <v>215</v>
      </c>
      <c r="U256">
        <v>1</v>
      </c>
      <c r="V256">
        <v>79.150000000000006</v>
      </c>
      <c r="W256">
        <v>93.4</v>
      </c>
      <c r="X256">
        <v>0</v>
      </c>
      <c r="Y256">
        <v>79.150000000000006</v>
      </c>
      <c r="Z256">
        <v>18</v>
      </c>
      <c r="AA256">
        <v>14.25</v>
      </c>
      <c r="AB256">
        <v>93.4</v>
      </c>
      <c r="AC256">
        <v>1</v>
      </c>
      <c r="AD256">
        <v>1</v>
      </c>
      <c r="AE256" t="s">
        <v>232</v>
      </c>
      <c r="AF256" t="s">
        <v>29</v>
      </c>
      <c r="AG256">
        <v>2</v>
      </c>
      <c r="AH256" t="s">
        <v>25</v>
      </c>
      <c r="AI256">
        <v>1106</v>
      </c>
      <c r="AJ256" t="s">
        <v>239</v>
      </c>
      <c r="AK256" t="s">
        <v>1237</v>
      </c>
      <c r="AP256">
        <v>1137</v>
      </c>
      <c r="AQ256" t="s">
        <v>627</v>
      </c>
      <c r="AR256" t="s">
        <v>12</v>
      </c>
      <c r="AS256" t="str">
        <f>+CONCATENATE(A256,"-",B256)</f>
        <v>FB01-1347</v>
      </c>
    </row>
    <row r="257" spans="1:45" ht="15" customHeight="1">
      <c r="A257" t="s">
        <v>1214</v>
      </c>
      <c r="B257" s="21" t="s">
        <v>203</v>
      </c>
      <c r="C257" t="s">
        <v>27</v>
      </c>
      <c r="D257" s="8">
        <v>45941</v>
      </c>
      <c r="E257" s="22">
        <v>45964.433368055557</v>
      </c>
      <c r="F257" t="s">
        <v>366</v>
      </c>
      <c r="H257">
        <v>1</v>
      </c>
      <c r="I257">
        <v>46377925</v>
      </c>
      <c r="J257" t="s">
        <v>2728</v>
      </c>
      <c r="K257" s="8">
        <v>45941</v>
      </c>
      <c r="Q257">
        <v>31005</v>
      </c>
      <c r="R257">
        <v>1786</v>
      </c>
      <c r="S257" t="s">
        <v>1299</v>
      </c>
      <c r="T257" t="s">
        <v>163</v>
      </c>
      <c r="U257">
        <v>1</v>
      </c>
      <c r="V257">
        <v>79.75</v>
      </c>
      <c r="W257">
        <v>94.11</v>
      </c>
      <c r="X257">
        <v>0</v>
      </c>
      <c r="Y257">
        <v>79.75</v>
      </c>
      <c r="Z257">
        <v>18</v>
      </c>
      <c r="AA257">
        <v>14.36</v>
      </c>
      <c r="AB257">
        <v>94.11</v>
      </c>
      <c r="AC257">
        <v>1</v>
      </c>
      <c r="AD257">
        <v>1</v>
      </c>
      <c r="AE257" t="s">
        <v>1411</v>
      </c>
      <c r="AF257" t="s">
        <v>1412</v>
      </c>
      <c r="AG257">
        <v>2</v>
      </c>
      <c r="AH257" t="s">
        <v>25</v>
      </c>
      <c r="AI257">
        <v>1106</v>
      </c>
      <c r="AJ257" t="s">
        <v>239</v>
      </c>
      <c r="AK257" t="s">
        <v>169</v>
      </c>
      <c r="AL257">
        <v>3149</v>
      </c>
      <c r="AM257" t="s">
        <v>1232</v>
      </c>
      <c r="AN257" s="8">
        <v>45934</v>
      </c>
      <c r="AO257" s="8">
        <v>45934</v>
      </c>
      <c r="AP257">
        <v>5562</v>
      </c>
      <c r="AQ257" t="s">
        <v>366</v>
      </c>
      <c r="AR257" t="s">
        <v>1295</v>
      </c>
      <c r="AS257" t="str">
        <f>+CONCATENATE(A257,"-",B257)</f>
        <v>(03) Boleta BOB1-00000003</v>
      </c>
    </row>
    <row r="258" spans="1:45" ht="15" customHeight="1">
      <c r="A258" t="s">
        <v>1216</v>
      </c>
      <c r="B258" s="21" t="s">
        <v>2502</v>
      </c>
      <c r="C258" t="s">
        <v>27</v>
      </c>
      <c r="D258" s="8">
        <v>45959</v>
      </c>
      <c r="E258" s="22">
        <v>45964.628020833334</v>
      </c>
      <c r="F258" t="s">
        <v>34</v>
      </c>
      <c r="H258">
        <v>6</v>
      </c>
      <c r="I258">
        <v>20611018925</v>
      </c>
      <c r="J258" t="s">
        <v>2680</v>
      </c>
      <c r="K258" s="8">
        <v>45959</v>
      </c>
      <c r="Q258">
        <v>32864</v>
      </c>
      <c r="R258">
        <v>2276</v>
      </c>
      <c r="S258" t="s">
        <v>1504</v>
      </c>
      <c r="T258" t="s">
        <v>163</v>
      </c>
      <c r="U258">
        <v>1</v>
      </c>
      <c r="V258">
        <v>80</v>
      </c>
      <c r="W258">
        <v>94.4</v>
      </c>
      <c r="X258">
        <v>0</v>
      </c>
      <c r="Y258">
        <v>80</v>
      </c>
      <c r="Z258">
        <v>18</v>
      </c>
      <c r="AA258">
        <v>14.4</v>
      </c>
      <c r="AB258">
        <v>94.4</v>
      </c>
      <c r="AC258">
        <v>1</v>
      </c>
      <c r="AD258">
        <v>1</v>
      </c>
      <c r="AE258" t="s">
        <v>1411</v>
      </c>
      <c r="AF258" t="s">
        <v>1412</v>
      </c>
      <c r="AG258">
        <v>2</v>
      </c>
      <c r="AH258" t="s">
        <v>25</v>
      </c>
      <c r="AI258">
        <v>6959</v>
      </c>
      <c r="AJ258" t="s">
        <v>1401</v>
      </c>
      <c r="AK258" t="s">
        <v>169</v>
      </c>
      <c r="AL258">
        <v>3278</v>
      </c>
      <c r="AM258" t="s">
        <v>2503</v>
      </c>
      <c r="AN258" s="8">
        <v>45956</v>
      </c>
      <c r="AO258" s="8">
        <v>45956</v>
      </c>
      <c r="AP258">
        <v>1128</v>
      </c>
      <c r="AQ258" t="s">
        <v>34</v>
      </c>
      <c r="AR258" t="s">
        <v>12</v>
      </c>
      <c r="AS258" t="str">
        <f>+CONCATENATE(A258,"-",B258)</f>
        <v>(01) Factura FOF1-00000199</v>
      </c>
    </row>
    <row r="259" spans="1:45" ht="15" customHeight="1">
      <c r="A259" t="s">
        <v>1216</v>
      </c>
      <c r="B259" s="21" t="s">
        <v>1676</v>
      </c>
      <c r="C259" t="s">
        <v>27</v>
      </c>
      <c r="D259" s="8">
        <v>45946</v>
      </c>
      <c r="E259" s="22">
        <v>45964.864351851851</v>
      </c>
      <c r="F259" t="s">
        <v>1670</v>
      </c>
      <c r="H259">
        <v>6</v>
      </c>
      <c r="I259">
        <v>20542731347</v>
      </c>
      <c r="J259" t="s">
        <v>1677</v>
      </c>
      <c r="K259" s="8">
        <v>45946</v>
      </c>
      <c r="Q259">
        <v>31608</v>
      </c>
      <c r="R259">
        <v>2274</v>
      </c>
      <c r="S259" t="s">
        <v>1255</v>
      </c>
      <c r="T259" t="s">
        <v>215</v>
      </c>
      <c r="U259">
        <v>1</v>
      </c>
      <c r="V259">
        <v>80.510000000000005</v>
      </c>
      <c r="W259">
        <v>95</v>
      </c>
      <c r="X259">
        <v>0</v>
      </c>
      <c r="Y259">
        <v>80.510000000000005</v>
      </c>
      <c r="Z259">
        <v>18</v>
      </c>
      <c r="AA259">
        <v>14.49</v>
      </c>
      <c r="AB259">
        <v>95</v>
      </c>
      <c r="AC259">
        <v>1</v>
      </c>
      <c r="AD259">
        <v>1</v>
      </c>
      <c r="AE259" t="s">
        <v>1411</v>
      </c>
      <c r="AF259" t="s">
        <v>1412</v>
      </c>
      <c r="AG259">
        <v>2</v>
      </c>
      <c r="AH259" t="s">
        <v>25</v>
      </c>
      <c r="AI259">
        <v>6937</v>
      </c>
      <c r="AJ259" t="s">
        <v>1414</v>
      </c>
      <c r="AK259" t="s">
        <v>1433</v>
      </c>
      <c r="AL259">
        <v>2972</v>
      </c>
      <c r="AM259" t="s">
        <v>1672</v>
      </c>
      <c r="AN259" s="8">
        <v>45928</v>
      </c>
      <c r="AO259" s="8">
        <v>45928</v>
      </c>
      <c r="AP259">
        <v>435</v>
      </c>
      <c r="AQ259" t="s">
        <v>1673</v>
      </c>
      <c r="AR259" t="s">
        <v>1295</v>
      </c>
      <c r="AS259" t="str">
        <f>+CONCATENATE(A259,"-",B259)</f>
        <v>(01) Factura FOF1-00000121</v>
      </c>
    </row>
    <row r="260" spans="1:45" ht="15" customHeight="1">
      <c r="A260" t="s">
        <v>1214</v>
      </c>
      <c r="B260" s="21" t="s">
        <v>1691</v>
      </c>
      <c r="C260" t="s">
        <v>27</v>
      </c>
      <c r="D260" s="8">
        <v>45946</v>
      </c>
      <c r="E260" s="22">
        <v>45964.861724537041</v>
      </c>
      <c r="F260" t="s">
        <v>1673</v>
      </c>
      <c r="G260" t="s">
        <v>158</v>
      </c>
      <c r="H260">
        <v>1</v>
      </c>
      <c r="I260">
        <v>40469388</v>
      </c>
      <c r="J260" t="s">
        <v>1692</v>
      </c>
      <c r="K260" s="8">
        <v>45946</v>
      </c>
      <c r="Q260">
        <v>31584</v>
      </c>
      <c r="R260">
        <v>2274</v>
      </c>
      <c r="S260" t="s">
        <v>1255</v>
      </c>
      <c r="T260" t="s">
        <v>215</v>
      </c>
      <c r="U260">
        <v>1</v>
      </c>
      <c r="V260">
        <v>80.510000000000005</v>
      </c>
      <c r="W260">
        <v>95</v>
      </c>
      <c r="X260">
        <v>0</v>
      </c>
      <c r="Y260">
        <v>80.510000000000005</v>
      </c>
      <c r="Z260">
        <v>18</v>
      </c>
      <c r="AA260">
        <v>14.49</v>
      </c>
      <c r="AB260">
        <v>95</v>
      </c>
      <c r="AC260">
        <v>1</v>
      </c>
      <c r="AD260">
        <v>1</v>
      </c>
      <c r="AE260" t="s">
        <v>1411</v>
      </c>
      <c r="AF260" t="s">
        <v>1412</v>
      </c>
      <c r="AG260">
        <v>2</v>
      </c>
      <c r="AH260" t="s">
        <v>25</v>
      </c>
      <c r="AI260">
        <v>6937</v>
      </c>
      <c r="AJ260" t="s">
        <v>1414</v>
      </c>
      <c r="AK260" t="s">
        <v>1433</v>
      </c>
      <c r="AL260">
        <v>2972</v>
      </c>
      <c r="AM260" t="s">
        <v>1672</v>
      </c>
      <c r="AN260" s="8">
        <v>45928</v>
      </c>
      <c r="AO260" s="8">
        <v>45928</v>
      </c>
      <c r="AP260">
        <v>435</v>
      </c>
      <c r="AQ260" t="s">
        <v>1673</v>
      </c>
      <c r="AR260" t="s">
        <v>1295</v>
      </c>
      <c r="AS260" t="str">
        <f>+CONCATENATE(A260,"-",B260)</f>
        <v>(03) Boleta BOB1-00000058</v>
      </c>
    </row>
    <row r="261" spans="1:45" ht="15" customHeight="1">
      <c r="A261" t="s">
        <v>216</v>
      </c>
      <c r="B261">
        <v>1255</v>
      </c>
      <c r="C261" t="s">
        <v>27</v>
      </c>
      <c r="D261" s="8">
        <v>45665</v>
      </c>
      <c r="E261" s="22">
        <v>45964</v>
      </c>
      <c r="F261" t="s">
        <v>34</v>
      </c>
      <c r="H261">
        <v>6</v>
      </c>
      <c r="I261">
        <v>20611018925</v>
      </c>
      <c r="J261" t="s">
        <v>2778</v>
      </c>
      <c r="K261" s="8">
        <v>45665</v>
      </c>
      <c r="Q261">
        <v>17760</v>
      </c>
      <c r="R261">
        <v>906</v>
      </c>
      <c r="S261" t="s">
        <v>1371</v>
      </c>
      <c r="T261" t="s">
        <v>215</v>
      </c>
      <c r="U261">
        <v>1</v>
      </c>
      <c r="V261">
        <v>83.53</v>
      </c>
      <c r="W261">
        <v>98.56</v>
      </c>
      <c r="X261">
        <v>0</v>
      </c>
      <c r="Y261">
        <v>83.53</v>
      </c>
      <c r="Z261">
        <v>18</v>
      </c>
      <c r="AA261">
        <v>15.03</v>
      </c>
      <c r="AB261">
        <v>98.56</v>
      </c>
      <c r="AC261">
        <v>1</v>
      </c>
      <c r="AD261">
        <v>1</v>
      </c>
      <c r="AE261" t="s">
        <v>232</v>
      </c>
      <c r="AF261" t="s">
        <v>29</v>
      </c>
      <c r="AG261">
        <v>2</v>
      </c>
      <c r="AH261" t="s">
        <v>25</v>
      </c>
      <c r="AI261">
        <v>1106</v>
      </c>
      <c r="AJ261" t="s">
        <v>239</v>
      </c>
      <c r="AK261" t="s">
        <v>1237</v>
      </c>
      <c r="AP261">
        <v>1128</v>
      </c>
      <c r="AQ261" t="s">
        <v>34</v>
      </c>
      <c r="AR261" t="s">
        <v>12</v>
      </c>
      <c r="AS261" t="str">
        <f>+CONCATENATE(A261,"-",B261)</f>
        <v>FB01-1255</v>
      </c>
    </row>
    <row r="262" spans="1:45" ht="15" customHeight="1">
      <c r="A262" t="s">
        <v>1238</v>
      </c>
      <c r="B262">
        <v>627</v>
      </c>
      <c r="C262" t="s">
        <v>27</v>
      </c>
      <c r="D262" s="8">
        <v>45660</v>
      </c>
      <c r="E262" s="22">
        <v>45964</v>
      </c>
      <c r="F262" t="s">
        <v>1209</v>
      </c>
      <c r="H262">
        <v>1</v>
      </c>
      <c r="I262" s="21" t="s">
        <v>1280</v>
      </c>
      <c r="J262" t="s">
        <v>2218</v>
      </c>
      <c r="K262" s="8">
        <v>45660</v>
      </c>
      <c r="Q262">
        <v>17161</v>
      </c>
      <c r="R262">
        <v>870</v>
      </c>
      <c r="S262" t="s">
        <v>1299</v>
      </c>
      <c r="T262" t="s">
        <v>215</v>
      </c>
      <c r="U262">
        <v>1</v>
      </c>
      <c r="V262">
        <v>84.07</v>
      </c>
      <c r="W262">
        <v>99.2</v>
      </c>
      <c r="X262">
        <v>0</v>
      </c>
      <c r="Y262">
        <v>84.07</v>
      </c>
      <c r="Z262">
        <v>18</v>
      </c>
      <c r="AA262">
        <v>15.13</v>
      </c>
      <c r="AB262">
        <v>99.2</v>
      </c>
      <c r="AC262">
        <v>1</v>
      </c>
      <c r="AD262">
        <v>1</v>
      </c>
      <c r="AE262" t="s">
        <v>232</v>
      </c>
      <c r="AF262" t="s">
        <v>29</v>
      </c>
      <c r="AG262">
        <v>2</v>
      </c>
      <c r="AH262" t="s">
        <v>25</v>
      </c>
      <c r="AI262">
        <v>1106</v>
      </c>
      <c r="AJ262" t="s">
        <v>239</v>
      </c>
      <c r="AK262" t="s">
        <v>1237</v>
      </c>
      <c r="AP262">
        <v>1152</v>
      </c>
      <c r="AQ262" t="s">
        <v>1209</v>
      </c>
      <c r="AR262" t="s">
        <v>1295</v>
      </c>
      <c r="AS262" t="str">
        <f>+CONCATENATE(A262,"-",B262)</f>
        <v>BB01-627</v>
      </c>
    </row>
    <row r="263" spans="1:45" ht="15" customHeight="1">
      <c r="A263" t="s">
        <v>1214</v>
      </c>
      <c r="B263" s="21" t="s">
        <v>178</v>
      </c>
      <c r="C263" t="s">
        <v>27</v>
      </c>
      <c r="D263" s="8">
        <v>45946</v>
      </c>
      <c r="E263" s="22">
        <v>45964.721331018518</v>
      </c>
      <c r="F263" t="s">
        <v>1820</v>
      </c>
      <c r="H263">
        <v>1</v>
      </c>
      <c r="I263">
        <v>70440013</v>
      </c>
      <c r="J263" t="s">
        <v>1821</v>
      </c>
      <c r="K263" s="8">
        <v>45946</v>
      </c>
      <c r="Q263">
        <v>31331</v>
      </c>
      <c r="R263">
        <v>1786</v>
      </c>
      <c r="S263" t="s">
        <v>1299</v>
      </c>
      <c r="T263" t="s">
        <v>163</v>
      </c>
      <c r="U263">
        <v>1</v>
      </c>
      <c r="V263">
        <v>84.24</v>
      </c>
      <c r="W263">
        <v>99.4</v>
      </c>
      <c r="X263">
        <v>0</v>
      </c>
      <c r="Y263">
        <v>84.24</v>
      </c>
      <c r="Z263">
        <v>18</v>
      </c>
      <c r="AA263">
        <v>15.16</v>
      </c>
      <c r="AB263">
        <v>99.4</v>
      </c>
      <c r="AC263">
        <v>1</v>
      </c>
      <c r="AD263">
        <v>1</v>
      </c>
      <c r="AE263" t="s">
        <v>1411</v>
      </c>
      <c r="AF263" t="s">
        <v>1412</v>
      </c>
      <c r="AG263">
        <v>2</v>
      </c>
      <c r="AH263" t="s">
        <v>25</v>
      </c>
      <c r="AI263">
        <v>6937</v>
      </c>
      <c r="AJ263" t="s">
        <v>1414</v>
      </c>
      <c r="AK263" t="s">
        <v>1251</v>
      </c>
      <c r="AL263">
        <v>3015</v>
      </c>
      <c r="AM263" t="s">
        <v>1822</v>
      </c>
      <c r="AN263" s="8">
        <v>45934</v>
      </c>
      <c r="AO263" s="8">
        <v>45934</v>
      </c>
      <c r="AP263">
        <v>5600</v>
      </c>
      <c r="AQ263" t="s">
        <v>1820</v>
      </c>
      <c r="AR263" t="s">
        <v>1295</v>
      </c>
      <c r="AS263" t="str">
        <f>+CONCATENATE(A263,"-",B263)</f>
        <v>(03) Boleta BOB1-00000036</v>
      </c>
    </row>
    <row r="264" spans="1:45" ht="15" customHeight="1">
      <c r="A264" t="s">
        <v>1216</v>
      </c>
      <c r="B264" s="21" t="s">
        <v>170</v>
      </c>
      <c r="C264" t="s">
        <v>27</v>
      </c>
      <c r="D264" s="8">
        <v>45945</v>
      </c>
      <c r="E264" s="22">
        <v>45964.782777777778</v>
      </c>
      <c r="F264" t="s">
        <v>32</v>
      </c>
      <c r="G264" t="s">
        <v>158</v>
      </c>
      <c r="H264">
        <v>6</v>
      </c>
      <c r="I264">
        <v>20608361074</v>
      </c>
      <c r="J264" t="s">
        <v>1841</v>
      </c>
      <c r="K264" s="8">
        <v>45945</v>
      </c>
      <c r="Q264">
        <v>31262</v>
      </c>
      <c r="R264">
        <v>2317</v>
      </c>
      <c r="S264" t="s">
        <v>1248</v>
      </c>
      <c r="T264" t="s">
        <v>163</v>
      </c>
      <c r="U264">
        <v>1</v>
      </c>
      <c r="V264">
        <v>84.5</v>
      </c>
      <c r="W264">
        <v>99.71</v>
      </c>
      <c r="X264">
        <v>0</v>
      </c>
      <c r="Y264">
        <v>84.5</v>
      </c>
      <c r="Z264">
        <v>18</v>
      </c>
      <c r="AA264">
        <v>15.21</v>
      </c>
      <c r="AB264">
        <v>99.71</v>
      </c>
      <c r="AC264">
        <v>1</v>
      </c>
      <c r="AD264">
        <v>1</v>
      </c>
      <c r="AE264" t="s">
        <v>1411</v>
      </c>
      <c r="AF264" t="s">
        <v>1412</v>
      </c>
      <c r="AG264">
        <v>2</v>
      </c>
      <c r="AH264" t="s">
        <v>25</v>
      </c>
      <c r="AI264">
        <v>1106</v>
      </c>
      <c r="AJ264" t="s">
        <v>239</v>
      </c>
      <c r="AK264" t="s">
        <v>169</v>
      </c>
      <c r="AL264">
        <v>3081</v>
      </c>
      <c r="AM264" t="s">
        <v>1217</v>
      </c>
      <c r="AN264" s="8">
        <v>45934</v>
      </c>
      <c r="AO264" s="8">
        <v>45934</v>
      </c>
      <c r="AP264">
        <v>397</v>
      </c>
      <c r="AQ264" t="s">
        <v>32</v>
      </c>
      <c r="AR264" t="s">
        <v>12</v>
      </c>
      <c r="AS264" t="str">
        <f>+CONCATENATE(A264,"-",B264)</f>
        <v>(01) Factura FOF1-00000045</v>
      </c>
    </row>
    <row r="265" spans="1:45" ht="15" customHeight="1">
      <c r="A265" t="s">
        <v>1216</v>
      </c>
      <c r="B265" s="21" t="s">
        <v>1583</v>
      </c>
      <c r="C265" t="s">
        <v>27</v>
      </c>
      <c r="D265" s="8">
        <v>45952</v>
      </c>
      <c r="E265" s="22">
        <v>45964.780543981484</v>
      </c>
      <c r="F265" t="s">
        <v>1569</v>
      </c>
      <c r="H265">
        <v>6</v>
      </c>
      <c r="I265">
        <v>20603011601</v>
      </c>
      <c r="J265" t="s">
        <v>1584</v>
      </c>
      <c r="K265" s="8">
        <v>45952</v>
      </c>
      <c r="Q265">
        <v>32323</v>
      </c>
      <c r="R265">
        <v>1895</v>
      </c>
      <c r="S265" t="s">
        <v>1407</v>
      </c>
      <c r="T265" t="s">
        <v>215</v>
      </c>
      <c r="U265">
        <v>144</v>
      </c>
      <c r="V265">
        <v>0.6</v>
      </c>
      <c r="W265">
        <v>0.71</v>
      </c>
      <c r="X265">
        <v>0</v>
      </c>
      <c r="Y265">
        <v>86.4</v>
      </c>
      <c r="Z265">
        <v>18</v>
      </c>
      <c r="AA265">
        <v>15.55</v>
      </c>
      <c r="AB265">
        <v>101.95</v>
      </c>
      <c r="AC265">
        <v>1</v>
      </c>
      <c r="AD265">
        <v>1</v>
      </c>
      <c r="AE265" t="s">
        <v>1411</v>
      </c>
      <c r="AF265" t="s">
        <v>1412</v>
      </c>
      <c r="AG265">
        <v>16</v>
      </c>
      <c r="AH265" t="s">
        <v>1400</v>
      </c>
      <c r="AI265">
        <v>1106</v>
      </c>
      <c r="AJ265" t="s">
        <v>239</v>
      </c>
      <c r="AK265" t="s">
        <v>1406</v>
      </c>
      <c r="AL265">
        <v>3271</v>
      </c>
      <c r="AM265" t="s">
        <v>1581</v>
      </c>
      <c r="AN265" s="8">
        <v>45968</v>
      </c>
      <c r="AO265" s="8">
        <v>45968</v>
      </c>
      <c r="AP265">
        <v>5613</v>
      </c>
      <c r="AQ265" t="s">
        <v>1569</v>
      </c>
      <c r="AR265" t="s">
        <v>12</v>
      </c>
      <c r="AS265" t="str">
        <f>+CONCATENATE(A265,"-",B265)</f>
        <v>(01) Factura FOF1-00000141</v>
      </c>
    </row>
    <row r="266" spans="1:45" ht="15" customHeight="1">
      <c r="A266" t="s">
        <v>1216</v>
      </c>
      <c r="B266" s="21" t="s">
        <v>2493</v>
      </c>
      <c r="C266" t="s">
        <v>27</v>
      </c>
      <c r="D266" s="8">
        <v>45959</v>
      </c>
      <c r="E266" s="22">
        <v>45964.63417824074</v>
      </c>
      <c r="F266" t="s">
        <v>2490</v>
      </c>
      <c r="H266">
        <v>6</v>
      </c>
      <c r="I266">
        <v>10749956238</v>
      </c>
      <c r="J266" t="s">
        <v>2673</v>
      </c>
      <c r="K266" s="8">
        <v>45959</v>
      </c>
      <c r="Q266">
        <v>32885</v>
      </c>
      <c r="R266">
        <v>216</v>
      </c>
      <c r="S266" t="s">
        <v>1300</v>
      </c>
      <c r="T266" t="s">
        <v>163</v>
      </c>
      <c r="U266">
        <v>1</v>
      </c>
      <c r="V266">
        <v>87.97</v>
      </c>
      <c r="W266">
        <v>103.8</v>
      </c>
      <c r="X266">
        <v>0</v>
      </c>
      <c r="Y266">
        <v>87.97</v>
      </c>
      <c r="Z266">
        <v>18</v>
      </c>
      <c r="AA266">
        <v>15.83</v>
      </c>
      <c r="AB266">
        <v>103.8</v>
      </c>
      <c r="AC266">
        <v>1</v>
      </c>
      <c r="AD266">
        <v>1</v>
      </c>
      <c r="AE266" t="s">
        <v>1411</v>
      </c>
      <c r="AF266" t="s">
        <v>1412</v>
      </c>
      <c r="AG266">
        <v>2</v>
      </c>
      <c r="AH266" t="s">
        <v>25</v>
      </c>
      <c r="AI266">
        <v>6936</v>
      </c>
      <c r="AJ266" t="s">
        <v>1437</v>
      </c>
      <c r="AK266" t="s">
        <v>1433</v>
      </c>
      <c r="AL266">
        <v>3280</v>
      </c>
      <c r="AM266" t="s">
        <v>2491</v>
      </c>
      <c r="AN266" s="8">
        <v>45955</v>
      </c>
      <c r="AO266" s="8">
        <v>45955</v>
      </c>
      <c r="AP266">
        <v>6601</v>
      </c>
      <c r="AQ266" t="s">
        <v>2490</v>
      </c>
      <c r="AR266" t="s">
        <v>12</v>
      </c>
      <c r="AS266" t="str">
        <f>+CONCATENATE(A266,"-",B266)</f>
        <v>(01) Factura FOF1-00000206</v>
      </c>
    </row>
    <row r="267" spans="1:45" ht="15" customHeight="1">
      <c r="A267" t="s">
        <v>216</v>
      </c>
      <c r="B267">
        <v>1249</v>
      </c>
      <c r="C267" t="s">
        <v>27</v>
      </c>
      <c r="D267" s="8">
        <v>45665</v>
      </c>
      <c r="E267" s="22">
        <v>45964</v>
      </c>
      <c r="F267" t="s">
        <v>1325</v>
      </c>
      <c r="H267">
        <v>6</v>
      </c>
      <c r="I267">
        <v>20516587874</v>
      </c>
      <c r="J267" t="s">
        <v>2135</v>
      </c>
      <c r="K267" s="8">
        <v>45665</v>
      </c>
      <c r="Q267">
        <v>17752</v>
      </c>
      <c r="R267">
        <v>877</v>
      </c>
      <c r="S267" t="s">
        <v>1300</v>
      </c>
      <c r="T267" t="s">
        <v>215</v>
      </c>
      <c r="U267">
        <v>1</v>
      </c>
      <c r="V267">
        <v>92.54</v>
      </c>
      <c r="W267">
        <v>109.2</v>
      </c>
      <c r="X267">
        <v>0</v>
      </c>
      <c r="Y267">
        <v>92.54</v>
      </c>
      <c r="Z267">
        <v>18</v>
      </c>
      <c r="AA267">
        <v>16.66</v>
      </c>
      <c r="AB267">
        <v>109.2</v>
      </c>
      <c r="AC267">
        <v>1</v>
      </c>
      <c r="AD267">
        <v>1</v>
      </c>
      <c r="AE267" t="s">
        <v>232</v>
      </c>
      <c r="AF267" t="s">
        <v>29</v>
      </c>
      <c r="AG267">
        <v>2</v>
      </c>
      <c r="AH267" t="s">
        <v>25</v>
      </c>
      <c r="AI267">
        <v>1106</v>
      </c>
      <c r="AJ267" t="s">
        <v>239</v>
      </c>
      <c r="AK267" t="s">
        <v>1237</v>
      </c>
      <c r="AP267">
        <v>1116</v>
      </c>
      <c r="AQ267" t="s">
        <v>1325</v>
      </c>
      <c r="AR267" t="s">
        <v>12</v>
      </c>
      <c r="AS267" t="str">
        <f>+CONCATENATE(A267,"-",B267)</f>
        <v>FB01-1249</v>
      </c>
    </row>
    <row r="268" spans="1:45" ht="15" customHeight="1">
      <c r="A268" t="s">
        <v>1216</v>
      </c>
      <c r="B268" s="21" t="s">
        <v>1751</v>
      </c>
      <c r="C268" t="s">
        <v>27</v>
      </c>
      <c r="D268" s="8">
        <v>45946</v>
      </c>
      <c r="E268" s="22">
        <v>45964.80269675926</v>
      </c>
      <c r="F268" t="s">
        <v>1606</v>
      </c>
      <c r="H268">
        <v>6</v>
      </c>
      <c r="I268">
        <v>10427831812</v>
      </c>
      <c r="J268" t="s">
        <v>1752</v>
      </c>
      <c r="K268" s="8">
        <v>45946</v>
      </c>
      <c r="Q268">
        <v>31497</v>
      </c>
      <c r="R268">
        <v>2318</v>
      </c>
      <c r="S268" t="s">
        <v>1306</v>
      </c>
      <c r="T268" t="s">
        <v>163</v>
      </c>
      <c r="U268">
        <v>1</v>
      </c>
      <c r="V268">
        <v>93.22</v>
      </c>
      <c r="W268">
        <v>110</v>
      </c>
      <c r="X268">
        <v>0</v>
      </c>
      <c r="Y268">
        <v>93.22</v>
      </c>
      <c r="Z268">
        <v>18</v>
      </c>
      <c r="AA268">
        <v>16.78</v>
      </c>
      <c r="AB268">
        <v>110</v>
      </c>
      <c r="AC268">
        <v>1</v>
      </c>
      <c r="AD268">
        <v>1</v>
      </c>
      <c r="AE268" t="s">
        <v>1411</v>
      </c>
      <c r="AF268" t="s">
        <v>1412</v>
      </c>
      <c r="AG268">
        <v>2</v>
      </c>
      <c r="AH268" t="s">
        <v>25</v>
      </c>
      <c r="AI268">
        <v>6959</v>
      </c>
      <c r="AJ268" t="s">
        <v>1401</v>
      </c>
      <c r="AK268" t="s">
        <v>169</v>
      </c>
      <c r="AL268">
        <v>3197</v>
      </c>
      <c r="AM268" t="s">
        <v>1753</v>
      </c>
      <c r="AN268" s="8">
        <v>45941</v>
      </c>
      <c r="AO268" s="8">
        <v>45941</v>
      </c>
      <c r="AP268">
        <v>5519</v>
      </c>
      <c r="AQ268" t="s">
        <v>1606</v>
      </c>
      <c r="AR268" t="s">
        <v>12</v>
      </c>
      <c r="AS268" t="str">
        <f>+CONCATENATE(A268,"-",B268)</f>
        <v>(01) Factura FOF1-00000102</v>
      </c>
    </row>
    <row r="269" spans="1:45" ht="15" customHeight="1">
      <c r="A269" t="s">
        <v>1214</v>
      </c>
      <c r="B269" s="21" t="s">
        <v>1669</v>
      </c>
      <c r="C269" t="s">
        <v>27</v>
      </c>
      <c r="D269" s="8">
        <v>45959</v>
      </c>
      <c r="E269" s="22">
        <v>45964.711574074077</v>
      </c>
      <c r="F269" t="s">
        <v>1640</v>
      </c>
      <c r="G269" t="s">
        <v>158</v>
      </c>
      <c r="H269">
        <v>1</v>
      </c>
      <c r="I269">
        <v>72327214</v>
      </c>
      <c r="J269" t="s">
        <v>2643</v>
      </c>
      <c r="K269" s="8">
        <v>45959</v>
      </c>
      <c r="Q269">
        <v>32999</v>
      </c>
      <c r="R269">
        <v>2276</v>
      </c>
      <c r="S269" t="s">
        <v>1504</v>
      </c>
      <c r="T269" t="s">
        <v>163</v>
      </c>
      <c r="U269">
        <v>1</v>
      </c>
      <c r="V269">
        <v>93.5</v>
      </c>
      <c r="W269">
        <v>110.33</v>
      </c>
      <c r="X269">
        <v>0</v>
      </c>
      <c r="Y269">
        <v>93.5</v>
      </c>
      <c r="Z269">
        <v>18</v>
      </c>
      <c r="AA269">
        <v>16.829999999999998</v>
      </c>
      <c r="AB269">
        <v>110.33</v>
      </c>
      <c r="AC269">
        <v>1</v>
      </c>
      <c r="AD269">
        <v>1</v>
      </c>
      <c r="AE269" t="s">
        <v>1411</v>
      </c>
      <c r="AF269" t="s">
        <v>1412</v>
      </c>
      <c r="AG269">
        <v>2</v>
      </c>
      <c r="AH269" t="s">
        <v>25</v>
      </c>
      <c r="AI269">
        <v>6959</v>
      </c>
      <c r="AJ269" t="s">
        <v>1401</v>
      </c>
      <c r="AK269" t="s">
        <v>169</v>
      </c>
      <c r="AL269">
        <v>3163</v>
      </c>
      <c r="AM269" t="s">
        <v>2472</v>
      </c>
      <c r="AN269" s="8">
        <v>45954</v>
      </c>
      <c r="AO269" s="8">
        <v>45954</v>
      </c>
      <c r="AP269">
        <v>416</v>
      </c>
      <c r="AQ269" t="s">
        <v>1640</v>
      </c>
      <c r="AR269" t="s">
        <v>1295</v>
      </c>
      <c r="AS269" t="str">
        <f>+CONCATENATE(A269,"-",B269)</f>
        <v>(03) Boleta BOB1-00000123</v>
      </c>
    </row>
    <row r="270" spans="1:45" ht="15" customHeight="1">
      <c r="A270" t="s">
        <v>1216</v>
      </c>
      <c r="B270" s="21" t="s">
        <v>2450</v>
      </c>
      <c r="C270" t="s">
        <v>27</v>
      </c>
      <c r="D270" s="8">
        <v>45960</v>
      </c>
      <c r="E270" s="22">
        <v>45964.598969907405</v>
      </c>
      <c r="F270" t="s">
        <v>2448</v>
      </c>
      <c r="H270">
        <v>6</v>
      </c>
      <c r="I270">
        <v>20602442145</v>
      </c>
      <c r="J270" t="s">
        <v>2616</v>
      </c>
      <c r="K270" s="8">
        <v>45960</v>
      </c>
      <c r="Q270">
        <v>33120</v>
      </c>
      <c r="R270">
        <v>216</v>
      </c>
      <c r="S270" t="s">
        <v>1300</v>
      </c>
      <c r="T270" t="s">
        <v>163</v>
      </c>
      <c r="U270">
        <v>1</v>
      </c>
      <c r="V270">
        <v>94</v>
      </c>
      <c r="W270">
        <v>110.92</v>
      </c>
      <c r="X270">
        <v>0</v>
      </c>
      <c r="Y270">
        <v>94</v>
      </c>
      <c r="Z270">
        <v>18</v>
      </c>
      <c r="AA270">
        <v>16.920000000000002</v>
      </c>
      <c r="AB270">
        <v>110.92</v>
      </c>
      <c r="AC270">
        <v>1</v>
      </c>
      <c r="AD270">
        <v>1</v>
      </c>
      <c r="AE270" t="s">
        <v>1411</v>
      </c>
      <c r="AF270" t="s">
        <v>1412</v>
      </c>
      <c r="AG270">
        <v>2</v>
      </c>
      <c r="AH270" t="s">
        <v>25</v>
      </c>
      <c r="AI270">
        <v>6936</v>
      </c>
      <c r="AJ270" t="s">
        <v>1437</v>
      </c>
      <c r="AK270" t="s">
        <v>1433</v>
      </c>
      <c r="AL270">
        <v>3207</v>
      </c>
      <c r="AM270" t="s">
        <v>2449</v>
      </c>
      <c r="AN270" s="8">
        <v>45956</v>
      </c>
      <c r="AO270" s="8">
        <v>45956</v>
      </c>
      <c r="AP270">
        <v>6149</v>
      </c>
      <c r="AQ270" t="s">
        <v>2448</v>
      </c>
      <c r="AR270" t="s">
        <v>12</v>
      </c>
      <c r="AS270" t="str">
        <f>+CONCATENATE(A270,"-",B270)</f>
        <v>(01) Factura FOF1-00000221</v>
      </c>
    </row>
    <row r="271" spans="1:45" ht="15" customHeight="1">
      <c r="A271" t="s">
        <v>216</v>
      </c>
      <c r="B271">
        <v>1261</v>
      </c>
      <c r="C271" t="s">
        <v>27</v>
      </c>
      <c r="D271" s="8">
        <v>45672</v>
      </c>
      <c r="E271" s="22">
        <v>45964</v>
      </c>
      <c r="F271" t="s">
        <v>1325</v>
      </c>
      <c r="H271">
        <v>6</v>
      </c>
      <c r="I271">
        <v>20516587874</v>
      </c>
      <c r="J271" t="s">
        <v>2120</v>
      </c>
      <c r="K271" s="8">
        <v>45672</v>
      </c>
      <c r="Q271">
        <v>17770</v>
      </c>
      <c r="R271">
        <v>877</v>
      </c>
      <c r="S271" t="s">
        <v>1300</v>
      </c>
      <c r="T271" t="s">
        <v>215</v>
      </c>
      <c r="U271">
        <v>1</v>
      </c>
      <c r="V271">
        <v>95</v>
      </c>
      <c r="W271">
        <v>112.1</v>
      </c>
      <c r="X271">
        <v>0</v>
      </c>
      <c r="Y271">
        <v>95</v>
      </c>
      <c r="Z271">
        <v>18</v>
      </c>
      <c r="AA271">
        <v>17.100000000000001</v>
      </c>
      <c r="AB271">
        <v>112.1</v>
      </c>
      <c r="AC271">
        <v>1</v>
      </c>
      <c r="AD271">
        <v>1</v>
      </c>
      <c r="AE271" t="s">
        <v>232</v>
      </c>
      <c r="AF271" t="s">
        <v>29</v>
      </c>
      <c r="AG271">
        <v>2</v>
      </c>
      <c r="AH271" t="s">
        <v>25</v>
      </c>
      <c r="AI271">
        <v>1106</v>
      </c>
      <c r="AJ271" t="s">
        <v>239</v>
      </c>
      <c r="AK271" t="s">
        <v>1237</v>
      </c>
      <c r="AP271">
        <v>1116</v>
      </c>
      <c r="AQ271" t="s">
        <v>1325</v>
      </c>
      <c r="AR271" t="s">
        <v>12</v>
      </c>
      <c r="AS271" t="str">
        <f>+CONCATENATE(A271,"-",B271)</f>
        <v>FB01-1261</v>
      </c>
    </row>
    <row r="272" spans="1:45" ht="15" customHeight="1">
      <c r="A272" t="s">
        <v>1216</v>
      </c>
      <c r="B272" s="21" t="s">
        <v>1551</v>
      </c>
      <c r="C272" t="s">
        <v>27</v>
      </c>
      <c r="D272" s="8">
        <v>45952</v>
      </c>
      <c r="E272" s="22">
        <v>45964.815300925926</v>
      </c>
      <c r="F272" t="s">
        <v>307</v>
      </c>
      <c r="H272">
        <v>6</v>
      </c>
      <c r="I272">
        <v>20509594903</v>
      </c>
      <c r="J272" t="s">
        <v>2705</v>
      </c>
      <c r="K272" s="8">
        <v>45952</v>
      </c>
      <c r="Q272">
        <v>32370</v>
      </c>
      <c r="R272">
        <v>216</v>
      </c>
      <c r="S272" t="s">
        <v>1300</v>
      </c>
      <c r="T272" t="s">
        <v>163</v>
      </c>
      <c r="U272">
        <v>1</v>
      </c>
      <c r="V272">
        <v>95.25</v>
      </c>
      <c r="W272">
        <v>112.4</v>
      </c>
      <c r="X272">
        <v>0</v>
      </c>
      <c r="Y272">
        <v>95.25</v>
      </c>
      <c r="Z272">
        <v>18</v>
      </c>
      <c r="AA272">
        <v>17.149999999999999</v>
      </c>
      <c r="AB272">
        <v>112.4</v>
      </c>
      <c r="AC272">
        <v>1</v>
      </c>
      <c r="AD272">
        <v>1</v>
      </c>
      <c r="AE272" t="s">
        <v>1411</v>
      </c>
      <c r="AF272" t="s">
        <v>1412</v>
      </c>
      <c r="AG272">
        <v>2</v>
      </c>
      <c r="AH272" t="s">
        <v>25</v>
      </c>
      <c r="AI272">
        <v>6936</v>
      </c>
      <c r="AJ272" t="s">
        <v>1437</v>
      </c>
      <c r="AK272" t="s">
        <v>1433</v>
      </c>
      <c r="AL272">
        <v>3269</v>
      </c>
      <c r="AM272" t="s">
        <v>1550</v>
      </c>
      <c r="AN272" s="8">
        <v>45948</v>
      </c>
      <c r="AO272" s="8">
        <v>45948</v>
      </c>
      <c r="AP272">
        <v>5251</v>
      </c>
      <c r="AQ272" t="s">
        <v>307</v>
      </c>
      <c r="AR272" t="s">
        <v>12</v>
      </c>
      <c r="AS272" t="str">
        <f>+CONCATENATE(A272,"-",B272)</f>
        <v>(01) Factura FOF1-00000152</v>
      </c>
    </row>
    <row r="273" spans="1:45" ht="15" customHeight="1">
      <c r="A273" t="s">
        <v>1238</v>
      </c>
      <c r="B273">
        <v>699</v>
      </c>
      <c r="C273" t="s">
        <v>27</v>
      </c>
      <c r="D273" s="8">
        <v>45685</v>
      </c>
      <c r="E273" s="22">
        <v>45964</v>
      </c>
      <c r="F273" t="s">
        <v>747</v>
      </c>
      <c r="H273">
        <v>1</v>
      </c>
      <c r="I273">
        <v>43374645</v>
      </c>
      <c r="J273" t="s">
        <v>2034</v>
      </c>
      <c r="K273" s="8">
        <v>45685</v>
      </c>
      <c r="Q273">
        <v>18623</v>
      </c>
      <c r="R273">
        <v>870</v>
      </c>
      <c r="S273" t="s">
        <v>1299</v>
      </c>
      <c r="T273" t="s">
        <v>215</v>
      </c>
      <c r="U273">
        <v>1</v>
      </c>
      <c r="V273">
        <v>95.97</v>
      </c>
      <c r="W273">
        <v>113.24</v>
      </c>
      <c r="X273">
        <v>0</v>
      </c>
      <c r="Y273">
        <v>95.97</v>
      </c>
      <c r="Z273">
        <v>18</v>
      </c>
      <c r="AA273">
        <v>17.27</v>
      </c>
      <c r="AB273">
        <v>113.24</v>
      </c>
      <c r="AC273">
        <v>1</v>
      </c>
      <c r="AD273">
        <v>1</v>
      </c>
      <c r="AE273" t="s">
        <v>232</v>
      </c>
      <c r="AF273" t="s">
        <v>29</v>
      </c>
      <c r="AG273">
        <v>2</v>
      </c>
      <c r="AH273" t="s">
        <v>25</v>
      </c>
      <c r="AI273">
        <v>1106</v>
      </c>
      <c r="AJ273" t="s">
        <v>239</v>
      </c>
      <c r="AK273" t="s">
        <v>1237</v>
      </c>
      <c r="AP273">
        <v>1167</v>
      </c>
      <c r="AQ273" t="s">
        <v>747</v>
      </c>
      <c r="AR273" t="s">
        <v>1295</v>
      </c>
      <c r="AS273" t="str">
        <f>+CONCATENATE(A273,"-",B273)</f>
        <v>BB01-699</v>
      </c>
    </row>
    <row r="274" spans="1:45" ht="15" customHeight="1">
      <c r="A274" t="s">
        <v>1238</v>
      </c>
      <c r="B274">
        <v>718</v>
      </c>
      <c r="C274" t="s">
        <v>27</v>
      </c>
      <c r="D274" s="8">
        <v>45688</v>
      </c>
      <c r="E274" s="22">
        <v>45964</v>
      </c>
      <c r="F274" t="s">
        <v>601</v>
      </c>
      <c r="G274" t="s">
        <v>158</v>
      </c>
      <c r="H274">
        <v>1</v>
      </c>
      <c r="I274">
        <v>47633477</v>
      </c>
      <c r="J274" t="s">
        <v>1979</v>
      </c>
      <c r="K274" s="8">
        <v>45688</v>
      </c>
      <c r="Q274">
        <v>18686</v>
      </c>
      <c r="R274">
        <v>870</v>
      </c>
      <c r="S274" t="s">
        <v>1299</v>
      </c>
      <c r="T274" t="s">
        <v>215</v>
      </c>
      <c r="U274">
        <v>1</v>
      </c>
      <c r="V274">
        <v>96.1</v>
      </c>
      <c r="W274">
        <v>113.4</v>
      </c>
      <c r="X274">
        <v>0</v>
      </c>
      <c r="Y274">
        <v>96.1</v>
      </c>
      <c r="Z274">
        <v>18</v>
      </c>
      <c r="AA274">
        <v>17.3</v>
      </c>
      <c r="AB274">
        <v>113.4</v>
      </c>
      <c r="AC274">
        <v>1</v>
      </c>
      <c r="AD274">
        <v>1</v>
      </c>
      <c r="AE274" t="s">
        <v>232</v>
      </c>
      <c r="AF274" t="s">
        <v>29</v>
      </c>
      <c r="AG274">
        <v>2</v>
      </c>
      <c r="AH274" t="s">
        <v>25</v>
      </c>
      <c r="AI274">
        <v>1106</v>
      </c>
      <c r="AJ274" t="s">
        <v>239</v>
      </c>
      <c r="AK274" t="s">
        <v>1237</v>
      </c>
      <c r="AP274">
        <v>421</v>
      </c>
      <c r="AQ274" t="s">
        <v>601</v>
      </c>
      <c r="AR274" t="s">
        <v>1295</v>
      </c>
      <c r="AS274" t="str">
        <f>+CONCATENATE(A274,"-",B274)</f>
        <v>BB01-718</v>
      </c>
    </row>
    <row r="275" spans="1:45" ht="15" customHeight="1">
      <c r="A275" t="s">
        <v>1238</v>
      </c>
      <c r="B275">
        <v>700</v>
      </c>
      <c r="C275" t="s">
        <v>27</v>
      </c>
      <c r="D275" s="8">
        <v>45685</v>
      </c>
      <c r="E275" s="22">
        <v>45964</v>
      </c>
      <c r="F275" t="s">
        <v>747</v>
      </c>
      <c r="H275">
        <v>1</v>
      </c>
      <c r="I275">
        <v>43374645</v>
      </c>
      <c r="J275" t="s">
        <v>2033</v>
      </c>
      <c r="K275" s="8">
        <v>45685</v>
      </c>
      <c r="Q275">
        <v>18624</v>
      </c>
      <c r="R275">
        <v>871</v>
      </c>
      <c r="S275" t="s">
        <v>1316</v>
      </c>
      <c r="T275" t="s">
        <v>215</v>
      </c>
      <c r="U275">
        <v>1</v>
      </c>
      <c r="V275">
        <v>96.1</v>
      </c>
      <c r="W275">
        <v>113.4</v>
      </c>
      <c r="X275">
        <v>0</v>
      </c>
      <c r="Y275">
        <v>96.1</v>
      </c>
      <c r="Z275">
        <v>18</v>
      </c>
      <c r="AA275">
        <v>17.3</v>
      </c>
      <c r="AB275">
        <v>113.4</v>
      </c>
      <c r="AC275">
        <v>1</v>
      </c>
      <c r="AD275">
        <v>1</v>
      </c>
      <c r="AE275" t="s">
        <v>232</v>
      </c>
      <c r="AF275" t="s">
        <v>29</v>
      </c>
      <c r="AG275">
        <v>2</v>
      </c>
      <c r="AH275" t="s">
        <v>25</v>
      </c>
      <c r="AI275">
        <v>1106</v>
      </c>
      <c r="AJ275" t="s">
        <v>239</v>
      </c>
      <c r="AK275" t="s">
        <v>1237</v>
      </c>
      <c r="AP275">
        <v>1167</v>
      </c>
      <c r="AQ275" t="s">
        <v>747</v>
      </c>
      <c r="AR275" t="s">
        <v>1295</v>
      </c>
      <c r="AS275" t="str">
        <f>+CONCATENATE(A275,"-",B275)</f>
        <v>BB01-700</v>
      </c>
    </row>
    <row r="276" spans="1:45" ht="15" customHeight="1">
      <c r="A276" t="s">
        <v>216</v>
      </c>
      <c r="B276">
        <v>1298</v>
      </c>
      <c r="C276" t="s">
        <v>27</v>
      </c>
      <c r="D276" s="8">
        <v>45680</v>
      </c>
      <c r="E276" s="22">
        <v>45964</v>
      </c>
      <c r="F276" t="s">
        <v>785</v>
      </c>
      <c r="H276">
        <v>6</v>
      </c>
      <c r="I276">
        <v>10165565784</v>
      </c>
      <c r="J276" t="s">
        <v>2073</v>
      </c>
      <c r="K276" s="8">
        <v>45680</v>
      </c>
      <c r="Q276">
        <v>17820</v>
      </c>
      <c r="R276">
        <v>877</v>
      </c>
      <c r="S276" t="s">
        <v>1300</v>
      </c>
      <c r="T276" t="s">
        <v>215</v>
      </c>
      <c r="U276">
        <v>1</v>
      </c>
      <c r="V276">
        <v>97.37</v>
      </c>
      <c r="W276">
        <v>114.9</v>
      </c>
      <c r="X276">
        <v>0</v>
      </c>
      <c r="Y276">
        <v>97.37</v>
      </c>
      <c r="Z276">
        <v>18</v>
      </c>
      <c r="AA276">
        <v>17.53</v>
      </c>
      <c r="AB276">
        <v>114.9</v>
      </c>
      <c r="AC276">
        <v>1</v>
      </c>
      <c r="AD276">
        <v>1</v>
      </c>
      <c r="AE276" t="s">
        <v>232</v>
      </c>
      <c r="AF276" t="s">
        <v>29</v>
      </c>
      <c r="AG276">
        <v>2</v>
      </c>
      <c r="AH276" t="s">
        <v>25</v>
      </c>
      <c r="AI276">
        <v>1106</v>
      </c>
      <c r="AJ276" t="s">
        <v>239</v>
      </c>
      <c r="AK276" t="s">
        <v>1237</v>
      </c>
      <c r="AP276">
        <v>1131</v>
      </c>
      <c r="AQ276" t="s">
        <v>785</v>
      </c>
      <c r="AR276" t="s">
        <v>12</v>
      </c>
      <c r="AS276" t="str">
        <f>+CONCATENATE(A276,"-",B276)</f>
        <v>FB01-1298</v>
      </c>
    </row>
    <row r="277" spans="1:45" ht="15" customHeight="1">
      <c r="A277" t="s">
        <v>1216</v>
      </c>
      <c r="B277" s="21" t="s">
        <v>2447</v>
      </c>
      <c r="C277" t="s">
        <v>27</v>
      </c>
      <c r="D277" s="8">
        <v>45960</v>
      </c>
      <c r="E277" s="22">
        <v>45964.59920138889</v>
      </c>
      <c r="F277" t="s">
        <v>2448</v>
      </c>
      <c r="H277">
        <v>6</v>
      </c>
      <c r="I277">
        <v>20602442145</v>
      </c>
      <c r="J277" t="s">
        <v>2615</v>
      </c>
      <c r="K277" s="8">
        <v>45960</v>
      </c>
      <c r="Q277">
        <v>33123</v>
      </c>
      <c r="R277">
        <v>1786</v>
      </c>
      <c r="S277" t="s">
        <v>1299</v>
      </c>
      <c r="T277" t="s">
        <v>163</v>
      </c>
      <c r="U277">
        <v>1</v>
      </c>
      <c r="V277">
        <v>98.78</v>
      </c>
      <c r="W277">
        <v>116.56</v>
      </c>
      <c r="X277">
        <v>0</v>
      </c>
      <c r="Y277">
        <v>98.78</v>
      </c>
      <c r="Z277">
        <v>18</v>
      </c>
      <c r="AA277">
        <v>17.78</v>
      </c>
      <c r="AB277">
        <v>116.56</v>
      </c>
      <c r="AC277">
        <v>1</v>
      </c>
      <c r="AD277">
        <v>1</v>
      </c>
      <c r="AE277" t="s">
        <v>1411</v>
      </c>
      <c r="AF277" t="s">
        <v>1412</v>
      </c>
      <c r="AG277">
        <v>2</v>
      </c>
      <c r="AH277" t="s">
        <v>25</v>
      </c>
      <c r="AI277">
        <v>6937</v>
      </c>
      <c r="AJ277" t="s">
        <v>1414</v>
      </c>
      <c r="AK277" t="s">
        <v>1251</v>
      </c>
      <c r="AL277">
        <v>3207</v>
      </c>
      <c r="AM277" t="s">
        <v>2449</v>
      </c>
      <c r="AN277" s="8">
        <v>45956</v>
      </c>
      <c r="AO277" s="8">
        <v>45956</v>
      </c>
      <c r="AP277">
        <v>6149</v>
      </c>
      <c r="AQ277" t="s">
        <v>2448</v>
      </c>
      <c r="AR277" t="s">
        <v>12</v>
      </c>
      <c r="AS277" t="str">
        <f>+CONCATENATE(A277,"-",B277)</f>
        <v>(01) Factura FOF1-00000222</v>
      </c>
    </row>
    <row r="278" spans="1:45" ht="15" customHeight="1">
      <c r="A278" t="s">
        <v>1214</v>
      </c>
      <c r="B278" s="21" t="s">
        <v>1551</v>
      </c>
      <c r="C278" t="s">
        <v>27</v>
      </c>
      <c r="D278" s="8">
        <v>45961</v>
      </c>
      <c r="E278" s="22">
        <v>45964.421643518515</v>
      </c>
      <c r="F278" t="s">
        <v>1031</v>
      </c>
      <c r="H278">
        <v>1</v>
      </c>
      <c r="I278" s="21" t="s">
        <v>2438</v>
      </c>
      <c r="J278" t="s">
        <v>2604</v>
      </c>
      <c r="K278" s="8">
        <v>45961</v>
      </c>
      <c r="Q278">
        <v>33166</v>
      </c>
      <c r="R278">
        <v>224</v>
      </c>
      <c r="S278" t="s">
        <v>1305</v>
      </c>
      <c r="T278" t="s">
        <v>163</v>
      </c>
      <c r="U278">
        <v>1</v>
      </c>
      <c r="V278">
        <v>100</v>
      </c>
      <c r="W278">
        <v>118</v>
      </c>
      <c r="X278">
        <v>0</v>
      </c>
      <c r="Y278">
        <v>100</v>
      </c>
      <c r="Z278">
        <v>18</v>
      </c>
      <c r="AA278">
        <v>18</v>
      </c>
      <c r="AB278">
        <v>118</v>
      </c>
      <c r="AC278">
        <v>1</v>
      </c>
      <c r="AD278">
        <v>1</v>
      </c>
      <c r="AE278" t="s">
        <v>1411</v>
      </c>
      <c r="AF278" t="s">
        <v>1412</v>
      </c>
      <c r="AG278">
        <v>2</v>
      </c>
      <c r="AH278" t="s">
        <v>25</v>
      </c>
      <c r="AI278">
        <v>6959</v>
      </c>
      <c r="AJ278" t="s">
        <v>1401</v>
      </c>
      <c r="AK278" t="s">
        <v>1465</v>
      </c>
      <c r="AL278">
        <v>3319</v>
      </c>
      <c r="AM278" t="s">
        <v>2439</v>
      </c>
      <c r="AN278" s="8">
        <v>45957</v>
      </c>
      <c r="AO278" s="8">
        <v>45957</v>
      </c>
      <c r="AP278">
        <v>5710</v>
      </c>
      <c r="AQ278" t="s">
        <v>1031</v>
      </c>
      <c r="AR278" t="s">
        <v>1295</v>
      </c>
      <c r="AS278" t="str">
        <f>+CONCATENATE(A278,"-",B278)</f>
        <v>(03) Boleta BOB1-00000152</v>
      </c>
    </row>
    <row r="279" spans="1:45" ht="15" customHeight="1">
      <c r="A279" t="s">
        <v>1216</v>
      </c>
      <c r="B279" s="21" t="s">
        <v>1557</v>
      </c>
      <c r="C279" t="s">
        <v>27</v>
      </c>
      <c r="D279" s="8">
        <v>45952</v>
      </c>
      <c r="E279" s="22">
        <v>45964.812152777777</v>
      </c>
      <c r="F279" t="s">
        <v>34</v>
      </c>
      <c r="H279">
        <v>6</v>
      </c>
      <c r="I279">
        <v>20611018925</v>
      </c>
      <c r="J279" t="s">
        <v>1558</v>
      </c>
      <c r="K279" s="8">
        <v>45952</v>
      </c>
      <c r="Q279">
        <v>32361</v>
      </c>
      <c r="R279">
        <v>2276</v>
      </c>
      <c r="S279" t="s">
        <v>1504</v>
      </c>
      <c r="T279" t="s">
        <v>163</v>
      </c>
      <c r="U279">
        <v>1</v>
      </c>
      <c r="V279">
        <v>100</v>
      </c>
      <c r="W279">
        <v>118</v>
      </c>
      <c r="X279">
        <v>0</v>
      </c>
      <c r="Y279">
        <v>100</v>
      </c>
      <c r="Z279">
        <v>18</v>
      </c>
      <c r="AA279">
        <v>18</v>
      </c>
      <c r="AB279">
        <v>118</v>
      </c>
      <c r="AC279">
        <v>1</v>
      </c>
      <c r="AD279">
        <v>1</v>
      </c>
      <c r="AE279" t="s">
        <v>1411</v>
      </c>
      <c r="AF279" t="s">
        <v>1412</v>
      </c>
      <c r="AG279">
        <v>2</v>
      </c>
      <c r="AH279" t="s">
        <v>25</v>
      </c>
      <c r="AI279">
        <v>6959</v>
      </c>
      <c r="AJ279" t="s">
        <v>1401</v>
      </c>
      <c r="AK279" t="s">
        <v>169</v>
      </c>
      <c r="AL279">
        <v>3205</v>
      </c>
      <c r="AM279" t="s">
        <v>1559</v>
      </c>
      <c r="AN279" s="8">
        <v>45947</v>
      </c>
      <c r="AO279" s="8">
        <v>45947</v>
      </c>
      <c r="AP279">
        <v>1128</v>
      </c>
      <c r="AQ279" t="s">
        <v>34</v>
      </c>
      <c r="AR279" t="s">
        <v>12</v>
      </c>
      <c r="AS279" t="str">
        <f>+CONCATENATE(A279,"-",B279)</f>
        <v>(01) Factura FOF1-00000149</v>
      </c>
    </row>
    <row r="280" spans="1:45" ht="15" customHeight="1">
      <c r="A280" t="s">
        <v>1216</v>
      </c>
      <c r="B280" s="21" t="s">
        <v>1591</v>
      </c>
      <c r="C280" t="s">
        <v>27</v>
      </c>
      <c r="D280" s="8">
        <v>45952</v>
      </c>
      <c r="E280" s="22">
        <v>45964.682997685188</v>
      </c>
      <c r="F280" t="s">
        <v>1457</v>
      </c>
      <c r="H280">
        <v>6</v>
      </c>
      <c r="I280">
        <v>10737909609</v>
      </c>
      <c r="J280" t="s">
        <v>1592</v>
      </c>
      <c r="K280" s="8">
        <v>45952</v>
      </c>
      <c r="Q280">
        <v>32304</v>
      </c>
      <c r="R280">
        <v>224</v>
      </c>
      <c r="S280" t="s">
        <v>1305</v>
      </c>
      <c r="T280" t="s">
        <v>163</v>
      </c>
      <c r="U280">
        <v>1</v>
      </c>
      <c r="V280">
        <v>100</v>
      </c>
      <c r="W280">
        <v>118</v>
      </c>
      <c r="X280">
        <v>0</v>
      </c>
      <c r="Y280">
        <v>100</v>
      </c>
      <c r="Z280">
        <v>18</v>
      </c>
      <c r="AA280">
        <v>18</v>
      </c>
      <c r="AB280">
        <v>118</v>
      </c>
      <c r="AC280">
        <v>1</v>
      </c>
      <c r="AD280">
        <v>1</v>
      </c>
      <c r="AE280" t="s">
        <v>1215</v>
      </c>
      <c r="AF280" t="s">
        <v>267</v>
      </c>
      <c r="AG280">
        <v>2</v>
      </c>
      <c r="AH280" t="s">
        <v>25</v>
      </c>
      <c r="AI280">
        <v>6959</v>
      </c>
      <c r="AJ280" t="s">
        <v>1401</v>
      </c>
      <c r="AK280" t="s">
        <v>1465</v>
      </c>
      <c r="AL280">
        <v>3079</v>
      </c>
      <c r="AM280" t="s">
        <v>1456</v>
      </c>
      <c r="AN280" s="8">
        <v>45921</v>
      </c>
      <c r="AO280" s="8">
        <v>45921</v>
      </c>
      <c r="AP280">
        <v>5597</v>
      </c>
      <c r="AQ280" t="s">
        <v>1457</v>
      </c>
      <c r="AR280" t="s">
        <v>12</v>
      </c>
      <c r="AS280" t="str">
        <f>+CONCATENATE(A280,"-",B280)</f>
        <v>(01) Factura FOF1-00000139</v>
      </c>
    </row>
    <row r="281" spans="1:45" ht="15" customHeight="1">
      <c r="A281" t="s">
        <v>1216</v>
      </c>
      <c r="B281" s="21" t="s">
        <v>1694</v>
      </c>
      <c r="C281" t="s">
        <v>27</v>
      </c>
      <c r="D281" s="8">
        <v>45946</v>
      </c>
      <c r="E281" s="22">
        <v>45964.861203703702</v>
      </c>
      <c r="F281" t="s">
        <v>1670</v>
      </c>
      <c r="H281">
        <v>6</v>
      </c>
      <c r="I281">
        <v>20542731347</v>
      </c>
      <c r="J281" t="s">
        <v>1695</v>
      </c>
      <c r="K281" s="8">
        <v>45946</v>
      </c>
      <c r="Q281">
        <v>31578</v>
      </c>
      <c r="R281">
        <v>224</v>
      </c>
      <c r="S281" t="s">
        <v>1305</v>
      </c>
      <c r="T281" t="s">
        <v>163</v>
      </c>
      <c r="U281">
        <v>1</v>
      </c>
      <c r="V281">
        <v>100</v>
      </c>
      <c r="W281">
        <v>118</v>
      </c>
      <c r="X281">
        <v>0</v>
      </c>
      <c r="Y281">
        <v>100</v>
      </c>
      <c r="Z281">
        <v>18</v>
      </c>
      <c r="AA281">
        <v>18</v>
      </c>
      <c r="AB281">
        <v>118</v>
      </c>
      <c r="AC281">
        <v>1</v>
      </c>
      <c r="AD281">
        <v>1</v>
      </c>
      <c r="AE281" t="s">
        <v>1411</v>
      </c>
      <c r="AF281" t="s">
        <v>1412</v>
      </c>
      <c r="AG281">
        <v>2</v>
      </c>
      <c r="AH281" t="s">
        <v>25</v>
      </c>
      <c r="AI281">
        <v>6959</v>
      </c>
      <c r="AJ281" t="s">
        <v>1401</v>
      </c>
      <c r="AK281" t="s">
        <v>1465</v>
      </c>
      <c r="AL281">
        <v>2972</v>
      </c>
      <c r="AM281" t="s">
        <v>1672</v>
      </c>
      <c r="AN281" s="8">
        <v>45928</v>
      </c>
      <c r="AO281" s="8">
        <v>45928</v>
      </c>
      <c r="AP281">
        <v>435</v>
      </c>
      <c r="AQ281" t="s">
        <v>1673</v>
      </c>
      <c r="AR281" t="s">
        <v>1295</v>
      </c>
      <c r="AS281" t="str">
        <f>+CONCATENATE(A281,"-",B281)</f>
        <v>(01) Factura FOF1-00000116</v>
      </c>
    </row>
    <row r="282" spans="1:45" ht="15" customHeight="1">
      <c r="A282" t="s">
        <v>1214</v>
      </c>
      <c r="B282" s="21" t="s">
        <v>1696</v>
      </c>
      <c r="C282" t="s">
        <v>27</v>
      </c>
      <c r="D282" s="8">
        <v>45946</v>
      </c>
      <c r="E282" s="22">
        <v>45964.860821759263</v>
      </c>
      <c r="F282" t="s">
        <v>1673</v>
      </c>
      <c r="G282" t="s">
        <v>158</v>
      </c>
      <c r="H282">
        <v>1</v>
      </c>
      <c r="I282">
        <v>40469388</v>
      </c>
      <c r="J282" t="s">
        <v>1697</v>
      </c>
      <c r="K282" s="8">
        <v>45946</v>
      </c>
      <c r="Q282">
        <v>31575</v>
      </c>
      <c r="R282">
        <v>224</v>
      </c>
      <c r="S282" t="s">
        <v>1305</v>
      </c>
      <c r="T282" t="s">
        <v>163</v>
      </c>
      <c r="U282">
        <v>1</v>
      </c>
      <c r="V282">
        <v>100</v>
      </c>
      <c r="W282">
        <v>118</v>
      </c>
      <c r="X282">
        <v>0</v>
      </c>
      <c r="Y282">
        <v>100</v>
      </c>
      <c r="Z282">
        <v>18</v>
      </c>
      <c r="AA282">
        <v>18</v>
      </c>
      <c r="AB282">
        <v>118</v>
      </c>
      <c r="AC282">
        <v>1</v>
      </c>
      <c r="AD282">
        <v>1</v>
      </c>
      <c r="AE282" t="s">
        <v>1411</v>
      </c>
      <c r="AF282" t="s">
        <v>1412</v>
      </c>
      <c r="AG282">
        <v>2</v>
      </c>
      <c r="AH282" t="s">
        <v>25</v>
      </c>
      <c r="AI282">
        <v>6959</v>
      </c>
      <c r="AJ282" t="s">
        <v>1401</v>
      </c>
      <c r="AK282" t="s">
        <v>1465</v>
      </c>
      <c r="AL282">
        <v>2972</v>
      </c>
      <c r="AM282" t="s">
        <v>1672</v>
      </c>
      <c r="AN282" s="8">
        <v>45928</v>
      </c>
      <c r="AO282" s="8">
        <v>45928</v>
      </c>
      <c r="AP282">
        <v>435</v>
      </c>
      <c r="AQ282" t="s">
        <v>1673</v>
      </c>
      <c r="AR282" t="s">
        <v>1295</v>
      </c>
      <c r="AS282" t="str">
        <f>+CONCATENATE(A282,"-",B282)</f>
        <v>(03) Boleta BOB1-00000056</v>
      </c>
    </row>
    <row r="283" spans="1:45" ht="15" customHeight="1">
      <c r="A283" t="s">
        <v>1214</v>
      </c>
      <c r="B283" s="21" t="s">
        <v>185</v>
      </c>
      <c r="C283" t="s">
        <v>27</v>
      </c>
      <c r="D283" s="8">
        <v>45945</v>
      </c>
      <c r="E283" s="22">
        <v>45964.768136574072</v>
      </c>
      <c r="F283" t="s">
        <v>271</v>
      </c>
      <c r="G283" t="s">
        <v>158</v>
      </c>
      <c r="H283">
        <v>1</v>
      </c>
      <c r="I283">
        <v>48595560</v>
      </c>
      <c r="J283" t="s">
        <v>1848</v>
      </c>
      <c r="K283" s="8">
        <v>45945</v>
      </c>
      <c r="Q283">
        <v>31241</v>
      </c>
      <c r="R283">
        <v>2320</v>
      </c>
      <c r="S283" t="s">
        <v>1305</v>
      </c>
      <c r="T283" t="s">
        <v>163</v>
      </c>
      <c r="U283">
        <v>1</v>
      </c>
      <c r="V283">
        <v>100</v>
      </c>
      <c r="W283">
        <v>118</v>
      </c>
      <c r="X283">
        <v>0</v>
      </c>
      <c r="Y283">
        <v>100</v>
      </c>
      <c r="Z283">
        <v>18</v>
      </c>
      <c r="AA283">
        <v>18</v>
      </c>
      <c r="AB283">
        <v>118</v>
      </c>
      <c r="AC283">
        <v>1</v>
      </c>
      <c r="AD283">
        <v>1</v>
      </c>
      <c r="AE283" t="s">
        <v>1411</v>
      </c>
      <c r="AF283" t="s">
        <v>1412</v>
      </c>
      <c r="AG283">
        <v>2</v>
      </c>
      <c r="AH283" t="s">
        <v>25</v>
      </c>
      <c r="AI283">
        <v>1106</v>
      </c>
      <c r="AJ283" t="s">
        <v>239</v>
      </c>
      <c r="AK283" t="s">
        <v>169</v>
      </c>
      <c r="AL283">
        <v>3066</v>
      </c>
      <c r="AM283" t="s">
        <v>1218</v>
      </c>
      <c r="AN283" s="8">
        <v>45934</v>
      </c>
      <c r="AO283" s="8">
        <v>45934</v>
      </c>
      <c r="AP283">
        <v>387</v>
      </c>
      <c r="AQ283" t="s">
        <v>271</v>
      </c>
      <c r="AR283" t="s">
        <v>1295</v>
      </c>
      <c r="AS283" t="str">
        <f>+CONCATENATE(A283,"-",B283)</f>
        <v>(03) Boleta BOB1-00000027</v>
      </c>
    </row>
    <row r="284" spans="1:45" ht="15" customHeight="1">
      <c r="A284" t="s">
        <v>1214</v>
      </c>
      <c r="B284" s="21" t="s">
        <v>195</v>
      </c>
      <c r="C284" t="s">
        <v>27</v>
      </c>
      <c r="D284" s="8">
        <v>45945</v>
      </c>
      <c r="E284" s="22">
        <v>45964.746446759258</v>
      </c>
      <c r="F284" t="s">
        <v>287</v>
      </c>
      <c r="H284">
        <v>1</v>
      </c>
      <c r="I284">
        <v>46168918</v>
      </c>
      <c r="J284" t="s">
        <v>1871</v>
      </c>
      <c r="K284" s="8">
        <v>45945</v>
      </c>
      <c r="Q284">
        <v>31163</v>
      </c>
      <c r="R284">
        <v>2320</v>
      </c>
      <c r="S284" t="s">
        <v>1305</v>
      </c>
      <c r="T284" t="s">
        <v>163</v>
      </c>
      <c r="U284">
        <v>1</v>
      </c>
      <c r="V284">
        <v>100</v>
      </c>
      <c r="W284">
        <v>118</v>
      </c>
      <c r="X284">
        <v>0</v>
      </c>
      <c r="Y284">
        <v>100</v>
      </c>
      <c r="Z284">
        <v>18</v>
      </c>
      <c r="AA284">
        <v>18</v>
      </c>
      <c r="AB284">
        <v>118</v>
      </c>
      <c r="AC284">
        <v>1</v>
      </c>
      <c r="AD284">
        <v>1</v>
      </c>
      <c r="AE284" t="s">
        <v>1411</v>
      </c>
      <c r="AF284" t="s">
        <v>1412</v>
      </c>
      <c r="AG284">
        <v>2</v>
      </c>
      <c r="AH284" t="s">
        <v>25</v>
      </c>
      <c r="AI284">
        <v>1106</v>
      </c>
      <c r="AJ284" t="s">
        <v>239</v>
      </c>
      <c r="AK284" t="s">
        <v>169</v>
      </c>
      <c r="AL284">
        <v>2953</v>
      </c>
      <c r="AM284" t="s">
        <v>1226</v>
      </c>
      <c r="AN284" s="8">
        <v>45934</v>
      </c>
      <c r="AO284" s="8">
        <v>45934</v>
      </c>
      <c r="AP284">
        <v>5592</v>
      </c>
      <c r="AQ284" t="s">
        <v>287</v>
      </c>
      <c r="AR284" t="s">
        <v>1295</v>
      </c>
      <c r="AS284" t="str">
        <f>+CONCATENATE(A284,"-",B284)</f>
        <v>(03) Boleta BOB1-00000015</v>
      </c>
    </row>
    <row r="285" spans="1:45" ht="15" customHeight="1">
      <c r="A285" t="s">
        <v>1214</v>
      </c>
      <c r="B285" s="21" t="s">
        <v>192</v>
      </c>
      <c r="C285" t="s">
        <v>27</v>
      </c>
      <c r="D285" s="8">
        <v>45945</v>
      </c>
      <c r="E285" s="22">
        <v>45964.74622685185</v>
      </c>
      <c r="F285" t="s">
        <v>287</v>
      </c>
      <c r="H285">
        <v>1</v>
      </c>
      <c r="I285">
        <v>46168918</v>
      </c>
      <c r="J285" t="s">
        <v>1872</v>
      </c>
      <c r="K285" s="8">
        <v>45945</v>
      </c>
      <c r="Q285">
        <v>31160</v>
      </c>
      <c r="R285">
        <v>2320</v>
      </c>
      <c r="S285" t="s">
        <v>1305</v>
      </c>
      <c r="T285" t="s">
        <v>163</v>
      </c>
      <c r="U285">
        <v>1</v>
      </c>
      <c r="V285">
        <v>100</v>
      </c>
      <c r="W285">
        <v>118</v>
      </c>
      <c r="X285">
        <v>0</v>
      </c>
      <c r="Y285">
        <v>100</v>
      </c>
      <c r="Z285">
        <v>18</v>
      </c>
      <c r="AA285">
        <v>18</v>
      </c>
      <c r="AB285">
        <v>118</v>
      </c>
      <c r="AC285">
        <v>1</v>
      </c>
      <c r="AD285">
        <v>1</v>
      </c>
      <c r="AE285" t="s">
        <v>1411</v>
      </c>
      <c r="AF285" t="s">
        <v>1412</v>
      </c>
      <c r="AG285">
        <v>2</v>
      </c>
      <c r="AH285" t="s">
        <v>25</v>
      </c>
      <c r="AI285">
        <v>1106</v>
      </c>
      <c r="AJ285" t="s">
        <v>239</v>
      </c>
      <c r="AK285" t="s">
        <v>169</v>
      </c>
      <c r="AL285">
        <v>2953</v>
      </c>
      <c r="AM285" t="s">
        <v>1226</v>
      </c>
      <c r="AN285" s="8">
        <v>45934</v>
      </c>
      <c r="AO285" s="8">
        <v>45934</v>
      </c>
      <c r="AP285">
        <v>5592</v>
      </c>
      <c r="AQ285" t="s">
        <v>287</v>
      </c>
      <c r="AR285" t="s">
        <v>1295</v>
      </c>
      <c r="AS285" t="str">
        <f>+CONCATENATE(A285,"-",B285)</f>
        <v>(03) Boleta BOB1-00000014</v>
      </c>
    </row>
    <row r="286" spans="1:45" ht="15" customHeight="1">
      <c r="A286" t="s">
        <v>1238</v>
      </c>
      <c r="B286">
        <v>725</v>
      </c>
      <c r="C286" t="s">
        <v>27</v>
      </c>
      <c r="D286" s="8">
        <v>45693</v>
      </c>
      <c r="E286" s="22">
        <v>45964</v>
      </c>
      <c r="F286" t="s">
        <v>335</v>
      </c>
      <c r="G286" t="s">
        <v>158</v>
      </c>
      <c r="H286">
        <v>1</v>
      </c>
      <c r="I286">
        <v>43908595</v>
      </c>
      <c r="J286" t="s">
        <v>1962</v>
      </c>
      <c r="K286" s="8">
        <v>45693</v>
      </c>
      <c r="Q286">
        <v>18708</v>
      </c>
      <c r="R286">
        <v>993</v>
      </c>
      <c r="S286" t="s">
        <v>1330</v>
      </c>
      <c r="T286" t="s">
        <v>215</v>
      </c>
      <c r="U286">
        <v>1</v>
      </c>
      <c r="V286">
        <v>100</v>
      </c>
      <c r="W286">
        <v>118</v>
      </c>
      <c r="X286">
        <v>0</v>
      </c>
      <c r="Y286">
        <v>100</v>
      </c>
      <c r="Z286">
        <v>18</v>
      </c>
      <c r="AA286">
        <v>18</v>
      </c>
      <c r="AB286">
        <v>118</v>
      </c>
      <c r="AC286">
        <v>1</v>
      </c>
      <c r="AD286">
        <v>1</v>
      </c>
      <c r="AE286" t="s">
        <v>232</v>
      </c>
      <c r="AF286" t="s">
        <v>29</v>
      </c>
      <c r="AG286">
        <v>2</v>
      </c>
      <c r="AH286" t="s">
        <v>25</v>
      </c>
      <c r="AI286">
        <v>1106</v>
      </c>
      <c r="AJ286" t="s">
        <v>239</v>
      </c>
      <c r="AK286" t="s">
        <v>1249</v>
      </c>
      <c r="AP286">
        <v>393</v>
      </c>
      <c r="AQ286" t="s">
        <v>335</v>
      </c>
      <c r="AR286" t="s">
        <v>1295</v>
      </c>
      <c r="AS286" t="str">
        <f>+CONCATENATE(A286,"-",B286)</f>
        <v>BB01-725</v>
      </c>
    </row>
    <row r="287" spans="1:45" ht="15" customHeight="1">
      <c r="A287" t="s">
        <v>216</v>
      </c>
      <c r="B287">
        <v>1311</v>
      </c>
      <c r="C287" t="s">
        <v>27</v>
      </c>
      <c r="D287" s="8">
        <v>45680</v>
      </c>
      <c r="E287" s="22">
        <v>45964</v>
      </c>
      <c r="F287" t="s">
        <v>756</v>
      </c>
      <c r="H287">
        <v>6</v>
      </c>
      <c r="I287">
        <v>20612849251</v>
      </c>
      <c r="J287" t="s">
        <v>2062</v>
      </c>
      <c r="K287" s="8">
        <v>45680</v>
      </c>
      <c r="Q287">
        <v>17833</v>
      </c>
      <c r="R287">
        <v>932</v>
      </c>
      <c r="S287" t="s">
        <v>1350</v>
      </c>
      <c r="T287" t="s">
        <v>215</v>
      </c>
      <c r="U287">
        <v>1</v>
      </c>
      <c r="V287">
        <v>100</v>
      </c>
      <c r="W287">
        <v>118</v>
      </c>
      <c r="X287">
        <v>0</v>
      </c>
      <c r="Y287">
        <v>100</v>
      </c>
      <c r="Z287">
        <v>18</v>
      </c>
      <c r="AA287">
        <v>18</v>
      </c>
      <c r="AB287">
        <v>118</v>
      </c>
      <c r="AC287">
        <v>1</v>
      </c>
      <c r="AD287">
        <v>1</v>
      </c>
      <c r="AE287" t="s">
        <v>232</v>
      </c>
      <c r="AF287" t="s">
        <v>29</v>
      </c>
      <c r="AG287">
        <v>2</v>
      </c>
      <c r="AH287" t="s">
        <v>25</v>
      </c>
      <c r="AI287">
        <v>1106</v>
      </c>
      <c r="AJ287" t="s">
        <v>239</v>
      </c>
      <c r="AK287" t="s">
        <v>1249</v>
      </c>
      <c r="AP287">
        <v>1132</v>
      </c>
      <c r="AQ287" t="s">
        <v>756</v>
      </c>
      <c r="AR287" t="s">
        <v>12</v>
      </c>
      <c r="AS287" t="str">
        <f>+CONCATENATE(A287,"-",B287)</f>
        <v>FB01-1311</v>
      </c>
    </row>
    <row r="288" spans="1:45" ht="15" customHeight="1">
      <c r="A288" t="s">
        <v>216</v>
      </c>
      <c r="B288">
        <v>1310</v>
      </c>
      <c r="C288" t="s">
        <v>27</v>
      </c>
      <c r="D288" s="8">
        <v>45680</v>
      </c>
      <c r="E288" s="22">
        <v>45964</v>
      </c>
      <c r="F288" t="s">
        <v>756</v>
      </c>
      <c r="H288">
        <v>6</v>
      </c>
      <c r="I288">
        <v>20612849251</v>
      </c>
      <c r="J288" t="s">
        <v>2063</v>
      </c>
      <c r="K288" s="8">
        <v>45680</v>
      </c>
      <c r="Q288">
        <v>17832</v>
      </c>
      <c r="R288">
        <v>931</v>
      </c>
      <c r="S288" t="s">
        <v>1351</v>
      </c>
      <c r="T288" t="s">
        <v>215</v>
      </c>
      <c r="U288">
        <v>1</v>
      </c>
      <c r="V288">
        <v>100</v>
      </c>
      <c r="W288">
        <v>118</v>
      </c>
      <c r="X288">
        <v>0</v>
      </c>
      <c r="Y288">
        <v>100</v>
      </c>
      <c r="Z288">
        <v>18</v>
      </c>
      <c r="AA288">
        <v>18</v>
      </c>
      <c r="AB288">
        <v>118</v>
      </c>
      <c r="AC288">
        <v>1</v>
      </c>
      <c r="AD288">
        <v>1</v>
      </c>
      <c r="AE288" t="s">
        <v>232</v>
      </c>
      <c r="AF288" t="s">
        <v>29</v>
      </c>
      <c r="AG288">
        <v>2</v>
      </c>
      <c r="AH288" t="s">
        <v>25</v>
      </c>
      <c r="AI288">
        <v>1106</v>
      </c>
      <c r="AJ288" t="s">
        <v>239</v>
      </c>
      <c r="AK288" t="s">
        <v>1249</v>
      </c>
      <c r="AP288">
        <v>1132</v>
      </c>
      <c r="AQ288" t="s">
        <v>756</v>
      </c>
      <c r="AR288" t="s">
        <v>12</v>
      </c>
      <c r="AS288" t="str">
        <f>+CONCATENATE(A288,"-",B288)</f>
        <v>FB01-1310</v>
      </c>
    </row>
    <row r="289" spans="1:45" ht="15" customHeight="1">
      <c r="A289" t="s">
        <v>216</v>
      </c>
      <c r="B289">
        <v>1241</v>
      </c>
      <c r="C289" t="s">
        <v>27</v>
      </c>
      <c r="D289" s="8">
        <v>45665</v>
      </c>
      <c r="E289" s="22">
        <v>45964</v>
      </c>
      <c r="F289" t="s">
        <v>415</v>
      </c>
      <c r="H289">
        <v>6</v>
      </c>
      <c r="I289">
        <v>20611890746</v>
      </c>
      <c r="J289" t="s">
        <v>2144</v>
      </c>
      <c r="K289" s="8">
        <v>45665</v>
      </c>
      <c r="Q289">
        <v>17244</v>
      </c>
      <c r="R289">
        <v>900</v>
      </c>
      <c r="S289" t="s">
        <v>1273</v>
      </c>
      <c r="T289" t="s">
        <v>215</v>
      </c>
      <c r="U289">
        <v>1</v>
      </c>
      <c r="V289">
        <v>100</v>
      </c>
      <c r="W289">
        <v>118</v>
      </c>
      <c r="X289">
        <v>0</v>
      </c>
      <c r="Y289">
        <v>100</v>
      </c>
      <c r="Z289">
        <v>18</v>
      </c>
      <c r="AA289">
        <v>18</v>
      </c>
      <c r="AB289">
        <v>118</v>
      </c>
      <c r="AC289">
        <v>1</v>
      </c>
      <c r="AD289">
        <v>1</v>
      </c>
      <c r="AE289" t="s">
        <v>232</v>
      </c>
      <c r="AF289" t="s">
        <v>29</v>
      </c>
      <c r="AG289">
        <v>2</v>
      </c>
      <c r="AH289" t="s">
        <v>25</v>
      </c>
      <c r="AI289">
        <v>1106</v>
      </c>
      <c r="AJ289" t="s">
        <v>239</v>
      </c>
      <c r="AK289" t="s">
        <v>1257</v>
      </c>
      <c r="AP289">
        <v>1136</v>
      </c>
      <c r="AQ289" t="s">
        <v>415</v>
      </c>
      <c r="AR289" t="s">
        <v>12</v>
      </c>
      <c r="AS289" t="str">
        <f>+CONCATENATE(A289,"-",B289)</f>
        <v>FB01-1241</v>
      </c>
    </row>
    <row r="290" spans="1:45" ht="15" customHeight="1">
      <c r="A290" t="s">
        <v>216</v>
      </c>
      <c r="B290">
        <v>1206</v>
      </c>
      <c r="C290" t="s">
        <v>27</v>
      </c>
      <c r="D290" s="8">
        <v>45663</v>
      </c>
      <c r="E290" s="22">
        <v>45964</v>
      </c>
      <c r="F290" t="s">
        <v>1080</v>
      </c>
      <c r="H290">
        <v>6</v>
      </c>
      <c r="I290">
        <v>20611454300</v>
      </c>
      <c r="J290" t="s">
        <v>2176</v>
      </c>
      <c r="K290" s="8">
        <v>45663</v>
      </c>
      <c r="Q290">
        <v>17209</v>
      </c>
      <c r="R290">
        <v>888</v>
      </c>
      <c r="S290" t="s">
        <v>1389</v>
      </c>
      <c r="T290" t="s">
        <v>215</v>
      </c>
      <c r="U290">
        <v>1</v>
      </c>
      <c r="V290">
        <v>100</v>
      </c>
      <c r="W290">
        <v>118</v>
      </c>
      <c r="X290">
        <v>0</v>
      </c>
      <c r="Y290">
        <v>100</v>
      </c>
      <c r="Z290">
        <v>18</v>
      </c>
      <c r="AA290">
        <v>18</v>
      </c>
      <c r="AB290">
        <v>118</v>
      </c>
      <c r="AC290">
        <v>1</v>
      </c>
      <c r="AD290">
        <v>1</v>
      </c>
      <c r="AE290" t="s">
        <v>232</v>
      </c>
      <c r="AF290" t="s">
        <v>29</v>
      </c>
      <c r="AG290">
        <v>2</v>
      </c>
      <c r="AH290" t="s">
        <v>25</v>
      </c>
      <c r="AI290">
        <v>1106</v>
      </c>
      <c r="AJ290" t="s">
        <v>239</v>
      </c>
      <c r="AK290" t="s">
        <v>1249</v>
      </c>
      <c r="AP290">
        <v>1119</v>
      </c>
      <c r="AQ290" t="s">
        <v>1080</v>
      </c>
      <c r="AR290" t="s">
        <v>12</v>
      </c>
      <c r="AS290" t="str">
        <f>+CONCATENATE(A290,"-",B290)</f>
        <v>FB01-1206</v>
      </c>
    </row>
    <row r="291" spans="1:45" ht="15" customHeight="1">
      <c r="A291" t="s">
        <v>216</v>
      </c>
      <c r="B291">
        <v>1182</v>
      </c>
      <c r="C291" t="s">
        <v>27</v>
      </c>
      <c r="D291" s="8">
        <v>45660</v>
      </c>
      <c r="E291" s="22">
        <v>45964</v>
      </c>
      <c r="F291" t="s">
        <v>1393</v>
      </c>
      <c r="H291">
        <v>6</v>
      </c>
      <c r="I291">
        <v>20609168961</v>
      </c>
      <c r="J291" t="s">
        <v>2211</v>
      </c>
      <c r="K291" s="8">
        <v>45660</v>
      </c>
      <c r="Q291">
        <v>17168</v>
      </c>
      <c r="R291">
        <v>993</v>
      </c>
      <c r="S291" t="s">
        <v>1330</v>
      </c>
      <c r="T291" t="s">
        <v>215</v>
      </c>
      <c r="U291">
        <v>1</v>
      </c>
      <c r="V291">
        <v>100</v>
      </c>
      <c r="W291">
        <v>118</v>
      </c>
      <c r="X291">
        <v>0</v>
      </c>
      <c r="Y291">
        <v>100</v>
      </c>
      <c r="Z291">
        <v>18</v>
      </c>
      <c r="AA291">
        <v>18</v>
      </c>
      <c r="AB291">
        <v>118</v>
      </c>
      <c r="AC291">
        <v>1</v>
      </c>
      <c r="AD291">
        <v>1</v>
      </c>
      <c r="AE291" t="s">
        <v>232</v>
      </c>
      <c r="AF291" t="s">
        <v>29</v>
      </c>
      <c r="AG291">
        <v>2</v>
      </c>
      <c r="AH291" t="s">
        <v>25</v>
      </c>
      <c r="AI291">
        <v>1106</v>
      </c>
      <c r="AJ291" t="s">
        <v>239</v>
      </c>
      <c r="AK291" t="s">
        <v>1249</v>
      </c>
      <c r="AP291">
        <v>1113</v>
      </c>
      <c r="AQ291" t="s">
        <v>1393</v>
      </c>
      <c r="AR291" t="s">
        <v>12</v>
      </c>
      <c r="AS291" t="str">
        <f>+CONCATENATE(A291,"-",B291)</f>
        <v>FB01-1182</v>
      </c>
    </row>
    <row r="292" spans="1:45" ht="15" customHeight="1">
      <c r="A292" t="s">
        <v>1238</v>
      </c>
      <c r="B292">
        <v>631</v>
      </c>
      <c r="C292" t="s">
        <v>27</v>
      </c>
      <c r="D292" s="8">
        <v>45660</v>
      </c>
      <c r="E292" s="22">
        <v>45964</v>
      </c>
      <c r="F292" t="s">
        <v>1151</v>
      </c>
      <c r="G292" t="s">
        <v>158</v>
      </c>
      <c r="H292">
        <v>1</v>
      </c>
      <c r="I292">
        <v>44413438</v>
      </c>
      <c r="J292" t="s">
        <v>2214</v>
      </c>
      <c r="K292" s="8">
        <v>45660</v>
      </c>
      <c r="Q292">
        <v>17165</v>
      </c>
      <c r="R292">
        <v>993</v>
      </c>
      <c r="S292" t="s">
        <v>1330</v>
      </c>
      <c r="T292" t="s">
        <v>215</v>
      </c>
      <c r="U292">
        <v>1</v>
      </c>
      <c r="V292">
        <v>100</v>
      </c>
      <c r="W292">
        <v>118</v>
      </c>
      <c r="X292">
        <v>0</v>
      </c>
      <c r="Y292">
        <v>100</v>
      </c>
      <c r="Z292">
        <v>18</v>
      </c>
      <c r="AA292">
        <v>18</v>
      </c>
      <c r="AB292">
        <v>118</v>
      </c>
      <c r="AC292">
        <v>1</v>
      </c>
      <c r="AD292">
        <v>1</v>
      </c>
      <c r="AE292" t="s">
        <v>232</v>
      </c>
      <c r="AF292" t="s">
        <v>29</v>
      </c>
      <c r="AG292">
        <v>2</v>
      </c>
      <c r="AH292" t="s">
        <v>25</v>
      </c>
      <c r="AI292">
        <v>1106</v>
      </c>
      <c r="AJ292" t="s">
        <v>239</v>
      </c>
      <c r="AK292" t="s">
        <v>1249</v>
      </c>
      <c r="AP292">
        <v>405</v>
      </c>
      <c r="AQ292" t="s">
        <v>1151</v>
      </c>
      <c r="AR292" t="s">
        <v>1295</v>
      </c>
      <c r="AS292" t="str">
        <f>+CONCATENATE(A292,"-",B292)</f>
        <v>BB01-631</v>
      </c>
    </row>
    <row r="293" spans="1:45" ht="15" customHeight="1">
      <c r="A293" t="s">
        <v>216</v>
      </c>
      <c r="B293">
        <v>1190</v>
      </c>
      <c r="C293" t="s">
        <v>27</v>
      </c>
      <c r="D293" s="8">
        <v>45663</v>
      </c>
      <c r="E293" s="22">
        <v>45964</v>
      </c>
      <c r="F293" t="s">
        <v>1325</v>
      </c>
      <c r="H293">
        <v>6</v>
      </c>
      <c r="I293">
        <v>20516587874</v>
      </c>
      <c r="J293" t="s">
        <v>2198</v>
      </c>
      <c r="K293" s="8">
        <v>45663</v>
      </c>
      <c r="Q293">
        <v>17185</v>
      </c>
      <c r="R293">
        <v>870</v>
      </c>
      <c r="S293" t="s">
        <v>1299</v>
      </c>
      <c r="T293" t="s">
        <v>215</v>
      </c>
      <c r="U293">
        <v>1</v>
      </c>
      <c r="V293">
        <v>102.29</v>
      </c>
      <c r="W293">
        <v>120.7</v>
      </c>
      <c r="X293">
        <v>0</v>
      </c>
      <c r="Y293">
        <v>102.29</v>
      </c>
      <c r="Z293">
        <v>18</v>
      </c>
      <c r="AA293">
        <v>18.41</v>
      </c>
      <c r="AB293">
        <v>120.7</v>
      </c>
      <c r="AC293">
        <v>1</v>
      </c>
      <c r="AD293">
        <v>1</v>
      </c>
      <c r="AE293" t="s">
        <v>232</v>
      </c>
      <c r="AF293" t="s">
        <v>29</v>
      </c>
      <c r="AG293">
        <v>2</v>
      </c>
      <c r="AH293" t="s">
        <v>25</v>
      </c>
      <c r="AI293">
        <v>1106</v>
      </c>
      <c r="AJ293" t="s">
        <v>239</v>
      </c>
      <c r="AK293" t="s">
        <v>1237</v>
      </c>
      <c r="AP293">
        <v>1116</v>
      </c>
      <c r="AQ293" t="s">
        <v>1325</v>
      </c>
      <c r="AR293" t="s">
        <v>12</v>
      </c>
      <c r="AS293" t="str">
        <f>+CONCATENATE(A293,"-",B293)</f>
        <v>FB01-1190</v>
      </c>
    </row>
    <row r="294" spans="1:45" ht="15" customHeight="1">
      <c r="A294" t="s">
        <v>1216</v>
      </c>
      <c r="B294" s="21" t="s">
        <v>2506</v>
      </c>
      <c r="C294" t="s">
        <v>27</v>
      </c>
      <c r="D294" s="8">
        <v>45959</v>
      </c>
      <c r="E294" s="22">
        <v>45964.625335648147</v>
      </c>
      <c r="F294" t="s">
        <v>1787</v>
      </c>
      <c r="G294" t="s">
        <v>158</v>
      </c>
      <c r="H294">
        <v>6</v>
      </c>
      <c r="I294">
        <v>20168142375</v>
      </c>
      <c r="J294" t="s">
        <v>2683</v>
      </c>
      <c r="K294" s="8">
        <v>45959</v>
      </c>
      <c r="Q294">
        <v>32855</v>
      </c>
      <c r="R294">
        <v>2274</v>
      </c>
      <c r="S294" t="s">
        <v>1255</v>
      </c>
      <c r="T294" t="s">
        <v>215</v>
      </c>
      <c r="U294">
        <v>1</v>
      </c>
      <c r="V294">
        <v>105</v>
      </c>
      <c r="W294">
        <v>123.9</v>
      </c>
      <c r="X294">
        <v>0</v>
      </c>
      <c r="Y294">
        <v>105</v>
      </c>
      <c r="Z294">
        <v>18</v>
      </c>
      <c r="AA294">
        <v>18.899999999999999</v>
      </c>
      <c r="AB294">
        <v>123.9</v>
      </c>
      <c r="AC294">
        <v>1</v>
      </c>
      <c r="AD294">
        <v>1</v>
      </c>
      <c r="AE294" t="s">
        <v>1411</v>
      </c>
      <c r="AF294" t="s">
        <v>1412</v>
      </c>
      <c r="AG294">
        <v>2</v>
      </c>
      <c r="AH294" t="s">
        <v>25</v>
      </c>
      <c r="AI294">
        <v>6937</v>
      </c>
      <c r="AJ294" t="s">
        <v>1414</v>
      </c>
      <c r="AK294" t="s">
        <v>1433</v>
      </c>
      <c r="AL294">
        <v>3264</v>
      </c>
      <c r="AM294" t="s">
        <v>2507</v>
      </c>
      <c r="AN294" s="8">
        <v>45949</v>
      </c>
      <c r="AO294" s="8">
        <v>45949</v>
      </c>
      <c r="AP294">
        <v>388</v>
      </c>
      <c r="AQ294" t="s">
        <v>1787</v>
      </c>
      <c r="AR294" t="s">
        <v>12</v>
      </c>
      <c r="AS294" t="str">
        <f>+CONCATENATE(A294,"-",B294)</f>
        <v>(01) Factura FOF1-00000196</v>
      </c>
    </row>
    <row r="295" spans="1:45" ht="15" customHeight="1">
      <c r="A295" t="s">
        <v>1216</v>
      </c>
      <c r="B295" s="21" t="s">
        <v>2492</v>
      </c>
      <c r="C295" t="s">
        <v>27</v>
      </c>
      <c r="D295" s="8">
        <v>45959</v>
      </c>
      <c r="E295" s="22">
        <v>45964.634444444448</v>
      </c>
      <c r="F295" t="s">
        <v>2490</v>
      </c>
      <c r="H295">
        <v>6</v>
      </c>
      <c r="I295">
        <v>10749956238</v>
      </c>
      <c r="J295" t="s">
        <v>2672</v>
      </c>
      <c r="K295" s="8">
        <v>45959</v>
      </c>
      <c r="Q295">
        <v>32888</v>
      </c>
      <c r="R295">
        <v>1786</v>
      </c>
      <c r="S295" t="s">
        <v>1299</v>
      </c>
      <c r="T295" t="s">
        <v>163</v>
      </c>
      <c r="U295">
        <v>1</v>
      </c>
      <c r="V295">
        <v>106.95</v>
      </c>
      <c r="W295">
        <v>126.2</v>
      </c>
      <c r="X295">
        <v>0</v>
      </c>
      <c r="Y295">
        <v>106.95</v>
      </c>
      <c r="Z295">
        <v>18</v>
      </c>
      <c r="AA295">
        <v>19.25</v>
      </c>
      <c r="AB295">
        <v>126.2</v>
      </c>
      <c r="AC295">
        <v>1</v>
      </c>
      <c r="AD295">
        <v>1</v>
      </c>
      <c r="AE295" t="s">
        <v>1411</v>
      </c>
      <c r="AF295" t="s">
        <v>1412</v>
      </c>
      <c r="AG295">
        <v>2</v>
      </c>
      <c r="AH295" t="s">
        <v>25</v>
      </c>
      <c r="AI295">
        <v>6937</v>
      </c>
      <c r="AJ295" t="s">
        <v>1414</v>
      </c>
      <c r="AK295" t="s">
        <v>1251</v>
      </c>
      <c r="AL295">
        <v>3280</v>
      </c>
      <c r="AM295" t="s">
        <v>2491</v>
      </c>
      <c r="AN295" s="8">
        <v>45955</v>
      </c>
      <c r="AO295" s="8">
        <v>45955</v>
      </c>
      <c r="AP295">
        <v>6601</v>
      </c>
      <c r="AQ295" t="s">
        <v>2490</v>
      </c>
      <c r="AR295" t="s">
        <v>12</v>
      </c>
      <c r="AS295" t="str">
        <f>+CONCATENATE(A295,"-",B295)</f>
        <v>(01) Factura FOF1-00000207</v>
      </c>
    </row>
    <row r="296" spans="1:45" ht="15" customHeight="1">
      <c r="A296" t="s">
        <v>216</v>
      </c>
      <c r="B296">
        <v>1302</v>
      </c>
      <c r="C296" t="s">
        <v>27</v>
      </c>
      <c r="D296" s="8">
        <v>45680</v>
      </c>
      <c r="E296" s="22">
        <v>45964</v>
      </c>
      <c r="F296" t="s">
        <v>442</v>
      </c>
      <c r="H296">
        <v>6</v>
      </c>
      <c r="I296">
        <v>20609584719</v>
      </c>
      <c r="J296" t="s">
        <v>2071</v>
      </c>
      <c r="K296" s="8">
        <v>45680</v>
      </c>
      <c r="Q296">
        <v>17824</v>
      </c>
      <c r="R296">
        <v>877</v>
      </c>
      <c r="S296" t="s">
        <v>1300</v>
      </c>
      <c r="T296" t="s">
        <v>215</v>
      </c>
      <c r="U296">
        <v>1</v>
      </c>
      <c r="V296">
        <v>106.95</v>
      </c>
      <c r="W296">
        <v>126.2</v>
      </c>
      <c r="X296">
        <v>0</v>
      </c>
      <c r="Y296">
        <v>106.95</v>
      </c>
      <c r="Z296">
        <v>18</v>
      </c>
      <c r="AA296">
        <v>19.25</v>
      </c>
      <c r="AB296">
        <v>126.2</v>
      </c>
      <c r="AC296">
        <v>1</v>
      </c>
      <c r="AD296">
        <v>1</v>
      </c>
      <c r="AE296" t="s">
        <v>232</v>
      </c>
      <c r="AF296" t="s">
        <v>29</v>
      </c>
      <c r="AG296">
        <v>2</v>
      </c>
      <c r="AH296" t="s">
        <v>25</v>
      </c>
      <c r="AI296">
        <v>1106</v>
      </c>
      <c r="AJ296" t="s">
        <v>239</v>
      </c>
      <c r="AK296" t="s">
        <v>1237</v>
      </c>
      <c r="AP296">
        <v>1145</v>
      </c>
      <c r="AQ296" t="s">
        <v>442</v>
      </c>
      <c r="AR296" t="s">
        <v>12</v>
      </c>
      <c r="AS296" t="str">
        <f>+CONCATENATE(A296,"-",B296)</f>
        <v>FB01-1302</v>
      </c>
    </row>
    <row r="297" spans="1:45" ht="15" customHeight="1">
      <c r="A297" t="s">
        <v>216</v>
      </c>
      <c r="B297">
        <v>1420</v>
      </c>
      <c r="C297" t="s">
        <v>27</v>
      </c>
      <c r="D297" s="8">
        <v>45695</v>
      </c>
      <c r="E297" s="22">
        <v>45964</v>
      </c>
      <c r="F297" t="s">
        <v>36</v>
      </c>
      <c r="H297">
        <v>6</v>
      </c>
      <c r="I297">
        <v>10755725086</v>
      </c>
      <c r="J297" t="s">
        <v>1909</v>
      </c>
      <c r="K297" s="8">
        <v>45695</v>
      </c>
      <c r="Q297">
        <v>18781</v>
      </c>
      <c r="R297">
        <v>982</v>
      </c>
      <c r="S297" t="s">
        <v>217</v>
      </c>
      <c r="T297" t="s">
        <v>215</v>
      </c>
      <c r="U297">
        <v>1</v>
      </c>
      <c r="V297">
        <v>107.37</v>
      </c>
      <c r="W297">
        <v>126.7</v>
      </c>
      <c r="X297">
        <v>0</v>
      </c>
      <c r="Y297">
        <v>107.37</v>
      </c>
      <c r="Z297">
        <v>18</v>
      </c>
      <c r="AA297">
        <v>19.329999999999998</v>
      </c>
      <c r="AB297">
        <v>126.7</v>
      </c>
      <c r="AC297">
        <v>1</v>
      </c>
      <c r="AD297">
        <v>1</v>
      </c>
      <c r="AE297" t="s">
        <v>232</v>
      </c>
      <c r="AF297" t="s">
        <v>29</v>
      </c>
      <c r="AG297">
        <v>2</v>
      </c>
      <c r="AH297" t="s">
        <v>25</v>
      </c>
      <c r="AI297">
        <v>1106</v>
      </c>
      <c r="AJ297" t="s">
        <v>239</v>
      </c>
      <c r="AK297" t="s">
        <v>1237</v>
      </c>
      <c r="AP297">
        <v>1149</v>
      </c>
      <c r="AQ297" t="s">
        <v>36</v>
      </c>
      <c r="AR297" t="s">
        <v>12</v>
      </c>
      <c r="AS297" t="str">
        <f>+CONCATENATE(A297,"-",B297)</f>
        <v>FB01-1420</v>
      </c>
    </row>
    <row r="298" spans="1:45" ht="15" customHeight="1">
      <c r="A298" t="s">
        <v>1214</v>
      </c>
      <c r="B298" s="21" t="s">
        <v>1643</v>
      </c>
      <c r="C298" t="s">
        <v>27</v>
      </c>
      <c r="D298" s="8">
        <v>45947</v>
      </c>
      <c r="E298" s="22">
        <v>45964.437002314815</v>
      </c>
      <c r="F298" t="s">
        <v>1640</v>
      </c>
      <c r="G298" t="s">
        <v>158</v>
      </c>
      <c r="H298">
        <v>1</v>
      </c>
      <c r="I298">
        <v>72327214</v>
      </c>
      <c r="J298" t="s">
        <v>1644</v>
      </c>
      <c r="K298" s="8">
        <v>45947</v>
      </c>
      <c r="Q298">
        <v>31654</v>
      </c>
      <c r="R298">
        <v>2276</v>
      </c>
      <c r="S298" t="s">
        <v>1504</v>
      </c>
      <c r="T298" t="s">
        <v>163</v>
      </c>
      <c r="U298">
        <v>1</v>
      </c>
      <c r="V298">
        <v>107.5</v>
      </c>
      <c r="W298">
        <v>126.85</v>
      </c>
      <c r="X298">
        <v>0</v>
      </c>
      <c r="Y298">
        <v>107.5</v>
      </c>
      <c r="Z298">
        <v>18</v>
      </c>
      <c r="AA298">
        <v>19.350000000000001</v>
      </c>
      <c r="AB298">
        <v>126.85</v>
      </c>
      <c r="AC298">
        <v>1</v>
      </c>
      <c r="AD298">
        <v>1</v>
      </c>
      <c r="AE298" t="s">
        <v>1411</v>
      </c>
      <c r="AF298" t="s">
        <v>1412</v>
      </c>
      <c r="AG298">
        <v>2</v>
      </c>
      <c r="AH298" t="s">
        <v>25</v>
      </c>
      <c r="AI298">
        <v>6959</v>
      </c>
      <c r="AJ298" t="s">
        <v>1401</v>
      </c>
      <c r="AK298" t="s">
        <v>169</v>
      </c>
      <c r="AL298">
        <v>2929</v>
      </c>
      <c r="AM298" t="s">
        <v>1642</v>
      </c>
      <c r="AN298" s="8">
        <v>45941</v>
      </c>
      <c r="AO298" s="8">
        <v>45941</v>
      </c>
      <c r="AP298">
        <v>416</v>
      </c>
      <c r="AQ298" t="s">
        <v>1640</v>
      </c>
      <c r="AR298" t="s">
        <v>1295</v>
      </c>
      <c r="AS298" t="str">
        <f>+CONCATENATE(A298,"-",B298)</f>
        <v>(03) Boleta BOB1-00000069</v>
      </c>
    </row>
    <row r="299" spans="1:45" ht="15" customHeight="1">
      <c r="A299" t="s">
        <v>1238</v>
      </c>
      <c r="B299">
        <v>644</v>
      </c>
      <c r="C299" t="s">
        <v>27</v>
      </c>
      <c r="D299" s="8">
        <v>45663</v>
      </c>
      <c r="E299" s="22">
        <v>45964</v>
      </c>
      <c r="F299" t="s">
        <v>1146</v>
      </c>
      <c r="H299">
        <v>1</v>
      </c>
      <c r="I299" s="21" t="s">
        <v>1276</v>
      </c>
      <c r="J299" t="s">
        <v>2185</v>
      </c>
      <c r="K299" s="8">
        <v>45663</v>
      </c>
      <c r="Q299">
        <v>17198</v>
      </c>
      <c r="R299">
        <v>887</v>
      </c>
      <c r="S299" t="s">
        <v>1390</v>
      </c>
      <c r="T299" t="s">
        <v>215</v>
      </c>
      <c r="U299">
        <v>1</v>
      </c>
      <c r="V299">
        <v>109.06</v>
      </c>
      <c r="W299">
        <v>128.69</v>
      </c>
      <c r="X299">
        <v>0</v>
      </c>
      <c r="Y299">
        <v>109.06</v>
      </c>
      <c r="Z299">
        <v>18</v>
      </c>
      <c r="AA299">
        <v>19.63</v>
      </c>
      <c r="AB299">
        <v>128.69</v>
      </c>
      <c r="AC299">
        <v>1</v>
      </c>
      <c r="AD299">
        <v>1</v>
      </c>
      <c r="AE299" t="s">
        <v>232</v>
      </c>
      <c r="AF299" t="s">
        <v>29</v>
      </c>
      <c r="AG299">
        <v>2</v>
      </c>
      <c r="AH299" t="s">
        <v>25</v>
      </c>
      <c r="AI299">
        <v>1106</v>
      </c>
      <c r="AJ299" t="s">
        <v>239</v>
      </c>
      <c r="AK299" t="s">
        <v>1237</v>
      </c>
      <c r="AP299">
        <v>1155</v>
      </c>
      <c r="AQ299" s="28" t="s">
        <v>1277</v>
      </c>
      <c r="AR299" t="s">
        <v>1295</v>
      </c>
      <c r="AS299" t="str">
        <f>+CONCATENATE(A299,"-",B299)</f>
        <v>BB01-644</v>
      </c>
    </row>
    <row r="300" spans="1:45" ht="15" customHeight="1">
      <c r="A300" t="s">
        <v>216</v>
      </c>
      <c r="B300">
        <v>1199</v>
      </c>
      <c r="C300" t="s">
        <v>27</v>
      </c>
      <c r="D300" s="8">
        <v>45663</v>
      </c>
      <c r="E300" s="22">
        <v>45964</v>
      </c>
      <c r="F300" t="s">
        <v>1096</v>
      </c>
      <c r="H300">
        <v>6</v>
      </c>
      <c r="I300">
        <v>10082794838</v>
      </c>
      <c r="J300" t="s">
        <v>2187</v>
      </c>
      <c r="K300" s="8">
        <v>45663</v>
      </c>
      <c r="Q300">
        <v>17196</v>
      </c>
      <c r="R300">
        <v>885</v>
      </c>
      <c r="S300" t="s">
        <v>1299</v>
      </c>
      <c r="T300" t="s">
        <v>215</v>
      </c>
      <c r="U300">
        <v>1</v>
      </c>
      <c r="V300">
        <v>109.06</v>
      </c>
      <c r="W300">
        <v>128.69</v>
      </c>
      <c r="X300">
        <v>0</v>
      </c>
      <c r="Y300">
        <v>109.06</v>
      </c>
      <c r="Z300">
        <v>18</v>
      </c>
      <c r="AA300">
        <v>19.63</v>
      </c>
      <c r="AB300">
        <v>128.69</v>
      </c>
      <c r="AC300">
        <v>1</v>
      </c>
      <c r="AD300">
        <v>1</v>
      </c>
      <c r="AE300" t="s">
        <v>232</v>
      </c>
      <c r="AF300" t="s">
        <v>29</v>
      </c>
      <c r="AG300">
        <v>2</v>
      </c>
      <c r="AH300" t="s">
        <v>25</v>
      </c>
      <c r="AI300">
        <v>1106</v>
      </c>
      <c r="AJ300" t="s">
        <v>239</v>
      </c>
      <c r="AK300" t="s">
        <v>1237</v>
      </c>
      <c r="AP300">
        <v>1117</v>
      </c>
      <c r="AQ300" t="s">
        <v>1096</v>
      </c>
      <c r="AR300" t="s">
        <v>12</v>
      </c>
      <c r="AS300" t="str">
        <f>+CONCATENATE(A300,"-",B300)</f>
        <v>FB01-1199</v>
      </c>
    </row>
    <row r="301" spans="1:45" ht="15" customHeight="1">
      <c r="A301" t="s">
        <v>1238</v>
      </c>
      <c r="B301">
        <v>665</v>
      </c>
      <c r="C301" t="s">
        <v>27</v>
      </c>
      <c r="D301" s="8">
        <v>45672</v>
      </c>
      <c r="E301" s="22">
        <v>45964</v>
      </c>
      <c r="F301" t="s">
        <v>942</v>
      </c>
      <c r="H301">
        <v>1</v>
      </c>
      <c r="I301">
        <v>47929429</v>
      </c>
      <c r="J301" t="s">
        <v>2115</v>
      </c>
      <c r="K301" s="8">
        <v>45672</v>
      </c>
      <c r="Q301">
        <v>18786</v>
      </c>
      <c r="R301">
        <v>877</v>
      </c>
      <c r="S301" t="s">
        <v>1300</v>
      </c>
      <c r="T301" t="s">
        <v>215</v>
      </c>
      <c r="U301">
        <v>1</v>
      </c>
      <c r="V301">
        <v>109.83</v>
      </c>
      <c r="W301">
        <v>129.6</v>
      </c>
      <c r="X301">
        <v>0</v>
      </c>
      <c r="Y301">
        <v>109.83</v>
      </c>
      <c r="Z301">
        <v>18</v>
      </c>
      <c r="AA301">
        <v>19.77</v>
      </c>
      <c r="AB301">
        <v>129.6</v>
      </c>
      <c r="AC301">
        <v>1</v>
      </c>
      <c r="AD301">
        <v>1</v>
      </c>
      <c r="AE301" t="s">
        <v>232</v>
      </c>
      <c r="AF301" t="s">
        <v>29</v>
      </c>
      <c r="AG301">
        <v>2</v>
      </c>
      <c r="AH301" t="s">
        <v>25</v>
      </c>
      <c r="AI301">
        <v>1106</v>
      </c>
      <c r="AJ301" t="s">
        <v>239</v>
      </c>
      <c r="AK301" t="s">
        <v>1237</v>
      </c>
      <c r="AP301">
        <v>1161</v>
      </c>
      <c r="AQ301" s="28" t="s">
        <v>1269</v>
      </c>
      <c r="AR301" t="s">
        <v>1295</v>
      </c>
      <c r="AS301" t="str">
        <f>+CONCATENATE(A301,"-",B301)</f>
        <v>BB01-665</v>
      </c>
    </row>
    <row r="302" spans="1:45" ht="15" customHeight="1">
      <c r="A302" t="s">
        <v>1238</v>
      </c>
      <c r="B302">
        <v>650</v>
      </c>
      <c r="C302" t="s">
        <v>27</v>
      </c>
      <c r="D302" s="8">
        <v>45663</v>
      </c>
      <c r="E302" s="22">
        <v>45964</v>
      </c>
      <c r="F302" t="s">
        <v>1387</v>
      </c>
      <c r="H302">
        <v>1</v>
      </c>
      <c r="I302">
        <v>10690613</v>
      </c>
      <c r="J302" t="s">
        <v>2167</v>
      </c>
      <c r="K302" s="8">
        <v>45663</v>
      </c>
      <c r="Q302">
        <v>17219</v>
      </c>
      <c r="R302">
        <v>877</v>
      </c>
      <c r="S302" t="s">
        <v>1300</v>
      </c>
      <c r="T302" t="s">
        <v>215</v>
      </c>
      <c r="U302">
        <v>1</v>
      </c>
      <c r="V302">
        <v>113.39</v>
      </c>
      <c r="W302">
        <v>133.80000000000001</v>
      </c>
      <c r="X302">
        <v>0</v>
      </c>
      <c r="Y302">
        <v>113.39</v>
      </c>
      <c r="Z302">
        <v>18</v>
      </c>
      <c r="AA302">
        <v>20.41</v>
      </c>
      <c r="AB302">
        <v>133.80000000000001</v>
      </c>
      <c r="AC302">
        <v>1</v>
      </c>
      <c r="AD302">
        <v>1</v>
      </c>
      <c r="AE302" t="s">
        <v>232</v>
      </c>
      <c r="AF302" t="s">
        <v>29</v>
      </c>
      <c r="AG302">
        <v>2</v>
      </c>
      <c r="AH302" t="s">
        <v>25</v>
      </c>
      <c r="AI302">
        <v>1106</v>
      </c>
      <c r="AJ302" t="s">
        <v>239</v>
      </c>
      <c r="AK302" t="s">
        <v>1237</v>
      </c>
      <c r="AP302">
        <v>1157</v>
      </c>
      <c r="AQ302" t="s">
        <v>1387</v>
      </c>
      <c r="AR302" t="s">
        <v>1295</v>
      </c>
      <c r="AS302" t="str">
        <f>+CONCATENATE(A302,"-",B302)</f>
        <v>BB01-650</v>
      </c>
    </row>
    <row r="303" spans="1:45" ht="15" customHeight="1">
      <c r="A303" t="s">
        <v>1216</v>
      </c>
      <c r="B303" s="21" t="s">
        <v>1537</v>
      </c>
      <c r="C303" t="s">
        <v>27</v>
      </c>
      <c r="D303" s="8">
        <v>45952</v>
      </c>
      <c r="E303" s="22">
        <v>45964.820231481484</v>
      </c>
      <c r="F303" t="s">
        <v>34</v>
      </c>
      <c r="H303">
        <v>6</v>
      </c>
      <c r="I303">
        <v>20611018925</v>
      </c>
      <c r="J303" t="s">
        <v>1538</v>
      </c>
      <c r="K303" s="8">
        <v>45952</v>
      </c>
      <c r="Q303">
        <v>32388</v>
      </c>
      <c r="R303">
        <v>2276</v>
      </c>
      <c r="S303" t="s">
        <v>1504</v>
      </c>
      <c r="T303" t="s">
        <v>163</v>
      </c>
      <c r="U303">
        <v>1</v>
      </c>
      <c r="V303">
        <v>115</v>
      </c>
      <c r="W303">
        <v>135.69999999999999</v>
      </c>
      <c r="X303">
        <v>0</v>
      </c>
      <c r="Y303">
        <v>115</v>
      </c>
      <c r="Z303">
        <v>18</v>
      </c>
      <c r="AA303">
        <v>20.7</v>
      </c>
      <c r="AB303">
        <v>135.69999999999999</v>
      </c>
      <c r="AC303">
        <v>1</v>
      </c>
      <c r="AD303">
        <v>1</v>
      </c>
      <c r="AE303" t="s">
        <v>1411</v>
      </c>
      <c r="AF303" t="s">
        <v>1412</v>
      </c>
      <c r="AG303">
        <v>2</v>
      </c>
      <c r="AH303" t="s">
        <v>25</v>
      </c>
      <c r="AI303">
        <v>6959</v>
      </c>
      <c r="AJ303" t="s">
        <v>1401</v>
      </c>
      <c r="AK303" t="s">
        <v>169</v>
      </c>
      <c r="AL303">
        <v>3206</v>
      </c>
      <c r="AM303" t="s">
        <v>1536</v>
      </c>
      <c r="AN303" s="8">
        <v>45949</v>
      </c>
      <c r="AO303" s="8">
        <v>45949</v>
      </c>
      <c r="AP303">
        <v>1128</v>
      </c>
      <c r="AQ303" t="s">
        <v>34</v>
      </c>
      <c r="AR303" t="s">
        <v>12</v>
      </c>
      <c r="AS303" t="str">
        <f>+CONCATENATE(A303,"-",B303)</f>
        <v>(01) Factura FOF1-00000158</v>
      </c>
    </row>
    <row r="304" spans="1:45" ht="15" customHeight="1">
      <c r="A304" t="s">
        <v>1238</v>
      </c>
      <c r="B304">
        <v>719</v>
      </c>
      <c r="C304" t="s">
        <v>27</v>
      </c>
      <c r="D304" s="8">
        <v>45688</v>
      </c>
      <c r="E304" s="22">
        <v>45964</v>
      </c>
      <c r="F304" t="s">
        <v>601</v>
      </c>
      <c r="G304" t="s">
        <v>158</v>
      </c>
      <c r="H304">
        <v>1</v>
      </c>
      <c r="I304">
        <v>47633477</v>
      </c>
      <c r="J304" t="s">
        <v>1978</v>
      </c>
      <c r="K304" s="8">
        <v>45688</v>
      </c>
      <c r="Q304">
        <v>18687</v>
      </c>
      <c r="R304">
        <v>877</v>
      </c>
      <c r="S304" t="s">
        <v>1300</v>
      </c>
      <c r="T304" t="s">
        <v>215</v>
      </c>
      <c r="U304">
        <v>1</v>
      </c>
      <c r="V304">
        <v>117.97</v>
      </c>
      <c r="W304">
        <v>139.19999999999999</v>
      </c>
      <c r="X304">
        <v>0</v>
      </c>
      <c r="Y304">
        <v>117.97</v>
      </c>
      <c r="Z304">
        <v>18</v>
      </c>
      <c r="AA304">
        <v>21.23</v>
      </c>
      <c r="AB304">
        <v>139.19999999999999</v>
      </c>
      <c r="AC304">
        <v>1</v>
      </c>
      <c r="AD304">
        <v>1</v>
      </c>
      <c r="AE304" t="s">
        <v>232</v>
      </c>
      <c r="AF304" t="s">
        <v>29</v>
      </c>
      <c r="AG304">
        <v>2</v>
      </c>
      <c r="AH304" t="s">
        <v>25</v>
      </c>
      <c r="AI304">
        <v>1106</v>
      </c>
      <c r="AJ304" t="s">
        <v>239</v>
      </c>
      <c r="AK304" t="s">
        <v>1237</v>
      </c>
      <c r="AP304">
        <v>421</v>
      </c>
      <c r="AQ304" t="s">
        <v>601</v>
      </c>
      <c r="AR304" t="s">
        <v>1295</v>
      </c>
      <c r="AS304" t="str">
        <f>+CONCATENATE(A304,"-",B304)</f>
        <v>BB01-719</v>
      </c>
    </row>
    <row r="305" spans="1:45" ht="15" customHeight="1">
      <c r="A305" t="s">
        <v>1216</v>
      </c>
      <c r="B305" s="21" t="s">
        <v>1514</v>
      </c>
      <c r="C305" t="s">
        <v>27</v>
      </c>
      <c r="D305" s="8">
        <v>45946</v>
      </c>
      <c r="E305" s="22">
        <v>45964.782210648147</v>
      </c>
      <c r="F305" t="s">
        <v>1787</v>
      </c>
      <c r="G305" t="s">
        <v>158</v>
      </c>
      <c r="H305">
        <v>6</v>
      </c>
      <c r="I305">
        <v>20168142375</v>
      </c>
      <c r="J305" t="s">
        <v>1792</v>
      </c>
      <c r="K305" s="8">
        <v>45946</v>
      </c>
      <c r="Q305">
        <v>31416</v>
      </c>
      <c r="R305">
        <v>216</v>
      </c>
      <c r="S305" t="s">
        <v>1300</v>
      </c>
      <c r="T305" t="s">
        <v>163</v>
      </c>
      <c r="U305">
        <v>1</v>
      </c>
      <c r="V305">
        <v>119</v>
      </c>
      <c r="W305">
        <v>140.41999999999999</v>
      </c>
      <c r="X305">
        <v>0</v>
      </c>
      <c r="Y305">
        <v>119</v>
      </c>
      <c r="Z305">
        <v>18</v>
      </c>
      <c r="AA305">
        <v>21.42</v>
      </c>
      <c r="AB305">
        <v>140.41999999999999</v>
      </c>
      <c r="AC305">
        <v>1</v>
      </c>
      <c r="AD305">
        <v>1</v>
      </c>
      <c r="AE305" t="s">
        <v>1411</v>
      </c>
      <c r="AF305" t="s">
        <v>1412</v>
      </c>
      <c r="AG305">
        <v>2</v>
      </c>
      <c r="AH305" t="s">
        <v>25</v>
      </c>
      <c r="AI305">
        <v>6936</v>
      </c>
      <c r="AJ305" t="s">
        <v>1437</v>
      </c>
      <c r="AK305" t="s">
        <v>1433</v>
      </c>
      <c r="AL305">
        <v>3191</v>
      </c>
      <c r="AM305" t="s">
        <v>1789</v>
      </c>
      <c r="AN305" s="8">
        <v>45935</v>
      </c>
      <c r="AO305" s="8">
        <v>45935</v>
      </c>
      <c r="AP305">
        <v>388</v>
      </c>
      <c r="AQ305" t="s">
        <v>1787</v>
      </c>
      <c r="AR305" t="s">
        <v>12</v>
      </c>
      <c r="AS305" t="str">
        <f>+CONCATENATE(A305,"-",B305)</f>
        <v>(01) Factura FOF1-00000079</v>
      </c>
    </row>
    <row r="306" spans="1:45" ht="15" customHeight="1">
      <c r="A306" t="s">
        <v>1216</v>
      </c>
      <c r="B306" s="21" t="s">
        <v>1579</v>
      </c>
      <c r="C306" t="s">
        <v>27</v>
      </c>
      <c r="D306" s="8">
        <v>45952</v>
      </c>
      <c r="E306" s="22">
        <v>45964.782916666663</v>
      </c>
      <c r="F306" t="s">
        <v>1569</v>
      </c>
      <c r="H306">
        <v>6</v>
      </c>
      <c r="I306">
        <v>20603011601</v>
      </c>
      <c r="J306" t="s">
        <v>1580</v>
      </c>
      <c r="K306" s="8">
        <v>45952</v>
      </c>
      <c r="Q306">
        <v>32329</v>
      </c>
      <c r="R306">
        <v>2342</v>
      </c>
      <c r="S306" t="s">
        <v>1399</v>
      </c>
      <c r="T306" t="s">
        <v>163</v>
      </c>
      <c r="U306">
        <v>1</v>
      </c>
      <c r="V306">
        <v>120</v>
      </c>
      <c r="W306">
        <v>141.6</v>
      </c>
      <c r="X306">
        <v>0</v>
      </c>
      <c r="Y306">
        <v>120</v>
      </c>
      <c r="Z306">
        <v>18</v>
      </c>
      <c r="AA306">
        <v>21.6</v>
      </c>
      <c r="AB306">
        <v>141.6</v>
      </c>
      <c r="AC306">
        <v>1</v>
      </c>
      <c r="AD306">
        <v>1</v>
      </c>
      <c r="AE306" t="s">
        <v>1411</v>
      </c>
      <c r="AF306" t="s">
        <v>1412</v>
      </c>
      <c r="AG306">
        <v>16</v>
      </c>
      <c r="AH306" t="s">
        <v>1400</v>
      </c>
      <c r="AI306">
        <v>6959</v>
      </c>
      <c r="AJ306" t="s">
        <v>1401</v>
      </c>
      <c r="AK306" t="s">
        <v>1582</v>
      </c>
      <c r="AL306">
        <v>3271</v>
      </c>
      <c r="AM306" t="s">
        <v>1581</v>
      </c>
      <c r="AN306" s="8">
        <v>45968</v>
      </c>
      <c r="AO306" s="8">
        <v>45968</v>
      </c>
      <c r="AP306">
        <v>5613</v>
      </c>
      <c r="AQ306" t="s">
        <v>1569</v>
      </c>
      <c r="AR306" t="s">
        <v>12</v>
      </c>
      <c r="AS306" t="str">
        <f>+CONCATENATE(A306,"-",B306)</f>
        <v>(01) Factura FOF1-00000142</v>
      </c>
    </row>
    <row r="307" spans="1:45" ht="15" customHeight="1">
      <c r="A307" t="s">
        <v>1216</v>
      </c>
      <c r="B307" s="21" t="s">
        <v>1596</v>
      </c>
      <c r="C307" t="s">
        <v>27</v>
      </c>
      <c r="D307" s="8">
        <v>45948</v>
      </c>
      <c r="E307" s="22">
        <v>45964.416666666664</v>
      </c>
      <c r="F307" t="s">
        <v>1597</v>
      </c>
      <c r="H307">
        <v>6</v>
      </c>
      <c r="I307">
        <v>20613375571</v>
      </c>
      <c r="J307" t="s">
        <v>1598</v>
      </c>
      <c r="K307" s="8">
        <v>45948</v>
      </c>
      <c r="Q307">
        <v>31746</v>
      </c>
      <c r="R307">
        <v>1895</v>
      </c>
      <c r="S307" t="s">
        <v>1407</v>
      </c>
      <c r="T307" t="s">
        <v>215</v>
      </c>
      <c r="U307">
        <v>200</v>
      </c>
      <c r="V307">
        <v>0.6</v>
      </c>
      <c r="W307">
        <v>0.71</v>
      </c>
      <c r="X307">
        <v>0</v>
      </c>
      <c r="Y307">
        <v>120</v>
      </c>
      <c r="Z307">
        <v>18</v>
      </c>
      <c r="AA307">
        <v>21.6</v>
      </c>
      <c r="AB307">
        <v>141.6</v>
      </c>
      <c r="AC307">
        <v>1</v>
      </c>
      <c r="AD307">
        <v>1</v>
      </c>
      <c r="AE307" t="s">
        <v>1411</v>
      </c>
      <c r="AF307" t="s">
        <v>1412</v>
      </c>
      <c r="AG307">
        <v>16</v>
      </c>
      <c r="AH307" t="s">
        <v>1400</v>
      </c>
      <c r="AI307">
        <v>1106</v>
      </c>
      <c r="AJ307" t="s">
        <v>239</v>
      </c>
      <c r="AK307" t="s">
        <v>1406</v>
      </c>
      <c r="AL307">
        <v>3014</v>
      </c>
      <c r="AM307" t="s">
        <v>1599</v>
      </c>
      <c r="AN307" s="8">
        <v>45968</v>
      </c>
      <c r="AO307" s="8">
        <v>45968</v>
      </c>
      <c r="AP307">
        <v>5425</v>
      </c>
      <c r="AQ307" t="s">
        <v>1597</v>
      </c>
      <c r="AR307" t="s">
        <v>12</v>
      </c>
      <c r="AS307" t="str">
        <f>+CONCATENATE(A307,"-",B307)</f>
        <v>(01) Factura FOF1-00000136</v>
      </c>
    </row>
    <row r="308" spans="1:45" ht="15" customHeight="1">
      <c r="A308" t="s">
        <v>1216</v>
      </c>
      <c r="B308" s="21" t="s">
        <v>2457</v>
      </c>
      <c r="C308" t="s">
        <v>27</v>
      </c>
      <c r="D308" s="8">
        <v>45960</v>
      </c>
      <c r="E308" s="22">
        <v>45964.593819444446</v>
      </c>
      <c r="F308" t="s">
        <v>1661</v>
      </c>
      <c r="H308">
        <v>6</v>
      </c>
      <c r="I308">
        <v>20609000415</v>
      </c>
      <c r="J308" t="s">
        <v>2624</v>
      </c>
      <c r="K308" s="8">
        <v>45960</v>
      </c>
      <c r="Q308">
        <v>33096</v>
      </c>
      <c r="R308">
        <v>216</v>
      </c>
      <c r="S308" t="s">
        <v>1300</v>
      </c>
      <c r="T308" t="s">
        <v>163</v>
      </c>
      <c r="U308">
        <v>1</v>
      </c>
      <c r="V308">
        <v>121.5</v>
      </c>
      <c r="W308">
        <v>143.37</v>
      </c>
      <c r="X308">
        <v>0</v>
      </c>
      <c r="Y308">
        <v>121.5</v>
      </c>
      <c r="Z308">
        <v>18</v>
      </c>
      <c r="AA308">
        <v>21.87</v>
      </c>
      <c r="AB308">
        <v>143.37</v>
      </c>
      <c r="AC308">
        <v>1</v>
      </c>
      <c r="AD308">
        <v>1</v>
      </c>
      <c r="AE308" t="s">
        <v>1411</v>
      </c>
      <c r="AF308" t="s">
        <v>1412</v>
      </c>
      <c r="AG308">
        <v>2</v>
      </c>
      <c r="AH308" t="s">
        <v>25</v>
      </c>
      <c r="AI308">
        <v>6936</v>
      </c>
      <c r="AJ308" t="s">
        <v>1437</v>
      </c>
      <c r="AK308" t="s">
        <v>1433</v>
      </c>
      <c r="AL308">
        <v>3177</v>
      </c>
      <c r="AM308" t="s">
        <v>1663</v>
      </c>
      <c r="AN308" s="8">
        <v>45934</v>
      </c>
      <c r="AO308" s="8">
        <v>45934</v>
      </c>
      <c r="AP308">
        <v>6104</v>
      </c>
      <c r="AQ308" t="s">
        <v>1661</v>
      </c>
      <c r="AR308" t="s">
        <v>12</v>
      </c>
      <c r="AS308" t="str">
        <f>+CONCATENATE(A308,"-",B308)</f>
        <v>(01) Factura FOF1-00000218</v>
      </c>
    </row>
    <row r="309" spans="1:45" ht="15" customHeight="1">
      <c r="A309" t="s">
        <v>1216</v>
      </c>
      <c r="B309" s="21" t="s">
        <v>2456</v>
      </c>
      <c r="C309" t="s">
        <v>27</v>
      </c>
      <c r="D309" s="8">
        <v>45960</v>
      </c>
      <c r="E309" s="22">
        <v>45964.594050925924</v>
      </c>
      <c r="F309" t="s">
        <v>1661</v>
      </c>
      <c r="H309">
        <v>6</v>
      </c>
      <c r="I309">
        <v>20609000415</v>
      </c>
      <c r="J309" t="s">
        <v>2623</v>
      </c>
      <c r="K309" s="8">
        <v>45960</v>
      </c>
      <c r="Q309">
        <v>33099</v>
      </c>
      <c r="R309">
        <v>1786</v>
      </c>
      <c r="S309" t="s">
        <v>1299</v>
      </c>
      <c r="T309" t="s">
        <v>163</v>
      </c>
      <c r="U309">
        <v>1</v>
      </c>
      <c r="V309">
        <v>121.73</v>
      </c>
      <c r="W309">
        <v>143.63999999999999</v>
      </c>
      <c r="X309">
        <v>0</v>
      </c>
      <c r="Y309">
        <v>121.73</v>
      </c>
      <c r="Z309">
        <v>18</v>
      </c>
      <c r="AA309">
        <v>21.91</v>
      </c>
      <c r="AB309">
        <v>143.63999999999999</v>
      </c>
      <c r="AC309">
        <v>1</v>
      </c>
      <c r="AD309">
        <v>1</v>
      </c>
      <c r="AE309" t="s">
        <v>1411</v>
      </c>
      <c r="AF309" t="s">
        <v>1412</v>
      </c>
      <c r="AG309">
        <v>2</v>
      </c>
      <c r="AH309" t="s">
        <v>25</v>
      </c>
      <c r="AI309">
        <v>6937</v>
      </c>
      <c r="AJ309" t="s">
        <v>1414</v>
      </c>
      <c r="AK309" t="s">
        <v>1251</v>
      </c>
      <c r="AL309">
        <v>3177</v>
      </c>
      <c r="AM309" t="s">
        <v>1663</v>
      </c>
      <c r="AN309" s="8">
        <v>45934</v>
      </c>
      <c r="AO309" s="8">
        <v>45934</v>
      </c>
      <c r="AP309">
        <v>6104</v>
      </c>
      <c r="AQ309" t="s">
        <v>1661</v>
      </c>
      <c r="AR309" t="s">
        <v>12</v>
      </c>
      <c r="AS309" t="str">
        <f>+CONCATENATE(A309,"-",B309)</f>
        <v>(01) Factura FOF1-00000219</v>
      </c>
    </row>
    <row r="310" spans="1:45" ht="15" customHeight="1">
      <c r="A310" t="s">
        <v>1214</v>
      </c>
      <c r="B310" s="21" t="s">
        <v>1560</v>
      </c>
      <c r="C310" t="s">
        <v>27</v>
      </c>
      <c r="D310" s="8">
        <v>45960</v>
      </c>
      <c r="E310" s="22">
        <v>45964.651342592595</v>
      </c>
      <c r="F310" t="s">
        <v>1528</v>
      </c>
      <c r="H310">
        <v>1</v>
      </c>
      <c r="I310" s="21" t="s">
        <v>2440</v>
      </c>
      <c r="J310" t="s">
        <v>2608</v>
      </c>
      <c r="K310" s="8">
        <v>45960</v>
      </c>
      <c r="Q310">
        <v>33152</v>
      </c>
      <c r="R310">
        <v>1786</v>
      </c>
      <c r="S310" t="s">
        <v>1299</v>
      </c>
      <c r="T310" t="s">
        <v>163</v>
      </c>
      <c r="U310">
        <v>1</v>
      </c>
      <c r="V310">
        <v>123.09</v>
      </c>
      <c r="W310">
        <v>145.25</v>
      </c>
      <c r="X310">
        <v>0</v>
      </c>
      <c r="Y310">
        <v>123.09</v>
      </c>
      <c r="Z310">
        <v>18</v>
      </c>
      <c r="AA310">
        <v>22.16</v>
      </c>
      <c r="AB310">
        <v>145.25</v>
      </c>
      <c r="AC310">
        <v>1</v>
      </c>
      <c r="AD310">
        <v>1</v>
      </c>
      <c r="AE310" t="s">
        <v>1411</v>
      </c>
      <c r="AF310" t="s">
        <v>1412</v>
      </c>
      <c r="AG310">
        <v>2</v>
      </c>
      <c r="AH310" t="s">
        <v>25</v>
      </c>
      <c r="AI310">
        <v>6937</v>
      </c>
      <c r="AJ310" t="s">
        <v>1414</v>
      </c>
      <c r="AK310" t="s">
        <v>1251</v>
      </c>
      <c r="AL310">
        <v>3301</v>
      </c>
      <c r="AM310" t="s">
        <v>2441</v>
      </c>
      <c r="AN310" s="8">
        <v>45956</v>
      </c>
      <c r="AO310" s="8">
        <v>45956</v>
      </c>
      <c r="AP310">
        <v>6695</v>
      </c>
      <c r="AQ310" t="s">
        <v>1528</v>
      </c>
      <c r="AR310" t="s">
        <v>1295</v>
      </c>
      <c r="AS310" t="str">
        <f>+CONCATENATE(A310,"-",B310)</f>
        <v>(03) Boleta BOB1-00000148</v>
      </c>
    </row>
    <row r="311" spans="1:45" ht="15" customHeight="1">
      <c r="A311" t="s">
        <v>1214</v>
      </c>
      <c r="B311" s="21" t="s">
        <v>1572</v>
      </c>
      <c r="C311" t="s">
        <v>27</v>
      </c>
      <c r="D311" s="8">
        <v>45960</v>
      </c>
      <c r="E311" s="22">
        <v>45964.649606481478</v>
      </c>
      <c r="F311" t="s">
        <v>2442</v>
      </c>
      <c r="H311">
        <v>1</v>
      </c>
      <c r="I311">
        <v>43891621</v>
      </c>
      <c r="J311" t="s">
        <v>2611</v>
      </c>
      <c r="K311" s="8">
        <v>45960</v>
      </c>
      <c r="Q311">
        <v>33143</v>
      </c>
      <c r="R311">
        <v>216</v>
      </c>
      <c r="S311" t="s">
        <v>1300</v>
      </c>
      <c r="T311" t="s">
        <v>163</v>
      </c>
      <c r="U311">
        <v>1</v>
      </c>
      <c r="V311">
        <v>124.07</v>
      </c>
      <c r="W311">
        <v>146.4</v>
      </c>
      <c r="X311">
        <v>0</v>
      </c>
      <c r="Y311">
        <v>124.07</v>
      </c>
      <c r="Z311">
        <v>18</v>
      </c>
      <c r="AA311">
        <v>22.33</v>
      </c>
      <c r="AB311">
        <v>146.4</v>
      </c>
      <c r="AC311">
        <v>1</v>
      </c>
      <c r="AD311">
        <v>1</v>
      </c>
      <c r="AE311" t="s">
        <v>1411</v>
      </c>
      <c r="AF311" t="s">
        <v>1412</v>
      </c>
      <c r="AG311">
        <v>2</v>
      </c>
      <c r="AH311" t="s">
        <v>25</v>
      </c>
      <c r="AI311">
        <v>6936</v>
      </c>
      <c r="AJ311" t="s">
        <v>1437</v>
      </c>
      <c r="AK311" t="s">
        <v>1433</v>
      </c>
      <c r="AL311">
        <v>3300</v>
      </c>
      <c r="AM311" t="s">
        <v>2443</v>
      </c>
      <c r="AN311" s="8">
        <v>45956</v>
      </c>
      <c r="AO311" s="8">
        <v>45956</v>
      </c>
      <c r="AP311">
        <v>5396</v>
      </c>
      <c r="AQ311" t="s">
        <v>2442</v>
      </c>
      <c r="AR311" t="s">
        <v>1295</v>
      </c>
      <c r="AS311" t="str">
        <f>+CONCATENATE(A311,"-",B311)</f>
        <v>(03) Boleta BOB1-00000145</v>
      </c>
    </row>
    <row r="312" spans="1:45" ht="15" customHeight="1">
      <c r="A312" t="s">
        <v>1216</v>
      </c>
      <c r="B312" s="21" t="s">
        <v>1546</v>
      </c>
      <c r="C312" t="s">
        <v>27</v>
      </c>
      <c r="D312" s="8">
        <v>45952</v>
      </c>
      <c r="E312" s="22">
        <v>45964.817870370367</v>
      </c>
      <c r="F312" t="s">
        <v>1091</v>
      </c>
      <c r="H312">
        <v>6</v>
      </c>
      <c r="I312">
        <v>20609225107</v>
      </c>
      <c r="J312" t="s">
        <v>1547</v>
      </c>
      <c r="K312" s="8">
        <v>45952</v>
      </c>
      <c r="Q312">
        <v>32376</v>
      </c>
      <c r="R312">
        <v>216</v>
      </c>
      <c r="S312" t="s">
        <v>1300</v>
      </c>
      <c r="T312" t="s">
        <v>163</v>
      </c>
      <c r="U312">
        <v>1</v>
      </c>
      <c r="V312">
        <v>125.08</v>
      </c>
      <c r="W312">
        <v>147.59</v>
      </c>
      <c r="X312">
        <v>0</v>
      </c>
      <c r="Y312">
        <v>125.08</v>
      </c>
      <c r="Z312">
        <v>18</v>
      </c>
      <c r="AA312">
        <v>22.51</v>
      </c>
      <c r="AB312">
        <v>147.59</v>
      </c>
      <c r="AC312">
        <v>1</v>
      </c>
      <c r="AD312">
        <v>1</v>
      </c>
      <c r="AE312" t="s">
        <v>1411</v>
      </c>
      <c r="AF312" t="s">
        <v>1412</v>
      </c>
      <c r="AG312">
        <v>2</v>
      </c>
      <c r="AH312" t="s">
        <v>25</v>
      </c>
      <c r="AI312">
        <v>6936</v>
      </c>
      <c r="AJ312" t="s">
        <v>1437</v>
      </c>
      <c r="AK312" t="s">
        <v>1433</v>
      </c>
      <c r="AL312">
        <v>3154</v>
      </c>
      <c r="AM312" t="s">
        <v>1545</v>
      </c>
      <c r="AN312" s="8">
        <v>45949</v>
      </c>
      <c r="AO312" s="8">
        <v>45949</v>
      </c>
      <c r="AP312">
        <v>1118</v>
      </c>
      <c r="AQ312" t="s">
        <v>1091</v>
      </c>
      <c r="AR312" t="s">
        <v>12</v>
      </c>
      <c r="AS312" t="str">
        <f>+CONCATENATE(A312,"-",B312)</f>
        <v>(01) Factura FOF1-00000154</v>
      </c>
    </row>
    <row r="313" spans="1:45" ht="15" customHeight="1">
      <c r="A313" t="s">
        <v>216</v>
      </c>
      <c r="B313">
        <v>1360</v>
      </c>
      <c r="C313" t="s">
        <v>27</v>
      </c>
      <c r="D313" s="8">
        <v>45688</v>
      </c>
      <c r="E313" s="22">
        <v>45964</v>
      </c>
      <c r="F313" t="s">
        <v>591</v>
      </c>
      <c r="H313">
        <v>6</v>
      </c>
      <c r="I313">
        <v>10703039346</v>
      </c>
      <c r="J313" t="s">
        <v>1981</v>
      </c>
      <c r="K313" s="8">
        <v>45688</v>
      </c>
      <c r="Q313">
        <v>18684</v>
      </c>
      <c r="R313">
        <v>870</v>
      </c>
      <c r="S313" t="s">
        <v>1299</v>
      </c>
      <c r="T313" t="s">
        <v>215</v>
      </c>
      <c r="U313">
        <v>1</v>
      </c>
      <c r="V313">
        <v>125.25</v>
      </c>
      <c r="W313">
        <v>147.80000000000001</v>
      </c>
      <c r="X313">
        <v>0</v>
      </c>
      <c r="Y313">
        <v>125.25</v>
      </c>
      <c r="Z313">
        <v>18</v>
      </c>
      <c r="AA313">
        <v>22.55</v>
      </c>
      <c r="AB313">
        <v>147.80000000000001</v>
      </c>
      <c r="AC313">
        <v>1</v>
      </c>
      <c r="AD313">
        <v>1</v>
      </c>
      <c r="AE313" t="s">
        <v>232</v>
      </c>
      <c r="AF313" t="s">
        <v>29</v>
      </c>
      <c r="AG313">
        <v>2</v>
      </c>
      <c r="AH313" t="s">
        <v>25</v>
      </c>
      <c r="AI313">
        <v>1106</v>
      </c>
      <c r="AJ313" t="s">
        <v>239</v>
      </c>
      <c r="AK313" t="s">
        <v>1237</v>
      </c>
      <c r="AP313">
        <v>1139</v>
      </c>
      <c r="AQ313" t="s">
        <v>591</v>
      </c>
      <c r="AR313" t="s">
        <v>12</v>
      </c>
      <c r="AS313" t="str">
        <f>+CONCATENATE(A313,"-",B313)</f>
        <v>FB01-1360</v>
      </c>
    </row>
    <row r="314" spans="1:45" ht="15" customHeight="1">
      <c r="A314" t="s">
        <v>216</v>
      </c>
      <c r="B314">
        <v>1215</v>
      </c>
      <c r="C314" t="s">
        <v>27</v>
      </c>
      <c r="D314" s="8">
        <v>45663</v>
      </c>
      <c r="E314" s="22">
        <v>45964</v>
      </c>
      <c r="F314" t="s">
        <v>359</v>
      </c>
      <c r="H314">
        <v>6</v>
      </c>
      <c r="I314">
        <v>20613294814</v>
      </c>
      <c r="J314" t="s">
        <v>2166</v>
      </c>
      <c r="K314" s="8">
        <v>45663</v>
      </c>
      <c r="Q314">
        <v>17220</v>
      </c>
      <c r="R314">
        <v>870</v>
      </c>
      <c r="S314" t="s">
        <v>1299</v>
      </c>
      <c r="T314" t="s">
        <v>215</v>
      </c>
      <c r="U314">
        <v>1</v>
      </c>
      <c r="V314">
        <v>126.36</v>
      </c>
      <c r="W314">
        <v>149.1</v>
      </c>
      <c r="X314">
        <v>0</v>
      </c>
      <c r="Y314">
        <v>126.36</v>
      </c>
      <c r="Z314">
        <v>18</v>
      </c>
      <c r="AA314">
        <v>22.74</v>
      </c>
      <c r="AB314">
        <v>149.1</v>
      </c>
      <c r="AC314">
        <v>1</v>
      </c>
      <c r="AD314">
        <v>1</v>
      </c>
      <c r="AE314" t="s">
        <v>232</v>
      </c>
      <c r="AF314" t="s">
        <v>29</v>
      </c>
      <c r="AG314">
        <v>2</v>
      </c>
      <c r="AH314" t="s">
        <v>25</v>
      </c>
      <c r="AI314">
        <v>1106</v>
      </c>
      <c r="AJ314" t="s">
        <v>239</v>
      </c>
      <c r="AK314" t="s">
        <v>1237</v>
      </c>
      <c r="AP314">
        <v>1124</v>
      </c>
      <c r="AQ314" t="s">
        <v>359</v>
      </c>
      <c r="AR314" t="s">
        <v>12</v>
      </c>
      <c r="AS314" t="str">
        <f>+CONCATENATE(A314,"-",B314)</f>
        <v>FB01-1215</v>
      </c>
    </row>
    <row r="315" spans="1:45" ht="15" customHeight="1">
      <c r="A315" t="s">
        <v>1238</v>
      </c>
      <c r="B315">
        <v>679</v>
      </c>
      <c r="C315" t="s">
        <v>27</v>
      </c>
      <c r="D315" s="8">
        <v>45680</v>
      </c>
      <c r="E315" s="22">
        <v>45964</v>
      </c>
      <c r="F315" t="s">
        <v>526</v>
      </c>
      <c r="H315">
        <v>1</v>
      </c>
      <c r="I315">
        <v>19889371</v>
      </c>
      <c r="J315" t="s">
        <v>2059</v>
      </c>
      <c r="K315" s="8">
        <v>45680</v>
      </c>
      <c r="Q315">
        <v>17839</v>
      </c>
      <c r="R315">
        <v>937</v>
      </c>
      <c r="S315" t="s">
        <v>1313</v>
      </c>
      <c r="T315" t="s">
        <v>215</v>
      </c>
      <c r="U315">
        <v>1</v>
      </c>
      <c r="V315">
        <v>126.8</v>
      </c>
      <c r="W315">
        <v>149.62</v>
      </c>
      <c r="X315">
        <v>0</v>
      </c>
      <c r="Y315">
        <v>126.8</v>
      </c>
      <c r="Z315">
        <v>18</v>
      </c>
      <c r="AA315">
        <v>22.82</v>
      </c>
      <c r="AB315">
        <v>149.62</v>
      </c>
      <c r="AC315">
        <v>1</v>
      </c>
      <c r="AD315">
        <v>1</v>
      </c>
      <c r="AE315" t="s">
        <v>232</v>
      </c>
      <c r="AF315" t="s">
        <v>29</v>
      </c>
      <c r="AG315">
        <v>2</v>
      </c>
      <c r="AH315" t="s">
        <v>25</v>
      </c>
      <c r="AI315">
        <v>1106</v>
      </c>
      <c r="AJ315" t="s">
        <v>239</v>
      </c>
      <c r="AK315" t="s">
        <v>1237</v>
      </c>
      <c r="AP315">
        <v>1165</v>
      </c>
      <c r="AQ315" t="s">
        <v>526</v>
      </c>
      <c r="AR315" t="s">
        <v>1295</v>
      </c>
      <c r="AS315" t="str">
        <f>+CONCATENATE(A315,"-",B315)</f>
        <v>BB01-679</v>
      </c>
    </row>
    <row r="316" spans="1:45" ht="15" customHeight="1">
      <c r="A316" t="s">
        <v>1238</v>
      </c>
      <c r="B316">
        <v>677</v>
      </c>
      <c r="C316" t="s">
        <v>27</v>
      </c>
      <c r="D316" s="8">
        <v>45680</v>
      </c>
      <c r="E316" s="22">
        <v>45964</v>
      </c>
      <c r="F316" t="s">
        <v>533</v>
      </c>
      <c r="H316">
        <v>1</v>
      </c>
      <c r="I316">
        <v>76561182</v>
      </c>
      <c r="J316" t="s">
        <v>2061</v>
      </c>
      <c r="K316" s="8">
        <v>45680</v>
      </c>
      <c r="Q316">
        <v>17837</v>
      </c>
      <c r="R316">
        <v>935</v>
      </c>
      <c r="S316" t="s">
        <v>1315</v>
      </c>
      <c r="T316" t="s">
        <v>215</v>
      </c>
      <c r="U316">
        <v>1</v>
      </c>
      <c r="V316">
        <v>126.8</v>
      </c>
      <c r="W316">
        <v>149.62</v>
      </c>
      <c r="X316">
        <v>0</v>
      </c>
      <c r="Y316">
        <v>126.8</v>
      </c>
      <c r="Z316">
        <v>18</v>
      </c>
      <c r="AA316">
        <v>22.82</v>
      </c>
      <c r="AB316">
        <v>149.62</v>
      </c>
      <c r="AC316">
        <v>1</v>
      </c>
      <c r="AD316">
        <v>1</v>
      </c>
      <c r="AE316" t="s">
        <v>232</v>
      </c>
      <c r="AF316" t="s">
        <v>29</v>
      </c>
      <c r="AG316">
        <v>2</v>
      </c>
      <c r="AH316" t="s">
        <v>25</v>
      </c>
      <c r="AI316">
        <v>1106</v>
      </c>
      <c r="AJ316" t="s">
        <v>239</v>
      </c>
      <c r="AK316" t="s">
        <v>1237</v>
      </c>
      <c r="AP316">
        <v>1164</v>
      </c>
      <c r="AQ316" t="s">
        <v>533</v>
      </c>
      <c r="AR316" t="s">
        <v>1295</v>
      </c>
      <c r="AS316" t="str">
        <f>+CONCATENATE(A316,"-",B316)</f>
        <v>BB01-677</v>
      </c>
    </row>
    <row r="317" spans="1:45" ht="15" customHeight="1">
      <c r="A317" t="s">
        <v>1216</v>
      </c>
      <c r="B317" s="21" t="s">
        <v>1754</v>
      </c>
      <c r="C317" t="s">
        <v>27</v>
      </c>
      <c r="D317" s="8">
        <v>45946</v>
      </c>
      <c r="E317" s="22">
        <v>45964.802488425928</v>
      </c>
      <c r="F317" t="s">
        <v>1606</v>
      </c>
      <c r="H317">
        <v>6</v>
      </c>
      <c r="I317">
        <v>10427831812</v>
      </c>
      <c r="J317" t="s">
        <v>1755</v>
      </c>
      <c r="K317" s="8">
        <v>45946</v>
      </c>
      <c r="Q317">
        <v>31494</v>
      </c>
      <c r="R317">
        <v>1786</v>
      </c>
      <c r="S317" t="s">
        <v>1299</v>
      </c>
      <c r="T317" t="s">
        <v>163</v>
      </c>
      <c r="U317">
        <v>1</v>
      </c>
      <c r="V317">
        <v>128.72999999999999</v>
      </c>
      <c r="W317">
        <v>151.9</v>
      </c>
      <c r="X317">
        <v>0</v>
      </c>
      <c r="Y317">
        <v>128.72999999999999</v>
      </c>
      <c r="Z317">
        <v>18</v>
      </c>
      <c r="AA317">
        <v>23.17</v>
      </c>
      <c r="AB317">
        <v>151.9</v>
      </c>
      <c r="AC317">
        <v>1</v>
      </c>
      <c r="AD317">
        <v>1</v>
      </c>
      <c r="AE317" t="s">
        <v>1411</v>
      </c>
      <c r="AF317" t="s">
        <v>1412</v>
      </c>
      <c r="AG317">
        <v>2</v>
      </c>
      <c r="AH317" t="s">
        <v>25</v>
      </c>
      <c r="AI317">
        <v>6937</v>
      </c>
      <c r="AJ317" t="s">
        <v>1414</v>
      </c>
      <c r="AK317" t="s">
        <v>1251</v>
      </c>
      <c r="AL317">
        <v>3197</v>
      </c>
      <c r="AM317" t="s">
        <v>1753</v>
      </c>
      <c r="AN317" s="8">
        <v>45941</v>
      </c>
      <c r="AO317" s="8">
        <v>45941</v>
      </c>
      <c r="AP317">
        <v>5519</v>
      </c>
      <c r="AQ317" t="s">
        <v>1606</v>
      </c>
      <c r="AR317" t="s">
        <v>12</v>
      </c>
      <c r="AS317" t="str">
        <f>+CONCATENATE(A317,"-",B317)</f>
        <v>(01) Factura FOF1-00000101</v>
      </c>
    </row>
    <row r="318" spans="1:45" ht="15" customHeight="1">
      <c r="A318" t="s">
        <v>1238</v>
      </c>
      <c r="B318">
        <v>628</v>
      </c>
      <c r="C318" t="s">
        <v>27</v>
      </c>
      <c r="D318" s="8">
        <v>45660</v>
      </c>
      <c r="E318" s="22">
        <v>45964</v>
      </c>
      <c r="F318" t="s">
        <v>1209</v>
      </c>
      <c r="H318">
        <v>1</v>
      </c>
      <c r="I318" s="21" t="s">
        <v>1280</v>
      </c>
      <c r="J318" t="s">
        <v>2217</v>
      </c>
      <c r="K318" s="8">
        <v>45660</v>
      </c>
      <c r="Q318">
        <v>17162</v>
      </c>
      <c r="R318">
        <v>877</v>
      </c>
      <c r="S318" t="s">
        <v>1300</v>
      </c>
      <c r="T318" t="s">
        <v>215</v>
      </c>
      <c r="U318">
        <v>1</v>
      </c>
      <c r="V318">
        <v>129.15</v>
      </c>
      <c r="W318">
        <v>152.4</v>
      </c>
      <c r="X318">
        <v>0</v>
      </c>
      <c r="Y318">
        <v>129.15</v>
      </c>
      <c r="Z318">
        <v>18</v>
      </c>
      <c r="AA318">
        <v>23.25</v>
      </c>
      <c r="AB318">
        <v>152.4</v>
      </c>
      <c r="AC318">
        <v>1</v>
      </c>
      <c r="AD318">
        <v>1</v>
      </c>
      <c r="AE318" t="s">
        <v>232</v>
      </c>
      <c r="AF318" t="s">
        <v>29</v>
      </c>
      <c r="AG318">
        <v>2</v>
      </c>
      <c r="AH318" t="s">
        <v>25</v>
      </c>
      <c r="AI318">
        <v>1106</v>
      </c>
      <c r="AJ318" t="s">
        <v>239</v>
      </c>
      <c r="AK318" t="s">
        <v>1237</v>
      </c>
      <c r="AP318">
        <v>1152</v>
      </c>
      <c r="AQ318" t="s">
        <v>1209</v>
      </c>
      <c r="AR318" t="s">
        <v>1295</v>
      </c>
      <c r="AS318" t="str">
        <f>+CONCATENATE(A318,"-",B318)</f>
        <v>BB01-628</v>
      </c>
    </row>
    <row r="319" spans="1:45" ht="15" customHeight="1">
      <c r="A319" t="s">
        <v>216</v>
      </c>
      <c r="B319">
        <v>1363</v>
      </c>
      <c r="C319" t="s">
        <v>27</v>
      </c>
      <c r="D319" s="8">
        <v>45693</v>
      </c>
      <c r="E319" s="22">
        <v>45964</v>
      </c>
      <c r="F319" t="s">
        <v>514</v>
      </c>
      <c r="H319">
        <v>6</v>
      </c>
      <c r="I319">
        <v>10473186603</v>
      </c>
      <c r="J319" t="s">
        <v>1973</v>
      </c>
      <c r="K319" s="8">
        <v>45693</v>
      </c>
      <c r="Q319">
        <v>18692</v>
      </c>
      <c r="R319">
        <v>870</v>
      </c>
      <c r="S319" t="s">
        <v>1299</v>
      </c>
      <c r="T319" t="s">
        <v>215</v>
      </c>
      <c r="U319">
        <v>1</v>
      </c>
      <c r="V319">
        <v>132.97</v>
      </c>
      <c r="W319">
        <v>156.9</v>
      </c>
      <c r="X319">
        <v>0</v>
      </c>
      <c r="Y319">
        <v>132.97</v>
      </c>
      <c r="Z319">
        <v>18</v>
      </c>
      <c r="AA319">
        <v>23.93</v>
      </c>
      <c r="AB319">
        <v>156.9</v>
      </c>
      <c r="AC319">
        <v>1</v>
      </c>
      <c r="AD319">
        <v>1</v>
      </c>
      <c r="AE319" t="s">
        <v>232</v>
      </c>
      <c r="AF319" t="s">
        <v>29</v>
      </c>
      <c r="AG319">
        <v>2</v>
      </c>
      <c r="AH319" t="s">
        <v>25</v>
      </c>
      <c r="AI319">
        <v>1106</v>
      </c>
      <c r="AJ319" t="s">
        <v>239</v>
      </c>
      <c r="AK319" t="s">
        <v>1237</v>
      </c>
      <c r="AP319">
        <v>1140</v>
      </c>
      <c r="AQ319" t="s">
        <v>514</v>
      </c>
      <c r="AR319" t="s">
        <v>12</v>
      </c>
      <c r="AS319" t="str">
        <f>+CONCATENATE(A319,"-",B319)</f>
        <v>FB01-1363</v>
      </c>
    </row>
    <row r="320" spans="1:45" ht="15" customHeight="1">
      <c r="A320" t="s">
        <v>216</v>
      </c>
      <c r="B320">
        <v>1202</v>
      </c>
      <c r="C320" t="s">
        <v>27</v>
      </c>
      <c r="D320" s="8">
        <v>45663</v>
      </c>
      <c r="E320" s="22">
        <v>45964</v>
      </c>
      <c r="F320" t="s">
        <v>514</v>
      </c>
      <c r="H320">
        <v>6</v>
      </c>
      <c r="I320">
        <v>10473186603</v>
      </c>
      <c r="J320" t="s">
        <v>2183</v>
      </c>
      <c r="K320" s="8">
        <v>45663</v>
      </c>
      <c r="Q320">
        <v>17201</v>
      </c>
      <c r="R320">
        <v>870</v>
      </c>
      <c r="S320" t="s">
        <v>1299</v>
      </c>
      <c r="T320" t="s">
        <v>215</v>
      </c>
      <c r="U320">
        <v>1</v>
      </c>
      <c r="V320">
        <v>133.41999999999999</v>
      </c>
      <c r="W320">
        <v>157.44</v>
      </c>
      <c r="X320">
        <v>0</v>
      </c>
      <c r="Y320">
        <v>133.41999999999999</v>
      </c>
      <c r="Z320">
        <v>18</v>
      </c>
      <c r="AA320">
        <v>24.02</v>
      </c>
      <c r="AB320">
        <v>157.44</v>
      </c>
      <c r="AC320">
        <v>1</v>
      </c>
      <c r="AD320">
        <v>1</v>
      </c>
      <c r="AE320" t="s">
        <v>232</v>
      </c>
      <c r="AF320" t="s">
        <v>29</v>
      </c>
      <c r="AG320">
        <v>2</v>
      </c>
      <c r="AH320" t="s">
        <v>25</v>
      </c>
      <c r="AI320">
        <v>1106</v>
      </c>
      <c r="AJ320" t="s">
        <v>239</v>
      </c>
      <c r="AK320" t="s">
        <v>1237</v>
      </c>
      <c r="AP320">
        <v>1140</v>
      </c>
      <c r="AQ320" t="s">
        <v>514</v>
      </c>
      <c r="AR320" t="s">
        <v>12</v>
      </c>
      <c r="AS320" t="str">
        <f>+CONCATENATE(A320,"-",B320)</f>
        <v>FB01-1202</v>
      </c>
    </row>
    <row r="321" spans="1:45" ht="15" customHeight="1">
      <c r="A321" t="s">
        <v>1238</v>
      </c>
      <c r="B321">
        <v>703</v>
      </c>
      <c r="C321" t="s">
        <v>27</v>
      </c>
      <c r="D321" s="8">
        <v>45685</v>
      </c>
      <c r="E321" s="22">
        <v>45964</v>
      </c>
      <c r="F321" t="s">
        <v>737</v>
      </c>
      <c r="H321">
        <v>1</v>
      </c>
      <c r="I321">
        <v>72459498</v>
      </c>
      <c r="J321" t="s">
        <v>2028</v>
      </c>
      <c r="K321" s="8">
        <v>45685</v>
      </c>
      <c r="Q321">
        <v>18629</v>
      </c>
      <c r="R321">
        <v>870</v>
      </c>
      <c r="S321" t="s">
        <v>1299</v>
      </c>
      <c r="T321" t="s">
        <v>215</v>
      </c>
      <c r="U321">
        <v>1</v>
      </c>
      <c r="V321">
        <v>133.47</v>
      </c>
      <c r="W321">
        <v>157.5</v>
      </c>
      <c r="X321">
        <v>0</v>
      </c>
      <c r="Y321">
        <v>133.47</v>
      </c>
      <c r="Z321">
        <v>18</v>
      </c>
      <c r="AA321">
        <v>24.03</v>
      </c>
      <c r="AB321">
        <v>157.5</v>
      </c>
      <c r="AC321">
        <v>1</v>
      </c>
      <c r="AD321">
        <v>1</v>
      </c>
      <c r="AE321" t="s">
        <v>232</v>
      </c>
      <c r="AF321" t="s">
        <v>29</v>
      </c>
      <c r="AG321">
        <v>2</v>
      </c>
      <c r="AH321" t="s">
        <v>25</v>
      </c>
      <c r="AI321">
        <v>1106</v>
      </c>
      <c r="AJ321" t="s">
        <v>239</v>
      </c>
      <c r="AK321" t="s">
        <v>1237</v>
      </c>
      <c r="AP321">
        <v>1169</v>
      </c>
      <c r="AQ321" t="s">
        <v>737</v>
      </c>
      <c r="AR321" t="s">
        <v>1295</v>
      </c>
      <c r="AS321" t="str">
        <f>+CONCATENATE(A321,"-",B321)</f>
        <v>BB01-703</v>
      </c>
    </row>
    <row r="322" spans="1:45" ht="15" customHeight="1">
      <c r="A322" t="s">
        <v>1216</v>
      </c>
      <c r="B322" s="21" t="s">
        <v>1442</v>
      </c>
      <c r="C322" t="s">
        <v>27</v>
      </c>
      <c r="D322" s="8">
        <v>45946</v>
      </c>
      <c r="E322" s="22">
        <v>45964.798356481479</v>
      </c>
      <c r="F322" t="s">
        <v>1606</v>
      </c>
      <c r="H322">
        <v>6</v>
      </c>
      <c r="I322">
        <v>10427831812</v>
      </c>
      <c r="J322" t="s">
        <v>1765</v>
      </c>
      <c r="K322" s="8">
        <v>45946</v>
      </c>
      <c r="Q322">
        <v>31473</v>
      </c>
      <c r="R322">
        <v>216</v>
      </c>
      <c r="S322" t="s">
        <v>1300</v>
      </c>
      <c r="T322" t="s">
        <v>163</v>
      </c>
      <c r="U322">
        <v>1</v>
      </c>
      <c r="V322">
        <v>134.24</v>
      </c>
      <c r="W322">
        <v>158.4</v>
      </c>
      <c r="X322">
        <v>0</v>
      </c>
      <c r="Y322">
        <v>134.24</v>
      </c>
      <c r="Z322">
        <v>18</v>
      </c>
      <c r="AA322">
        <v>24.16</v>
      </c>
      <c r="AB322">
        <v>158.4</v>
      </c>
      <c r="AC322">
        <v>1</v>
      </c>
      <c r="AD322">
        <v>1</v>
      </c>
      <c r="AE322" t="s">
        <v>1411</v>
      </c>
      <c r="AF322" t="s">
        <v>1412</v>
      </c>
      <c r="AG322">
        <v>2</v>
      </c>
      <c r="AH322" t="s">
        <v>25</v>
      </c>
      <c r="AI322">
        <v>6936</v>
      </c>
      <c r="AJ322" t="s">
        <v>1437</v>
      </c>
      <c r="AK322" t="s">
        <v>1433</v>
      </c>
      <c r="AL322">
        <v>3198</v>
      </c>
      <c r="AM322" t="s">
        <v>1605</v>
      </c>
      <c r="AN322" s="8">
        <v>45940</v>
      </c>
      <c r="AO322" s="8">
        <v>45940</v>
      </c>
      <c r="AP322">
        <v>5519</v>
      </c>
      <c r="AQ322" t="s">
        <v>1606</v>
      </c>
      <c r="AR322" t="s">
        <v>12</v>
      </c>
      <c r="AS322" t="str">
        <f>+CONCATENATE(A322,"-",B322)</f>
        <v>(01) Factura FOF1-00000094</v>
      </c>
    </row>
    <row r="323" spans="1:45" ht="15" customHeight="1">
      <c r="A323" t="s">
        <v>1216</v>
      </c>
      <c r="B323" s="21" t="s">
        <v>1488</v>
      </c>
      <c r="C323" t="s">
        <v>27</v>
      </c>
      <c r="D323" s="8">
        <v>45946</v>
      </c>
      <c r="E323" s="22">
        <v>45964.792118055557</v>
      </c>
      <c r="F323" t="s">
        <v>1773</v>
      </c>
      <c r="H323">
        <v>6</v>
      </c>
      <c r="I323">
        <v>10199884951</v>
      </c>
      <c r="J323" t="s">
        <v>1776</v>
      </c>
      <c r="K323" s="8">
        <v>45946</v>
      </c>
      <c r="Q323">
        <v>31452</v>
      </c>
      <c r="R323">
        <v>216</v>
      </c>
      <c r="S323" t="s">
        <v>1300</v>
      </c>
      <c r="T323" t="s">
        <v>163</v>
      </c>
      <c r="U323">
        <v>1</v>
      </c>
      <c r="V323">
        <v>134.91999999999999</v>
      </c>
      <c r="W323">
        <v>159.21</v>
      </c>
      <c r="X323">
        <v>0</v>
      </c>
      <c r="Y323">
        <v>134.91999999999999</v>
      </c>
      <c r="Z323">
        <v>18</v>
      </c>
      <c r="AA323">
        <v>24.29</v>
      </c>
      <c r="AB323">
        <v>159.21</v>
      </c>
      <c r="AC323">
        <v>1</v>
      </c>
      <c r="AD323">
        <v>1</v>
      </c>
      <c r="AE323" t="s">
        <v>1411</v>
      </c>
      <c r="AF323" t="s">
        <v>1412</v>
      </c>
      <c r="AG323">
        <v>2</v>
      </c>
      <c r="AH323" t="s">
        <v>25</v>
      </c>
      <c r="AI323">
        <v>6936</v>
      </c>
      <c r="AJ323" t="s">
        <v>1437</v>
      </c>
      <c r="AK323" t="s">
        <v>1433</v>
      </c>
      <c r="AL323">
        <v>3150</v>
      </c>
      <c r="AM323" t="s">
        <v>1775</v>
      </c>
      <c r="AN323" s="8">
        <v>45941</v>
      </c>
      <c r="AO323" s="8">
        <v>45941</v>
      </c>
      <c r="AP323">
        <v>5129</v>
      </c>
      <c r="AQ323" t="s">
        <v>1773</v>
      </c>
      <c r="AR323" t="s">
        <v>12</v>
      </c>
      <c r="AS323" t="str">
        <f>+CONCATENATE(A323,"-",B323)</f>
        <v>(01) Factura FOF1-00000087</v>
      </c>
    </row>
    <row r="324" spans="1:45" ht="15" customHeight="1">
      <c r="A324" t="s">
        <v>1216</v>
      </c>
      <c r="B324" s="21" t="s">
        <v>1568</v>
      </c>
      <c r="C324" t="s">
        <v>27</v>
      </c>
      <c r="D324" s="8">
        <v>45952</v>
      </c>
      <c r="E324" s="22">
        <v>45964.800428240742</v>
      </c>
      <c r="F324" t="s">
        <v>1569</v>
      </c>
      <c r="H324">
        <v>6</v>
      </c>
      <c r="I324">
        <v>20603011601</v>
      </c>
      <c r="J324" t="s">
        <v>1570</v>
      </c>
      <c r="K324" s="8">
        <v>45952</v>
      </c>
      <c r="Q324">
        <v>32346</v>
      </c>
      <c r="R324">
        <v>2318</v>
      </c>
      <c r="S324" t="s">
        <v>1306</v>
      </c>
      <c r="T324" t="s">
        <v>163</v>
      </c>
      <c r="U324">
        <v>1</v>
      </c>
      <c r="V324">
        <v>135.86000000000001</v>
      </c>
      <c r="W324">
        <v>160.31</v>
      </c>
      <c r="X324">
        <v>0</v>
      </c>
      <c r="Y324">
        <v>135.86000000000001</v>
      </c>
      <c r="Z324">
        <v>18</v>
      </c>
      <c r="AA324">
        <v>24.45</v>
      </c>
      <c r="AB324">
        <v>160.31</v>
      </c>
      <c r="AC324">
        <v>1</v>
      </c>
      <c r="AD324">
        <v>1</v>
      </c>
      <c r="AE324" t="s">
        <v>1411</v>
      </c>
      <c r="AF324" t="s">
        <v>1412</v>
      </c>
      <c r="AG324">
        <v>2</v>
      </c>
      <c r="AH324" t="s">
        <v>25</v>
      </c>
      <c r="AI324">
        <v>6959</v>
      </c>
      <c r="AJ324" t="s">
        <v>1401</v>
      </c>
      <c r="AK324" t="s">
        <v>169</v>
      </c>
      <c r="AL324">
        <v>3063</v>
      </c>
      <c r="AM324" t="s">
        <v>1571</v>
      </c>
      <c r="AN324" s="8">
        <v>45940</v>
      </c>
      <c r="AO324" s="8">
        <v>45940</v>
      </c>
      <c r="AP324">
        <v>5613</v>
      </c>
      <c r="AQ324" t="s">
        <v>1569</v>
      </c>
      <c r="AR324" t="s">
        <v>12</v>
      </c>
      <c r="AS324" t="str">
        <f>+CONCATENATE(A324,"-",B324)</f>
        <v>(01) Factura FOF1-00000146</v>
      </c>
    </row>
    <row r="325" spans="1:45" ht="15" customHeight="1">
      <c r="A325" t="s">
        <v>1216</v>
      </c>
      <c r="B325" s="21" t="s">
        <v>1548</v>
      </c>
      <c r="C325" t="s">
        <v>27</v>
      </c>
      <c r="D325" s="8">
        <v>45952</v>
      </c>
      <c r="E325" s="22">
        <v>45964.816435185188</v>
      </c>
      <c r="F325" t="s">
        <v>307</v>
      </c>
      <c r="H325">
        <v>6</v>
      </c>
      <c r="I325">
        <v>20509594903</v>
      </c>
      <c r="J325" t="s">
        <v>1549</v>
      </c>
      <c r="K325" s="8">
        <v>45952</v>
      </c>
      <c r="Q325">
        <v>32373</v>
      </c>
      <c r="R325">
        <v>1786</v>
      </c>
      <c r="S325" t="s">
        <v>1299</v>
      </c>
      <c r="T325" t="s">
        <v>163</v>
      </c>
      <c r="U325">
        <v>1</v>
      </c>
      <c r="V325">
        <v>136.19</v>
      </c>
      <c r="W325">
        <v>160.69999999999999</v>
      </c>
      <c r="X325">
        <v>0</v>
      </c>
      <c r="Y325">
        <v>136.19</v>
      </c>
      <c r="Z325">
        <v>18</v>
      </c>
      <c r="AA325">
        <v>24.51</v>
      </c>
      <c r="AB325">
        <v>160.69999999999999</v>
      </c>
      <c r="AC325">
        <v>1</v>
      </c>
      <c r="AD325">
        <v>1</v>
      </c>
      <c r="AE325" t="s">
        <v>1411</v>
      </c>
      <c r="AF325" t="s">
        <v>1412</v>
      </c>
      <c r="AG325">
        <v>2</v>
      </c>
      <c r="AH325" t="s">
        <v>25</v>
      </c>
      <c r="AI325">
        <v>6937</v>
      </c>
      <c r="AJ325" t="s">
        <v>1414</v>
      </c>
      <c r="AK325" t="s">
        <v>1251</v>
      </c>
      <c r="AL325">
        <v>3269</v>
      </c>
      <c r="AM325" t="s">
        <v>1550</v>
      </c>
      <c r="AN325" s="8">
        <v>45948</v>
      </c>
      <c r="AO325" s="8">
        <v>45948</v>
      </c>
      <c r="AP325">
        <v>5251</v>
      </c>
      <c r="AQ325" t="s">
        <v>307</v>
      </c>
      <c r="AR325" t="s">
        <v>12</v>
      </c>
      <c r="AS325" t="str">
        <f>+CONCATENATE(A325,"-",B325)</f>
        <v>(01) Factura FOF1-00000153</v>
      </c>
    </row>
    <row r="326" spans="1:45" ht="15" customHeight="1">
      <c r="A326" t="s">
        <v>216</v>
      </c>
      <c r="B326">
        <v>1364</v>
      </c>
      <c r="C326" t="s">
        <v>27</v>
      </c>
      <c r="D326" s="8">
        <v>45693</v>
      </c>
      <c r="E326" s="22">
        <v>45964</v>
      </c>
      <c r="F326" t="s">
        <v>514</v>
      </c>
      <c r="H326">
        <v>6</v>
      </c>
      <c r="I326">
        <v>10473186603</v>
      </c>
      <c r="J326" t="s">
        <v>1972</v>
      </c>
      <c r="K326" s="8">
        <v>45693</v>
      </c>
      <c r="Q326">
        <v>18693</v>
      </c>
      <c r="R326">
        <v>877</v>
      </c>
      <c r="S326" t="s">
        <v>1300</v>
      </c>
      <c r="T326" t="s">
        <v>215</v>
      </c>
      <c r="U326">
        <v>1</v>
      </c>
      <c r="V326">
        <v>138.18</v>
      </c>
      <c r="W326">
        <v>163.05000000000001</v>
      </c>
      <c r="X326">
        <v>0</v>
      </c>
      <c r="Y326">
        <v>138.18</v>
      </c>
      <c r="Z326">
        <v>18</v>
      </c>
      <c r="AA326">
        <v>24.87</v>
      </c>
      <c r="AB326">
        <v>163.05000000000001</v>
      </c>
      <c r="AC326">
        <v>1</v>
      </c>
      <c r="AD326">
        <v>1</v>
      </c>
      <c r="AE326" t="s">
        <v>232</v>
      </c>
      <c r="AF326" t="s">
        <v>29</v>
      </c>
      <c r="AG326">
        <v>2</v>
      </c>
      <c r="AH326" t="s">
        <v>25</v>
      </c>
      <c r="AI326">
        <v>1106</v>
      </c>
      <c r="AJ326" t="s">
        <v>239</v>
      </c>
      <c r="AK326" t="s">
        <v>1237</v>
      </c>
      <c r="AP326">
        <v>1140</v>
      </c>
      <c r="AQ326" t="s">
        <v>514</v>
      </c>
      <c r="AR326" t="s">
        <v>12</v>
      </c>
      <c r="AS326" t="str">
        <f>+CONCATENATE(A326,"-",B326)</f>
        <v>FB01-1364</v>
      </c>
    </row>
    <row r="327" spans="1:45" ht="15" customHeight="1">
      <c r="A327" t="s">
        <v>216</v>
      </c>
      <c r="B327">
        <v>1348</v>
      </c>
      <c r="C327" t="s">
        <v>27</v>
      </c>
      <c r="D327" s="8">
        <v>45686</v>
      </c>
      <c r="E327" s="22">
        <v>45964</v>
      </c>
      <c r="F327" t="s">
        <v>627</v>
      </c>
      <c r="H327">
        <v>6</v>
      </c>
      <c r="I327">
        <v>20101214771</v>
      </c>
      <c r="J327" t="s">
        <v>2002</v>
      </c>
      <c r="K327" s="8">
        <v>45686</v>
      </c>
      <c r="Q327">
        <v>18661</v>
      </c>
      <c r="R327">
        <v>877</v>
      </c>
      <c r="S327" t="s">
        <v>1300</v>
      </c>
      <c r="T327" t="s">
        <v>215</v>
      </c>
      <c r="U327">
        <v>1</v>
      </c>
      <c r="V327">
        <v>139.75</v>
      </c>
      <c r="W327">
        <v>164.9</v>
      </c>
      <c r="X327">
        <v>0</v>
      </c>
      <c r="Y327">
        <v>139.75</v>
      </c>
      <c r="Z327">
        <v>18</v>
      </c>
      <c r="AA327">
        <v>25.15</v>
      </c>
      <c r="AB327">
        <v>164.9</v>
      </c>
      <c r="AC327">
        <v>1</v>
      </c>
      <c r="AD327">
        <v>1</v>
      </c>
      <c r="AE327" t="s">
        <v>232</v>
      </c>
      <c r="AF327" t="s">
        <v>29</v>
      </c>
      <c r="AG327">
        <v>2</v>
      </c>
      <c r="AH327" t="s">
        <v>25</v>
      </c>
      <c r="AI327">
        <v>1106</v>
      </c>
      <c r="AJ327" t="s">
        <v>239</v>
      </c>
      <c r="AK327" t="s">
        <v>1237</v>
      </c>
      <c r="AP327">
        <v>1137</v>
      </c>
      <c r="AQ327" t="s">
        <v>627</v>
      </c>
      <c r="AR327" t="s">
        <v>12</v>
      </c>
      <c r="AS327" t="str">
        <f>+CONCATENATE(A327,"-",B327)</f>
        <v>FB01-1348</v>
      </c>
    </row>
    <row r="328" spans="1:45" ht="15" customHeight="1">
      <c r="A328" t="s">
        <v>1214</v>
      </c>
      <c r="B328" s="21" t="s">
        <v>1676</v>
      </c>
      <c r="C328" t="s">
        <v>27</v>
      </c>
      <c r="D328" s="8">
        <v>45959</v>
      </c>
      <c r="E328" s="22">
        <v>45964.710856481484</v>
      </c>
      <c r="F328" t="s">
        <v>1640</v>
      </c>
      <c r="G328" t="s">
        <v>158</v>
      </c>
      <c r="H328">
        <v>1</v>
      </c>
      <c r="I328">
        <v>72327214</v>
      </c>
      <c r="J328" t="s">
        <v>2645</v>
      </c>
      <c r="K328" s="8">
        <v>45959</v>
      </c>
      <c r="Q328">
        <v>32993</v>
      </c>
      <c r="R328">
        <v>216</v>
      </c>
      <c r="S328" t="s">
        <v>1300</v>
      </c>
      <c r="T328" t="s">
        <v>163</v>
      </c>
      <c r="U328">
        <v>1</v>
      </c>
      <c r="V328">
        <v>140.19</v>
      </c>
      <c r="W328">
        <v>165.42</v>
      </c>
      <c r="X328">
        <v>0</v>
      </c>
      <c r="Y328">
        <v>140.19</v>
      </c>
      <c r="Z328">
        <v>18</v>
      </c>
      <c r="AA328">
        <v>25.23</v>
      </c>
      <c r="AB328">
        <v>165.42</v>
      </c>
      <c r="AC328">
        <v>1</v>
      </c>
      <c r="AD328">
        <v>1</v>
      </c>
      <c r="AE328" t="s">
        <v>1411</v>
      </c>
      <c r="AF328" t="s">
        <v>1412</v>
      </c>
      <c r="AG328">
        <v>2</v>
      </c>
      <c r="AH328" t="s">
        <v>25</v>
      </c>
      <c r="AI328">
        <v>6936</v>
      </c>
      <c r="AJ328" t="s">
        <v>1437</v>
      </c>
      <c r="AK328" t="s">
        <v>1433</v>
      </c>
      <c r="AL328">
        <v>3163</v>
      </c>
      <c r="AM328" t="s">
        <v>2472</v>
      </c>
      <c r="AN328" s="8">
        <v>45954</v>
      </c>
      <c r="AO328" s="8">
        <v>45954</v>
      </c>
      <c r="AP328">
        <v>416</v>
      </c>
      <c r="AQ328" t="s">
        <v>1640</v>
      </c>
      <c r="AR328" t="s">
        <v>1295</v>
      </c>
      <c r="AS328" t="str">
        <f>+CONCATENATE(A328,"-",B328)</f>
        <v>(03) Boleta BOB1-00000121</v>
      </c>
    </row>
    <row r="329" spans="1:45" ht="15" customHeight="1">
      <c r="A329" t="s">
        <v>216</v>
      </c>
      <c r="B329">
        <v>1413</v>
      </c>
      <c r="C329" t="s">
        <v>27</v>
      </c>
      <c r="D329" s="8">
        <v>45693</v>
      </c>
      <c r="E329" s="22">
        <v>45964</v>
      </c>
      <c r="F329" t="s">
        <v>401</v>
      </c>
      <c r="H329">
        <v>6</v>
      </c>
      <c r="I329">
        <v>20609978407</v>
      </c>
      <c r="J329" t="s">
        <v>1924</v>
      </c>
      <c r="K329" s="8">
        <v>45693</v>
      </c>
      <c r="Q329">
        <v>18760</v>
      </c>
      <c r="R329">
        <v>870</v>
      </c>
      <c r="S329" t="s">
        <v>1299</v>
      </c>
      <c r="T329" t="s">
        <v>215</v>
      </c>
      <c r="U329">
        <v>1</v>
      </c>
      <c r="V329">
        <v>140.34</v>
      </c>
      <c r="W329">
        <v>165.6</v>
      </c>
      <c r="X329">
        <v>0</v>
      </c>
      <c r="Y329">
        <v>140.34</v>
      </c>
      <c r="Z329">
        <v>18</v>
      </c>
      <c r="AA329">
        <v>25.26</v>
      </c>
      <c r="AB329">
        <v>165.6</v>
      </c>
      <c r="AC329">
        <v>1</v>
      </c>
      <c r="AD329">
        <v>1</v>
      </c>
      <c r="AE329" t="s">
        <v>232</v>
      </c>
      <c r="AF329" t="s">
        <v>29</v>
      </c>
      <c r="AG329">
        <v>2</v>
      </c>
      <c r="AH329" t="s">
        <v>25</v>
      </c>
      <c r="AI329">
        <v>1106</v>
      </c>
      <c r="AJ329" t="s">
        <v>239</v>
      </c>
      <c r="AK329" t="s">
        <v>1237</v>
      </c>
      <c r="AP329">
        <v>1148</v>
      </c>
      <c r="AQ329" t="s">
        <v>401</v>
      </c>
      <c r="AR329" t="s">
        <v>12</v>
      </c>
      <c r="AS329" t="str">
        <f>+CONCATENATE(A329,"-",B329)</f>
        <v>FB01-1413</v>
      </c>
    </row>
    <row r="330" spans="1:45" ht="15" customHeight="1">
      <c r="A330" t="s">
        <v>1238</v>
      </c>
      <c r="B330">
        <v>680</v>
      </c>
      <c r="C330" t="s">
        <v>27</v>
      </c>
      <c r="D330" s="8">
        <v>45680</v>
      </c>
      <c r="E330" s="22">
        <v>45964</v>
      </c>
      <c r="F330" t="s">
        <v>526</v>
      </c>
      <c r="H330">
        <v>1</v>
      </c>
      <c r="I330">
        <v>19889371</v>
      </c>
      <c r="J330" t="s">
        <v>2058</v>
      </c>
      <c r="K330" s="8">
        <v>45680</v>
      </c>
      <c r="Q330">
        <v>17840</v>
      </c>
      <c r="R330">
        <v>938</v>
      </c>
      <c r="S330" t="s">
        <v>1312</v>
      </c>
      <c r="T330" t="s">
        <v>215</v>
      </c>
      <c r="U330">
        <v>1</v>
      </c>
      <c r="V330">
        <v>149.69</v>
      </c>
      <c r="W330">
        <v>176.63</v>
      </c>
      <c r="X330">
        <v>0</v>
      </c>
      <c r="Y330">
        <v>149.69</v>
      </c>
      <c r="Z330">
        <v>18</v>
      </c>
      <c r="AA330">
        <v>26.94</v>
      </c>
      <c r="AB330">
        <v>176.63</v>
      </c>
      <c r="AC330">
        <v>1</v>
      </c>
      <c r="AD330">
        <v>1</v>
      </c>
      <c r="AE330" t="s">
        <v>232</v>
      </c>
      <c r="AF330" t="s">
        <v>29</v>
      </c>
      <c r="AG330">
        <v>2</v>
      </c>
      <c r="AH330" t="s">
        <v>25</v>
      </c>
      <c r="AI330">
        <v>1106</v>
      </c>
      <c r="AJ330" t="s">
        <v>239</v>
      </c>
      <c r="AK330" t="s">
        <v>1237</v>
      </c>
      <c r="AP330">
        <v>1165</v>
      </c>
      <c r="AQ330" t="s">
        <v>526</v>
      </c>
      <c r="AR330" t="s">
        <v>1295</v>
      </c>
      <c r="AS330" t="str">
        <f>+CONCATENATE(A330,"-",B330)</f>
        <v>BB01-680</v>
      </c>
    </row>
    <row r="331" spans="1:45" ht="15" customHeight="1">
      <c r="A331" t="s">
        <v>1238</v>
      </c>
      <c r="B331">
        <v>678</v>
      </c>
      <c r="C331" t="s">
        <v>27</v>
      </c>
      <c r="D331" s="8">
        <v>45680</v>
      </c>
      <c r="E331" s="22">
        <v>45964</v>
      </c>
      <c r="F331" t="s">
        <v>533</v>
      </c>
      <c r="H331">
        <v>1</v>
      </c>
      <c r="I331">
        <v>76561182</v>
      </c>
      <c r="J331" t="s">
        <v>2060</v>
      </c>
      <c r="K331" s="8">
        <v>45680</v>
      </c>
      <c r="Q331">
        <v>17838</v>
      </c>
      <c r="R331">
        <v>936</v>
      </c>
      <c r="S331" t="s">
        <v>1314</v>
      </c>
      <c r="T331" t="s">
        <v>215</v>
      </c>
      <c r="U331">
        <v>1</v>
      </c>
      <c r="V331">
        <v>149.69</v>
      </c>
      <c r="W331">
        <v>176.63</v>
      </c>
      <c r="X331">
        <v>0</v>
      </c>
      <c r="Y331">
        <v>149.69</v>
      </c>
      <c r="Z331">
        <v>18</v>
      </c>
      <c r="AA331">
        <v>26.94</v>
      </c>
      <c r="AB331">
        <v>176.63</v>
      </c>
      <c r="AC331">
        <v>1</v>
      </c>
      <c r="AD331">
        <v>1</v>
      </c>
      <c r="AE331" t="s">
        <v>232</v>
      </c>
      <c r="AF331" t="s">
        <v>29</v>
      </c>
      <c r="AG331">
        <v>2</v>
      </c>
      <c r="AH331" t="s">
        <v>25</v>
      </c>
      <c r="AI331">
        <v>1106</v>
      </c>
      <c r="AJ331" t="s">
        <v>239</v>
      </c>
      <c r="AK331" t="s">
        <v>1237</v>
      </c>
      <c r="AP331">
        <v>1164</v>
      </c>
      <c r="AQ331" t="s">
        <v>533</v>
      </c>
      <c r="AR331" t="s">
        <v>1295</v>
      </c>
      <c r="AS331" t="str">
        <f>+CONCATENATE(A331,"-",B331)</f>
        <v>BB01-678</v>
      </c>
    </row>
    <row r="332" spans="1:45" ht="15" customHeight="1">
      <c r="A332" t="s">
        <v>1216</v>
      </c>
      <c r="B332" s="21" t="s">
        <v>171</v>
      </c>
      <c r="C332" t="s">
        <v>27</v>
      </c>
      <c r="D332" s="8">
        <v>45945</v>
      </c>
      <c r="E332" s="22">
        <v>45964.782384259262</v>
      </c>
      <c r="F332" t="s">
        <v>32</v>
      </c>
      <c r="G332" t="s">
        <v>158</v>
      </c>
      <c r="H332">
        <v>6</v>
      </c>
      <c r="I332">
        <v>20608361074</v>
      </c>
      <c r="J332" t="s">
        <v>1842</v>
      </c>
      <c r="K332" s="8">
        <v>45945</v>
      </c>
      <c r="Q332">
        <v>31259</v>
      </c>
      <c r="R332">
        <v>2314</v>
      </c>
      <c r="S332" t="s">
        <v>1302</v>
      </c>
      <c r="T332" t="s">
        <v>163</v>
      </c>
      <c r="U332">
        <v>1</v>
      </c>
      <c r="V332">
        <v>150</v>
      </c>
      <c r="W332">
        <v>177</v>
      </c>
      <c r="X332">
        <v>0</v>
      </c>
      <c r="Y332">
        <v>150</v>
      </c>
      <c r="Z332">
        <v>18</v>
      </c>
      <c r="AA332">
        <v>27</v>
      </c>
      <c r="AB332">
        <v>177</v>
      </c>
      <c r="AC332">
        <v>1</v>
      </c>
      <c r="AD332">
        <v>1</v>
      </c>
      <c r="AE332" t="s">
        <v>1411</v>
      </c>
      <c r="AF332" t="s">
        <v>1412</v>
      </c>
      <c r="AG332">
        <v>2</v>
      </c>
      <c r="AH332" t="s">
        <v>25</v>
      </c>
      <c r="AI332">
        <v>1106</v>
      </c>
      <c r="AJ332" t="s">
        <v>239</v>
      </c>
      <c r="AK332" t="s">
        <v>169</v>
      </c>
      <c r="AL332">
        <v>3081</v>
      </c>
      <c r="AM332" t="s">
        <v>1217</v>
      </c>
      <c r="AN332" s="8">
        <v>45934</v>
      </c>
      <c r="AO332" s="8">
        <v>45934</v>
      </c>
      <c r="AP332">
        <v>397</v>
      </c>
      <c r="AQ332" t="s">
        <v>32</v>
      </c>
      <c r="AR332" t="s">
        <v>12</v>
      </c>
      <c r="AS332" t="str">
        <f>+CONCATENATE(A332,"-",B332)</f>
        <v>(01) Factura FOF1-00000044</v>
      </c>
    </row>
    <row r="333" spans="1:45" ht="15" customHeight="1">
      <c r="A333" t="s">
        <v>1216</v>
      </c>
      <c r="B333" s="21" t="s">
        <v>211</v>
      </c>
      <c r="C333" t="s">
        <v>27</v>
      </c>
      <c r="D333" s="8">
        <v>45944</v>
      </c>
      <c r="E333" s="22">
        <v>45964.394953703704</v>
      </c>
      <c r="F333" t="s">
        <v>342</v>
      </c>
      <c r="H333">
        <v>6</v>
      </c>
      <c r="I333">
        <v>20480413700</v>
      </c>
      <c r="J333" t="s">
        <v>1887</v>
      </c>
      <c r="K333" s="8">
        <v>45944</v>
      </c>
      <c r="Q333">
        <v>31102</v>
      </c>
      <c r="R333">
        <v>2314</v>
      </c>
      <c r="S333" t="s">
        <v>1302</v>
      </c>
      <c r="T333" t="s">
        <v>163</v>
      </c>
      <c r="U333">
        <v>1</v>
      </c>
      <c r="V333">
        <v>150</v>
      </c>
      <c r="W333">
        <v>177</v>
      </c>
      <c r="X333">
        <v>0</v>
      </c>
      <c r="Y333">
        <v>150</v>
      </c>
      <c r="Z333">
        <v>18</v>
      </c>
      <c r="AA333">
        <v>27</v>
      </c>
      <c r="AB333">
        <v>177</v>
      </c>
      <c r="AC333">
        <v>1</v>
      </c>
      <c r="AD333">
        <v>1</v>
      </c>
      <c r="AE333" t="s">
        <v>1411</v>
      </c>
      <c r="AF333" t="s">
        <v>1412</v>
      </c>
      <c r="AG333">
        <v>2</v>
      </c>
      <c r="AH333" t="s">
        <v>25</v>
      </c>
      <c r="AI333">
        <v>1106</v>
      </c>
      <c r="AJ333" t="s">
        <v>239</v>
      </c>
      <c r="AK333" t="s">
        <v>169</v>
      </c>
      <c r="AL333">
        <v>3065</v>
      </c>
      <c r="AM333" t="s">
        <v>1228</v>
      </c>
      <c r="AN333" s="8">
        <v>45927</v>
      </c>
      <c r="AO333" s="8">
        <v>45927</v>
      </c>
      <c r="AP333">
        <v>5118</v>
      </c>
      <c r="AQ333" t="s">
        <v>342</v>
      </c>
      <c r="AR333" t="s">
        <v>12</v>
      </c>
      <c r="AS333" t="str">
        <f>+CONCATENATE(A333,"-",B333)</f>
        <v>(01) Factura FOF1-00000016</v>
      </c>
    </row>
    <row r="334" spans="1:45" ht="15" customHeight="1">
      <c r="A334" t="s">
        <v>216</v>
      </c>
      <c r="B334">
        <v>1355</v>
      </c>
      <c r="C334" t="s">
        <v>27</v>
      </c>
      <c r="D334" s="8">
        <v>45686</v>
      </c>
      <c r="E334" s="22">
        <v>45964</v>
      </c>
      <c r="F334" t="s">
        <v>627</v>
      </c>
      <c r="H334">
        <v>6</v>
      </c>
      <c r="I334">
        <v>20101214771</v>
      </c>
      <c r="J334" t="s">
        <v>1995</v>
      </c>
      <c r="K334" s="8">
        <v>45686</v>
      </c>
      <c r="Q334">
        <v>18668</v>
      </c>
      <c r="R334">
        <v>956</v>
      </c>
      <c r="S334" t="s">
        <v>1336</v>
      </c>
      <c r="T334" t="s">
        <v>215</v>
      </c>
      <c r="U334">
        <v>1</v>
      </c>
      <c r="V334">
        <v>150</v>
      </c>
      <c r="W334">
        <v>177</v>
      </c>
      <c r="X334">
        <v>0</v>
      </c>
      <c r="Y334">
        <v>150</v>
      </c>
      <c r="Z334">
        <v>18</v>
      </c>
      <c r="AA334">
        <v>27</v>
      </c>
      <c r="AB334">
        <v>177</v>
      </c>
      <c r="AC334">
        <v>1</v>
      </c>
      <c r="AD334">
        <v>1</v>
      </c>
      <c r="AE334" t="s">
        <v>232</v>
      </c>
      <c r="AF334" t="s">
        <v>29</v>
      </c>
      <c r="AG334">
        <v>2</v>
      </c>
      <c r="AH334" t="s">
        <v>25</v>
      </c>
      <c r="AI334">
        <v>1106</v>
      </c>
      <c r="AJ334" t="s">
        <v>239</v>
      </c>
      <c r="AK334" t="s">
        <v>1251</v>
      </c>
      <c r="AP334">
        <v>1137</v>
      </c>
      <c r="AQ334" t="s">
        <v>627</v>
      </c>
      <c r="AR334" t="s">
        <v>12</v>
      </c>
      <c r="AS334" t="str">
        <f>+CONCATENATE(A334,"-",B334)</f>
        <v>FB01-1355</v>
      </c>
    </row>
    <row r="335" spans="1:45" ht="15" customHeight="1">
      <c r="A335" t="s">
        <v>216</v>
      </c>
      <c r="B335">
        <v>1345</v>
      </c>
      <c r="C335" t="s">
        <v>27</v>
      </c>
      <c r="D335" s="8">
        <v>45686</v>
      </c>
      <c r="E335" s="22">
        <v>45964</v>
      </c>
      <c r="F335" t="s">
        <v>627</v>
      </c>
      <c r="H335">
        <v>6</v>
      </c>
      <c r="I335">
        <v>20101214771</v>
      </c>
      <c r="J335" t="s">
        <v>2005</v>
      </c>
      <c r="K335" s="8">
        <v>45686</v>
      </c>
      <c r="Q335">
        <v>18658</v>
      </c>
      <c r="R335">
        <v>952</v>
      </c>
      <c r="S335" t="s">
        <v>1337</v>
      </c>
      <c r="T335" t="s">
        <v>215</v>
      </c>
      <c r="U335">
        <v>1</v>
      </c>
      <c r="V335">
        <v>150</v>
      </c>
      <c r="W335">
        <v>177</v>
      </c>
      <c r="X335">
        <v>0</v>
      </c>
      <c r="Y335">
        <v>150</v>
      </c>
      <c r="Z335">
        <v>18</v>
      </c>
      <c r="AA335">
        <v>27</v>
      </c>
      <c r="AB335">
        <v>177</v>
      </c>
      <c r="AC335">
        <v>1</v>
      </c>
      <c r="AD335">
        <v>1</v>
      </c>
      <c r="AE335" t="s">
        <v>232</v>
      </c>
      <c r="AF335" t="s">
        <v>29</v>
      </c>
      <c r="AG335">
        <v>2</v>
      </c>
      <c r="AH335" t="s">
        <v>25</v>
      </c>
      <c r="AI335">
        <v>1106</v>
      </c>
      <c r="AJ335" t="s">
        <v>239</v>
      </c>
      <c r="AK335" t="s">
        <v>1251</v>
      </c>
      <c r="AP335">
        <v>1137</v>
      </c>
      <c r="AQ335" t="s">
        <v>627</v>
      </c>
      <c r="AR335" t="s">
        <v>12</v>
      </c>
      <c r="AS335" t="str">
        <f>+CONCATENATE(A335,"-",B335)</f>
        <v>FB01-1345</v>
      </c>
    </row>
    <row r="336" spans="1:45" ht="15" customHeight="1">
      <c r="A336" t="s">
        <v>216</v>
      </c>
      <c r="B336">
        <v>1318</v>
      </c>
      <c r="C336" t="s">
        <v>27</v>
      </c>
      <c r="D336" s="8">
        <v>45685</v>
      </c>
      <c r="E336" s="22">
        <v>45964</v>
      </c>
      <c r="F336" t="s">
        <v>1342</v>
      </c>
      <c r="H336">
        <v>6</v>
      </c>
      <c r="I336">
        <v>20600937988</v>
      </c>
      <c r="J336" t="s">
        <v>2032</v>
      </c>
      <c r="K336" s="8">
        <v>45685</v>
      </c>
      <c r="Q336">
        <v>18625</v>
      </c>
      <c r="R336">
        <v>870</v>
      </c>
      <c r="S336" t="s">
        <v>1299</v>
      </c>
      <c r="T336" t="s">
        <v>215</v>
      </c>
      <c r="U336">
        <v>1</v>
      </c>
      <c r="V336">
        <v>159.29</v>
      </c>
      <c r="W336">
        <v>187.96</v>
      </c>
      <c r="X336">
        <v>0</v>
      </c>
      <c r="Y336">
        <v>159.29</v>
      </c>
      <c r="Z336">
        <v>18</v>
      </c>
      <c r="AA336">
        <v>28.67</v>
      </c>
      <c r="AB336">
        <v>187.96</v>
      </c>
      <c r="AC336">
        <v>1</v>
      </c>
      <c r="AD336">
        <v>1</v>
      </c>
      <c r="AE336" t="s">
        <v>232</v>
      </c>
      <c r="AF336" t="s">
        <v>29</v>
      </c>
      <c r="AG336">
        <v>2</v>
      </c>
      <c r="AH336" t="s">
        <v>25</v>
      </c>
      <c r="AI336">
        <v>1106</v>
      </c>
      <c r="AJ336" t="s">
        <v>239</v>
      </c>
      <c r="AK336" t="s">
        <v>1237</v>
      </c>
      <c r="AP336">
        <v>1135</v>
      </c>
      <c r="AQ336" t="s">
        <v>1342</v>
      </c>
      <c r="AR336" t="s">
        <v>12</v>
      </c>
      <c r="AS336" t="str">
        <f>+CONCATENATE(A336,"-",B336)</f>
        <v>FB01-1318</v>
      </c>
    </row>
    <row r="337" spans="1:45" ht="15" customHeight="1">
      <c r="A337" t="s">
        <v>1216</v>
      </c>
      <c r="B337" s="21" t="s">
        <v>1510</v>
      </c>
      <c r="C337" t="s">
        <v>27</v>
      </c>
      <c r="D337" s="8">
        <v>45946</v>
      </c>
      <c r="E337" s="22">
        <v>45964.782407407409</v>
      </c>
      <c r="F337" t="s">
        <v>1787</v>
      </c>
      <c r="G337" t="s">
        <v>158</v>
      </c>
      <c r="H337">
        <v>6</v>
      </c>
      <c r="I337">
        <v>20168142375</v>
      </c>
      <c r="J337" t="s">
        <v>1791</v>
      </c>
      <c r="K337" s="8">
        <v>45946</v>
      </c>
      <c r="Q337">
        <v>31419</v>
      </c>
      <c r="R337">
        <v>1786</v>
      </c>
      <c r="S337" t="s">
        <v>1299</v>
      </c>
      <c r="T337" t="s">
        <v>163</v>
      </c>
      <c r="U337">
        <v>1</v>
      </c>
      <c r="V337">
        <v>160.35</v>
      </c>
      <c r="W337">
        <v>189.21</v>
      </c>
      <c r="X337">
        <v>0</v>
      </c>
      <c r="Y337">
        <v>160.35</v>
      </c>
      <c r="Z337">
        <v>18</v>
      </c>
      <c r="AA337">
        <v>28.86</v>
      </c>
      <c r="AB337">
        <v>189.21</v>
      </c>
      <c r="AC337">
        <v>1</v>
      </c>
      <c r="AD337">
        <v>1</v>
      </c>
      <c r="AE337" t="s">
        <v>1411</v>
      </c>
      <c r="AF337" t="s">
        <v>1412</v>
      </c>
      <c r="AG337">
        <v>2</v>
      </c>
      <c r="AH337" t="s">
        <v>25</v>
      </c>
      <c r="AI337">
        <v>6937</v>
      </c>
      <c r="AJ337" t="s">
        <v>1414</v>
      </c>
      <c r="AK337" t="s">
        <v>1251</v>
      </c>
      <c r="AL337">
        <v>3191</v>
      </c>
      <c r="AM337" t="s">
        <v>1789</v>
      </c>
      <c r="AN337" s="8">
        <v>45935</v>
      </c>
      <c r="AO337" s="8">
        <v>45935</v>
      </c>
      <c r="AP337">
        <v>388</v>
      </c>
      <c r="AQ337" t="s">
        <v>1787</v>
      </c>
      <c r="AR337" t="s">
        <v>12</v>
      </c>
      <c r="AS337" t="str">
        <f>+CONCATENATE(A337,"-",B337)</f>
        <v>(01) Factura FOF1-00000080</v>
      </c>
    </row>
    <row r="338" spans="1:45" ht="15" customHeight="1">
      <c r="A338" t="s">
        <v>1216</v>
      </c>
      <c r="B338" s="21" t="s">
        <v>1543</v>
      </c>
      <c r="C338" t="s">
        <v>27</v>
      </c>
      <c r="D338" s="8">
        <v>45952</v>
      </c>
      <c r="E338" s="22">
        <v>45964.818171296298</v>
      </c>
      <c r="F338" t="s">
        <v>1091</v>
      </c>
      <c r="H338">
        <v>6</v>
      </c>
      <c r="I338">
        <v>20609225107</v>
      </c>
      <c r="J338" t="s">
        <v>1544</v>
      </c>
      <c r="K338" s="8">
        <v>45952</v>
      </c>
      <c r="Q338">
        <v>32379</v>
      </c>
      <c r="R338">
        <v>1786</v>
      </c>
      <c r="S338" t="s">
        <v>1299</v>
      </c>
      <c r="T338" t="s">
        <v>163</v>
      </c>
      <c r="U338">
        <v>1</v>
      </c>
      <c r="V338">
        <v>164.24</v>
      </c>
      <c r="W338">
        <v>193.8</v>
      </c>
      <c r="X338">
        <v>0</v>
      </c>
      <c r="Y338">
        <v>164.24</v>
      </c>
      <c r="Z338">
        <v>18</v>
      </c>
      <c r="AA338">
        <v>29.56</v>
      </c>
      <c r="AB338">
        <v>193.8</v>
      </c>
      <c r="AC338">
        <v>1</v>
      </c>
      <c r="AD338">
        <v>1</v>
      </c>
      <c r="AE338" t="s">
        <v>1411</v>
      </c>
      <c r="AF338" t="s">
        <v>1412</v>
      </c>
      <c r="AG338">
        <v>2</v>
      </c>
      <c r="AH338" t="s">
        <v>25</v>
      </c>
      <c r="AI338">
        <v>6937</v>
      </c>
      <c r="AJ338" t="s">
        <v>1414</v>
      </c>
      <c r="AK338" t="s">
        <v>1251</v>
      </c>
      <c r="AL338">
        <v>3154</v>
      </c>
      <c r="AM338" t="s">
        <v>1545</v>
      </c>
      <c r="AN338" s="8">
        <v>45949</v>
      </c>
      <c r="AO338" s="8">
        <v>45949</v>
      </c>
      <c r="AP338">
        <v>1118</v>
      </c>
      <c r="AQ338" t="s">
        <v>1091</v>
      </c>
      <c r="AR338" t="s">
        <v>12</v>
      </c>
      <c r="AS338" t="str">
        <f>+CONCATENATE(A338,"-",B338)</f>
        <v>(01) Factura FOF1-00000155</v>
      </c>
    </row>
    <row r="339" spans="1:45" ht="15" customHeight="1">
      <c r="A339" t="s">
        <v>1238</v>
      </c>
      <c r="B339">
        <v>739</v>
      </c>
      <c r="C339" t="s">
        <v>27</v>
      </c>
      <c r="D339" s="8">
        <v>45693</v>
      </c>
      <c r="E339" s="22">
        <v>45964</v>
      </c>
      <c r="F339" t="s">
        <v>547</v>
      </c>
      <c r="G339" t="s">
        <v>158</v>
      </c>
      <c r="H339">
        <v>1</v>
      </c>
      <c r="I339">
        <v>44292844</v>
      </c>
      <c r="J339" t="s">
        <v>1927</v>
      </c>
      <c r="K339" s="8">
        <v>45693</v>
      </c>
      <c r="Q339">
        <v>18753</v>
      </c>
      <c r="R339">
        <v>870</v>
      </c>
      <c r="S339" t="s">
        <v>1299</v>
      </c>
      <c r="T339" t="s">
        <v>215</v>
      </c>
      <c r="U339">
        <v>1</v>
      </c>
      <c r="V339">
        <v>165.5</v>
      </c>
      <c r="W339">
        <v>195.29</v>
      </c>
      <c r="X339">
        <v>0</v>
      </c>
      <c r="Y339">
        <v>165.5</v>
      </c>
      <c r="Z339">
        <v>18</v>
      </c>
      <c r="AA339">
        <v>29.79</v>
      </c>
      <c r="AB339">
        <v>195.29</v>
      </c>
      <c r="AC339">
        <v>1</v>
      </c>
      <c r="AD339">
        <v>1</v>
      </c>
      <c r="AE339" t="s">
        <v>232</v>
      </c>
      <c r="AF339" t="s">
        <v>29</v>
      </c>
      <c r="AG339">
        <v>2</v>
      </c>
      <c r="AH339" t="s">
        <v>25</v>
      </c>
      <c r="AI339">
        <v>1106</v>
      </c>
      <c r="AJ339" t="s">
        <v>239</v>
      </c>
      <c r="AK339" t="s">
        <v>1237</v>
      </c>
      <c r="AP339">
        <v>463</v>
      </c>
      <c r="AQ339" t="s">
        <v>547</v>
      </c>
      <c r="AR339" t="s">
        <v>1295</v>
      </c>
      <c r="AS339" t="str">
        <f>+CONCATENATE(A339,"-",B339)</f>
        <v>BB01-739</v>
      </c>
    </row>
    <row r="340" spans="1:45" ht="15" customHeight="1">
      <c r="A340" t="s">
        <v>1216</v>
      </c>
      <c r="B340" s="21" t="s">
        <v>1731</v>
      </c>
      <c r="C340" t="s">
        <v>27</v>
      </c>
      <c r="D340" s="8">
        <v>45946</v>
      </c>
      <c r="E340" s="22">
        <v>45964.706053240741</v>
      </c>
      <c r="F340" t="s">
        <v>1668</v>
      </c>
      <c r="H340">
        <v>6</v>
      </c>
      <c r="I340">
        <v>10749980163</v>
      </c>
      <c r="J340" t="s">
        <v>1830</v>
      </c>
      <c r="K340" s="8">
        <v>45946</v>
      </c>
      <c r="Q340">
        <v>31304</v>
      </c>
      <c r="R340">
        <v>216</v>
      </c>
      <c r="S340" t="s">
        <v>1300</v>
      </c>
      <c r="T340" t="s">
        <v>163</v>
      </c>
      <c r="U340">
        <v>1</v>
      </c>
      <c r="V340">
        <v>169.32</v>
      </c>
      <c r="W340">
        <v>199.8</v>
      </c>
      <c r="X340">
        <v>0</v>
      </c>
      <c r="Y340">
        <v>169.32</v>
      </c>
      <c r="Z340">
        <v>18</v>
      </c>
      <c r="AA340">
        <v>30.48</v>
      </c>
      <c r="AB340">
        <v>199.8</v>
      </c>
      <c r="AC340">
        <v>1</v>
      </c>
      <c r="AD340">
        <v>1</v>
      </c>
      <c r="AE340" t="s">
        <v>1411</v>
      </c>
      <c r="AF340" t="s">
        <v>1412</v>
      </c>
      <c r="AG340">
        <v>2</v>
      </c>
      <c r="AH340" t="s">
        <v>25</v>
      </c>
      <c r="AI340">
        <v>6936</v>
      </c>
      <c r="AJ340" t="s">
        <v>1437</v>
      </c>
      <c r="AK340" t="s">
        <v>1433</v>
      </c>
      <c r="AL340">
        <v>3162</v>
      </c>
      <c r="AM340" t="s">
        <v>1829</v>
      </c>
      <c r="AN340" s="8">
        <v>45934</v>
      </c>
      <c r="AO340" s="8">
        <v>45934</v>
      </c>
      <c r="AP340">
        <v>5445</v>
      </c>
      <c r="AQ340" t="s">
        <v>1668</v>
      </c>
      <c r="AR340" t="s">
        <v>12</v>
      </c>
      <c r="AS340" t="str">
        <f>+CONCATENATE(A340,"-",B340)</f>
        <v>(01) Factura FOF1-00000050</v>
      </c>
    </row>
    <row r="341" spans="1:45" ht="15" customHeight="1">
      <c r="A341" t="s">
        <v>216</v>
      </c>
      <c r="B341">
        <v>1307</v>
      </c>
      <c r="C341" t="s">
        <v>27</v>
      </c>
      <c r="D341" s="8">
        <v>45680</v>
      </c>
      <c r="E341" s="22">
        <v>45964</v>
      </c>
      <c r="F341" t="s">
        <v>1240</v>
      </c>
      <c r="G341" t="s">
        <v>158</v>
      </c>
      <c r="H341">
        <v>6</v>
      </c>
      <c r="I341">
        <v>20602855733</v>
      </c>
      <c r="J341" t="s">
        <v>2066</v>
      </c>
      <c r="K341" s="8">
        <v>45680</v>
      </c>
      <c r="Q341">
        <v>17829</v>
      </c>
      <c r="R341">
        <v>877</v>
      </c>
      <c r="S341" t="s">
        <v>1300</v>
      </c>
      <c r="T341" t="s">
        <v>215</v>
      </c>
      <c r="U341">
        <v>1</v>
      </c>
      <c r="V341">
        <v>170</v>
      </c>
      <c r="W341">
        <v>200.6</v>
      </c>
      <c r="X341">
        <v>0</v>
      </c>
      <c r="Y341">
        <v>170</v>
      </c>
      <c r="Z341">
        <v>18</v>
      </c>
      <c r="AA341">
        <v>30.6</v>
      </c>
      <c r="AB341">
        <v>200.6</v>
      </c>
      <c r="AC341">
        <v>1</v>
      </c>
      <c r="AD341">
        <v>1</v>
      </c>
      <c r="AE341" t="s">
        <v>232</v>
      </c>
      <c r="AF341" t="s">
        <v>29</v>
      </c>
      <c r="AG341">
        <v>2</v>
      </c>
      <c r="AH341" t="s">
        <v>25</v>
      </c>
      <c r="AI341">
        <v>1106</v>
      </c>
      <c r="AJ341" t="s">
        <v>239</v>
      </c>
      <c r="AK341" t="s">
        <v>1237</v>
      </c>
      <c r="AP341">
        <v>385</v>
      </c>
      <c r="AQ341" t="s">
        <v>1240</v>
      </c>
      <c r="AR341" t="s">
        <v>12</v>
      </c>
      <c r="AS341" t="str">
        <f>+CONCATENATE(A341,"-",B341)</f>
        <v>FB01-1307</v>
      </c>
    </row>
    <row r="342" spans="1:45" ht="15" customHeight="1">
      <c r="A342" t="s">
        <v>1214</v>
      </c>
      <c r="B342" s="21" t="s">
        <v>1664</v>
      </c>
      <c r="C342" t="s">
        <v>27</v>
      </c>
      <c r="D342" s="8">
        <v>45959</v>
      </c>
      <c r="E342" s="22">
        <v>45964.713275462964</v>
      </c>
      <c r="F342" t="s">
        <v>2470</v>
      </c>
      <c r="H342">
        <v>1</v>
      </c>
      <c r="I342">
        <v>73829192</v>
      </c>
      <c r="J342" t="s">
        <v>2642</v>
      </c>
      <c r="K342" s="8">
        <v>45959</v>
      </c>
      <c r="Q342">
        <v>33002</v>
      </c>
      <c r="R342">
        <v>216</v>
      </c>
      <c r="S342" t="s">
        <v>1300</v>
      </c>
      <c r="T342" t="s">
        <v>163</v>
      </c>
      <c r="U342">
        <v>1</v>
      </c>
      <c r="V342">
        <v>170.76</v>
      </c>
      <c r="W342">
        <v>201.5</v>
      </c>
      <c r="X342">
        <v>0</v>
      </c>
      <c r="Y342">
        <v>170.76</v>
      </c>
      <c r="Z342">
        <v>18</v>
      </c>
      <c r="AA342">
        <v>30.74</v>
      </c>
      <c r="AB342">
        <v>201.5</v>
      </c>
      <c r="AC342">
        <v>1</v>
      </c>
      <c r="AD342">
        <v>1</v>
      </c>
      <c r="AE342" t="s">
        <v>1411</v>
      </c>
      <c r="AF342" t="s">
        <v>1412</v>
      </c>
      <c r="AG342">
        <v>2</v>
      </c>
      <c r="AH342" t="s">
        <v>25</v>
      </c>
      <c r="AI342">
        <v>6936</v>
      </c>
      <c r="AJ342" t="s">
        <v>1437</v>
      </c>
      <c r="AK342" t="s">
        <v>1433</v>
      </c>
      <c r="AL342">
        <v>3215</v>
      </c>
      <c r="AM342" t="s">
        <v>2471</v>
      </c>
      <c r="AN342" s="8">
        <v>45950</v>
      </c>
      <c r="AO342" s="8">
        <v>45950</v>
      </c>
      <c r="AP342">
        <v>5553</v>
      </c>
      <c r="AQ342" t="s">
        <v>2470</v>
      </c>
      <c r="AR342" t="s">
        <v>1295</v>
      </c>
      <c r="AS342" t="str">
        <f>+CONCATENATE(A342,"-",B342)</f>
        <v>(03) Boleta BOB1-00000124</v>
      </c>
    </row>
    <row r="343" spans="1:45" ht="15" customHeight="1">
      <c r="A343" t="s">
        <v>216</v>
      </c>
      <c r="B343">
        <v>1191</v>
      </c>
      <c r="C343" t="s">
        <v>27</v>
      </c>
      <c r="D343" s="8">
        <v>45663</v>
      </c>
      <c r="E343" s="22">
        <v>45964</v>
      </c>
      <c r="F343" t="s">
        <v>1325</v>
      </c>
      <c r="H343">
        <v>6</v>
      </c>
      <c r="I343">
        <v>20516587874</v>
      </c>
      <c r="J343" t="s">
        <v>2197</v>
      </c>
      <c r="K343" s="8">
        <v>45663</v>
      </c>
      <c r="Q343">
        <v>17186</v>
      </c>
      <c r="R343">
        <v>877</v>
      </c>
      <c r="S343" t="s">
        <v>1300</v>
      </c>
      <c r="T343" t="s">
        <v>215</v>
      </c>
      <c r="U343">
        <v>1</v>
      </c>
      <c r="V343">
        <v>170.76</v>
      </c>
      <c r="W343">
        <v>201.5</v>
      </c>
      <c r="X343">
        <v>0</v>
      </c>
      <c r="Y343">
        <v>170.76</v>
      </c>
      <c r="Z343">
        <v>18</v>
      </c>
      <c r="AA343">
        <v>30.74</v>
      </c>
      <c r="AB343">
        <v>201.5</v>
      </c>
      <c r="AC343">
        <v>1</v>
      </c>
      <c r="AD343">
        <v>1</v>
      </c>
      <c r="AE343" t="s">
        <v>232</v>
      </c>
      <c r="AF343" t="s">
        <v>29</v>
      </c>
      <c r="AG343">
        <v>2</v>
      </c>
      <c r="AH343" t="s">
        <v>25</v>
      </c>
      <c r="AI343">
        <v>1106</v>
      </c>
      <c r="AJ343" t="s">
        <v>239</v>
      </c>
      <c r="AK343" t="s">
        <v>1237</v>
      </c>
      <c r="AP343">
        <v>1116</v>
      </c>
      <c r="AQ343" t="s">
        <v>1325</v>
      </c>
      <c r="AR343" t="s">
        <v>12</v>
      </c>
      <c r="AS343" t="str">
        <f>+CONCATENATE(A343,"-",B343)</f>
        <v>FB01-1191</v>
      </c>
    </row>
    <row r="344" spans="1:45" ht="15" customHeight="1">
      <c r="A344" t="s">
        <v>216</v>
      </c>
      <c r="B344">
        <v>1179</v>
      </c>
      <c r="C344" t="s">
        <v>27</v>
      </c>
      <c r="D344" s="8">
        <v>45660</v>
      </c>
      <c r="E344" s="22">
        <v>45964</v>
      </c>
      <c r="F344" t="s">
        <v>1240</v>
      </c>
      <c r="G344" t="s">
        <v>158</v>
      </c>
      <c r="H344">
        <v>6</v>
      </c>
      <c r="I344">
        <v>20602855733</v>
      </c>
      <c r="J344" t="s">
        <v>2219</v>
      </c>
      <c r="K344" s="8">
        <v>45660</v>
      </c>
      <c r="Q344">
        <v>17160</v>
      </c>
      <c r="R344">
        <v>990</v>
      </c>
      <c r="S344" t="s">
        <v>1281</v>
      </c>
      <c r="T344" t="s">
        <v>215</v>
      </c>
      <c r="U344">
        <v>1</v>
      </c>
      <c r="V344">
        <v>171</v>
      </c>
      <c r="W344">
        <v>201.78</v>
      </c>
      <c r="X344">
        <v>0</v>
      </c>
      <c r="Y344">
        <v>171</v>
      </c>
      <c r="Z344">
        <v>18</v>
      </c>
      <c r="AA344">
        <v>30.78</v>
      </c>
      <c r="AB344">
        <v>201.78</v>
      </c>
      <c r="AC344">
        <v>1</v>
      </c>
      <c r="AD344">
        <v>1</v>
      </c>
      <c r="AE344" t="s">
        <v>232</v>
      </c>
      <c r="AF344" t="s">
        <v>29</v>
      </c>
      <c r="AG344">
        <v>2</v>
      </c>
      <c r="AH344" t="s">
        <v>25</v>
      </c>
      <c r="AI344">
        <v>1106</v>
      </c>
      <c r="AJ344" t="s">
        <v>239</v>
      </c>
      <c r="AK344" t="s">
        <v>1237</v>
      </c>
      <c r="AP344">
        <v>385</v>
      </c>
      <c r="AQ344" t="s">
        <v>1240</v>
      </c>
      <c r="AR344" t="s">
        <v>12</v>
      </c>
      <c r="AS344" t="str">
        <f>+CONCATENATE(A344,"-",B344)</f>
        <v>FB01-1179</v>
      </c>
    </row>
    <row r="345" spans="1:45" ht="15" customHeight="1">
      <c r="A345" t="s">
        <v>216</v>
      </c>
      <c r="B345">
        <v>1175</v>
      </c>
      <c r="C345" t="s">
        <v>27</v>
      </c>
      <c r="D345" s="8">
        <v>45660</v>
      </c>
      <c r="E345" s="22">
        <v>45964</v>
      </c>
      <c r="F345" t="s">
        <v>1240</v>
      </c>
      <c r="G345" t="s">
        <v>158</v>
      </c>
      <c r="H345">
        <v>6</v>
      </c>
      <c r="I345">
        <v>20602855733</v>
      </c>
      <c r="J345" t="s">
        <v>2223</v>
      </c>
      <c r="K345" s="8">
        <v>45660</v>
      </c>
      <c r="Q345">
        <v>17156</v>
      </c>
      <c r="R345">
        <v>874</v>
      </c>
      <c r="S345" t="s">
        <v>1248</v>
      </c>
      <c r="T345" t="s">
        <v>215</v>
      </c>
      <c r="U345">
        <v>1</v>
      </c>
      <c r="V345">
        <v>171</v>
      </c>
      <c r="W345">
        <v>201.78</v>
      </c>
      <c r="X345">
        <v>0</v>
      </c>
      <c r="Y345">
        <v>171</v>
      </c>
      <c r="Z345">
        <v>18</v>
      </c>
      <c r="AA345">
        <v>30.78</v>
      </c>
      <c r="AB345">
        <v>201.78</v>
      </c>
      <c r="AC345">
        <v>1</v>
      </c>
      <c r="AD345">
        <v>1</v>
      </c>
      <c r="AE345" t="s">
        <v>232</v>
      </c>
      <c r="AF345" t="s">
        <v>29</v>
      </c>
      <c r="AG345">
        <v>2</v>
      </c>
      <c r="AH345" t="s">
        <v>25</v>
      </c>
      <c r="AI345">
        <v>1106</v>
      </c>
      <c r="AJ345" t="s">
        <v>239</v>
      </c>
      <c r="AK345" t="s">
        <v>1237</v>
      </c>
      <c r="AP345">
        <v>385</v>
      </c>
      <c r="AQ345" t="s">
        <v>1240</v>
      </c>
      <c r="AR345" t="s">
        <v>12</v>
      </c>
      <c r="AS345" t="str">
        <f>+CONCATENATE(A345,"-",B345)</f>
        <v>FB01-1175</v>
      </c>
    </row>
    <row r="346" spans="1:45" ht="15" customHeight="1">
      <c r="A346" t="s">
        <v>1214</v>
      </c>
      <c r="B346" s="21" t="s">
        <v>1562</v>
      </c>
      <c r="C346" t="s">
        <v>27</v>
      </c>
      <c r="D346" s="8">
        <v>45960</v>
      </c>
      <c r="E346" s="22">
        <v>45964.651064814818</v>
      </c>
      <c r="F346" t="s">
        <v>1528</v>
      </c>
      <c r="H346">
        <v>1</v>
      </c>
      <c r="I346" s="21" t="s">
        <v>2440</v>
      </c>
      <c r="J346" t="s">
        <v>2609</v>
      </c>
      <c r="K346" s="8">
        <v>45960</v>
      </c>
      <c r="Q346">
        <v>33149</v>
      </c>
      <c r="R346">
        <v>216</v>
      </c>
      <c r="S346" t="s">
        <v>1300</v>
      </c>
      <c r="T346" t="s">
        <v>163</v>
      </c>
      <c r="U346">
        <v>1</v>
      </c>
      <c r="V346">
        <v>175</v>
      </c>
      <c r="W346">
        <v>206.5</v>
      </c>
      <c r="X346">
        <v>0</v>
      </c>
      <c r="Y346">
        <v>175</v>
      </c>
      <c r="Z346">
        <v>18</v>
      </c>
      <c r="AA346">
        <v>31.5</v>
      </c>
      <c r="AB346">
        <v>206.5</v>
      </c>
      <c r="AC346">
        <v>1</v>
      </c>
      <c r="AD346">
        <v>1</v>
      </c>
      <c r="AE346" t="s">
        <v>1411</v>
      </c>
      <c r="AF346" t="s">
        <v>1412</v>
      </c>
      <c r="AG346">
        <v>2</v>
      </c>
      <c r="AH346" t="s">
        <v>25</v>
      </c>
      <c r="AI346">
        <v>6936</v>
      </c>
      <c r="AJ346" t="s">
        <v>1437</v>
      </c>
      <c r="AK346" t="s">
        <v>1433</v>
      </c>
      <c r="AL346">
        <v>3301</v>
      </c>
      <c r="AM346" t="s">
        <v>2441</v>
      </c>
      <c r="AN346" s="8">
        <v>45956</v>
      </c>
      <c r="AO346" s="8">
        <v>45956</v>
      </c>
      <c r="AP346">
        <v>6695</v>
      </c>
      <c r="AQ346" t="s">
        <v>1528</v>
      </c>
      <c r="AR346" t="s">
        <v>1295</v>
      </c>
      <c r="AS346" t="str">
        <f>+CONCATENATE(A346,"-",B346)</f>
        <v>(03) Boleta BOB1-00000147</v>
      </c>
    </row>
    <row r="347" spans="1:45" ht="15" customHeight="1">
      <c r="A347" t="s">
        <v>1238</v>
      </c>
      <c r="B347">
        <v>632</v>
      </c>
      <c r="C347" t="s">
        <v>27</v>
      </c>
      <c r="D347" s="8">
        <v>45660</v>
      </c>
      <c r="E347" s="22">
        <v>45964</v>
      </c>
      <c r="F347" t="s">
        <v>1198</v>
      </c>
      <c r="H347">
        <v>1</v>
      </c>
      <c r="I347">
        <v>70040189</v>
      </c>
      <c r="J347" t="s">
        <v>2209</v>
      </c>
      <c r="K347" s="8">
        <v>45660</v>
      </c>
      <c r="Q347">
        <v>17170</v>
      </c>
      <c r="R347">
        <v>870</v>
      </c>
      <c r="S347" t="s">
        <v>1299</v>
      </c>
      <c r="T347" t="s">
        <v>215</v>
      </c>
      <c r="U347">
        <v>1</v>
      </c>
      <c r="V347">
        <v>177.59</v>
      </c>
      <c r="W347">
        <v>209.56</v>
      </c>
      <c r="X347">
        <v>0</v>
      </c>
      <c r="Y347">
        <v>177.59</v>
      </c>
      <c r="Z347">
        <v>18</v>
      </c>
      <c r="AA347">
        <v>31.97</v>
      </c>
      <c r="AB347">
        <v>209.56</v>
      </c>
      <c r="AC347">
        <v>1</v>
      </c>
      <c r="AD347">
        <v>1</v>
      </c>
      <c r="AE347" t="s">
        <v>232</v>
      </c>
      <c r="AF347" t="s">
        <v>29</v>
      </c>
      <c r="AG347">
        <v>2</v>
      </c>
      <c r="AH347" t="s">
        <v>25</v>
      </c>
      <c r="AI347">
        <v>1106</v>
      </c>
      <c r="AJ347" t="s">
        <v>239</v>
      </c>
      <c r="AK347" t="s">
        <v>1237</v>
      </c>
      <c r="AP347">
        <v>1153</v>
      </c>
      <c r="AQ347" t="s">
        <v>1198</v>
      </c>
      <c r="AR347" t="s">
        <v>1295</v>
      </c>
      <c r="AS347" t="str">
        <f>+CONCATENATE(A347,"-",B347)</f>
        <v>BB01-632</v>
      </c>
    </row>
    <row r="348" spans="1:45" ht="15" customHeight="1">
      <c r="A348" t="s">
        <v>216</v>
      </c>
      <c r="B348">
        <v>1313</v>
      </c>
      <c r="C348" t="s">
        <v>27</v>
      </c>
      <c r="D348" s="8">
        <v>45685</v>
      </c>
      <c r="E348" s="22">
        <v>45964</v>
      </c>
      <c r="F348" t="s">
        <v>725</v>
      </c>
      <c r="H348">
        <v>6</v>
      </c>
      <c r="I348">
        <v>20611616261</v>
      </c>
      <c r="J348" t="s">
        <v>2039</v>
      </c>
      <c r="K348" s="8">
        <v>45685</v>
      </c>
      <c r="Q348">
        <v>18618</v>
      </c>
      <c r="R348">
        <v>870</v>
      </c>
      <c r="S348" t="s">
        <v>1299</v>
      </c>
      <c r="T348" t="s">
        <v>215</v>
      </c>
      <c r="U348">
        <v>1</v>
      </c>
      <c r="V348">
        <v>177.63</v>
      </c>
      <c r="W348">
        <v>209.6</v>
      </c>
      <c r="X348">
        <v>0</v>
      </c>
      <c r="Y348">
        <v>177.63</v>
      </c>
      <c r="Z348">
        <v>18</v>
      </c>
      <c r="AA348">
        <v>31.97</v>
      </c>
      <c r="AB348">
        <v>209.6</v>
      </c>
      <c r="AC348">
        <v>1</v>
      </c>
      <c r="AD348">
        <v>1</v>
      </c>
      <c r="AE348" t="s">
        <v>232</v>
      </c>
      <c r="AF348" t="s">
        <v>29</v>
      </c>
      <c r="AG348">
        <v>2</v>
      </c>
      <c r="AH348" t="s">
        <v>25</v>
      </c>
      <c r="AI348">
        <v>1106</v>
      </c>
      <c r="AJ348" t="s">
        <v>239</v>
      </c>
      <c r="AK348" t="s">
        <v>1237</v>
      </c>
      <c r="AP348">
        <v>1133</v>
      </c>
      <c r="AQ348" t="s">
        <v>725</v>
      </c>
      <c r="AR348" t="s">
        <v>12</v>
      </c>
      <c r="AS348" t="str">
        <f>+CONCATENATE(A348,"-",B348)</f>
        <v>FB01-1313</v>
      </c>
    </row>
    <row r="349" spans="1:45" ht="15" customHeight="1">
      <c r="A349" t="s">
        <v>1238</v>
      </c>
      <c r="B349">
        <v>643</v>
      </c>
      <c r="C349" t="s">
        <v>27</v>
      </c>
      <c r="D349" s="8">
        <v>45663</v>
      </c>
      <c r="E349" s="22">
        <v>45964</v>
      </c>
      <c r="F349" t="s">
        <v>1146</v>
      </c>
      <c r="H349">
        <v>1</v>
      </c>
      <c r="I349" s="21" t="s">
        <v>1276</v>
      </c>
      <c r="J349" t="s">
        <v>2186</v>
      </c>
      <c r="K349" s="8">
        <v>45663</v>
      </c>
      <c r="Q349">
        <v>17197</v>
      </c>
      <c r="R349">
        <v>886</v>
      </c>
      <c r="S349" t="s">
        <v>1391</v>
      </c>
      <c r="T349" t="s">
        <v>215</v>
      </c>
      <c r="U349">
        <v>1</v>
      </c>
      <c r="V349">
        <v>182.75</v>
      </c>
      <c r="W349">
        <v>215.64</v>
      </c>
      <c r="X349">
        <v>0</v>
      </c>
      <c r="Y349">
        <v>182.75</v>
      </c>
      <c r="Z349">
        <v>18</v>
      </c>
      <c r="AA349">
        <v>32.89</v>
      </c>
      <c r="AB349">
        <v>215.64</v>
      </c>
      <c r="AC349">
        <v>1</v>
      </c>
      <c r="AD349">
        <v>1</v>
      </c>
      <c r="AE349" t="s">
        <v>232</v>
      </c>
      <c r="AF349" t="s">
        <v>29</v>
      </c>
      <c r="AG349">
        <v>2</v>
      </c>
      <c r="AH349" t="s">
        <v>25</v>
      </c>
      <c r="AI349">
        <v>1106</v>
      </c>
      <c r="AJ349" t="s">
        <v>239</v>
      </c>
      <c r="AK349" t="s">
        <v>1237</v>
      </c>
      <c r="AP349">
        <v>1155</v>
      </c>
      <c r="AQ349" s="28" t="s">
        <v>1277</v>
      </c>
      <c r="AR349" t="s">
        <v>1295</v>
      </c>
      <c r="AS349" t="str">
        <f>+CONCATENATE(A349,"-",B349)</f>
        <v>BB01-643</v>
      </c>
    </row>
    <row r="350" spans="1:45" ht="15" customHeight="1">
      <c r="A350" t="s">
        <v>216</v>
      </c>
      <c r="B350">
        <v>1198</v>
      </c>
      <c r="C350" t="s">
        <v>27</v>
      </c>
      <c r="D350" s="8">
        <v>45663</v>
      </c>
      <c r="E350" s="22">
        <v>45964</v>
      </c>
      <c r="F350" t="s">
        <v>1096</v>
      </c>
      <c r="H350">
        <v>6</v>
      </c>
      <c r="I350">
        <v>10082794838</v>
      </c>
      <c r="J350" t="s">
        <v>2188</v>
      </c>
      <c r="K350" s="8">
        <v>45663</v>
      </c>
      <c r="Q350">
        <v>17195</v>
      </c>
      <c r="R350">
        <v>216</v>
      </c>
      <c r="S350" t="s">
        <v>1300</v>
      </c>
      <c r="T350" t="s">
        <v>163</v>
      </c>
      <c r="U350">
        <v>1</v>
      </c>
      <c r="V350">
        <v>182.75</v>
      </c>
      <c r="W350">
        <v>215.64</v>
      </c>
      <c r="X350">
        <v>0</v>
      </c>
      <c r="Y350">
        <v>182.75</v>
      </c>
      <c r="Z350">
        <v>18</v>
      </c>
      <c r="AA350">
        <v>32.89</v>
      </c>
      <c r="AB350">
        <v>215.64</v>
      </c>
      <c r="AC350">
        <v>1</v>
      </c>
      <c r="AD350">
        <v>1</v>
      </c>
      <c r="AE350" t="s">
        <v>232</v>
      </c>
      <c r="AF350" t="s">
        <v>29</v>
      </c>
      <c r="AG350">
        <v>2</v>
      </c>
      <c r="AH350" t="s">
        <v>25</v>
      </c>
      <c r="AI350">
        <v>1106</v>
      </c>
      <c r="AJ350" t="s">
        <v>239</v>
      </c>
      <c r="AK350" t="s">
        <v>1237</v>
      </c>
      <c r="AP350">
        <v>1117</v>
      </c>
      <c r="AQ350" t="s">
        <v>1096</v>
      </c>
      <c r="AR350" t="s">
        <v>12</v>
      </c>
      <c r="AS350" t="str">
        <f>+CONCATENATE(A350,"-",B350)</f>
        <v>FB01-1198</v>
      </c>
    </row>
    <row r="351" spans="1:45" ht="15" customHeight="1">
      <c r="A351" t="s">
        <v>216</v>
      </c>
      <c r="B351">
        <v>1397</v>
      </c>
      <c r="C351" t="s">
        <v>27</v>
      </c>
      <c r="D351" s="8">
        <v>45693</v>
      </c>
      <c r="E351" s="22">
        <v>45964</v>
      </c>
      <c r="F351" t="s">
        <v>1324</v>
      </c>
      <c r="H351">
        <v>6</v>
      </c>
      <c r="I351">
        <v>20603210868</v>
      </c>
      <c r="J351" t="s">
        <v>1938</v>
      </c>
      <c r="K351" s="8">
        <v>45693</v>
      </c>
      <c r="Q351">
        <v>18738</v>
      </c>
      <c r="R351">
        <v>870</v>
      </c>
      <c r="S351" t="s">
        <v>1299</v>
      </c>
      <c r="T351" t="s">
        <v>215</v>
      </c>
      <c r="U351">
        <v>1</v>
      </c>
      <c r="V351">
        <v>183.02</v>
      </c>
      <c r="W351">
        <v>215.96</v>
      </c>
      <c r="X351">
        <v>0</v>
      </c>
      <c r="Y351">
        <v>183.02</v>
      </c>
      <c r="Z351">
        <v>18</v>
      </c>
      <c r="AA351">
        <v>32.94</v>
      </c>
      <c r="AB351">
        <v>215.96</v>
      </c>
      <c r="AC351">
        <v>1</v>
      </c>
      <c r="AD351">
        <v>1</v>
      </c>
      <c r="AE351" t="s">
        <v>232</v>
      </c>
      <c r="AF351" t="s">
        <v>29</v>
      </c>
      <c r="AG351">
        <v>2</v>
      </c>
      <c r="AH351" t="s">
        <v>25</v>
      </c>
      <c r="AI351">
        <v>1106</v>
      </c>
      <c r="AJ351" t="s">
        <v>239</v>
      </c>
      <c r="AK351" t="s">
        <v>1237</v>
      </c>
      <c r="AP351">
        <v>1146</v>
      </c>
      <c r="AQ351" t="s">
        <v>1324</v>
      </c>
      <c r="AR351" t="s">
        <v>12</v>
      </c>
      <c r="AS351" t="str">
        <f>+CONCATENATE(A351,"-",B351)</f>
        <v>FB01-1397</v>
      </c>
    </row>
    <row r="352" spans="1:45" ht="15" customHeight="1">
      <c r="A352" t="s">
        <v>216</v>
      </c>
      <c r="B352">
        <v>1306</v>
      </c>
      <c r="C352" t="s">
        <v>27</v>
      </c>
      <c r="D352" s="8">
        <v>45680</v>
      </c>
      <c r="E352" s="22">
        <v>45964</v>
      </c>
      <c r="F352" t="s">
        <v>1240</v>
      </c>
      <c r="G352" t="s">
        <v>158</v>
      </c>
      <c r="H352">
        <v>6</v>
      </c>
      <c r="I352">
        <v>20602855733</v>
      </c>
      <c r="J352" t="s">
        <v>2067</v>
      </c>
      <c r="K352" s="8">
        <v>45680</v>
      </c>
      <c r="Q352">
        <v>17828</v>
      </c>
      <c r="R352">
        <v>870</v>
      </c>
      <c r="S352" t="s">
        <v>1299</v>
      </c>
      <c r="T352" t="s">
        <v>215</v>
      </c>
      <c r="U352">
        <v>1</v>
      </c>
      <c r="V352">
        <v>187.63</v>
      </c>
      <c r="W352">
        <v>221.4</v>
      </c>
      <c r="X352">
        <v>0</v>
      </c>
      <c r="Y352">
        <v>187.63</v>
      </c>
      <c r="Z352">
        <v>18</v>
      </c>
      <c r="AA352">
        <v>33.770000000000003</v>
      </c>
      <c r="AB352">
        <v>221.4</v>
      </c>
      <c r="AC352">
        <v>1</v>
      </c>
      <c r="AD352">
        <v>1</v>
      </c>
      <c r="AE352" t="s">
        <v>232</v>
      </c>
      <c r="AF352" t="s">
        <v>29</v>
      </c>
      <c r="AG352">
        <v>2</v>
      </c>
      <c r="AH352" t="s">
        <v>25</v>
      </c>
      <c r="AI352">
        <v>1106</v>
      </c>
      <c r="AJ352" t="s">
        <v>239</v>
      </c>
      <c r="AK352" t="s">
        <v>1237</v>
      </c>
      <c r="AP352">
        <v>385</v>
      </c>
      <c r="AQ352" t="s">
        <v>1240</v>
      </c>
      <c r="AR352" t="s">
        <v>12</v>
      </c>
      <c r="AS352" t="str">
        <f>+CONCATENATE(A352,"-",B352)</f>
        <v>FB01-1306</v>
      </c>
    </row>
    <row r="353" spans="1:45" ht="15" customHeight="1">
      <c r="A353" t="s">
        <v>1216</v>
      </c>
      <c r="B353" s="21" t="s">
        <v>1452</v>
      </c>
      <c r="C353" t="s">
        <v>27</v>
      </c>
      <c r="D353" s="8">
        <v>45946</v>
      </c>
      <c r="E353" s="22">
        <v>45964.431643518517</v>
      </c>
      <c r="F353" t="s">
        <v>1773</v>
      </c>
      <c r="H353">
        <v>6</v>
      </c>
      <c r="I353">
        <v>10199884951</v>
      </c>
      <c r="J353" t="s">
        <v>1774</v>
      </c>
      <c r="K353" s="8">
        <v>45946</v>
      </c>
      <c r="Q353">
        <v>31455</v>
      </c>
      <c r="R353">
        <v>1786</v>
      </c>
      <c r="S353" t="s">
        <v>1299</v>
      </c>
      <c r="T353" t="s">
        <v>163</v>
      </c>
      <c r="U353">
        <v>1</v>
      </c>
      <c r="V353">
        <v>188.73</v>
      </c>
      <c r="W353">
        <v>222.7</v>
      </c>
      <c r="X353">
        <v>0</v>
      </c>
      <c r="Y353">
        <v>188.73</v>
      </c>
      <c r="Z353">
        <v>18</v>
      </c>
      <c r="AA353">
        <v>33.97</v>
      </c>
      <c r="AB353">
        <v>222.7</v>
      </c>
      <c r="AC353">
        <v>1</v>
      </c>
      <c r="AD353">
        <v>1</v>
      </c>
      <c r="AE353" t="s">
        <v>1411</v>
      </c>
      <c r="AF353" t="s">
        <v>1412</v>
      </c>
      <c r="AG353">
        <v>2</v>
      </c>
      <c r="AH353" t="s">
        <v>25</v>
      </c>
      <c r="AI353">
        <v>6937</v>
      </c>
      <c r="AJ353" t="s">
        <v>1414</v>
      </c>
      <c r="AK353" t="s">
        <v>1433</v>
      </c>
      <c r="AL353">
        <v>3150</v>
      </c>
      <c r="AM353" t="s">
        <v>1775</v>
      </c>
      <c r="AN353" s="8">
        <v>45941</v>
      </c>
      <c r="AO353" s="8">
        <v>45941</v>
      </c>
      <c r="AP353">
        <v>5129</v>
      </c>
      <c r="AQ353" t="s">
        <v>1773</v>
      </c>
      <c r="AR353" t="s">
        <v>12</v>
      </c>
      <c r="AS353" t="str">
        <f>+CONCATENATE(A353,"-",B353)</f>
        <v>(01) Factura FOF1-00000088</v>
      </c>
    </row>
    <row r="354" spans="1:45" ht="15" customHeight="1">
      <c r="A354" t="s">
        <v>216</v>
      </c>
      <c r="B354">
        <v>1414</v>
      </c>
      <c r="C354" t="s">
        <v>27</v>
      </c>
      <c r="D354" s="8">
        <v>45693</v>
      </c>
      <c r="E354" s="22">
        <v>45964</v>
      </c>
      <c r="F354" t="s">
        <v>401</v>
      </c>
      <c r="H354">
        <v>6</v>
      </c>
      <c r="I354">
        <v>20609978407</v>
      </c>
      <c r="J354" t="s">
        <v>1923</v>
      </c>
      <c r="K354" s="8">
        <v>45693</v>
      </c>
      <c r="Q354">
        <v>18761</v>
      </c>
      <c r="R354">
        <v>877</v>
      </c>
      <c r="S354" t="s">
        <v>1300</v>
      </c>
      <c r="T354" t="s">
        <v>215</v>
      </c>
      <c r="U354">
        <v>1</v>
      </c>
      <c r="V354">
        <v>190.17</v>
      </c>
      <c r="W354">
        <v>224.4</v>
      </c>
      <c r="X354">
        <v>0</v>
      </c>
      <c r="Y354">
        <v>190.17</v>
      </c>
      <c r="Z354">
        <v>18</v>
      </c>
      <c r="AA354">
        <v>34.229999999999997</v>
      </c>
      <c r="AB354">
        <v>224.4</v>
      </c>
      <c r="AC354">
        <v>1</v>
      </c>
      <c r="AD354">
        <v>1</v>
      </c>
      <c r="AE354" t="s">
        <v>232</v>
      </c>
      <c r="AF354" t="s">
        <v>29</v>
      </c>
      <c r="AG354">
        <v>2</v>
      </c>
      <c r="AH354" t="s">
        <v>25</v>
      </c>
      <c r="AI354">
        <v>1106</v>
      </c>
      <c r="AJ354" t="s">
        <v>239</v>
      </c>
      <c r="AK354" t="s">
        <v>1237</v>
      </c>
      <c r="AP354">
        <v>1148</v>
      </c>
      <c r="AQ354" t="s">
        <v>401</v>
      </c>
      <c r="AR354" t="s">
        <v>12</v>
      </c>
      <c r="AS354" t="str">
        <f>+CONCATENATE(A354,"-",B354)</f>
        <v>FB01-1414</v>
      </c>
    </row>
    <row r="355" spans="1:45" ht="15" customHeight="1">
      <c r="A355" t="s">
        <v>1216</v>
      </c>
      <c r="B355" s="21" t="s">
        <v>1560</v>
      </c>
      <c r="C355" t="s">
        <v>27</v>
      </c>
      <c r="D355" s="8">
        <v>45952</v>
      </c>
      <c r="E355" s="22">
        <v>45964.811898148146</v>
      </c>
      <c r="F355" t="s">
        <v>34</v>
      </c>
      <c r="H355">
        <v>6</v>
      </c>
      <c r="I355">
        <v>20611018925</v>
      </c>
      <c r="J355" t="s">
        <v>1561</v>
      </c>
      <c r="K355" s="8">
        <v>45952</v>
      </c>
      <c r="Q355">
        <v>32358</v>
      </c>
      <c r="R355">
        <v>1786</v>
      </c>
      <c r="S355" t="s">
        <v>1299</v>
      </c>
      <c r="T355" t="s">
        <v>163</v>
      </c>
      <c r="U355">
        <v>1</v>
      </c>
      <c r="V355">
        <v>193.03</v>
      </c>
      <c r="W355">
        <v>227.78</v>
      </c>
      <c r="X355">
        <v>0</v>
      </c>
      <c r="Y355">
        <v>193.03</v>
      </c>
      <c r="Z355">
        <v>18</v>
      </c>
      <c r="AA355">
        <v>34.75</v>
      </c>
      <c r="AB355">
        <v>227.78</v>
      </c>
      <c r="AC355">
        <v>1</v>
      </c>
      <c r="AD355">
        <v>1</v>
      </c>
      <c r="AE355" t="s">
        <v>1411</v>
      </c>
      <c r="AF355" t="s">
        <v>1412</v>
      </c>
      <c r="AG355">
        <v>2</v>
      </c>
      <c r="AH355" t="s">
        <v>25</v>
      </c>
      <c r="AI355">
        <v>6937</v>
      </c>
      <c r="AJ355" t="s">
        <v>1414</v>
      </c>
      <c r="AK355" t="s">
        <v>1251</v>
      </c>
      <c r="AL355">
        <v>3205</v>
      </c>
      <c r="AM355" t="s">
        <v>1559</v>
      </c>
      <c r="AN355" s="8">
        <v>45947</v>
      </c>
      <c r="AO355" s="8">
        <v>45947</v>
      </c>
      <c r="AP355">
        <v>1128</v>
      </c>
      <c r="AQ355" t="s">
        <v>34</v>
      </c>
      <c r="AR355" t="s">
        <v>12</v>
      </c>
      <c r="AS355" t="str">
        <f>+CONCATENATE(A355,"-",B355)</f>
        <v>(01) Factura FOF1-00000148</v>
      </c>
    </row>
    <row r="356" spans="1:45" ht="15" customHeight="1">
      <c r="A356" t="s">
        <v>1238</v>
      </c>
      <c r="B356">
        <v>748</v>
      </c>
      <c r="C356" t="s">
        <v>27</v>
      </c>
      <c r="D356" s="8">
        <v>45693</v>
      </c>
      <c r="E356" s="22">
        <v>45964</v>
      </c>
      <c r="F356" t="s">
        <v>526</v>
      </c>
      <c r="H356">
        <v>1</v>
      </c>
      <c r="I356">
        <v>19889371</v>
      </c>
      <c r="J356" t="s">
        <v>1918</v>
      </c>
      <c r="K356" s="8">
        <v>45693</v>
      </c>
      <c r="Q356">
        <v>18768</v>
      </c>
      <c r="R356">
        <v>937</v>
      </c>
      <c r="S356" t="s">
        <v>1313</v>
      </c>
      <c r="T356" t="s">
        <v>215</v>
      </c>
      <c r="U356">
        <v>1</v>
      </c>
      <c r="V356">
        <v>199.53</v>
      </c>
      <c r="W356">
        <v>235.45</v>
      </c>
      <c r="X356">
        <v>0</v>
      </c>
      <c r="Y356">
        <v>199.53</v>
      </c>
      <c r="Z356">
        <v>18</v>
      </c>
      <c r="AA356">
        <v>35.92</v>
      </c>
      <c r="AB356">
        <v>235.45</v>
      </c>
      <c r="AC356">
        <v>1</v>
      </c>
      <c r="AD356">
        <v>1</v>
      </c>
      <c r="AE356" t="s">
        <v>232</v>
      </c>
      <c r="AF356" t="s">
        <v>29</v>
      </c>
      <c r="AG356">
        <v>2</v>
      </c>
      <c r="AH356" t="s">
        <v>25</v>
      </c>
      <c r="AI356">
        <v>1106</v>
      </c>
      <c r="AJ356" t="s">
        <v>239</v>
      </c>
      <c r="AK356" t="s">
        <v>1237</v>
      </c>
      <c r="AP356">
        <v>1165</v>
      </c>
      <c r="AQ356" t="s">
        <v>526</v>
      </c>
      <c r="AR356" t="s">
        <v>1295</v>
      </c>
      <c r="AS356" t="str">
        <f>+CONCATENATE(A356,"-",B356)</f>
        <v>BB01-748</v>
      </c>
    </row>
    <row r="357" spans="1:45" ht="15" customHeight="1">
      <c r="A357" t="s">
        <v>1238</v>
      </c>
      <c r="B357">
        <v>745</v>
      </c>
      <c r="C357" t="s">
        <v>27</v>
      </c>
      <c r="D357" s="8">
        <v>45693</v>
      </c>
      <c r="E357" s="22">
        <v>45964</v>
      </c>
      <c r="F357" t="s">
        <v>533</v>
      </c>
      <c r="H357">
        <v>1</v>
      </c>
      <c r="I357">
        <v>76561182</v>
      </c>
      <c r="J357" t="s">
        <v>1921</v>
      </c>
      <c r="K357" s="8">
        <v>45693</v>
      </c>
      <c r="Q357">
        <v>18765</v>
      </c>
      <c r="R357">
        <v>935</v>
      </c>
      <c r="S357" t="s">
        <v>1315</v>
      </c>
      <c r="T357" t="s">
        <v>215</v>
      </c>
      <c r="U357">
        <v>1</v>
      </c>
      <c r="V357">
        <v>199.53</v>
      </c>
      <c r="W357">
        <v>235.45</v>
      </c>
      <c r="X357">
        <v>0</v>
      </c>
      <c r="Y357">
        <v>199.53</v>
      </c>
      <c r="Z357">
        <v>18</v>
      </c>
      <c r="AA357">
        <v>35.92</v>
      </c>
      <c r="AB357">
        <v>235.45</v>
      </c>
      <c r="AC357">
        <v>1</v>
      </c>
      <c r="AD357">
        <v>1</v>
      </c>
      <c r="AE357" t="s">
        <v>232</v>
      </c>
      <c r="AF357" t="s">
        <v>29</v>
      </c>
      <c r="AG357">
        <v>2</v>
      </c>
      <c r="AH357" t="s">
        <v>25</v>
      </c>
      <c r="AI357">
        <v>1106</v>
      </c>
      <c r="AJ357" t="s">
        <v>239</v>
      </c>
      <c r="AK357" t="s">
        <v>1237</v>
      </c>
      <c r="AP357">
        <v>1164</v>
      </c>
      <c r="AQ357" t="s">
        <v>533</v>
      </c>
      <c r="AR357" t="s">
        <v>1295</v>
      </c>
      <c r="AS357" t="str">
        <f>+CONCATENATE(A357,"-",B357)</f>
        <v>BB01-745</v>
      </c>
    </row>
    <row r="358" spans="1:45" ht="15" customHeight="1">
      <c r="A358" t="s">
        <v>1214</v>
      </c>
      <c r="B358" s="21" t="s">
        <v>1574</v>
      </c>
      <c r="C358" t="s">
        <v>27</v>
      </c>
      <c r="D358" s="8">
        <v>45960</v>
      </c>
      <c r="E358" s="22">
        <v>45964.600659722222</v>
      </c>
      <c r="F358" t="s">
        <v>2444</v>
      </c>
      <c r="H358">
        <v>1</v>
      </c>
      <c r="I358">
        <v>70332314</v>
      </c>
      <c r="J358" t="s">
        <v>2612</v>
      </c>
      <c r="K358" s="8">
        <v>45960</v>
      </c>
      <c r="Q358">
        <v>33132</v>
      </c>
      <c r="R358">
        <v>2318</v>
      </c>
      <c r="S358" t="s">
        <v>1306</v>
      </c>
      <c r="T358" t="s">
        <v>163</v>
      </c>
      <c r="U358">
        <v>1</v>
      </c>
      <c r="V358">
        <v>200</v>
      </c>
      <c r="W358">
        <v>236</v>
      </c>
      <c r="X358">
        <v>0</v>
      </c>
      <c r="Y358">
        <v>200</v>
      </c>
      <c r="Z358">
        <v>18</v>
      </c>
      <c r="AA358">
        <v>36</v>
      </c>
      <c r="AB358">
        <v>236</v>
      </c>
      <c r="AC358">
        <v>1</v>
      </c>
      <c r="AD358">
        <v>1</v>
      </c>
      <c r="AE358" t="s">
        <v>1411</v>
      </c>
      <c r="AF358" t="s">
        <v>1412</v>
      </c>
      <c r="AG358">
        <v>2</v>
      </c>
      <c r="AH358" t="s">
        <v>25</v>
      </c>
      <c r="AI358">
        <v>6959</v>
      </c>
      <c r="AJ358" t="s">
        <v>1401</v>
      </c>
      <c r="AK358" t="s">
        <v>169</v>
      </c>
      <c r="AL358">
        <v>3260</v>
      </c>
      <c r="AM358" t="s">
        <v>2445</v>
      </c>
      <c r="AN358" s="8">
        <v>45956</v>
      </c>
      <c r="AO358" s="8">
        <v>45956</v>
      </c>
      <c r="AP358">
        <v>6074</v>
      </c>
      <c r="AQ358" t="s">
        <v>2444</v>
      </c>
      <c r="AR358" t="s">
        <v>1295</v>
      </c>
      <c r="AS358" t="str">
        <f>+CONCATENATE(A358,"-",B358)</f>
        <v>(03) Boleta BOB1-00000144</v>
      </c>
    </row>
    <row r="359" spans="1:45" ht="15" customHeight="1">
      <c r="A359" t="s">
        <v>1214</v>
      </c>
      <c r="B359" s="21" t="s">
        <v>1583</v>
      </c>
      <c r="C359" t="s">
        <v>27</v>
      </c>
      <c r="D359" s="8">
        <v>45960</v>
      </c>
      <c r="E359" s="22">
        <v>45964.597268518519</v>
      </c>
      <c r="F359" t="s">
        <v>2444</v>
      </c>
      <c r="H359">
        <v>1</v>
      </c>
      <c r="I359">
        <v>70332314</v>
      </c>
      <c r="J359" t="s">
        <v>2617</v>
      </c>
      <c r="K359" s="8">
        <v>45960</v>
      </c>
      <c r="Q359">
        <v>33117</v>
      </c>
      <c r="R359">
        <v>2318</v>
      </c>
      <c r="S359" t="s">
        <v>1306</v>
      </c>
      <c r="T359" t="s">
        <v>163</v>
      </c>
      <c r="U359">
        <v>1</v>
      </c>
      <c r="V359">
        <v>200</v>
      </c>
      <c r="W359">
        <v>236</v>
      </c>
      <c r="X359">
        <v>0</v>
      </c>
      <c r="Y359">
        <v>200</v>
      </c>
      <c r="Z359">
        <v>18</v>
      </c>
      <c r="AA359">
        <v>36</v>
      </c>
      <c r="AB359">
        <v>236</v>
      </c>
      <c r="AC359">
        <v>1</v>
      </c>
      <c r="AD359">
        <v>1</v>
      </c>
      <c r="AE359" t="s">
        <v>1411</v>
      </c>
      <c r="AF359" t="s">
        <v>1412</v>
      </c>
      <c r="AG359">
        <v>2</v>
      </c>
      <c r="AH359" t="s">
        <v>25</v>
      </c>
      <c r="AI359">
        <v>6959</v>
      </c>
      <c r="AJ359" t="s">
        <v>1401</v>
      </c>
      <c r="AK359" t="s">
        <v>169</v>
      </c>
      <c r="AL359">
        <v>3173</v>
      </c>
      <c r="AM359" t="s">
        <v>2451</v>
      </c>
      <c r="AN359" s="8">
        <v>45956</v>
      </c>
      <c r="AO359" s="8">
        <v>45956</v>
      </c>
      <c r="AP359">
        <v>6074</v>
      </c>
      <c r="AQ359" t="s">
        <v>2444</v>
      </c>
      <c r="AR359" t="s">
        <v>1295</v>
      </c>
      <c r="AS359" t="str">
        <f>+CONCATENATE(A359,"-",B359)</f>
        <v>(03) Boleta BOB1-00000141</v>
      </c>
    </row>
    <row r="360" spans="1:45" ht="15" customHeight="1">
      <c r="A360" t="s">
        <v>1216</v>
      </c>
      <c r="B360" s="21" t="s">
        <v>2455</v>
      </c>
      <c r="C360" t="s">
        <v>27</v>
      </c>
      <c r="D360" s="8">
        <v>45960</v>
      </c>
      <c r="E360" s="22">
        <v>45964.594282407408</v>
      </c>
      <c r="F360" t="s">
        <v>1661</v>
      </c>
      <c r="H360">
        <v>6</v>
      </c>
      <c r="I360">
        <v>20609000415</v>
      </c>
      <c r="J360" t="s">
        <v>2622</v>
      </c>
      <c r="K360" s="8">
        <v>45960</v>
      </c>
      <c r="Q360">
        <v>33102</v>
      </c>
      <c r="R360">
        <v>2318</v>
      </c>
      <c r="S360" t="s">
        <v>1306</v>
      </c>
      <c r="T360" t="s">
        <v>163</v>
      </c>
      <c r="U360">
        <v>1</v>
      </c>
      <c r="V360">
        <v>200</v>
      </c>
      <c r="W360">
        <v>236</v>
      </c>
      <c r="X360">
        <v>0</v>
      </c>
      <c r="Y360">
        <v>200</v>
      </c>
      <c r="Z360">
        <v>18</v>
      </c>
      <c r="AA360">
        <v>36</v>
      </c>
      <c r="AB360">
        <v>236</v>
      </c>
      <c r="AC360">
        <v>1</v>
      </c>
      <c r="AD360">
        <v>1</v>
      </c>
      <c r="AE360" t="s">
        <v>1411</v>
      </c>
      <c r="AF360" t="s">
        <v>1412</v>
      </c>
      <c r="AG360">
        <v>2</v>
      </c>
      <c r="AH360" t="s">
        <v>25</v>
      </c>
      <c r="AI360">
        <v>6959</v>
      </c>
      <c r="AJ360" t="s">
        <v>1401</v>
      </c>
      <c r="AK360" t="s">
        <v>169</v>
      </c>
      <c r="AL360">
        <v>3177</v>
      </c>
      <c r="AM360" t="s">
        <v>1663</v>
      </c>
      <c r="AN360" s="8">
        <v>45934</v>
      </c>
      <c r="AO360" s="8">
        <v>45934</v>
      </c>
      <c r="AP360">
        <v>6104</v>
      </c>
      <c r="AQ360" t="s">
        <v>1661</v>
      </c>
      <c r="AR360" t="s">
        <v>12</v>
      </c>
      <c r="AS360" t="str">
        <f>+CONCATENATE(A360,"-",B360)</f>
        <v>(01) Factura FOF1-00000220</v>
      </c>
    </row>
    <row r="361" spans="1:45" ht="15" customHeight="1">
      <c r="A361" t="s">
        <v>1214</v>
      </c>
      <c r="B361" s="21" t="s">
        <v>1621</v>
      </c>
      <c r="C361" t="s">
        <v>27</v>
      </c>
      <c r="D361" s="8">
        <v>45959</v>
      </c>
      <c r="E361" s="22">
        <v>45964.716643518521</v>
      </c>
      <c r="F361" t="s">
        <v>742</v>
      </c>
      <c r="H361">
        <v>1</v>
      </c>
      <c r="I361">
        <v>74630652</v>
      </c>
      <c r="J361" t="s">
        <v>2637</v>
      </c>
      <c r="K361" s="8">
        <v>45959</v>
      </c>
      <c r="Q361">
        <v>33017</v>
      </c>
      <c r="R361">
        <v>2318</v>
      </c>
      <c r="S361" t="s">
        <v>1306</v>
      </c>
      <c r="T361" t="s">
        <v>163</v>
      </c>
      <c r="U361">
        <v>1</v>
      </c>
      <c r="V361">
        <v>200</v>
      </c>
      <c r="W361">
        <v>236</v>
      </c>
      <c r="X361">
        <v>0</v>
      </c>
      <c r="Y361">
        <v>200</v>
      </c>
      <c r="Z361">
        <v>18</v>
      </c>
      <c r="AA361">
        <v>36</v>
      </c>
      <c r="AB361">
        <v>236</v>
      </c>
      <c r="AC361">
        <v>1</v>
      </c>
      <c r="AD361">
        <v>1</v>
      </c>
      <c r="AE361" t="s">
        <v>1411</v>
      </c>
      <c r="AF361" t="s">
        <v>1412</v>
      </c>
      <c r="AG361">
        <v>2</v>
      </c>
      <c r="AH361" t="s">
        <v>25</v>
      </c>
      <c r="AI361">
        <v>6959</v>
      </c>
      <c r="AJ361" t="s">
        <v>1401</v>
      </c>
      <c r="AK361" t="s">
        <v>169</v>
      </c>
      <c r="AL361">
        <v>2856</v>
      </c>
      <c r="AM361" t="s">
        <v>1595</v>
      </c>
      <c r="AN361" s="8">
        <v>45948</v>
      </c>
      <c r="AO361" s="8">
        <v>45948</v>
      </c>
      <c r="AP361">
        <v>1168</v>
      </c>
      <c r="AQ361" t="s">
        <v>742</v>
      </c>
      <c r="AR361" t="s">
        <v>1295</v>
      </c>
      <c r="AS361" t="str">
        <f>+CONCATENATE(A361,"-",B361)</f>
        <v>(03) Boleta BOB1-00000129</v>
      </c>
    </row>
    <row r="362" spans="1:45" ht="15" customHeight="1">
      <c r="A362" t="s">
        <v>1216</v>
      </c>
      <c r="B362" s="21" t="s">
        <v>1609</v>
      </c>
      <c r="C362" t="s">
        <v>27</v>
      </c>
      <c r="D362" s="8">
        <v>45948</v>
      </c>
      <c r="E362" s="22">
        <v>45964.375</v>
      </c>
      <c r="F362" t="s">
        <v>415</v>
      </c>
      <c r="H362">
        <v>6</v>
      </c>
      <c r="I362">
        <v>20611890746</v>
      </c>
      <c r="J362" t="s">
        <v>1610</v>
      </c>
      <c r="K362" s="8">
        <v>45948</v>
      </c>
      <c r="Q362">
        <v>31727</v>
      </c>
      <c r="R362">
        <v>1924</v>
      </c>
      <c r="S362" t="s">
        <v>1405</v>
      </c>
      <c r="T362" t="s">
        <v>215</v>
      </c>
      <c r="U362">
        <v>500</v>
      </c>
      <c r="V362">
        <v>0.4</v>
      </c>
      <c r="W362">
        <v>0.47</v>
      </c>
      <c r="X362">
        <v>0</v>
      </c>
      <c r="Y362">
        <v>200</v>
      </c>
      <c r="Z362">
        <v>18</v>
      </c>
      <c r="AA362">
        <v>36</v>
      </c>
      <c r="AB362">
        <v>236</v>
      </c>
      <c r="AC362">
        <v>1</v>
      </c>
      <c r="AD362">
        <v>1</v>
      </c>
      <c r="AE362" t="s">
        <v>1411</v>
      </c>
      <c r="AF362" t="s">
        <v>1412</v>
      </c>
      <c r="AG362">
        <v>16</v>
      </c>
      <c r="AH362" t="s">
        <v>1400</v>
      </c>
      <c r="AI362">
        <v>1106</v>
      </c>
      <c r="AJ362" t="s">
        <v>239</v>
      </c>
      <c r="AK362" t="s">
        <v>1406</v>
      </c>
      <c r="AL362">
        <v>3250</v>
      </c>
      <c r="AM362" t="s">
        <v>1611</v>
      </c>
      <c r="AN362" s="8">
        <v>45940</v>
      </c>
      <c r="AO362" s="8">
        <v>45940</v>
      </c>
      <c r="AP362">
        <v>1136</v>
      </c>
      <c r="AQ362" t="s">
        <v>415</v>
      </c>
      <c r="AR362" t="s">
        <v>12</v>
      </c>
      <c r="AS362" t="str">
        <f>+CONCATENATE(A362,"-",B362)</f>
        <v>(01) Factura FOF1-00000132</v>
      </c>
    </row>
    <row r="363" spans="1:45" ht="15" customHeight="1">
      <c r="A363" t="s">
        <v>1214</v>
      </c>
      <c r="B363" s="21" t="s">
        <v>168</v>
      </c>
      <c r="C363" t="s">
        <v>27</v>
      </c>
      <c r="D363" s="8">
        <v>45946</v>
      </c>
      <c r="E363" s="22">
        <v>45964.804560185185</v>
      </c>
      <c r="F363" t="s">
        <v>373</v>
      </c>
      <c r="H363">
        <v>1</v>
      </c>
      <c r="I363" s="21" t="s">
        <v>1234</v>
      </c>
      <c r="J363" t="s">
        <v>1747</v>
      </c>
      <c r="K363" s="8">
        <v>45946</v>
      </c>
      <c r="Q363">
        <v>31506</v>
      </c>
      <c r="R363">
        <v>2322</v>
      </c>
      <c r="S363" t="s">
        <v>1748</v>
      </c>
      <c r="T363" t="s">
        <v>163</v>
      </c>
      <c r="U363">
        <v>1</v>
      </c>
      <c r="V363">
        <v>200</v>
      </c>
      <c r="W363">
        <v>236</v>
      </c>
      <c r="X363">
        <v>0</v>
      </c>
      <c r="Y363">
        <v>200</v>
      </c>
      <c r="Z363">
        <v>18</v>
      </c>
      <c r="AA363">
        <v>36</v>
      </c>
      <c r="AB363">
        <v>236</v>
      </c>
      <c r="AC363">
        <v>1</v>
      </c>
      <c r="AD363">
        <v>1</v>
      </c>
      <c r="AE363" t="s">
        <v>1411</v>
      </c>
      <c r="AF363" t="s">
        <v>1412</v>
      </c>
      <c r="AG363">
        <v>2</v>
      </c>
      <c r="AH363" t="s">
        <v>25</v>
      </c>
      <c r="AI363">
        <v>6959</v>
      </c>
      <c r="AJ363" t="s">
        <v>1401</v>
      </c>
      <c r="AK363" t="s">
        <v>1251</v>
      </c>
      <c r="AL363">
        <v>3230</v>
      </c>
      <c r="AM363" t="s">
        <v>1746</v>
      </c>
      <c r="AN363" s="8">
        <v>45942</v>
      </c>
      <c r="AO363" s="8">
        <v>45942</v>
      </c>
      <c r="AP363">
        <v>6249</v>
      </c>
      <c r="AQ363" t="s">
        <v>373</v>
      </c>
      <c r="AR363" t="s">
        <v>1295</v>
      </c>
      <c r="AS363" t="str">
        <f>+CONCATENATE(A363,"-",B363)</f>
        <v>(03) Boleta BOB1-00000046</v>
      </c>
    </row>
    <row r="364" spans="1:45" ht="15" customHeight="1">
      <c r="A364" t="s">
        <v>1216</v>
      </c>
      <c r="B364" s="21" t="s">
        <v>1639</v>
      </c>
      <c r="C364" t="s">
        <v>27</v>
      </c>
      <c r="D364" s="8">
        <v>45946</v>
      </c>
      <c r="E364" s="22">
        <v>45964.765104166669</v>
      </c>
      <c r="F364" t="s">
        <v>1630</v>
      </c>
      <c r="H364">
        <v>6</v>
      </c>
      <c r="I364">
        <v>20606672323</v>
      </c>
      <c r="J364" t="s">
        <v>1803</v>
      </c>
      <c r="K364" s="8">
        <v>45946</v>
      </c>
      <c r="Q364">
        <v>31382</v>
      </c>
      <c r="R364">
        <v>2318</v>
      </c>
      <c r="S364" t="s">
        <v>1306</v>
      </c>
      <c r="T364" t="s">
        <v>163</v>
      </c>
      <c r="U364">
        <v>1</v>
      </c>
      <c r="V364">
        <v>200</v>
      </c>
      <c r="W364">
        <v>236</v>
      </c>
      <c r="X364">
        <v>0</v>
      </c>
      <c r="Y364">
        <v>200</v>
      </c>
      <c r="Z364">
        <v>18</v>
      </c>
      <c r="AA364">
        <v>36</v>
      </c>
      <c r="AB364">
        <v>236</v>
      </c>
      <c r="AC364">
        <v>1</v>
      </c>
      <c r="AD364">
        <v>1</v>
      </c>
      <c r="AE364" t="s">
        <v>1411</v>
      </c>
      <c r="AF364" t="s">
        <v>1412</v>
      </c>
      <c r="AG364">
        <v>2</v>
      </c>
      <c r="AH364" t="s">
        <v>25</v>
      </c>
      <c r="AI364">
        <v>6959</v>
      </c>
      <c r="AJ364" t="s">
        <v>1401</v>
      </c>
      <c r="AK364" t="s">
        <v>169</v>
      </c>
      <c r="AL364">
        <v>3035</v>
      </c>
      <c r="AM364" t="s">
        <v>1632</v>
      </c>
      <c r="AN364" s="8">
        <v>45934</v>
      </c>
      <c r="AO364" s="8">
        <v>45934</v>
      </c>
      <c r="AP364">
        <v>5606</v>
      </c>
      <c r="AQ364" t="s">
        <v>1630</v>
      </c>
      <c r="AR364" t="s">
        <v>12</v>
      </c>
      <c r="AS364" t="str">
        <f>+CONCATENATE(A364,"-",B364)</f>
        <v>(01) Factura FOF1-00000070</v>
      </c>
    </row>
    <row r="365" spans="1:45" ht="15" customHeight="1">
      <c r="A365" t="s">
        <v>1216</v>
      </c>
      <c r="B365" s="21" t="s">
        <v>1649</v>
      </c>
      <c r="C365" t="s">
        <v>27</v>
      </c>
      <c r="D365" s="8">
        <v>45946</v>
      </c>
      <c r="E365" s="22">
        <v>45964.758518518516</v>
      </c>
      <c r="F365" t="s">
        <v>1630</v>
      </c>
      <c r="H365">
        <v>6</v>
      </c>
      <c r="I365">
        <v>20606672323</v>
      </c>
      <c r="J365" t="s">
        <v>1805</v>
      </c>
      <c r="K365" s="8">
        <v>45946</v>
      </c>
      <c r="Q365">
        <v>31370</v>
      </c>
      <c r="R365">
        <v>2322</v>
      </c>
      <c r="S365" t="s">
        <v>1748</v>
      </c>
      <c r="T365" t="s">
        <v>163</v>
      </c>
      <c r="U365">
        <v>1</v>
      </c>
      <c r="V365">
        <v>200</v>
      </c>
      <c r="W365">
        <v>236</v>
      </c>
      <c r="X365">
        <v>0</v>
      </c>
      <c r="Y365">
        <v>200</v>
      </c>
      <c r="Z365">
        <v>18</v>
      </c>
      <c r="AA365">
        <v>36</v>
      </c>
      <c r="AB365">
        <v>236</v>
      </c>
      <c r="AC365">
        <v>1</v>
      </c>
      <c r="AD365">
        <v>1</v>
      </c>
      <c r="AE365" t="s">
        <v>1411</v>
      </c>
      <c r="AF365" t="s">
        <v>1412</v>
      </c>
      <c r="AG365">
        <v>2</v>
      </c>
      <c r="AH365" t="s">
        <v>25</v>
      </c>
      <c r="AI365">
        <v>6959</v>
      </c>
      <c r="AJ365" t="s">
        <v>1401</v>
      </c>
      <c r="AK365" t="s">
        <v>1251</v>
      </c>
      <c r="AL365">
        <v>3035</v>
      </c>
      <c r="AM365" t="s">
        <v>1632</v>
      </c>
      <c r="AN365" s="8">
        <v>45934</v>
      </c>
      <c r="AO365" s="8">
        <v>45934</v>
      </c>
      <c r="AP365">
        <v>5606</v>
      </c>
      <c r="AQ365" t="s">
        <v>1630</v>
      </c>
      <c r="AR365" t="s">
        <v>12</v>
      </c>
      <c r="AS365" t="str">
        <f>+CONCATENATE(A365,"-",B365)</f>
        <v>(01) Factura FOF1-00000066</v>
      </c>
    </row>
    <row r="366" spans="1:45" ht="15" customHeight="1">
      <c r="A366" t="s">
        <v>1216</v>
      </c>
      <c r="B366" s="21" t="s">
        <v>1652</v>
      </c>
      <c r="C366" t="s">
        <v>27</v>
      </c>
      <c r="D366" s="8">
        <v>45946</v>
      </c>
      <c r="E366" s="22">
        <v>45964.754293981481</v>
      </c>
      <c r="F366" t="s">
        <v>1630</v>
      </c>
      <c r="H366">
        <v>6</v>
      </c>
      <c r="I366">
        <v>20606672323</v>
      </c>
      <c r="J366" t="s">
        <v>1806</v>
      </c>
      <c r="K366" s="8">
        <v>45946</v>
      </c>
      <c r="Q366">
        <v>31367</v>
      </c>
      <c r="R366">
        <v>2314</v>
      </c>
      <c r="S366" t="s">
        <v>1302</v>
      </c>
      <c r="T366" t="s">
        <v>163</v>
      </c>
      <c r="U366">
        <v>1</v>
      </c>
      <c r="V366">
        <v>200</v>
      </c>
      <c r="W366">
        <v>236</v>
      </c>
      <c r="X366">
        <v>0</v>
      </c>
      <c r="Y366">
        <v>200</v>
      </c>
      <c r="Z366">
        <v>18</v>
      </c>
      <c r="AA366">
        <v>36</v>
      </c>
      <c r="AB366">
        <v>236</v>
      </c>
      <c r="AC366">
        <v>1</v>
      </c>
      <c r="AD366">
        <v>1</v>
      </c>
      <c r="AE366" t="s">
        <v>1411</v>
      </c>
      <c r="AF366" t="s">
        <v>1412</v>
      </c>
      <c r="AG366">
        <v>2</v>
      </c>
      <c r="AH366" t="s">
        <v>25</v>
      </c>
      <c r="AI366">
        <v>6959</v>
      </c>
      <c r="AJ366" t="s">
        <v>1401</v>
      </c>
      <c r="AK366" t="s">
        <v>1251</v>
      </c>
      <c r="AL366">
        <v>3035</v>
      </c>
      <c r="AM366" t="s">
        <v>1632</v>
      </c>
      <c r="AN366" s="8">
        <v>45934</v>
      </c>
      <c r="AO366" s="8">
        <v>45934</v>
      </c>
      <c r="AP366">
        <v>5606</v>
      </c>
      <c r="AQ366" t="s">
        <v>1630</v>
      </c>
      <c r="AR366" t="s">
        <v>12</v>
      </c>
      <c r="AS366" t="str">
        <f>+CONCATENATE(A366,"-",B366)</f>
        <v>(01) Factura FOF1-00000065</v>
      </c>
    </row>
    <row r="367" spans="1:45" ht="15" customHeight="1">
      <c r="A367" t="s">
        <v>216</v>
      </c>
      <c r="B367">
        <v>1407</v>
      </c>
      <c r="C367" t="s">
        <v>27</v>
      </c>
      <c r="D367" s="8">
        <v>45693</v>
      </c>
      <c r="E367" s="22">
        <v>45964</v>
      </c>
      <c r="F367" t="s">
        <v>415</v>
      </c>
      <c r="H367">
        <v>6</v>
      </c>
      <c r="I367">
        <v>20611890746</v>
      </c>
      <c r="J367" t="s">
        <v>1929</v>
      </c>
      <c r="K367" s="8">
        <v>45693</v>
      </c>
      <c r="Q367">
        <v>18751</v>
      </c>
      <c r="R367">
        <v>975</v>
      </c>
      <c r="S367" t="s">
        <v>1317</v>
      </c>
      <c r="T367" t="s">
        <v>215</v>
      </c>
      <c r="U367">
        <v>1</v>
      </c>
      <c r="V367">
        <v>200</v>
      </c>
      <c r="W367">
        <v>236</v>
      </c>
      <c r="X367">
        <v>0</v>
      </c>
      <c r="Y367">
        <v>200</v>
      </c>
      <c r="Z367">
        <v>18</v>
      </c>
      <c r="AA367">
        <v>36</v>
      </c>
      <c r="AB367">
        <v>236</v>
      </c>
      <c r="AC367">
        <v>1</v>
      </c>
      <c r="AD367">
        <v>1</v>
      </c>
      <c r="AE367" t="s">
        <v>232</v>
      </c>
      <c r="AF367" t="s">
        <v>29</v>
      </c>
      <c r="AG367">
        <v>2</v>
      </c>
      <c r="AH367" t="s">
        <v>25</v>
      </c>
      <c r="AI367">
        <v>1106</v>
      </c>
      <c r="AJ367" t="s">
        <v>239</v>
      </c>
      <c r="AK367" t="s">
        <v>1249</v>
      </c>
      <c r="AP367">
        <v>1136</v>
      </c>
      <c r="AQ367" t="s">
        <v>415</v>
      </c>
      <c r="AR367" t="s">
        <v>12</v>
      </c>
      <c r="AS367" t="str">
        <f>+CONCATENATE(A367,"-",B367)</f>
        <v>FB01-1407</v>
      </c>
    </row>
    <row r="368" spans="1:45" ht="15" customHeight="1">
      <c r="A368" t="s">
        <v>216</v>
      </c>
      <c r="B368">
        <v>1231</v>
      </c>
      <c r="C368" t="s">
        <v>27</v>
      </c>
      <c r="D368" s="8">
        <v>45665</v>
      </c>
      <c r="E368" s="22">
        <v>45964</v>
      </c>
      <c r="F368" t="s">
        <v>1240</v>
      </c>
      <c r="G368" t="s">
        <v>158</v>
      </c>
      <c r="H368">
        <v>6</v>
      </c>
      <c r="I368">
        <v>20602855733</v>
      </c>
      <c r="J368" t="s">
        <v>2154</v>
      </c>
      <c r="K368" s="8">
        <v>45665</v>
      </c>
      <c r="Q368">
        <v>17234</v>
      </c>
      <c r="R368">
        <v>874</v>
      </c>
      <c r="S368" t="s">
        <v>1248</v>
      </c>
      <c r="T368" t="s">
        <v>215</v>
      </c>
      <c r="U368">
        <v>1</v>
      </c>
      <c r="V368">
        <v>202.5</v>
      </c>
      <c r="W368">
        <v>238.95</v>
      </c>
      <c r="X368">
        <v>0</v>
      </c>
      <c r="Y368">
        <v>202.5</v>
      </c>
      <c r="Z368">
        <v>18</v>
      </c>
      <c r="AA368">
        <v>36.450000000000003</v>
      </c>
      <c r="AB368">
        <v>238.95</v>
      </c>
      <c r="AC368">
        <v>1</v>
      </c>
      <c r="AD368">
        <v>1</v>
      </c>
      <c r="AE368" t="s">
        <v>232</v>
      </c>
      <c r="AF368" t="s">
        <v>29</v>
      </c>
      <c r="AG368">
        <v>2</v>
      </c>
      <c r="AH368" t="s">
        <v>25</v>
      </c>
      <c r="AI368">
        <v>1106</v>
      </c>
      <c r="AJ368" t="s">
        <v>239</v>
      </c>
      <c r="AK368" t="s">
        <v>1237</v>
      </c>
      <c r="AP368">
        <v>385</v>
      </c>
      <c r="AQ368" t="s">
        <v>1240</v>
      </c>
      <c r="AR368" t="s">
        <v>12</v>
      </c>
      <c r="AS368" t="str">
        <f>+CONCATENATE(A368,"-",B368)</f>
        <v>FB01-1231</v>
      </c>
    </row>
    <row r="369" spans="1:45" ht="15" customHeight="1">
      <c r="A369" t="s">
        <v>1214</v>
      </c>
      <c r="B369" s="21" t="s">
        <v>1493</v>
      </c>
      <c r="C369" t="s">
        <v>27</v>
      </c>
      <c r="D369" s="8">
        <v>45954</v>
      </c>
      <c r="E369" s="22">
        <v>45964.580381944441</v>
      </c>
      <c r="F369" t="s">
        <v>1489</v>
      </c>
      <c r="H369">
        <v>1</v>
      </c>
      <c r="I369">
        <v>76629449</v>
      </c>
      <c r="J369" t="s">
        <v>1494</v>
      </c>
      <c r="K369" s="8">
        <v>45954</v>
      </c>
      <c r="Q369">
        <v>32530</v>
      </c>
      <c r="R369">
        <v>1786</v>
      </c>
      <c r="S369" t="s">
        <v>1299</v>
      </c>
      <c r="T369" t="s">
        <v>163</v>
      </c>
      <c r="U369">
        <v>1</v>
      </c>
      <c r="V369">
        <v>203.35</v>
      </c>
      <c r="W369">
        <v>239.95</v>
      </c>
      <c r="X369">
        <v>0</v>
      </c>
      <c r="Y369">
        <v>203.35</v>
      </c>
      <c r="Z369">
        <v>18</v>
      </c>
      <c r="AA369">
        <v>36.6</v>
      </c>
      <c r="AB369">
        <v>239.95</v>
      </c>
      <c r="AC369">
        <v>1</v>
      </c>
      <c r="AD369">
        <v>1</v>
      </c>
      <c r="AE369" t="s">
        <v>1411</v>
      </c>
      <c r="AF369" t="s">
        <v>1412</v>
      </c>
      <c r="AG369">
        <v>2</v>
      </c>
      <c r="AH369" t="s">
        <v>25</v>
      </c>
      <c r="AI369">
        <v>6937</v>
      </c>
      <c r="AJ369" t="s">
        <v>1414</v>
      </c>
      <c r="AK369" t="s">
        <v>1251</v>
      </c>
      <c r="AL369">
        <v>2952</v>
      </c>
      <c r="AM369" t="s">
        <v>1491</v>
      </c>
      <c r="AN369" s="8">
        <v>45934</v>
      </c>
      <c r="AO369" s="8">
        <v>45934</v>
      </c>
      <c r="AP369">
        <v>6580</v>
      </c>
      <c r="AQ369" t="s">
        <v>1492</v>
      </c>
      <c r="AR369" t="s">
        <v>1295</v>
      </c>
      <c r="AS369" t="str">
        <f>+CONCATENATE(A369,"-",B369)</f>
        <v>(03) Boleta BOB1-00000086</v>
      </c>
    </row>
    <row r="370" spans="1:45" ht="15" customHeight="1">
      <c r="A370" t="s">
        <v>1214</v>
      </c>
      <c r="B370" s="21" t="s">
        <v>1566</v>
      </c>
      <c r="C370" t="s">
        <v>27</v>
      </c>
      <c r="D370" s="8">
        <v>45952</v>
      </c>
      <c r="E370" s="22">
        <v>45964.804189814815</v>
      </c>
      <c r="F370" t="s">
        <v>1492</v>
      </c>
      <c r="H370">
        <v>1</v>
      </c>
      <c r="I370">
        <v>46840541</v>
      </c>
      <c r="J370" t="s">
        <v>1567</v>
      </c>
      <c r="K370" s="8">
        <v>45952</v>
      </c>
      <c r="Q370">
        <v>32349</v>
      </c>
      <c r="R370">
        <v>1786</v>
      </c>
      <c r="S370" t="s">
        <v>1299</v>
      </c>
      <c r="T370" t="s">
        <v>163</v>
      </c>
      <c r="U370">
        <v>1</v>
      </c>
      <c r="V370">
        <v>203.35</v>
      </c>
      <c r="W370">
        <v>239.95</v>
      </c>
      <c r="X370">
        <v>0</v>
      </c>
      <c r="Y370">
        <v>203.35</v>
      </c>
      <c r="Z370">
        <v>18</v>
      </c>
      <c r="AA370">
        <v>36.6</v>
      </c>
      <c r="AB370">
        <v>239.95</v>
      </c>
      <c r="AC370">
        <v>1</v>
      </c>
      <c r="AD370">
        <v>1</v>
      </c>
      <c r="AE370" t="s">
        <v>1411</v>
      </c>
      <c r="AF370" t="s">
        <v>1412</v>
      </c>
      <c r="AG370">
        <v>2</v>
      </c>
      <c r="AH370" t="s">
        <v>25</v>
      </c>
      <c r="AI370">
        <v>6937</v>
      </c>
      <c r="AJ370" t="s">
        <v>1414</v>
      </c>
      <c r="AK370" t="s">
        <v>1251</v>
      </c>
      <c r="AL370">
        <v>2952</v>
      </c>
      <c r="AM370" t="s">
        <v>1491</v>
      </c>
      <c r="AN370" s="8">
        <v>45934</v>
      </c>
      <c r="AO370" s="8">
        <v>45934</v>
      </c>
      <c r="AP370">
        <v>6580</v>
      </c>
      <c r="AQ370" t="s">
        <v>1492</v>
      </c>
      <c r="AR370" t="s">
        <v>1295</v>
      </c>
      <c r="AS370" t="str">
        <f>+CONCATENATE(A370,"-",B370)</f>
        <v>(03) Boleta BOB1-00000075</v>
      </c>
    </row>
    <row r="371" spans="1:45" ht="15" customHeight="1">
      <c r="A371" t="s">
        <v>1216</v>
      </c>
      <c r="B371" s="21" t="s">
        <v>1708</v>
      </c>
      <c r="C371" t="s">
        <v>27</v>
      </c>
      <c r="D371" s="8">
        <v>45946</v>
      </c>
      <c r="E371" s="22">
        <v>45964.706736111111</v>
      </c>
      <c r="F371" t="s">
        <v>1668</v>
      </c>
      <c r="H371">
        <v>6</v>
      </c>
      <c r="I371">
        <v>10749980163</v>
      </c>
      <c r="J371" t="s">
        <v>1828</v>
      </c>
      <c r="K371" s="8">
        <v>45946</v>
      </c>
      <c r="Q371">
        <v>31307</v>
      </c>
      <c r="R371">
        <v>1786</v>
      </c>
      <c r="S371" t="s">
        <v>1299</v>
      </c>
      <c r="T371" t="s">
        <v>163</v>
      </c>
      <c r="U371">
        <v>1</v>
      </c>
      <c r="V371">
        <v>206.95</v>
      </c>
      <c r="W371">
        <v>244.2</v>
      </c>
      <c r="X371">
        <v>0</v>
      </c>
      <c r="Y371">
        <v>206.95</v>
      </c>
      <c r="Z371">
        <v>18</v>
      </c>
      <c r="AA371">
        <v>37.25</v>
      </c>
      <c r="AB371">
        <v>244.2</v>
      </c>
      <c r="AC371">
        <v>1</v>
      </c>
      <c r="AD371">
        <v>1</v>
      </c>
      <c r="AE371" t="s">
        <v>1411</v>
      </c>
      <c r="AF371" t="s">
        <v>1412</v>
      </c>
      <c r="AG371">
        <v>2</v>
      </c>
      <c r="AH371" t="s">
        <v>25</v>
      </c>
      <c r="AI371">
        <v>6937</v>
      </c>
      <c r="AJ371" t="s">
        <v>1414</v>
      </c>
      <c r="AK371" t="s">
        <v>1251</v>
      </c>
      <c r="AL371">
        <v>3162</v>
      </c>
      <c r="AM371" t="s">
        <v>1829</v>
      </c>
      <c r="AN371" s="8">
        <v>45934</v>
      </c>
      <c r="AO371" s="8">
        <v>45934</v>
      </c>
      <c r="AP371">
        <v>5445</v>
      </c>
      <c r="AQ371" t="s">
        <v>1668</v>
      </c>
      <c r="AR371" t="s">
        <v>12</v>
      </c>
      <c r="AS371" t="str">
        <f>+CONCATENATE(A371,"-",B371)</f>
        <v>(01) Factura FOF1-00000051</v>
      </c>
    </row>
    <row r="372" spans="1:45" ht="15" customHeight="1">
      <c r="A372" t="s">
        <v>1214</v>
      </c>
      <c r="B372" s="21" t="s">
        <v>1440</v>
      </c>
      <c r="C372" t="s">
        <v>27</v>
      </c>
      <c r="D372" s="8">
        <v>45954</v>
      </c>
      <c r="E372" s="22">
        <v>45964.621817129628</v>
      </c>
      <c r="F372" t="s">
        <v>526</v>
      </c>
      <c r="H372">
        <v>1</v>
      </c>
      <c r="I372">
        <v>19889371</v>
      </c>
      <c r="J372" t="s">
        <v>1441</v>
      </c>
      <c r="K372" s="8">
        <v>45954</v>
      </c>
      <c r="Q372">
        <v>32608</v>
      </c>
      <c r="R372">
        <v>2315</v>
      </c>
      <c r="S372" t="s">
        <v>1304</v>
      </c>
      <c r="T372" t="s">
        <v>163</v>
      </c>
      <c r="U372">
        <v>1</v>
      </c>
      <c r="V372">
        <v>207.63</v>
      </c>
      <c r="W372">
        <v>245</v>
      </c>
      <c r="X372">
        <v>0</v>
      </c>
      <c r="Y372">
        <v>207.63</v>
      </c>
      <c r="Z372">
        <v>18</v>
      </c>
      <c r="AA372">
        <v>37.369999999999997</v>
      </c>
      <c r="AB372">
        <v>245</v>
      </c>
      <c r="AC372">
        <v>1</v>
      </c>
      <c r="AD372">
        <v>1</v>
      </c>
      <c r="AE372" t="s">
        <v>1411</v>
      </c>
      <c r="AF372" t="s">
        <v>1412</v>
      </c>
      <c r="AG372">
        <v>2</v>
      </c>
      <c r="AH372" t="s">
        <v>25</v>
      </c>
      <c r="AI372">
        <v>6959</v>
      </c>
      <c r="AJ372" t="s">
        <v>1401</v>
      </c>
      <c r="AK372" t="s">
        <v>1243</v>
      </c>
      <c r="AL372">
        <v>3023</v>
      </c>
      <c r="AM372" t="s">
        <v>1434</v>
      </c>
      <c r="AN372" s="8">
        <v>45941</v>
      </c>
      <c r="AO372" s="8">
        <v>45941</v>
      </c>
      <c r="AP372">
        <v>418</v>
      </c>
      <c r="AQ372" t="s">
        <v>1318</v>
      </c>
      <c r="AR372" t="s">
        <v>1295</v>
      </c>
      <c r="AS372" t="str">
        <f>+CONCATENATE(A372,"-",B372)</f>
        <v>(03) Boleta BOB1-00000095</v>
      </c>
    </row>
    <row r="373" spans="1:45" ht="15" customHeight="1">
      <c r="A373" t="s">
        <v>1214</v>
      </c>
      <c r="B373" s="21" t="s">
        <v>1448</v>
      </c>
      <c r="C373" t="s">
        <v>27</v>
      </c>
      <c r="D373" s="8">
        <v>45954</v>
      </c>
      <c r="E373" s="22">
        <v>45964.620416666665</v>
      </c>
      <c r="F373" t="s">
        <v>519</v>
      </c>
      <c r="H373">
        <v>1</v>
      </c>
      <c r="I373">
        <v>19941551</v>
      </c>
      <c r="J373" t="s">
        <v>1449</v>
      </c>
      <c r="K373" s="8">
        <v>45954</v>
      </c>
      <c r="Q373">
        <v>32596</v>
      </c>
      <c r="R373">
        <v>2315</v>
      </c>
      <c r="S373" t="s">
        <v>1304</v>
      </c>
      <c r="T373" t="s">
        <v>163</v>
      </c>
      <c r="U373">
        <v>1</v>
      </c>
      <c r="V373">
        <v>207.63</v>
      </c>
      <c r="W373">
        <v>245</v>
      </c>
      <c r="X373">
        <v>0</v>
      </c>
      <c r="Y373">
        <v>207.63</v>
      </c>
      <c r="Z373">
        <v>18</v>
      </c>
      <c r="AA373">
        <v>37.369999999999997</v>
      </c>
      <c r="AB373">
        <v>245</v>
      </c>
      <c r="AC373">
        <v>1</v>
      </c>
      <c r="AD373">
        <v>1</v>
      </c>
      <c r="AE373" t="s">
        <v>1411</v>
      </c>
      <c r="AF373" t="s">
        <v>1412</v>
      </c>
      <c r="AG373">
        <v>2</v>
      </c>
      <c r="AH373" t="s">
        <v>25</v>
      </c>
      <c r="AI373">
        <v>6959</v>
      </c>
      <c r="AJ373" t="s">
        <v>1401</v>
      </c>
      <c r="AK373" t="s">
        <v>1243</v>
      </c>
      <c r="AL373">
        <v>3023</v>
      </c>
      <c r="AM373" t="s">
        <v>1434</v>
      </c>
      <c r="AN373" s="8">
        <v>45941</v>
      </c>
      <c r="AO373" s="8">
        <v>45941</v>
      </c>
      <c r="AP373">
        <v>418</v>
      </c>
      <c r="AQ373" t="s">
        <v>1318</v>
      </c>
      <c r="AR373" t="s">
        <v>1295</v>
      </c>
      <c r="AS373" t="str">
        <f>+CONCATENATE(A373,"-",B373)</f>
        <v>(03) Boleta BOB1-00000091</v>
      </c>
    </row>
    <row r="374" spans="1:45" ht="15" customHeight="1">
      <c r="A374" t="s">
        <v>216</v>
      </c>
      <c r="B374">
        <v>1213</v>
      </c>
      <c r="C374" t="s">
        <v>27</v>
      </c>
      <c r="D374" s="8">
        <v>45663</v>
      </c>
      <c r="E374" s="22">
        <v>45964</v>
      </c>
      <c r="F374" t="s">
        <v>921</v>
      </c>
      <c r="H374">
        <v>6</v>
      </c>
      <c r="I374">
        <v>20609670518</v>
      </c>
      <c r="J374" t="s">
        <v>2169</v>
      </c>
      <c r="K374" s="8">
        <v>45663</v>
      </c>
      <c r="Q374">
        <v>17216</v>
      </c>
      <c r="R374">
        <v>878</v>
      </c>
      <c r="S374" t="s">
        <v>1334</v>
      </c>
      <c r="T374" t="s">
        <v>215</v>
      </c>
      <c r="U374">
        <v>1</v>
      </c>
      <c r="V374">
        <v>208.23</v>
      </c>
      <c r="W374">
        <v>245.71</v>
      </c>
      <c r="X374">
        <v>0</v>
      </c>
      <c r="Y374">
        <v>208.23</v>
      </c>
      <c r="Z374">
        <v>18</v>
      </c>
      <c r="AA374">
        <v>37.479999999999997</v>
      </c>
      <c r="AB374">
        <v>245.71</v>
      </c>
      <c r="AC374">
        <v>1</v>
      </c>
      <c r="AD374">
        <v>1</v>
      </c>
      <c r="AE374" t="s">
        <v>232</v>
      </c>
      <c r="AF374" t="s">
        <v>29</v>
      </c>
      <c r="AG374">
        <v>2</v>
      </c>
      <c r="AH374" t="s">
        <v>25</v>
      </c>
      <c r="AI374">
        <v>1106</v>
      </c>
      <c r="AJ374" t="s">
        <v>239</v>
      </c>
      <c r="AK374" t="s">
        <v>1237</v>
      </c>
      <c r="AP374">
        <v>1123</v>
      </c>
      <c r="AQ374" t="s">
        <v>921</v>
      </c>
      <c r="AR374" t="s">
        <v>12</v>
      </c>
      <c r="AS374" t="str">
        <f>+CONCATENATE(A374,"-",B374)</f>
        <v>FB01-1213</v>
      </c>
    </row>
    <row r="375" spans="1:45" ht="15" customHeight="1">
      <c r="A375" t="s">
        <v>214</v>
      </c>
      <c r="B375">
        <v>211</v>
      </c>
      <c r="C375" t="s">
        <v>27</v>
      </c>
      <c r="D375" s="8">
        <v>45673</v>
      </c>
      <c r="E375" s="22">
        <v>45964</v>
      </c>
      <c r="F375" t="s">
        <v>34</v>
      </c>
      <c r="H375">
        <v>6</v>
      </c>
      <c r="I375">
        <v>20611018925</v>
      </c>
      <c r="J375" t="s">
        <v>2114</v>
      </c>
      <c r="K375" s="8">
        <v>45673</v>
      </c>
      <c r="Q375">
        <v>17775</v>
      </c>
      <c r="R375">
        <v>914</v>
      </c>
      <c r="S375" t="s">
        <v>1366</v>
      </c>
      <c r="T375" t="s">
        <v>215</v>
      </c>
      <c r="U375">
        <v>1</v>
      </c>
      <c r="V375">
        <v>209.66</v>
      </c>
      <c r="W375">
        <v>247.4</v>
      </c>
      <c r="X375">
        <v>0</v>
      </c>
      <c r="Y375">
        <v>209.66</v>
      </c>
      <c r="Z375">
        <v>18</v>
      </c>
      <c r="AA375">
        <v>37.74</v>
      </c>
      <c r="AB375">
        <v>247.4</v>
      </c>
      <c r="AC375">
        <v>1</v>
      </c>
      <c r="AD375">
        <v>1</v>
      </c>
      <c r="AE375" t="s">
        <v>232</v>
      </c>
      <c r="AF375" t="s">
        <v>29</v>
      </c>
      <c r="AG375">
        <v>2</v>
      </c>
      <c r="AH375" t="s">
        <v>25</v>
      </c>
      <c r="AI375">
        <v>1106</v>
      </c>
      <c r="AJ375" t="s">
        <v>239</v>
      </c>
      <c r="AK375" t="s">
        <v>1236</v>
      </c>
      <c r="AP375">
        <v>1128</v>
      </c>
      <c r="AQ375" t="s">
        <v>34</v>
      </c>
      <c r="AR375" t="s">
        <v>12</v>
      </c>
      <c r="AS375" t="str">
        <f>+CONCATENATE(A375,"-",B375)</f>
        <v>FFF1-211</v>
      </c>
    </row>
    <row r="376" spans="1:45" ht="15" customHeight="1">
      <c r="A376" t="s">
        <v>1216</v>
      </c>
      <c r="B376" s="21" t="s">
        <v>1660</v>
      </c>
      <c r="C376" t="s">
        <v>27</v>
      </c>
      <c r="D376" s="8">
        <v>45947</v>
      </c>
      <c r="E376" s="22">
        <v>45964.402939814812</v>
      </c>
      <c r="F376" t="s">
        <v>1661</v>
      </c>
      <c r="H376">
        <v>6</v>
      </c>
      <c r="I376">
        <v>20609000415</v>
      </c>
      <c r="J376" t="s">
        <v>1662</v>
      </c>
      <c r="K376" s="8">
        <v>45947</v>
      </c>
      <c r="Q376">
        <v>31629</v>
      </c>
      <c r="R376">
        <v>2264</v>
      </c>
      <c r="S376" t="s">
        <v>1526</v>
      </c>
      <c r="T376" t="s">
        <v>215</v>
      </c>
      <c r="U376">
        <v>700</v>
      </c>
      <c r="V376">
        <v>0.3</v>
      </c>
      <c r="W376">
        <v>0.35</v>
      </c>
      <c r="X376">
        <v>0</v>
      </c>
      <c r="Y376">
        <v>210</v>
      </c>
      <c r="Z376">
        <v>18</v>
      </c>
      <c r="AA376">
        <v>37.799999999999997</v>
      </c>
      <c r="AB376">
        <v>247.8</v>
      </c>
      <c r="AC376">
        <v>1</v>
      </c>
      <c r="AD376">
        <v>1</v>
      </c>
      <c r="AE376" t="s">
        <v>1411</v>
      </c>
      <c r="AF376" t="s">
        <v>1412</v>
      </c>
      <c r="AG376">
        <v>16</v>
      </c>
      <c r="AH376" t="s">
        <v>1400</v>
      </c>
      <c r="AI376">
        <v>1106</v>
      </c>
      <c r="AJ376" t="s">
        <v>239</v>
      </c>
      <c r="AK376" t="s">
        <v>169</v>
      </c>
      <c r="AL376">
        <v>3177</v>
      </c>
      <c r="AM376" t="s">
        <v>1663</v>
      </c>
      <c r="AN376" s="8">
        <v>45934</v>
      </c>
      <c r="AO376" s="8">
        <v>45934</v>
      </c>
      <c r="AP376">
        <v>6104</v>
      </c>
      <c r="AQ376" t="s">
        <v>1661</v>
      </c>
      <c r="AR376" t="s">
        <v>12</v>
      </c>
      <c r="AS376" t="str">
        <f>+CONCATENATE(A376,"-",B376)</f>
        <v>(01) Factura FOF1-00000125</v>
      </c>
    </row>
    <row r="377" spans="1:45" ht="15" customHeight="1">
      <c r="A377" t="s">
        <v>216</v>
      </c>
      <c r="B377">
        <v>1258</v>
      </c>
      <c r="C377" t="s">
        <v>27</v>
      </c>
      <c r="D377" s="8">
        <v>45665</v>
      </c>
      <c r="E377" s="22">
        <v>45964</v>
      </c>
      <c r="F377" t="s">
        <v>32</v>
      </c>
      <c r="G377" t="s">
        <v>158</v>
      </c>
      <c r="H377">
        <v>6</v>
      </c>
      <c r="I377">
        <v>20608361074</v>
      </c>
      <c r="J377" t="s">
        <v>2125</v>
      </c>
      <c r="K377" s="8">
        <v>45665</v>
      </c>
      <c r="Q377">
        <v>17763</v>
      </c>
      <c r="R377">
        <v>909</v>
      </c>
      <c r="S377" t="s">
        <v>1271</v>
      </c>
      <c r="T377" t="s">
        <v>215</v>
      </c>
      <c r="U377">
        <v>1</v>
      </c>
      <c r="V377">
        <v>210</v>
      </c>
      <c r="W377">
        <v>247.8</v>
      </c>
      <c r="X377">
        <v>0</v>
      </c>
      <c r="Y377">
        <v>210</v>
      </c>
      <c r="Z377">
        <v>18</v>
      </c>
      <c r="AA377">
        <v>37.799999999999997</v>
      </c>
      <c r="AB377">
        <v>247.8</v>
      </c>
      <c r="AC377">
        <v>1</v>
      </c>
      <c r="AD377">
        <v>1</v>
      </c>
      <c r="AE377" t="s">
        <v>232</v>
      </c>
      <c r="AF377" t="s">
        <v>29</v>
      </c>
      <c r="AG377">
        <v>2</v>
      </c>
      <c r="AH377" t="s">
        <v>25</v>
      </c>
      <c r="AI377">
        <v>1106</v>
      </c>
      <c r="AJ377" t="s">
        <v>239</v>
      </c>
      <c r="AK377" t="s">
        <v>1251</v>
      </c>
      <c r="AP377">
        <v>397</v>
      </c>
      <c r="AQ377" t="s">
        <v>32</v>
      </c>
      <c r="AR377" t="s">
        <v>12</v>
      </c>
      <c r="AS377" t="str">
        <f>+CONCATENATE(A377,"-",B377)</f>
        <v>FB01-1258</v>
      </c>
    </row>
    <row r="378" spans="1:45" ht="15" customHeight="1">
      <c r="A378" t="s">
        <v>1216</v>
      </c>
      <c r="B378" s="21" t="s">
        <v>1461</v>
      </c>
      <c r="C378" t="s">
        <v>27</v>
      </c>
      <c r="D378" s="8">
        <v>45954</v>
      </c>
      <c r="E378" s="22">
        <v>45964.603356481479</v>
      </c>
      <c r="F378" t="s">
        <v>1454</v>
      </c>
      <c r="H378">
        <v>6</v>
      </c>
      <c r="I378">
        <v>20608574663</v>
      </c>
      <c r="J378" t="s">
        <v>1462</v>
      </c>
      <c r="K378" s="8">
        <v>45954</v>
      </c>
      <c r="Q378">
        <v>32575</v>
      </c>
      <c r="R378">
        <v>2315</v>
      </c>
      <c r="S378" t="s">
        <v>1304</v>
      </c>
      <c r="T378" t="s">
        <v>163</v>
      </c>
      <c r="U378">
        <v>1</v>
      </c>
      <c r="V378">
        <v>211.86</v>
      </c>
      <c r="W378">
        <v>249.99</v>
      </c>
      <c r="X378">
        <v>0</v>
      </c>
      <c r="Y378">
        <v>211.86</v>
      </c>
      <c r="Z378">
        <v>18</v>
      </c>
      <c r="AA378">
        <v>38.130000000000003</v>
      </c>
      <c r="AB378">
        <v>249.99</v>
      </c>
      <c r="AC378">
        <v>1</v>
      </c>
      <c r="AD378">
        <v>1</v>
      </c>
      <c r="AE378" t="s">
        <v>1411</v>
      </c>
      <c r="AF378" t="s">
        <v>1412</v>
      </c>
      <c r="AG378">
        <v>2</v>
      </c>
      <c r="AH378" t="s">
        <v>25</v>
      </c>
      <c r="AI378">
        <v>6959</v>
      </c>
      <c r="AJ378" t="s">
        <v>1401</v>
      </c>
      <c r="AK378" t="s">
        <v>1243</v>
      </c>
      <c r="AL378">
        <v>3079</v>
      </c>
      <c r="AM378" t="s">
        <v>1456</v>
      </c>
      <c r="AN378" s="8">
        <v>45921</v>
      </c>
      <c r="AO378" s="8">
        <v>45921</v>
      </c>
      <c r="AP378">
        <v>5597</v>
      </c>
      <c r="AQ378" t="s">
        <v>1457</v>
      </c>
      <c r="AR378" t="s">
        <v>12</v>
      </c>
      <c r="AS378" t="str">
        <f>+CONCATENATE(A378,"-",B378)</f>
        <v>(01) Factura FOF1-00000179</v>
      </c>
    </row>
    <row r="379" spans="1:45" ht="15" customHeight="1">
      <c r="A379" t="s">
        <v>216</v>
      </c>
      <c r="B379">
        <v>1361</v>
      </c>
      <c r="C379" t="s">
        <v>27</v>
      </c>
      <c r="D379" s="8">
        <v>45688</v>
      </c>
      <c r="E379" s="22">
        <v>45964</v>
      </c>
      <c r="F379" t="s">
        <v>591</v>
      </c>
      <c r="H379">
        <v>6</v>
      </c>
      <c r="I379">
        <v>10703039346</v>
      </c>
      <c r="J379" t="s">
        <v>1980</v>
      </c>
      <c r="K379" s="8">
        <v>45688</v>
      </c>
      <c r="Q379">
        <v>18685</v>
      </c>
      <c r="R379">
        <v>877</v>
      </c>
      <c r="S379" t="s">
        <v>1300</v>
      </c>
      <c r="T379" t="s">
        <v>215</v>
      </c>
      <c r="U379">
        <v>1</v>
      </c>
      <c r="V379">
        <v>212.8</v>
      </c>
      <c r="W379">
        <v>251.1</v>
      </c>
      <c r="X379">
        <v>0</v>
      </c>
      <c r="Y379">
        <v>212.8</v>
      </c>
      <c r="Z379">
        <v>18</v>
      </c>
      <c r="AA379">
        <v>38.299999999999997</v>
      </c>
      <c r="AB379">
        <v>251.1</v>
      </c>
      <c r="AC379">
        <v>1</v>
      </c>
      <c r="AD379">
        <v>1</v>
      </c>
      <c r="AE379" t="s">
        <v>232</v>
      </c>
      <c r="AF379" t="s">
        <v>29</v>
      </c>
      <c r="AG379">
        <v>2</v>
      </c>
      <c r="AH379" t="s">
        <v>25</v>
      </c>
      <c r="AI379">
        <v>1106</v>
      </c>
      <c r="AJ379" t="s">
        <v>239</v>
      </c>
      <c r="AK379" t="s">
        <v>1237</v>
      </c>
      <c r="AP379">
        <v>1139</v>
      </c>
      <c r="AQ379" t="s">
        <v>591</v>
      </c>
      <c r="AR379" t="s">
        <v>12</v>
      </c>
      <c r="AS379" t="str">
        <f>+CONCATENATE(A379,"-",B379)</f>
        <v>FB01-1361</v>
      </c>
    </row>
    <row r="380" spans="1:45" ht="15" customHeight="1">
      <c r="A380" t="s">
        <v>1216</v>
      </c>
      <c r="B380" s="21" t="s">
        <v>2464</v>
      </c>
      <c r="C380" t="s">
        <v>27</v>
      </c>
      <c r="D380" s="8">
        <v>45960</v>
      </c>
      <c r="E380" s="22">
        <v>45964.590729166666</v>
      </c>
      <c r="F380" t="s">
        <v>34</v>
      </c>
      <c r="H380">
        <v>6</v>
      </c>
      <c r="I380">
        <v>20611018925</v>
      </c>
      <c r="J380" t="s">
        <v>2629</v>
      </c>
      <c r="K380" s="8">
        <v>45960</v>
      </c>
      <c r="Q380">
        <v>33081</v>
      </c>
      <c r="R380">
        <v>216</v>
      </c>
      <c r="S380" t="s">
        <v>1300</v>
      </c>
      <c r="T380" t="s">
        <v>163</v>
      </c>
      <c r="U380">
        <v>1</v>
      </c>
      <c r="V380">
        <v>213.5</v>
      </c>
      <c r="W380">
        <v>251.93</v>
      </c>
      <c r="X380">
        <v>0</v>
      </c>
      <c r="Y380">
        <v>213.5</v>
      </c>
      <c r="Z380">
        <v>18</v>
      </c>
      <c r="AA380">
        <v>38.43</v>
      </c>
      <c r="AB380">
        <v>251.93</v>
      </c>
      <c r="AC380">
        <v>1</v>
      </c>
      <c r="AD380">
        <v>1</v>
      </c>
      <c r="AE380" t="s">
        <v>1411</v>
      </c>
      <c r="AF380" t="s">
        <v>1412</v>
      </c>
      <c r="AG380">
        <v>2</v>
      </c>
      <c r="AH380" t="s">
        <v>25</v>
      </c>
      <c r="AI380">
        <v>6936</v>
      </c>
      <c r="AJ380" t="s">
        <v>1437</v>
      </c>
      <c r="AK380" t="s">
        <v>1433</v>
      </c>
      <c r="AL380">
        <v>3235</v>
      </c>
      <c r="AM380" t="s">
        <v>2462</v>
      </c>
      <c r="AN380" s="8">
        <v>45950</v>
      </c>
      <c r="AO380" s="8">
        <v>45950</v>
      </c>
      <c r="AP380">
        <v>1128</v>
      </c>
      <c r="AQ380" t="s">
        <v>34</v>
      </c>
      <c r="AR380" t="s">
        <v>12</v>
      </c>
      <c r="AS380" t="str">
        <f>+CONCATENATE(A380,"-",B380)</f>
        <v>(01) Factura FOF1-00000213</v>
      </c>
    </row>
    <row r="381" spans="1:45" ht="15" customHeight="1">
      <c r="A381" t="s">
        <v>1216</v>
      </c>
      <c r="B381" s="21" t="s">
        <v>1583</v>
      </c>
      <c r="C381" t="s">
        <v>27</v>
      </c>
      <c r="D381" s="8">
        <v>45952</v>
      </c>
      <c r="E381" s="22">
        <v>45964.780543981484</v>
      </c>
      <c r="F381" t="s">
        <v>1569</v>
      </c>
      <c r="H381">
        <v>6</v>
      </c>
      <c r="I381">
        <v>20603011601</v>
      </c>
      <c r="J381" t="s">
        <v>1584</v>
      </c>
      <c r="K381" s="8">
        <v>45952</v>
      </c>
      <c r="Q381">
        <v>32322</v>
      </c>
      <c r="R381">
        <v>1895</v>
      </c>
      <c r="S381" t="s">
        <v>1407</v>
      </c>
      <c r="T381" t="s">
        <v>215</v>
      </c>
      <c r="U381">
        <v>356</v>
      </c>
      <c r="V381">
        <v>0.6</v>
      </c>
      <c r="W381">
        <v>0.71</v>
      </c>
      <c r="X381">
        <v>0</v>
      </c>
      <c r="Y381">
        <v>213.6</v>
      </c>
      <c r="Z381">
        <v>18</v>
      </c>
      <c r="AA381">
        <v>38.450000000000003</v>
      </c>
      <c r="AB381">
        <v>252.05</v>
      </c>
      <c r="AC381">
        <v>1</v>
      </c>
      <c r="AD381">
        <v>1</v>
      </c>
      <c r="AE381" t="s">
        <v>1411</v>
      </c>
      <c r="AF381" t="s">
        <v>1412</v>
      </c>
      <c r="AG381">
        <v>16</v>
      </c>
      <c r="AH381" t="s">
        <v>1400</v>
      </c>
      <c r="AI381">
        <v>1106</v>
      </c>
      <c r="AJ381" t="s">
        <v>239</v>
      </c>
      <c r="AK381" t="s">
        <v>1406</v>
      </c>
      <c r="AL381">
        <v>3271</v>
      </c>
      <c r="AM381" t="s">
        <v>1581</v>
      </c>
      <c r="AN381" s="8">
        <v>45968</v>
      </c>
      <c r="AO381" s="8">
        <v>45968</v>
      </c>
      <c r="AP381">
        <v>5613</v>
      </c>
      <c r="AQ381" t="s">
        <v>1569</v>
      </c>
      <c r="AR381" t="s">
        <v>12</v>
      </c>
      <c r="AS381" t="str">
        <f>+CONCATENATE(A381,"-",B381)</f>
        <v>(01) Factura FOF1-00000141</v>
      </c>
    </row>
    <row r="382" spans="1:45" ht="15" customHeight="1">
      <c r="A382" t="s">
        <v>216</v>
      </c>
      <c r="B382">
        <v>1211</v>
      </c>
      <c r="C382" t="s">
        <v>27</v>
      </c>
      <c r="D382" s="8">
        <v>45663</v>
      </c>
      <c r="E382" s="22">
        <v>45964</v>
      </c>
      <c r="F382" t="s">
        <v>1065</v>
      </c>
      <c r="H382">
        <v>6</v>
      </c>
      <c r="I382">
        <v>20601651531</v>
      </c>
      <c r="J382" t="s">
        <v>2171</v>
      </c>
      <c r="K382" s="8">
        <v>45663</v>
      </c>
      <c r="Q382">
        <v>17214</v>
      </c>
      <c r="R382">
        <v>877</v>
      </c>
      <c r="S382" t="s">
        <v>1300</v>
      </c>
      <c r="T382" t="s">
        <v>215</v>
      </c>
      <c r="U382">
        <v>1</v>
      </c>
      <c r="V382">
        <v>218.69</v>
      </c>
      <c r="W382">
        <v>258.06</v>
      </c>
      <c r="X382">
        <v>0</v>
      </c>
      <c r="Y382">
        <v>218.69</v>
      </c>
      <c r="Z382">
        <v>18</v>
      </c>
      <c r="AA382">
        <v>39.369999999999997</v>
      </c>
      <c r="AB382">
        <v>258.06</v>
      </c>
      <c r="AC382">
        <v>1</v>
      </c>
      <c r="AD382">
        <v>1</v>
      </c>
      <c r="AE382" t="s">
        <v>232</v>
      </c>
      <c r="AF382" t="s">
        <v>29</v>
      </c>
      <c r="AG382">
        <v>2</v>
      </c>
      <c r="AH382" t="s">
        <v>25</v>
      </c>
      <c r="AI382">
        <v>1106</v>
      </c>
      <c r="AJ382" t="s">
        <v>239</v>
      </c>
      <c r="AK382" t="s">
        <v>1237</v>
      </c>
      <c r="AP382">
        <v>1122</v>
      </c>
      <c r="AQ382" t="s">
        <v>1065</v>
      </c>
      <c r="AR382" t="s">
        <v>12</v>
      </c>
      <c r="AS382" t="str">
        <f>+CONCATENATE(A382,"-",B382)</f>
        <v>FB01-1211</v>
      </c>
    </row>
    <row r="383" spans="1:45" ht="15" customHeight="1">
      <c r="A383" t="s">
        <v>1214</v>
      </c>
      <c r="B383" s="21" t="s">
        <v>1568</v>
      </c>
      <c r="C383" t="s">
        <v>27</v>
      </c>
      <c r="D383" s="8">
        <v>45960</v>
      </c>
      <c r="E383" s="22">
        <v>45964.649791666663</v>
      </c>
      <c r="F383" t="s">
        <v>2442</v>
      </c>
      <c r="H383">
        <v>1</v>
      </c>
      <c r="I383">
        <v>43891621</v>
      </c>
      <c r="J383" t="s">
        <v>2610</v>
      </c>
      <c r="K383" s="8">
        <v>45960</v>
      </c>
      <c r="Q383">
        <v>33146</v>
      </c>
      <c r="R383">
        <v>1786</v>
      </c>
      <c r="S383" t="s">
        <v>1299</v>
      </c>
      <c r="T383" t="s">
        <v>163</v>
      </c>
      <c r="U383">
        <v>1</v>
      </c>
      <c r="V383">
        <v>218.98</v>
      </c>
      <c r="W383">
        <v>258.39999999999998</v>
      </c>
      <c r="X383">
        <v>0</v>
      </c>
      <c r="Y383">
        <v>218.98</v>
      </c>
      <c r="Z383">
        <v>18</v>
      </c>
      <c r="AA383">
        <v>39.42</v>
      </c>
      <c r="AB383">
        <v>258.39999999999998</v>
      </c>
      <c r="AC383">
        <v>1</v>
      </c>
      <c r="AD383">
        <v>1</v>
      </c>
      <c r="AE383" t="s">
        <v>1411</v>
      </c>
      <c r="AF383" t="s">
        <v>1412</v>
      </c>
      <c r="AG383">
        <v>2</v>
      </c>
      <c r="AH383" t="s">
        <v>25</v>
      </c>
      <c r="AI383">
        <v>6937</v>
      </c>
      <c r="AJ383" t="s">
        <v>1414</v>
      </c>
      <c r="AK383" t="s">
        <v>1251</v>
      </c>
      <c r="AL383">
        <v>3300</v>
      </c>
      <c r="AM383" t="s">
        <v>2443</v>
      </c>
      <c r="AN383" s="8">
        <v>45956</v>
      </c>
      <c r="AO383" s="8">
        <v>45956</v>
      </c>
      <c r="AP383">
        <v>5396</v>
      </c>
      <c r="AQ383" t="s">
        <v>2442</v>
      </c>
      <c r="AR383" t="s">
        <v>1295</v>
      </c>
      <c r="AS383" t="str">
        <f>+CONCATENATE(A383,"-",B383)</f>
        <v>(03) Boleta BOB1-00000146</v>
      </c>
    </row>
    <row r="384" spans="1:45" ht="15" customHeight="1">
      <c r="A384" t="s">
        <v>1216</v>
      </c>
      <c r="B384" s="21" t="s">
        <v>1562</v>
      </c>
      <c r="C384" t="s">
        <v>27</v>
      </c>
      <c r="D384" s="8">
        <v>45952</v>
      </c>
      <c r="E384" s="22">
        <v>45964.811689814815</v>
      </c>
      <c r="F384" t="s">
        <v>34</v>
      </c>
      <c r="H384">
        <v>6</v>
      </c>
      <c r="I384">
        <v>20611018925</v>
      </c>
      <c r="J384" t="s">
        <v>1563</v>
      </c>
      <c r="K384" s="8">
        <v>45952</v>
      </c>
      <c r="Q384">
        <v>32355</v>
      </c>
      <c r="R384">
        <v>216</v>
      </c>
      <c r="S384" t="s">
        <v>1300</v>
      </c>
      <c r="T384" t="s">
        <v>163</v>
      </c>
      <c r="U384">
        <v>1</v>
      </c>
      <c r="V384">
        <v>219.88</v>
      </c>
      <c r="W384">
        <v>259.45999999999998</v>
      </c>
      <c r="X384">
        <v>0</v>
      </c>
      <c r="Y384">
        <v>219.88</v>
      </c>
      <c r="Z384">
        <v>18</v>
      </c>
      <c r="AA384">
        <v>39.58</v>
      </c>
      <c r="AB384">
        <v>259.45999999999998</v>
      </c>
      <c r="AC384">
        <v>1</v>
      </c>
      <c r="AD384">
        <v>1</v>
      </c>
      <c r="AE384" t="s">
        <v>1411</v>
      </c>
      <c r="AF384" t="s">
        <v>1412</v>
      </c>
      <c r="AG384">
        <v>2</v>
      </c>
      <c r="AH384" t="s">
        <v>25</v>
      </c>
      <c r="AI384">
        <v>6936</v>
      </c>
      <c r="AJ384" t="s">
        <v>1437</v>
      </c>
      <c r="AK384" t="s">
        <v>1433</v>
      </c>
      <c r="AL384">
        <v>3205</v>
      </c>
      <c r="AM384" t="s">
        <v>1559</v>
      </c>
      <c r="AN384" s="8">
        <v>45947</v>
      </c>
      <c r="AO384" s="8">
        <v>45947</v>
      </c>
      <c r="AP384">
        <v>1128</v>
      </c>
      <c r="AQ384" t="s">
        <v>34</v>
      </c>
      <c r="AR384" t="s">
        <v>12</v>
      </c>
      <c r="AS384" t="str">
        <f>+CONCATENATE(A384,"-",B384)</f>
        <v>(01) Factura FOF1-00000147</v>
      </c>
    </row>
    <row r="385" spans="1:45" ht="15" customHeight="1">
      <c r="A385" t="s">
        <v>216</v>
      </c>
      <c r="B385">
        <v>1203</v>
      </c>
      <c r="C385" t="s">
        <v>27</v>
      </c>
      <c r="D385" s="8">
        <v>45663</v>
      </c>
      <c r="E385" s="22">
        <v>45964</v>
      </c>
      <c r="F385" t="s">
        <v>514</v>
      </c>
      <c r="H385">
        <v>6</v>
      </c>
      <c r="I385">
        <v>10473186603</v>
      </c>
      <c r="J385" t="s">
        <v>2182</v>
      </c>
      <c r="K385" s="8">
        <v>45663</v>
      </c>
      <c r="Q385">
        <v>17202</v>
      </c>
      <c r="R385">
        <v>877</v>
      </c>
      <c r="S385" t="s">
        <v>1300</v>
      </c>
      <c r="T385" t="s">
        <v>215</v>
      </c>
      <c r="U385">
        <v>1</v>
      </c>
      <c r="V385">
        <v>222.31</v>
      </c>
      <c r="W385">
        <v>262.32</v>
      </c>
      <c r="X385">
        <v>0</v>
      </c>
      <c r="Y385">
        <v>222.31</v>
      </c>
      <c r="Z385">
        <v>18</v>
      </c>
      <c r="AA385">
        <v>40.01</v>
      </c>
      <c r="AB385">
        <v>262.32</v>
      </c>
      <c r="AC385">
        <v>1</v>
      </c>
      <c r="AD385">
        <v>1</v>
      </c>
      <c r="AE385" t="s">
        <v>232</v>
      </c>
      <c r="AF385" t="s">
        <v>29</v>
      </c>
      <c r="AG385">
        <v>2</v>
      </c>
      <c r="AH385" t="s">
        <v>25</v>
      </c>
      <c r="AI385">
        <v>1106</v>
      </c>
      <c r="AJ385" t="s">
        <v>239</v>
      </c>
      <c r="AK385" t="s">
        <v>1237</v>
      </c>
      <c r="AP385">
        <v>1140</v>
      </c>
      <c r="AQ385" t="s">
        <v>514</v>
      </c>
      <c r="AR385" t="s">
        <v>12</v>
      </c>
      <c r="AS385" t="str">
        <f>+CONCATENATE(A385,"-",B385)</f>
        <v>FB01-1203</v>
      </c>
    </row>
    <row r="386" spans="1:45" ht="15" customHeight="1">
      <c r="A386" t="s">
        <v>1238</v>
      </c>
      <c r="B386">
        <v>730</v>
      </c>
      <c r="C386" t="s">
        <v>27</v>
      </c>
      <c r="D386" s="8">
        <v>45693</v>
      </c>
      <c r="E386" s="22">
        <v>45964</v>
      </c>
      <c r="F386" t="s">
        <v>566</v>
      </c>
      <c r="H386">
        <v>1</v>
      </c>
      <c r="I386">
        <v>45273802</v>
      </c>
      <c r="J386" t="s">
        <v>1951</v>
      </c>
      <c r="K386" s="8">
        <v>45693</v>
      </c>
      <c r="Q386">
        <v>18719</v>
      </c>
      <c r="R386">
        <v>870</v>
      </c>
      <c r="S386" t="s">
        <v>1299</v>
      </c>
      <c r="T386" t="s">
        <v>215</v>
      </c>
      <c r="U386">
        <v>1</v>
      </c>
      <c r="V386">
        <v>222.71</v>
      </c>
      <c r="W386">
        <v>262.8</v>
      </c>
      <c r="X386">
        <v>0</v>
      </c>
      <c r="Y386">
        <v>222.71</v>
      </c>
      <c r="Z386">
        <v>18</v>
      </c>
      <c r="AA386">
        <v>40.090000000000003</v>
      </c>
      <c r="AB386">
        <v>262.8</v>
      </c>
      <c r="AC386">
        <v>1</v>
      </c>
      <c r="AD386">
        <v>1</v>
      </c>
      <c r="AE386" t="s">
        <v>232</v>
      </c>
      <c r="AF386" t="s">
        <v>29</v>
      </c>
      <c r="AG386">
        <v>2</v>
      </c>
      <c r="AH386" t="s">
        <v>25</v>
      </c>
      <c r="AI386">
        <v>1106</v>
      </c>
      <c r="AJ386" t="s">
        <v>239</v>
      </c>
      <c r="AK386" t="s">
        <v>1237</v>
      </c>
      <c r="AP386">
        <v>1174</v>
      </c>
      <c r="AQ386" t="s">
        <v>566</v>
      </c>
      <c r="AR386" t="s">
        <v>1295</v>
      </c>
      <c r="AS386" t="str">
        <f>+CONCATENATE(A386,"-",B386)</f>
        <v>BB01-730</v>
      </c>
    </row>
    <row r="387" spans="1:45" ht="15" customHeight="1">
      <c r="A387" t="s">
        <v>1238</v>
      </c>
      <c r="B387">
        <v>749</v>
      </c>
      <c r="C387" t="s">
        <v>27</v>
      </c>
      <c r="D387" s="8">
        <v>45693</v>
      </c>
      <c r="E387" s="22">
        <v>45964</v>
      </c>
      <c r="F387" t="s">
        <v>526</v>
      </c>
      <c r="H387">
        <v>1</v>
      </c>
      <c r="I387">
        <v>19889371</v>
      </c>
      <c r="J387" t="s">
        <v>1917</v>
      </c>
      <c r="K387" s="8">
        <v>45693</v>
      </c>
      <c r="Q387">
        <v>18769</v>
      </c>
      <c r="R387">
        <v>938</v>
      </c>
      <c r="S387" t="s">
        <v>1312</v>
      </c>
      <c r="T387" t="s">
        <v>215</v>
      </c>
      <c r="U387">
        <v>1</v>
      </c>
      <c r="V387">
        <v>223.36</v>
      </c>
      <c r="W387">
        <v>263.57</v>
      </c>
      <c r="X387">
        <v>0</v>
      </c>
      <c r="Y387">
        <v>223.36</v>
      </c>
      <c r="Z387">
        <v>18</v>
      </c>
      <c r="AA387">
        <v>40.21</v>
      </c>
      <c r="AB387">
        <v>263.57</v>
      </c>
      <c r="AC387">
        <v>1</v>
      </c>
      <c r="AD387">
        <v>1</v>
      </c>
      <c r="AE387" t="s">
        <v>232</v>
      </c>
      <c r="AF387" t="s">
        <v>29</v>
      </c>
      <c r="AG387">
        <v>2</v>
      </c>
      <c r="AH387" t="s">
        <v>25</v>
      </c>
      <c r="AI387">
        <v>1106</v>
      </c>
      <c r="AJ387" t="s">
        <v>239</v>
      </c>
      <c r="AK387" t="s">
        <v>1237</v>
      </c>
      <c r="AP387">
        <v>1165</v>
      </c>
      <c r="AQ387" t="s">
        <v>526</v>
      </c>
      <c r="AR387" t="s">
        <v>1295</v>
      </c>
      <c r="AS387" t="str">
        <f>+CONCATENATE(A387,"-",B387)</f>
        <v>BB01-749</v>
      </c>
    </row>
    <row r="388" spans="1:45" ht="15" customHeight="1">
      <c r="A388" t="s">
        <v>1238</v>
      </c>
      <c r="B388">
        <v>746</v>
      </c>
      <c r="C388" t="s">
        <v>27</v>
      </c>
      <c r="D388" s="8">
        <v>45693</v>
      </c>
      <c r="E388" s="22">
        <v>45964</v>
      </c>
      <c r="F388" t="s">
        <v>533</v>
      </c>
      <c r="H388">
        <v>1</v>
      </c>
      <c r="I388">
        <v>76561182</v>
      </c>
      <c r="J388" t="s">
        <v>1920</v>
      </c>
      <c r="K388" s="8">
        <v>45693</v>
      </c>
      <c r="Q388">
        <v>18766</v>
      </c>
      <c r="R388">
        <v>936</v>
      </c>
      <c r="S388" t="s">
        <v>1314</v>
      </c>
      <c r="T388" t="s">
        <v>215</v>
      </c>
      <c r="U388">
        <v>1</v>
      </c>
      <c r="V388">
        <v>223.36</v>
      </c>
      <c r="W388">
        <v>263.57</v>
      </c>
      <c r="X388">
        <v>0</v>
      </c>
      <c r="Y388">
        <v>223.36</v>
      </c>
      <c r="Z388">
        <v>18</v>
      </c>
      <c r="AA388">
        <v>40.21</v>
      </c>
      <c r="AB388">
        <v>263.57</v>
      </c>
      <c r="AC388">
        <v>1</v>
      </c>
      <c r="AD388">
        <v>1</v>
      </c>
      <c r="AE388" t="s">
        <v>232</v>
      </c>
      <c r="AF388" t="s">
        <v>29</v>
      </c>
      <c r="AG388">
        <v>2</v>
      </c>
      <c r="AH388" t="s">
        <v>25</v>
      </c>
      <c r="AI388">
        <v>1106</v>
      </c>
      <c r="AJ388" t="s">
        <v>239</v>
      </c>
      <c r="AK388" t="s">
        <v>1237</v>
      </c>
      <c r="AP388">
        <v>1164</v>
      </c>
      <c r="AQ388" t="s">
        <v>533</v>
      </c>
      <c r="AR388" t="s">
        <v>1295</v>
      </c>
      <c r="AS388" t="str">
        <f>+CONCATENATE(A388,"-",B388)</f>
        <v>BB01-746</v>
      </c>
    </row>
    <row r="389" spans="1:45" ht="15" customHeight="1">
      <c r="A389" t="s">
        <v>216</v>
      </c>
      <c r="B389">
        <v>1216</v>
      </c>
      <c r="C389" t="s">
        <v>27</v>
      </c>
      <c r="D389" s="8">
        <v>45663</v>
      </c>
      <c r="E389" s="22">
        <v>45964</v>
      </c>
      <c r="F389" t="s">
        <v>359</v>
      </c>
      <c r="H389">
        <v>6</v>
      </c>
      <c r="I389">
        <v>20613294814</v>
      </c>
      <c r="J389" t="s">
        <v>2165</v>
      </c>
      <c r="K389" s="8">
        <v>45663</v>
      </c>
      <c r="Q389">
        <v>17221</v>
      </c>
      <c r="R389">
        <v>877</v>
      </c>
      <c r="S389" t="s">
        <v>1300</v>
      </c>
      <c r="T389" t="s">
        <v>215</v>
      </c>
      <c r="U389">
        <v>1</v>
      </c>
      <c r="V389">
        <v>227.88</v>
      </c>
      <c r="W389">
        <v>268.89999999999998</v>
      </c>
      <c r="X389">
        <v>0</v>
      </c>
      <c r="Y389">
        <v>227.88</v>
      </c>
      <c r="Z389">
        <v>18</v>
      </c>
      <c r="AA389">
        <v>41.02</v>
      </c>
      <c r="AB389">
        <v>268.89999999999998</v>
      </c>
      <c r="AC389">
        <v>1</v>
      </c>
      <c r="AD389">
        <v>1</v>
      </c>
      <c r="AE389" t="s">
        <v>232</v>
      </c>
      <c r="AF389" t="s">
        <v>29</v>
      </c>
      <c r="AG389">
        <v>2</v>
      </c>
      <c r="AH389" t="s">
        <v>25</v>
      </c>
      <c r="AI389">
        <v>1106</v>
      </c>
      <c r="AJ389" t="s">
        <v>239</v>
      </c>
      <c r="AK389" t="s">
        <v>1237</v>
      </c>
      <c r="AP389">
        <v>1124</v>
      </c>
      <c r="AQ389" t="s">
        <v>359</v>
      </c>
      <c r="AR389" t="s">
        <v>12</v>
      </c>
      <c r="AS389" t="str">
        <f>+CONCATENATE(A389,"-",B389)</f>
        <v>FB01-1216</v>
      </c>
    </row>
    <row r="390" spans="1:45" ht="15" customHeight="1">
      <c r="A390" t="s">
        <v>1214</v>
      </c>
      <c r="B390" s="21" t="s">
        <v>1645</v>
      </c>
      <c r="C390" t="s">
        <v>27</v>
      </c>
      <c r="D390" s="8">
        <v>45947</v>
      </c>
      <c r="E390" s="22">
        <v>45964.436759259261</v>
      </c>
      <c r="F390" t="s">
        <v>1640</v>
      </c>
      <c r="G390" t="s">
        <v>158</v>
      </c>
      <c r="H390">
        <v>1</v>
      </c>
      <c r="I390">
        <v>72327214</v>
      </c>
      <c r="J390" t="s">
        <v>1646</v>
      </c>
      <c r="K390" s="8">
        <v>45947</v>
      </c>
      <c r="Q390">
        <v>31651</v>
      </c>
      <c r="R390">
        <v>1786</v>
      </c>
      <c r="S390" t="s">
        <v>1299</v>
      </c>
      <c r="T390" t="s">
        <v>163</v>
      </c>
      <c r="U390">
        <v>1</v>
      </c>
      <c r="V390">
        <v>231.61</v>
      </c>
      <c r="W390">
        <v>273.3</v>
      </c>
      <c r="X390">
        <v>0</v>
      </c>
      <c r="Y390">
        <v>231.61</v>
      </c>
      <c r="Z390">
        <v>18</v>
      </c>
      <c r="AA390">
        <v>41.69</v>
      </c>
      <c r="AB390">
        <v>273.3</v>
      </c>
      <c r="AC390">
        <v>1</v>
      </c>
      <c r="AD390">
        <v>1</v>
      </c>
      <c r="AE390" t="s">
        <v>1411</v>
      </c>
      <c r="AF390" t="s">
        <v>1412</v>
      </c>
      <c r="AG390">
        <v>2</v>
      </c>
      <c r="AH390" t="s">
        <v>25</v>
      </c>
      <c r="AI390">
        <v>6937</v>
      </c>
      <c r="AJ390" t="s">
        <v>1414</v>
      </c>
      <c r="AK390" t="s">
        <v>1251</v>
      </c>
      <c r="AL390">
        <v>2929</v>
      </c>
      <c r="AM390" t="s">
        <v>1642</v>
      </c>
      <c r="AN390" s="8">
        <v>45941</v>
      </c>
      <c r="AO390" s="8">
        <v>45941</v>
      </c>
      <c r="AP390">
        <v>416</v>
      </c>
      <c r="AQ390" t="s">
        <v>1640</v>
      </c>
      <c r="AR390" t="s">
        <v>1295</v>
      </c>
      <c r="AS390" t="str">
        <f>+CONCATENATE(A390,"-",B390)</f>
        <v>(03) Boleta BOB1-00000068</v>
      </c>
    </row>
    <row r="391" spans="1:45" ht="15" customHeight="1">
      <c r="A391" t="s">
        <v>1238</v>
      </c>
      <c r="B391">
        <v>668</v>
      </c>
      <c r="C391" t="s">
        <v>27</v>
      </c>
      <c r="D391" s="8">
        <v>45680</v>
      </c>
      <c r="E391" s="22">
        <v>45964</v>
      </c>
      <c r="F391" t="s">
        <v>335</v>
      </c>
      <c r="G391" t="s">
        <v>158</v>
      </c>
      <c r="H391">
        <v>1</v>
      </c>
      <c r="I391">
        <v>43908595</v>
      </c>
      <c r="J391" t="s">
        <v>2095</v>
      </c>
      <c r="K391" s="8">
        <v>45680</v>
      </c>
      <c r="Q391">
        <v>17797</v>
      </c>
      <c r="R391">
        <v>870</v>
      </c>
      <c r="S391" t="s">
        <v>1299</v>
      </c>
      <c r="T391" t="s">
        <v>215</v>
      </c>
      <c r="U391">
        <v>1</v>
      </c>
      <c r="V391">
        <v>238.98</v>
      </c>
      <c r="W391">
        <v>282</v>
      </c>
      <c r="X391">
        <v>0</v>
      </c>
      <c r="Y391">
        <v>238.98</v>
      </c>
      <c r="Z391">
        <v>18</v>
      </c>
      <c r="AA391">
        <v>43.02</v>
      </c>
      <c r="AB391">
        <v>282</v>
      </c>
      <c r="AC391">
        <v>1</v>
      </c>
      <c r="AD391">
        <v>1</v>
      </c>
      <c r="AE391" t="s">
        <v>232</v>
      </c>
      <c r="AF391" t="s">
        <v>29</v>
      </c>
      <c r="AG391">
        <v>2</v>
      </c>
      <c r="AH391" t="s">
        <v>25</v>
      </c>
      <c r="AI391">
        <v>1106</v>
      </c>
      <c r="AJ391" t="s">
        <v>239</v>
      </c>
      <c r="AK391" t="s">
        <v>1237</v>
      </c>
      <c r="AP391">
        <v>393</v>
      </c>
      <c r="AQ391" t="s">
        <v>335</v>
      </c>
      <c r="AR391" t="s">
        <v>1295</v>
      </c>
      <c r="AS391" t="str">
        <f>+CONCATENATE(A391,"-",B391)</f>
        <v>BB01-668</v>
      </c>
    </row>
    <row r="392" spans="1:45" ht="15" customHeight="1">
      <c r="A392" t="s">
        <v>1214</v>
      </c>
      <c r="B392" s="21" t="s">
        <v>1660</v>
      </c>
      <c r="C392" t="s">
        <v>27</v>
      </c>
      <c r="D392" s="8">
        <v>45959</v>
      </c>
      <c r="E392" s="22">
        <v>45964.713518518518</v>
      </c>
      <c r="F392" t="s">
        <v>2470</v>
      </c>
      <c r="H392">
        <v>1</v>
      </c>
      <c r="I392">
        <v>73829192</v>
      </c>
      <c r="J392" t="s">
        <v>2641</v>
      </c>
      <c r="K392" s="8">
        <v>45959</v>
      </c>
      <c r="Q392">
        <v>33005</v>
      </c>
      <c r="R392">
        <v>1786</v>
      </c>
      <c r="S392" t="s">
        <v>1299</v>
      </c>
      <c r="T392" t="s">
        <v>163</v>
      </c>
      <c r="U392">
        <v>1</v>
      </c>
      <c r="V392">
        <v>239.92</v>
      </c>
      <c r="W392">
        <v>283.11</v>
      </c>
      <c r="X392">
        <v>0</v>
      </c>
      <c r="Y392">
        <v>239.92</v>
      </c>
      <c r="Z392">
        <v>18</v>
      </c>
      <c r="AA392">
        <v>43.19</v>
      </c>
      <c r="AB392">
        <v>283.11</v>
      </c>
      <c r="AC392">
        <v>1</v>
      </c>
      <c r="AD392">
        <v>1</v>
      </c>
      <c r="AE392" t="s">
        <v>1411</v>
      </c>
      <c r="AF392" t="s">
        <v>1412</v>
      </c>
      <c r="AG392">
        <v>2</v>
      </c>
      <c r="AH392" t="s">
        <v>25</v>
      </c>
      <c r="AI392">
        <v>6937</v>
      </c>
      <c r="AJ392" t="s">
        <v>1414</v>
      </c>
      <c r="AK392" t="s">
        <v>1251</v>
      </c>
      <c r="AL392">
        <v>3215</v>
      </c>
      <c r="AM392" t="s">
        <v>2471</v>
      </c>
      <c r="AN392" s="8">
        <v>45950</v>
      </c>
      <c r="AO392" s="8">
        <v>45950</v>
      </c>
      <c r="AP392">
        <v>5553</v>
      </c>
      <c r="AQ392" t="s">
        <v>2470</v>
      </c>
      <c r="AR392" t="s">
        <v>1295</v>
      </c>
      <c r="AS392" t="str">
        <f>+CONCATENATE(A392,"-",B392)</f>
        <v>(03) Boleta BOB1-00000125</v>
      </c>
    </row>
    <row r="393" spans="1:45" ht="15" customHeight="1">
      <c r="A393" t="s">
        <v>1216</v>
      </c>
      <c r="B393" s="21" t="s">
        <v>1596</v>
      </c>
      <c r="C393" t="s">
        <v>27</v>
      </c>
      <c r="D393" s="8">
        <v>45948</v>
      </c>
      <c r="E393" s="22">
        <v>45964.416666666664</v>
      </c>
      <c r="F393" t="s">
        <v>1597</v>
      </c>
      <c r="H393">
        <v>6</v>
      </c>
      <c r="I393">
        <v>20613375571</v>
      </c>
      <c r="J393" t="s">
        <v>1598</v>
      </c>
      <c r="K393" s="8">
        <v>45948</v>
      </c>
      <c r="Q393">
        <v>31745</v>
      </c>
      <c r="R393">
        <v>1895</v>
      </c>
      <c r="S393" t="s">
        <v>1407</v>
      </c>
      <c r="T393" t="s">
        <v>215</v>
      </c>
      <c r="U393">
        <v>400</v>
      </c>
      <c r="V393">
        <v>0.6</v>
      </c>
      <c r="W393">
        <v>0.71</v>
      </c>
      <c r="X393">
        <v>0</v>
      </c>
      <c r="Y393">
        <v>240</v>
      </c>
      <c r="Z393">
        <v>18</v>
      </c>
      <c r="AA393">
        <v>43.2</v>
      </c>
      <c r="AB393">
        <v>283.2</v>
      </c>
      <c r="AC393">
        <v>1</v>
      </c>
      <c r="AD393">
        <v>1</v>
      </c>
      <c r="AE393" t="s">
        <v>1411</v>
      </c>
      <c r="AF393" t="s">
        <v>1412</v>
      </c>
      <c r="AG393">
        <v>16</v>
      </c>
      <c r="AH393" t="s">
        <v>1400</v>
      </c>
      <c r="AI393">
        <v>1106</v>
      </c>
      <c r="AJ393" t="s">
        <v>239</v>
      </c>
      <c r="AK393" t="s">
        <v>1406</v>
      </c>
      <c r="AL393">
        <v>3014</v>
      </c>
      <c r="AM393" t="s">
        <v>1599</v>
      </c>
      <c r="AN393" s="8">
        <v>45968</v>
      </c>
      <c r="AO393" s="8">
        <v>45968</v>
      </c>
      <c r="AP393">
        <v>5425</v>
      </c>
      <c r="AQ393" t="s">
        <v>1597</v>
      </c>
      <c r="AR393" t="s">
        <v>12</v>
      </c>
      <c r="AS393" t="str">
        <f>+CONCATENATE(A393,"-",B393)</f>
        <v>(01) Factura FOF1-00000136</v>
      </c>
    </row>
    <row r="394" spans="1:45" ht="15" customHeight="1">
      <c r="A394" t="s">
        <v>1216</v>
      </c>
      <c r="B394" s="21" t="s">
        <v>1633</v>
      </c>
      <c r="C394" t="s">
        <v>27</v>
      </c>
      <c r="D394" s="8">
        <v>45947</v>
      </c>
      <c r="E394" s="22">
        <v>45964.75</v>
      </c>
      <c r="F394" t="s">
        <v>1630</v>
      </c>
      <c r="H394">
        <v>6</v>
      </c>
      <c r="I394">
        <v>20606672323</v>
      </c>
      <c r="J394" t="s">
        <v>1634</v>
      </c>
      <c r="K394" s="8">
        <v>45947</v>
      </c>
      <c r="Q394">
        <v>31699</v>
      </c>
      <c r="R394">
        <v>1895</v>
      </c>
      <c r="S394" t="s">
        <v>1407</v>
      </c>
      <c r="T394" t="s">
        <v>215</v>
      </c>
      <c r="U394">
        <v>400</v>
      </c>
      <c r="V394">
        <v>0.6</v>
      </c>
      <c r="W394">
        <v>0.71</v>
      </c>
      <c r="X394">
        <v>0</v>
      </c>
      <c r="Y394">
        <v>240</v>
      </c>
      <c r="Z394">
        <v>18</v>
      </c>
      <c r="AA394">
        <v>43.2</v>
      </c>
      <c r="AB394">
        <v>283.2</v>
      </c>
      <c r="AC394">
        <v>1</v>
      </c>
      <c r="AD394">
        <v>1</v>
      </c>
      <c r="AE394" t="s">
        <v>1411</v>
      </c>
      <c r="AF394" t="s">
        <v>1412</v>
      </c>
      <c r="AG394">
        <v>16</v>
      </c>
      <c r="AH394" t="s">
        <v>1400</v>
      </c>
      <c r="AI394">
        <v>1106</v>
      </c>
      <c r="AJ394" t="s">
        <v>239</v>
      </c>
      <c r="AK394" t="s">
        <v>169</v>
      </c>
      <c r="AL394">
        <v>3035</v>
      </c>
      <c r="AM394" t="s">
        <v>1632</v>
      </c>
      <c r="AN394" s="8">
        <v>45934</v>
      </c>
      <c r="AO394" s="8">
        <v>45934</v>
      </c>
      <c r="AP394">
        <v>5606</v>
      </c>
      <c r="AQ394" t="s">
        <v>1630</v>
      </c>
      <c r="AR394" t="s">
        <v>12</v>
      </c>
      <c r="AS394" t="str">
        <f>+CONCATENATE(A394,"-",B394)</f>
        <v>(01) Factura FOF1-00000126</v>
      </c>
    </row>
    <row r="395" spans="1:45" ht="15" customHeight="1">
      <c r="A395" t="s">
        <v>1238</v>
      </c>
      <c r="B395">
        <v>704</v>
      </c>
      <c r="C395" t="s">
        <v>27</v>
      </c>
      <c r="D395" s="8">
        <v>45685</v>
      </c>
      <c r="E395" s="22">
        <v>45964</v>
      </c>
      <c r="F395" t="s">
        <v>737</v>
      </c>
      <c r="H395">
        <v>1</v>
      </c>
      <c r="I395">
        <v>72459498</v>
      </c>
      <c r="J395" t="s">
        <v>2027</v>
      </c>
      <c r="K395" s="8">
        <v>45685</v>
      </c>
      <c r="Q395">
        <v>18630</v>
      </c>
      <c r="R395">
        <v>877</v>
      </c>
      <c r="S395" t="s">
        <v>1300</v>
      </c>
      <c r="T395" t="s">
        <v>215</v>
      </c>
      <c r="U395">
        <v>1</v>
      </c>
      <c r="V395">
        <v>240.25</v>
      </c>
      <c r="W395">
        <v>283.5</v>
      </c>
      <c r="X395">
        <v>0</v>
      </c>
      <c r="Y395">
        <v>240.25</v>
      </c>
      <c r="Z395">
        <v>18</v>
      </c>
      <c r="AA395">
        <v>43.25</v>
      </c>
      <c r="AB395">
        <v>283.5</v>
      </c>
      <c r="AC395">
        <v>1</v>
      </c>
      <c r="AD395">
        <v>1</v>
      </c>
      <c r="AE395" t="s">
        <v>232</v>
      </c>
      <c r="AF395" t="s">
        <v>29</v>
      </c>
      <c r="AG395">
        <v>2</v>
      </c>
      <c r="AH395" t="s">
        <v>25</v>
      </c>
      <c r="AI395">
        <v>1106</v>
      </c>
      <c r="AJ395" t="s">
        <v>239</v>
      </c>
      <c r="AK395" t="s">
        <v>1237</v>
      </c>
      <c r="AP395">
        <v>1169</v>
      </c>
      <c r="AQ395" t="s">
        <v>737</v>
      </c>
      <c r="AR395" t="s">
        <v>1295</v>
      </c>
      <c r="AS395" t="str">
        <f>+CONCATENATE(A395,"-",B395)</f>
        <v>BB01-704</v>
      </c>
    </row>
    <row r="396" spans="1:45" ht="15" customHeight="1">
      <c r="A396" t="s">
        <v>1216</v>
      </c>
      <c r="B396" s="21" t="s">
        <v>1440</v>
      </c>
      <c r="C396" t="s">
        <v>27</v>
      </c>
      <c r="D396" s="8">
        <v>45946</v>
      </c>
      <c r="E396" s="22">
        <v>45964.798564814817</v>
      </c>
      <c r="F396" t="s">
        <v>1606</v>
      </c>
      <c r="H396">
        <v>6</v>
      </c>
      <c r="I396">
        <v>10427831812</v>
      </c>
      <c r="J396" t="s">
        <v>1764</v>
      </c>
      <c r="K396" s="8">
        <v>45946</v>
      </c>
      <c r="Q396">
        <v>31476</v>
      </c>
      <c r="R396">
        <v>1786</v>
      </c>
      <c r="S396" t="s">
        <v>1299</v>
      </c>
      <c r="T396" t="s">
        <v>163</v>
      </c>
      <c r="U396">
        <v>1</v>
      </c>
      <c r="V396">
        <v>245.25</v>
      </c>
      <c r="W396">
        <v>289.39999999999998</v>
      </c>
      <c r="X396">
        <v>0</v>
      </c>
      <c r="Y396">
        <v>245.25</v>
      </c>
      <c r="Z396">
        <v>18</v>
      </c>
      <c r="AA396">
        <v>44.15</v>
      </c>
      <c r="AB396">
        <v>289.39999999999998</v>
      </c>
      <c r="AC396">
        <v>1</v>
      </c>
      <c r="AD396">
        <v>1</v>
      </c>
      <c r="AE396" t="s">
        <v>1411</v>
      </c>
      <c r="AF396" t="s">
        <v>1412</v>
      </c>
      <c r="AG396">
        <v>2</v>
      </c>
      <c r="AH396" t="s">
        <v>25</v>
      </c>
      <c r="AI396">
        <v>6937</v>
      </c>
      <c r="AJ396" t="s">
        <v>1414</v>
      </c>
      <c r="AK396" t="s">
        <v>1251</v>
      </c>
      <c r="AL396">
        <v>3198</v>
      </c>
      <c r="AM396" t="s">
        <v>1605</v>
      </c>
      <c r="AN396" s="8">
        <v>45940</v>
      </c>
      <c r="AO396" s="8">
        <v>45940</v>
      </c>
      <c r="AP396">
        <v>5519</v>
      </c>
      <c r="AQ396" t="s">
        <v>1606</v>
      </c>
      <c r="AR396" t="s">
        <v>12</v>
      </c>
      <c r="AS396" t="str">
        <f>+CONCATENATE(A396,"-",B396)</f>
        <v>(01) Factura FOF1-00000095</v>
      </c>
    </row>
    <row r="397" spans="1:45" ht="15" customHeight="1">
      <c r="A397" t="s">
        <v>1238</v>
      </c>
      <c r="B397">
        <v>681</v>
      </c>
      <c r="C397" t="s">
        <v>27</v>
      </c>
      <c r="D397" s="8">
        <v>45680</v>
      </c>
      <c r="E397" s="22">
        <v>45964</v>
      </c>
      <c r="F397" t="s">
        <v>519</v>
      </c>
      <c r="H397">
        <v>1</v>
      </c>
      <c r="I397">
        <v>19941551</v>
      </c>
      <c r="J397" t="s">
        <v>2057</v>
      </c>
      <c r="K397" s="8">
        <v>45680</v>
      </c>
      <c r="Q397">
        <v>17841</v>
      </c>
      <c r="R397">
        <v>939</v>
      </c>
      <c r="S397" t="s">
        <v>1346</v>
      </c>
      <c r="T397" t="s">
        <v>215</v>
      </c>
      <c r="U397">
        <v>1</v>
      </c>
      <c r="V397">
        <v>248.53</v>
      </c>
      <c r="W397">
        <v>293.26</v>
      </c>
      <c r="X397">
        <v>0</v>
      </c>
      <c r="Y397">
        <v>248.53</v>
      </c>
      <c r="Z397">
        <v>18</v>
      </c>
      <c r="AA397">
        <v>44.73</v>
      </c>
      <c r="AB397">
        <v>293.26</v>
      </c>
      <c r="AC397">
        <v>1</v>
      </c>
      <c r="AD397">
        <v>1</v>
      </c>
      <c r="AE397" t="s">
        <v>232</v>
      </c>
      <c r="AF397" t="s">
        <v>29</v>
      </c>
      <c r="AG397">
        <v>2</v>
      </c>
      <c r="AH397" t="s">
        <v>25</v>
      </c>
      <c r="AI397">
        <v>1106</v>
      </c>
      <c r="AJ397" t="s">
        <v>239</v>
      </c>
      <c r="AK397" t="s">
        <v>1237</v>
      </c>
      <c r="AP397">
        <v>1166</v>
      </c>
      <c r="AQ397" t="s">
        <v>519</v>
      </c>
      <c r="AR397" t="s">
        <v>1295</v>
      </c>
      <c r="AS397" t="str">
        <f>+CONCATENATE(A397,"-",B397)</f>
        <v>BB01-681</v>
      </c>
    </row>
    <row r="398" spans="1:45" ht="15" customHeight="1">
      <c r="A398" t="s">
        <v>1216</v>
      </c>
      <c r="B398" s="21" t="s">
        <v>2598</v>
      </c>
      <c r="C398" t="s">
        <v>27</v>
      </c>
      <c r="D398" s="8">
        <v>45961</v>
      </c>
      <c r="E398" s="22">
        <v>45964.625</v>
      </c>
      <c r="F398" t="s">
        <v>34</v>
      </c>
      <c r="H398">
        <v>6</v>
      </c>
      <c r="I398">
        <v>20611018925</v>
      </c>
      <c r="J398" t="s">
        <v>2599</v>
      </c>
      <c r="K398" s="8">
        <v>45961</v>
      </c>
      <c r="Q398">
        <v>33417</v>
      </c>
      <c r="R398">
        <v>1895</v>
      </c>
      <c r="S398" t="s">
        <v>1407</v>
      </c>
      <c r="T398" t="s">
        <v>215</v>
      </c>
      <c r="U398">
        <v>500</v>
      </c>
      <c r="V398">
        <v>0.5</v>
      </c>
      <c r="W398">
        <v>0.59</v>
      </c>
      <c r="X398">
        <v>0</v>
      </c>
      <c r="Y398">
        <v>250</v>
      </c>
      <c r="Z398">
        <v>18</v>
      </c>
      <c r="AA398">
        <v>45</v>
      </c>
      <c r="AB398">
        <v>295</v>
      </c>
      <c r="AC398">
        <v>1</v>
      </c>
      <c r="AD398">
        <v>1</v>
      </c>
      <c r="AE398" t="s">
        <v>1411</v>
      </c>
      <c r="AF398" t="s">
        <v>1412</v>
      </c>
      <c r="AG398">
        <v>16</v>
      </c>
      <c r="AH398" t="s">
        <v>1400</v>
      </c>
      <c r="AI398">
        <v>1106</v>
      </c>
      <c r="AJ398" t="s">
        <v>239</v>
      </c>
      <c r="AK398" t="s">
        <v>1406</v>
      </c>
      <c r="AL398">
        <v>3349</v>
      </c>
      <c r="AM398" t="s">
        <v>2600</v>
      </c>
      <c r="AN398" s="8">
        <v>45959</v>
      </c>
      <c r="AO398" s="8">
        <v>45959</v>
      </c>
      <c r="AP398">
        <v>1128</v>
      </c>
      <c r="AQ398" t="s">
        <v>34</v>
      </c>
      <c r="AR398" t="s">
        <v>12</v>
      </c>
      <c r="AS398" t="str">
        <f>+CONCATENATE(A398,"-",B398)</f>
        <v>(01) Factura FOF1-00000223</v>
      </c>
    </row>
    <row r="399" spans="1:45" ht="15" customHeight="1">
      <c r="A399" t="s">
        <v>1216</v>
      </c>
      <c r="B399" s="21" t="s">
        <v>1614</v>
      </c>
      <c r="C399" t="s">
        <v>27</v>
      </c>
      <c r="D399" s="8">
        <v>45948</v>
      </c>
      <c r="E399" s="22">
        <v>45964.375</v>
      </c>
      <c r="F399" t="s">
        <v>34</v>
      </c>
      <c r="H399">
        <v>6</v>
      </c>
      <c r="I399">
        <v>20611018925</v>
      </c>
      <c r="J399" t="s">
        <v>1615</v>
      </c>
      <c r="K399" s="8">
        <v>45948</v>
      </c>
      <c r="Q399">
        <v>31721</v>
      </c>
      <c r="R399">
        <v>1895</v>
      </c>
      <c r="S399" t="s">
        <v>1407</v>
      </c>
      <c r="T399" t="s">
        <v>215</v>
      </c>
      <c r="U399">
        <v>500</v>
      </c>
      <c r="V399">
        <v>0.5</v>
      </c>
      <c r="W399">
        <v>0.59</v>
      </c>
      <c r="X399">
        <v>0</v>
      </c>
      <c r="Y399">
        <v>250</v>
      </c>
      <c r="Z399">
        <v>18</v>
      </c>
      <c r="AA399">
        <v>45</v>
      </c>
      <c r="AB399">
        <v>295</v>
      </c>
      <c r="AC399">
        <v>1</v>
      </c>
      <c r="AD399">
        <v>1</v>
      </c>
      <c r="AE399" t="s">
        <v>1411</v>
      </c>
      <c r="AF399" t="s">
        <v>1412</v>
      </c>
      <c r="AG399">
        <v>16</v>
      </c>
      <c r="AH399" t="s">
        <v>1400</v>
      </c>
      <c r="AI399">
        <v>1106</v>
      </c>
      <c r="AJ399" t="s">
        <v>239</v>
      </c>
      <c r="AK399" t="s">
        <v>1406</v>
      </c>
      <c r="AL399">
        <v>3205</v>
      </c>
      <c r="AM399" t="s">
        <v>1559</v>
      </c>
      <c r="AN399" s="8">
        <v>45947</v>
      </c>
      <c r="AO399" s="8">
        <v>45947</v>
      </c>
      <c r="AP399">
        <v>1128</v>
      </c>
      <c r="AQ399" t="s">
        <v>34</v>
      </c>
      <c r="AR399" t="s">
        <v>12</v>
      </c>
      <c r="AS399" t="str">
        <f>+CONCATENATE(A399,"-",B399)</f>
        <v>(01) Factura FOF1-00000130</v>
      </c>
    </row>
    <row r="400" spans="1:45" ht="15" customHeight="1">
      <c r="A400" t="s">
        <v>216</v>
      </c>
      <c r="B400">
        <v>1350</v>
      </c>
      <c r="C400" t="s">
        <v>27</v>
      </c>
      <c r="D400" s="8">
        <v>45686</v>
      </c>
      <c r="E400" s="22">
        <v>45964</v>
      </c>
      <c r="F400" t="s">
        <v>627</v>
      </c>
      <c r="H400">
        <v>6</v>
      </c>
      <c r="I400">
        <v>20101214771</v>
      </c>
      <c r="J400" t="s">
        <v>2000</v>
      </c>
      <c r="K400" s="8">
        <v>45686</v>
      </c>
      <c r="Q400">
        <v>18663</v>
      </c>
      <c r="R400">
        <v>870</v>
      </c>
      <c r="S400" t="s">
        <v>1299</v>
      </c>
      <c r="T400" t="s">
        <v>215</v>
      </c>
      <c r="U400">
        <v>1</v>
      </c>
      <c r="V400">
        <v>250.51</v>
      </c>
      <c r="W400">
        <v>295.60000000000002</v>
      </c>
      <c r="X400">
        <v>0</v>
      </c>
      <c r="Y400">
        <v>250.51</v>
      </c>
      <c r="Z400">
        <v>18</v>
      </c>
      <c r="AA400">
        <v>45.09</v>
      </c>
      <c r="AB400">
        <v>295.60000000000002</v>
      </c>
      <c r="AC400">
        <v>1</v>
      </c>
      <c r="AD400">
        <v>1</v>
      </c>
      <c r="AE400" t="s">
        <v>232</v>
      </c>
      <c r="AF400" t="s">
        <v>29</v>
      </c>
      <c r="AG400">
        <v>2</v>
      </c>
      <c r="AH400" t="s">
        <v>25</v>
      </c>
      <c r="AI400">
        <v>1106</v>
      </c>
      <c r="AJ400" t="s">
        <v>239</v>
      </c>
      <c r="AK400" t="s">
        <v>1237</v>
      </c>
      <c r="AP400">
        <v>1137</v>
      </c>
      <c r="AQ400" t="s">
        <v>627</v>
      </c>
      <c r="AR400" t="s">
        <v>12</v>
      </c>
      <c r="AS400" t="str">
        <f>+CONCATENATE(A400,"-",B400)</f>
        <v>FB01-1350</v>
      </c>
    </row>
    <row r="401" spans="1:45" ht="15" customHeight="1">
      <c r="A401" t="s">
        <v>1214</v>
      </c>
      <c r="B401" s="21" t="s">
        <v>1647</v>
      </c>
      <c r="C401" t="s">
        <v>27</v>
      </c>
      <c r="D401" s="8">
        <v>45947</v>
      </c>
      <c r="E401" s="22">
        <v>45964.436527777776</v>
      </c>
      <c r="F401" t="s">
        <v>1640</v>
      </c>
      <c r="G401" t="s">
        <v>158</v>
      </c>
      <c r="H401">
        <v>1</v>
      </c>
      <c r="I401">
        <v>72327214</v>
      </c>
      <c r="J401" t="s">
        <v>1648</v>
      </c>
      <c r="K401" s="8">
        <v>45947</v>
      </c>
      <c r="Q401">
        <v>31648</v>
      </c>
      <c r="R401">
        <v>216</v>
      </c>
      <c r="S401" t="s">
        <v>1300</v>
      </c>
      <c r="T401" t="s">
        <v>163</v>
      </c>
      <c r="U401">
        <v>1</v>
      </c>
      <c r="V401">
        <v>254.11</v>
      </c>
      <c r="W401">
        <v>299.85000000000002</v>
      </c>
      <c r="X401">
        <v>0</v>
      </c>
      <c r="Y401">
        <v>254.11</v>
      </c>
      <c r="Z401">
        <v>18</v>
      </c>
      <c r="AA401">
        <v>45.74</v>
      </c>
      <c r="AB401">
        <v>299.85000000000002</v>
      </c>
      <c r="AC401">
        <v>1</v>
      </c>
      <c r="AD401">
        <v>1</v>
      </c>
      <c r="AE401" t="s">
        <v>1411</v>
      </c>
      <c r="AF401" t="s">
        <v>1412</v>
      </c>
      <c r="AG401">
        <v>2</v>
      </c>
      <c r="AH401" t="s">
        <v>25</v>
      </c>
      <c r="AI401">
        <v>6936</v>
      </c>
      <c r="AJ401" t="s">
        <v>1437</v>
      </c>
      <c r="AK401" t="s">
        <v>1433</v>
      </c>
      <c r="AL401">
        <v>2929</v>
      </c>
      <c r="AM401" t="s">
        <v>1642</v>
      </c>
      <c r="AN401" s="8">
        <v>45941</v>
      </c>
      <c r="AO401" s="8">
        <v>45941</v>
      </c>
      <c r="AP401">
        <v>416</v>
      </c>
      <c r="AQ401" t="s">
        <v>1640</v>
      </c>
      <c r="AR401" t="s">
        <v>1295</v>
      </c>
      <c r="AS401" t="str">
        <f>+CONCATENATE(A401,"-",B401)</f>
        <v>(03) Boleta BOB1-00000067</v>
      </c>
    </row>
    <row r="402" spans="1:45" ht="15" customHeight="1">
      <c r="A402" t="s">
        <v>1216</v>
      </c>
      <c r="B402" s="21" t="s">
        <v>177</v>
      </c>
      <c r="C402" t="s">
        <v>27</v>
      </c>
      <c r="D402" s="8">
        <v>45945</v>
      </c>
      <c r="E402" s="22">
        <v>45964.764733796299</v>
      </c>
      <c r="F402" t="s">
        <v>307</v>
      </c>
      <c r="H402">
        <v>6</v>
      </c>
      <c r="I402">
        <v>20509594903</v>
      </c>
      <c r="J402" t="s">
        <v>1852</v>
      </c>
      <c r="K402" s="8">
        <v>45945</v>
      </c>
      <c r="Q402">
        <v>31223</v>
      </c>
      <c r="R402">
        <v>216</v>
      </c>
      <c r="S402" t="s">
        <v>1300</v>
      </c>
      <c r="T402" t="s">
        <v>163</v>
      </c>
      <c r="U402">
        <v>1</v>
      </c>
      <c r="V402">
        <v>256.61</v>
      </c>
      <c r="W402">
        <v>302.8</v>
      </c>
      <c r="X402">
        <v>0</v>
      </c>
      <c r="Y402">
        <v>256.61</v>
      </c>
      <c r="Z402">
        <v>18</v>
      </c>
      <c r="AA402">
        <v>46.19</v>
      </c>
      <c r="AB402">
        <v>302.8</v>
      </c>
      <c r="AC402">
        <v>1</v>
      </c>
      <c r="AD402">
        <v>1</v>
      </c>
      <c r="AE402" t="s">
        <v>1411</v>
      </c>
      <c r="AF402" t="s">
        <v>1412</v>
      </c>
      <c r="AG402">
        <v>2</v>
      </c>
      <c r="AH402" t="s">
        <v>25</v>
      </c>
      <c r="AI402">
        <v>1106</v>
      </c>
      <c r="AJ402" t="s">
        <v>239</v>
      </c>
      <c r="AK402" t="s">
        <v>169</v>
      </c>
      <c r="AL402">
        <v>3188</v>
      </c>
      <c r="AM402" t="s">
        <v>1222</v>
      </c>
      <c r="AN402" s="8">
        <v>45933</v>
      </c>
      <c r="AO402" s="8">
        <v>45933</v>
      </c>
      <c r="AP402">
        <v>5251</v>
      </c>
      <c r="AQ402" t="s">
        <v>307</v>
      </c>
      <c r="AR402" t="s">
        <v>12</v>
      </c>
      <c r="AS402" t="str">
        <f>+CONCATENATE(A402,"-",B402)</f>
        <v>(01) Factura FOF1-00000038</v>
      </c>
    </row>
    <row r="403" spans="1:45" ht="15" customHeight="1">
      <c r="A403" t="s">
        <v>1216</v>
      </c>
      <c r="B403" s="21" t="s">
        <v>198</v>
      </c>
      <c r="C403" t="s">
        <v>27</v>
      </c>
      <c r="D403" s="8">
        <v>45943</v>
      </c>
      <c r="E403" s="22">
        <v>45964.765555555554</v>
      </c>
      <c r="F403" t="s">
        <v>359</v>
      </c>
      <c r="H403">
        <v>6</v>
      </c>
      <c r="I403">
        <v>20613294814</v>
      </c>
      <c r="J403" t="s">
        <v>1899</v>
      </c>
      <c r="K403" s="8">
        <v>45943</v>
      </c>
      <c r="Q403">
        <v>31061</v>
      </c>
      <c r="R403">
        <v>216</v>
      </c>
      <c r="S403" t="s">
        <v>1300</v>
      </c>
      <c r="T403" t="s">
        <v>163</v>
      </c>
      <c r="U403">
        <v>1</v>
      </c>
      <c r="V403">
        <v>268.52999999999997</v>
      </c>
      <c r="W403">
        <v>316.87</v>
      </c>
      <c r="X403">
        <v>0</v>
      </c>
      <c r="Y403">
        <v>268.52999999999997</v>
      </c>
      <c r="Z403">
        <v>18</v>
      </c>
      <c r="AA403">
        <v>48.34</v>
      </c>
      <c r="AB403">
        <v>316.87</v>
      </c>
      <c r="AC403">
        <v>1</v>
      </c>
      <c r="AD403">
        <v>1</v>
      </c>
      <c r="AE403" t="s">
        <v>1411</v>
      </c>
      <c r="AF403" t="s">
        <v>1412</v>
      </c>
      <c r="AG403">
        <v>2</v>
      </c>
      <c r="AH403" t="s">
        <v>25</v>
      </c>
      <c r="AI403">
        <v>1106</v>
      </c>
      <c r="AJ403" t="s">
        <v>239</v>
      </c>
      <c r="AK403" t="s">
        <v>169</v>
      </c>
      <c r="AL403">
        <v>3147</v>
      </c>
      <c r="AM403" t="s">
        <v>1231</v>
      </c>
      <c r="AN403" s="8">
        <v>45938</v>
      </c>
      <c r="AO403" s="8">
        <v>45938</v>
      </c>
      <c r="AP403">
        <v>1124</v>
      </c>
      <c r="AQ403" t="s">
        <v>359</v>
      </c>
      <c r="AR403" t="s">
        <v>12</v>
      </c>
      <c r="AS403" t="str">
        <f>+CONCATENATE(A403,"-",B403)</f>
        <v>(01) Factura FOF1-00000009</v>
      </c>
    </row>
    <row r="404" spans="1:45" ht="15" customHeight="1">
      <c r="A404" t="s">
        <v>1216</v>
      </c>
      <c r="B404" s="21" t="s">
        <v>2463</v>
      </c>
      <c r="C404" t="s">
        <v>27</v>
      </c>
      <c r="D404" s="8">
        <v>45960</v>
      </c>
      <c r="E404" s="22">
        <v>45964.590949074074</v>
      </c>
      <c r="F404" t="s">
        <v>34</v>
      </c>
      <c r="H404">
        <v>6</v>
      </c>
      <c r="I404">
        <v>20611018925</v>
      </c>
      <c r="J404" t="s">
        <v>2628</v>
      </c>
      <c r="K404" s="8">
        <v>45960</v>
      </c>
      <c r="Q404">
        <v>33084</v>
      </c>
      <c r="R404">
        <v>1786</v>
      </c>
      <c r="S404" t="s">
        <v>1299</v>
      </c>
      <c r="T404" t="s">
        <v>163</v>
      </c>
      <c r="U404">
        <v>1</v>
      </c>
      <c r="V404">
        <v>269.73</v>
      </c>
      <c r="W404">
        <v>318.27999999999997</v>
      </c>
      <c r="X404">
        <v>0</v>
      </c>
      <c r="Y404">
        <v>269.73</v>
      </c>
      <c r="Z404">
        <v>18</v>
      </c>
      <c r="AA404">
        <v>48.55</v>
      </c>
      <c r="AB404">
        <v>318.27999999999997</v>
      </c>
      <c r="AC404">
        <v>1</v>
      </c>
      <c r="AD404">
        <v>1</v>
      </c>
      <c r="AE404" t="s">
        <v>1411</v>
      </c>
      <c r="AF404" t="s">
        <v>1412</v>
      </c>
      <c r="AG404">
        <v>2</v>
      </c>
      <c r="AH404" t="s">
        <v>25</v>
      </c>
      <c r="AI404">
        <v>6937</v>
      </c>
      <c r="AJ404" t="s">
        <v>1414</v>
      </c>
      <c r="AK404" t="s">
        <v>1251</v>
      </c>
      <c r="AL404">
        <v>3235</v>
      </c>
      <c r="AM404" t="s">
        <v>2462</v>
      </c>
      <c r="AN404" s="8">
        <v>45950</v>
      </c>
      <c r="AO404" s="8">
        <v>45950</v>
      </c>
      <c r="AP404">
        <v>1128</v>
      </c>
      <c r="AQ404" t="s">
        <v>34</v>
      </c>
      <c r="AR404" t="s">
        <v>12</v>
      </c>
      <c r="AS404" t="str">
        <f>+CONCATENATE(A404,"-",B404)</f>
        <v>(01) Factura FOF1-00000214</v>
      </c>
    </row>
    <row r="405" spans="1:45" ht="15" customHeight="1">
      <c r="A405" t="s">
        <v>1216</v>
      </c>
      <c r="B405" s="21" t="s">
        <v>1585</v>
      </c>
      <c r="C405" t="s">
        <v>27</v>
      </c>
      <c r="D405" s="8">
        <v>45952</v>
      </c>
      <c r="E405" s="22">
        <v>45964.774942129632</v>
      </c>
      <c r="F405" t="s">
        <v>1586</v>
      </c>
      <c r="H405">
        <v>6</v>
      </c>
      <c r="I405">
        <v>20613741799</v>
      </c>
      <c r="J405" t="s">
        <v>1587</v>
      </c>
      <c r="K405" s="8">
        <v>45952</v>
      </c>
      <c r="Q405">
        <v>32315</v>
      </c>
      <c r="R405">
        <v>1788</v>
      </c>
      <c r="S405" t="s">
        <v>1588</v>
      </c>
      <c r="T405" t="s">
        <v>215</v>
      </c>
      <c r="U405">
        <v>1000</v>
      </c>
      <c r="V405">
        <v>0.27</v>
      </c>
      <c r="W405">
        <v>0.32</v>
      </c>
      <c r="X405">
        <v>0</v>
      </c>
      <c r="Y405">
        <v>270</v>
      </c>
      <c r="Z405">
        <v>18</v>
      </c>
      <c r="AA405">
        <v>48.6</v>
      </c>
      <c r="AB405">
        <v>318.60000000000002</v>
      </c>
      <c r="AC405">
        <v>1</v>
      </c>
      <c r="AD405">
        <v>1</v>
      </c>
      <c r="AE405" t="s">
        <v>1411</v>
      </c>
      <c r="AF405" t="s">
        <v>1412</v>
      </c>
      <c r="AG405">
        <v>16</v>
      </c>
      <c r="AH405" t="s">
        <v>1400</v>
      </c>
      <c r="AI405">
        <v>1106</v>
      </c>
      <c r="AJ405" t="s">
        <v>239</v>
      </c>
      <c r="AK405" t="s">
        <v>1406</v>
      </c>
      <c r="AL405">
        <v>3281</v>
      </c>
      <c r="AM405" t="s">
        <v>1589</v>
      </c>
      <c r="AN405" s="8">
        <v>45962</v>
      </c>
      <c r="AO405" s="8">
        <v>45962</v>
      </c>
      <c r="AP405">
        <v>5305</v>
      </c>
      <c r="AQ405" t="s">
        <v>1590</v>
      </c>
      <c r="AR405" t="s">
        <v>1295</v>
      </c>
      <c r="AS405" t="str">
        <f>+CONCATENATE(A405,"-",B405)</f>
        <v>(01) Factura FOF1-00000140</v>
      </c>
    </row>
    <row r="406" spans="1:45" ht="15" customHeight="1">
      <c r="A406" t="s">
        <v>1216</v>
      </c>
      <c r="B406" s="21" t="s">
        <v>1585</v>
      </c>
      <c r="C406" t="s">
        <v>27</v>
      </c>
      <c r="D406" s="8">
        <v>45952</v>
      </c>
      <c r="E406" s="22">
        <v>45964.774942129632</v>
      </c>
      <c r="F406" t="s">
        <v>1586</v>
      </c>
      <c r="H406">
        <v>6</v>
      </c>
      <c r="I406">
        <v>20613741799</v>
      </c>
      <c r="J406" t="s">
        <v>1587</v>
      </c>
      <c r="K406" s="8">
        <v>45952</v>
      </c>
      <c r="Q406">
        <v>32316</v>
      </c>
      <c r="R406">
        <v>1788</v>
      </c>
      <c r="S406" t="s">
        <v>1588</v>
      </c>
      <c r="T406" t="s">
        <v>215</v>
      </c>
      <c r="U406">
        <v>1000</v>
      </c>
      <c r="V406">
        <v>0.27</v>
      </c>
      <c r="W406">
        <v>0.32</v>
      </c>
      <c r="X406">
        <v>0</v>
      </c>
      <c r="Y406">
        <v>270</v>
      </c>
      <c r="Z406">
        <v>18</v>
      </c>
      <c r="AA406">
        <v>48.6</v>
      </c>
      <c r="AB406">
        <v>318.60000000000002</v>
      </c>
      <c r="AC406">
        <v>1</v>
      </c>
      <c r="AD406">
        <v>1</v>
      </c>
      <c r="AE406" t="s">
        <v>1411</v>
      </c>
      <c r="AF406" t="s">
        <v>1412</v>
      </c>
      <c r="AG406">
        <v>16</v>
      </c>
      <c r="AH406" t="s">
        <v>1400</v>
      </c>
      <c r="AI406">
        <v>1106</v>
      </c>
      <c r="AJ406" t="s">
        <v>239</v>
      </c>
      <c r="AK406" t="s">
        <v>1406</v>
      </c>
      <c r="AL406">
        <v>3281</v>
      </c>
      <c r="AM406" t="s">
        <v>1589</v>
      </c>
      <c r="AN406" s="8">
        <v>45962</v>
      </c>
      <c r="AO406" s="8">
        <v>45962</v>
      </c>
      <c r="AP406">
        <v>5305</v>
      </c>
      <c r="AQ406" t="s">
        <v>1590</v>
      </c>
      <c r="AR406" t="s">
        <v>1295</v>
      </c>
      <c r="AS406" t="str">
        <f>+CONCATENATE(A406,"-",B406)</f>
        <v>(01) Factura FOF1-00000140</v>
      </c>
    </row>
    <row r="407" spans="1:45" ht="15" customHeight="1">
      <c r="A407" t="s">
        <v>1216</v>
      </c>
      <c r="B407" s="21" t="s">
        <v>1600</v>
      </c>
      <c r="C407" t="s">
        <v>27</v>
      </c>
      <c r="D407" s="8">
        <v>45948</v>
      </c>
      <c r="E407" s="22">
        <v>45964.416666666664</v>
      </c>
      <c r="F407" t="s">
        <v>1586</v>
      </c>
      <c r="H407">
        <v>6</v>
      </c>
      <c r="I407">
        <v>20613741799</v>
      </c>
      <c r="J407" t="s">
        <v>1601</v>
      </c>
      <c r="K407" s="8">
        <v>45948</v>
      </c>
      <c r="Q407">
        <v>31738</v>
      </c>
      <c r="R407">
        <v>1788</v>
      </c>
      <c r="S407" t="s">
        <v>1588</v>
      </c>
      <c r="T407" t="s">
        <v>215</v>
      </c>
      <c r="U407">
        <v>1000</v>
      </c>
      <c r="V407">
        <v>0.27</v>
      </c>
      <c r="W407">
        <v>0.32</v>
      </c>
      <c r="X407">
        <v>0</v>
      </c>
      <c r="Y407">
        <v>270</v>
      </c>
      <c r="Z407">
        <v>18</v>
      </c>
      <c r="AA407">
        <v>48.6</v>
      </c>
      <c r="AB407">
        <v>318.60000000000002</v>
      </c>
      <c r="AC407">
        <v>1</v>
      </c>
      <c r="AD407">
        <v>1</v>
      </c>
      <c r="AE407" t="s">
        <v>1411</v>
      </c>
      <c r="AF407" t="s">
        <v>1412</v>
      </c>
      <c r="AG407">
        <v>16</v>
      </c>
      <c r="AH407" t="s">
        <v>1400</v>
      </c>
      <c r="AI407">
        <v>1106</v>
      </c>
      <c r="AJ407" t="s">
        <v>239</v>
      </c>
      <c r="AK407" t="s">
        <v>1406</v>
      </c>
      <c r="AL407">
        <v>3225</v>
      </c>
      <c r="AM407" t="s">
        <v>1602</v>
      </c>
      <c r="AN407" s="8">
        <v>45941</v>
      </c>
      <c r="AO407" s="8">
        <v>45941</v>
      </c>
      <c r="AP407">
        <v>5521</v>
      </c>
      <c r="AQ407" t="s">
        <v>1586</v>
      </c>
      <c r="AR407" t="s">
        <v>12</v>
      </c>
      <c r="AS407" t="str">
        <f>+CONCATENATE(A407,"-",B407)</f>
        <v>(01) Factura FOF1-00000135</v>
      </c>
    </row>
    <row r="408" spans="1:45" ht="15" customHeight="1">
      <c r="A408" t="s">
        <v>1238</v>
      </c>
      <c r="B408">
        <v>731</v>
      </c>
      <c r="C408" t="s">
        <v>27</v>
      </c>
      <c r="D408" s="8">
        <v>45693</v>
      </c>
      <c r="E408" s="22">
        <v>45964</v>
      </c>
      <c r="F408" t="s">
        <v>566</v>
      </c>
      <c r="H408">
        <v>1</v>
      </c>
      <c r="I408">
        <v>45273802</v>
      </c>
      <c r="J408" t="s">
        <v>1950</v>
      </c>
      <c r="K408" s="8">
        <v>45693</v>
      </c>
      <c r="Q408">
        <v>18720</v>
      </c>
      <c r="R408">
        <v>877</v>
      </c>
      <c r="S408" t="s">
        <v>1300</v>
      </c>
      <c r="T408" t="s">
        <v>215</v>
      </c>
      <c r="U408">
        <v>1</v>
      </c>
      <c r="V408">
        <v>272.2</v>
      </c>
      <c r="W408">
        <v>321.2</v>
      </c>
      <c r="X408">
        <v>0</v>
      </c>
      <c r="Y408">
        <v>272.2</v>
      </c>
      <c r="Z408">
        <v>18</v>
      </c>
      <c r="AA408">
        <v>49</v>
      </c>
      <c r="AB408">
        <v>321.2</v>
      </c>
      <c r="AC408">
        <v>1</v>
      </c>
      <c r="AD408">
        <v>1</v>
      </c>
      <c r="AE408" t="s">
        <v>232</v>
      </c>
      <c r="AF408" t="s">
        <v>29</v>
      </c>
      <c r="AG408">
        <v>2</v>
      </c>
      <c r="AH408" t="s">
        <v>25</v>
      </c>
      <c r="AI408">
        <v>1106</v>
      </c>
      <c r="AJ408" t="s">
        <v>239</v>
      </c>
      <c r="AK408" t="s">
        <v>1237</v>
      </c>
      <c r="AP408">
        <v>1174</v>
      </c>
      <c r="AQ408" t="s">
        <v>566</v>
      </c>
      <c r="AR408" t="s">
        <v>1295</v>
      </c>
      <c r="AS408" t="str">
        <f>+CONCATENATE(A408,"-",B408)</f>
        <v>BB01-731</v>
      </c>
    </row>
    <row r="409" spans="1:45" ht="15" customHeight="1">
      <c r="A409" t="s">
        <v>216</v>
      </c>
      <c r="B409">
        <v>1319</v>
      </c>
      <c r="C409" t="s">
        <v>27</v>
      </c>
      <c r="D409" s="8">
        <v>45685</v>
      </c>
      <c r="E409" s="22">
        <v>45964</v>
      </c>
      <c r="F409" t="s">
        <v>1342</v>
      </c>
      <c r="H409">
        <v>6</v>
      </c>
      <c r="I409">
        <v>20600937988</v>
      </c>
      <c r="J409" t="s">
        <v>2031</v>
      </c>
      <c r="K409" s="8">
        <v>45685</v>
      </c>
      <c r="Q409">
        <v>18626</v>
      </c>
      <c r="R409">
        <v>877</v>
      </c>
      <c r="S409" t="s">
        <v>1300</v>
      </c>
      <c r="T409" t="s">
        <v>215</v>
      </c>
      <c r="U409">
        <v>1</v>
      </c>
      <c r="V409">
        <v>274.92</v>
      </c>
      <c r="W409">
        <v>324.39999999999998</v>
      </c>
      <c r="X409">
        <v>0</v>
      </c>
      <c r="Y409">
        <v>274.92</v>
      </c>
      <c r="Z409">
        <v>18</v>
      </c>
      <c r="AA409">
        <v>49.48</v>
      </c>
      <c r="AB409">
        <v>324.39999999999998</v>
      </c>
      <c r="AC409">
        <v>1</v>
      </c>
      <c r="AD409">
        <v>1</v>
      </c>
      <c r="AE409" t="s">
        <v>232</v>
      </c>
      <c r="AF409" t="s">
        <v>29</v>
      </c>
      <c r="AG409">
        <v>2</v>
      </c>
      <c r="AH409" t="s">
        <v>25</v>
      </c>
      <c r="AI409">
        <v>1106</v>
      </c>
      <c r="AJ409" t="s">
        <v>239</v>
      </c>
      <c r="AK409" t="s">
        <v>1237</v>
      </c>
      <c r="AP409">
        <v>1135</v>
      </c>
      <c r="AQ409" t="s">
        <v>1342</v>
      </c>
      <c r="AR409" t="s">
        <v>12</v>
      </c>
      <c r="AS409" t="str">
        <f>+CONCATENATE(A409,"-",B409)</f>
        <v>FB01-1319</v>
      </c>
    </row>
    <row r="410" spans="1:45" ht="15" customHeight="1">
      <c r="A410" t="s">
        <v>1238</v>
      </c>
      <c r="B410">
        <v>740</v>
      </c>
      <c r="C410" t="s">
        <v>27</v>
      </c>
      <c r="D410" s="8">
        <v>45693</v>
      </c>
      <c r="E410" s="22">
        <v>45964</v>
      </c>
      <c r="F410" t="s">
        <v>547</v>
      </c>
      <c r="G410" t="s">
        <v>158</v>
      </c>
      <c r="H410">
        <v>1</v>
      </c>
      <c r="I410">
        <v>44292844</v>
      </c>
      <c r="J410" t="s">
        <v>1926</v>
      </c>
      <c r="K410" s="8">
        <v>45693</v>
      </c>
      <c r="Q410">
        <v>18754</v>
      </c>
      <c r="R410">
        <v>877</v>
      </c>
      <c r="S410" t="s">
        <v>1300</v>
      </c>
      <c r="T410" t="s">
        <v>215</v>
      </c>
      <c r="U410">
        <v>1</v>
      </c>
      <c r="V410">
        <v>275.32</v>
      </c>
      <c r="W410">
        <v>324.88</v>
      </c>
      <c r="X410">
        <v>0</v>
      </c>
      <c r="Y410">
        <v>275.32</v>
      </c>
      <c r="Z410">
        <v>18</v>
      </c>
      <c r="AA410">
        <v>49.56</v>
      </c>
      <c r="AB410">
        <v>324.88</v>
      </c>
      <c r="AC410">
        <v>1</v>
      </c>
      <c r="AD410">
        <v>1</v>
      </c>
      <c r="AE410" t="s">
        <v>232</v>
      </c>
      <c r="AF410" t="s">
        <v>29</v>
      </c>
      <c r="AG410">
        <v>2</v>
      </c>
      <c r="AH410" t="s">
        <v>25</v>
      </c>
      <c r="AI410">
        <v>1106</v>
      </c>
      <c r="AJ410" t="s">
        <v>239</v>
      </c>
      <c r="AK410" t="s">
        <v>1237</v>
      </c>
      <c r="AP410">
        <v>463</v>
      </c>
      <c r="AQ410" t="s">
        <v>547</v>
      </c>
      <c r="AR410" t="s">
        <v>1295</v>
      </c>
      <c r="AS410" t="str">
        <f>+CONCATENATE(A410,"-",B410)</f>
        <v>BB01-740</v>
      </c>
    </row>
    <row r="411" spans="1:45" ht="15" customHeight="1">
      <c r="A411" t="s">
        <v>216</v>
      </c>
      <c r="B411">
        <v>1314</v>
      </c>
      <c r="C411" t="s">
        <v>27</v>
      </c>
      <c r="D411" s="8">
        <v>45685</v>
      </c>
      <c r="E411" s="22">
        <v>45964</v>
      </c>
      <c r="F411" t="s">
        <v>725</v>
      </c>
      <c r="H411">
        <v>6</v>
      </c>
      <c r="I411">
        <v>20611616261</v>
      </c>
      <c r="J411" t="s">
        <v>2038</v>
      </c>
      <c r="K411" s="8">
        <v>45685</v>
      </c>
      <c r="Q411">
        <v>18619</v>
      </c>
      <c r="R411">
        <v>877</v>
      </c>
      <c r="S411" t="s">
        <v>1300</v>
      </c>
      <c r="T411" t="s">
        <v>215</v>
      </c>
      <c r="U411">
        <v>1</v>
      </c>
      <c r="V411">
        <v>276.52999999999997</v>
      </c>
      <c r="W411">
        <v>326.3</v>
      </c>
      <c r="X411">
        <v>0</v>
      </c>
      <c r="Y411">
        <v>276.52999999999997</v>
      </c>
      <c r="Z411">
        <v>18</v>
      </c>
      <c r="AA411">
        <v>49.77</v>
      </c>
      <c r="AB411">
        <v>326.3</v>
      </c>
      <c r="AC411">
        <v>1</v>
      </c>
      <c r="AD411">
        <v>1</v>
      </c>
      <c r="AE411" t="s">
        <v>232</v>
      </c>
      <c r="AF411" t="s">
        <v>29</v>
      </c>
      <c r="AG411">
        <v>2</v>
      </c>
      <c r="AH411" t="s">
        <v>25</v>
      </c>
      <c r="AI411">
        <v>1106</v>
      </c>
      <c r="AJ411" t="s">
        <v>239</v>
      </c>
      <c r="AK411" t="s">
        <v>1237</v>
      </c>
      <c r="AP411">
        <v>1133</v>
      </c>
      <c r="AQ411" t="s">
        <v>725</v>
      </c>
      <c r="AR411" t="s">
        <v>12</v>
      </c>
      <c r="AS411" t="str">
        <f>+CONCATENATE(A411,"-",B411)</f>
        <v>FB01-1314</v>
      </c>
    </row>
    <row r="412" spans="1:45" ht="15" customHeight="1">
      <c r="A412" t="s">
        <v>1238</v>
      </c>
      <c r="B412">
        <v>716</v>
      </c>
      <c r="C412" t="s">
        <v>27</v>
      </c>
      <c r="D412" s="8">
        <v>45687</v>
      </c>
      <c r="E412" s="22">
        <v>45964</v>
      </c>
      <c r="F412" t="s">
        <v>566</v>
      </c>
      <c r="H412">
        <v>1</v>
      </c>
      <c r="I412">
        <v>45273802</v>
      </c>
      <c r="J412" t="s">
        <v>1983</v>
      </c>
      <c r="K412" s="8">
        <v>45687</v>
      </c>
      <c r="Q412">
        <v>18682</v>
      </c>
      <c r="R412">
        <v>870</v>
      </c>
      <c r="S412" t="s">
        <v>1299</v>
      </c>
      <c r="T412" t="s">
        <v>215</v>
      </c>
      <c r="U412">
        <v>1</v>
      </c>
      <c r="V412">
        <v>279.66000000000003</v>
      </c>
      <c r="W412">
        <v>330</v>
      </c>
      <c r="X412">
        <v>0</v>
      </c>
      <c r="Y412">
        <v>279.66000000000003</v>
      </c>
      <c r="Z412">
        <v>18</v>
      </c>
      <c r="AA412">
        <v>50.34</v>
      </c>
      <c r="AB412">
        <v>330</v>
      </c>
      <c r="AC412">
        <v>1</v>
      </c>
      <c r="AD412">
        <v>1</v>
      </c>
      <c r="AE412" t="s">
        <v>232</v>
      </c>
      <c r="AF412" t="s">
        <v>29</v>
      </c>
      <c r="AG412">
        <v>2</v>
      </c>
      <c r="AH412" t="s">
        <v>25</v>
      </c>
      <c r="AI412">
        <v>1106</v>
      </c>
      <c r="AJ412" t="s">
        <v>239</v>
      </c>
      <c r="AK412" t="s">
        <v>1237</v>
      </c>
      <c r="AP412">
        <v>1174</v>
      </c>
      <c r="AQ412" t="s">
        <v>566</v>
      </c>
      <c r="AR412" t="s">
        <v>1295</v>
      </c>
      <c r="AS412" t="str">
        <f>+CONCATENATE(A412,"-",B412)</f>
        <v>BB01-716</v>
      </c>
    </row>
    <row r="413" spans="1:45" ht="15" customHeight="1">
      <c r="A413" t="s">
        <v>1238</v>
      </c>
      <c r="B413">
        <v>669</v>
      </c>
      <c r="C413" t="s">
        <v>27</v>
      </c>
      <c r="D413" s="8">
        <v>45680</v>
      </c>
      <c r="E413" s="22">
        <v>45964</v>
      </c>
      <c r="F413" t="s">
        <v>335</v>
      </c>
      <c r="G413" t="s">
        <v>158</v>
      </c>
      <c r="H413">
        <v>1</v>
      </c>
      <c r="I413">
        <v>43908595</v>
      </c>
      <c r="J413" t="s">
        <v>2094</v>
      </c>
      <c r="K413" s="8">
        <v>45680</v>
      </c>
      <c r="Q413">
        <v>17798</v>
      </c>
      <c r="R413">
        <v>877</v>
      </c>
      <c r="S413" t="s">
        <v>1300</v>
      </c>
      <c r="T413" t="s">
        <v>215</v>
      </c>
      <c r="U413">
        <v>1</v>
      </c>
      <c r="V413">
        <v>281.61</v>
      </c>
      <c r="W413">
        <v>332.3</v>
      </c>
      <c r="X413">
        <v>0</v>
      </c>
      <c r="Y413">
        <v>281.61</v>
      </c>
      <c r="Z413">
        <v>18</v>
      </c>
      <c r="AA413">
        <v>50.69</v>
      </c>
      <c r="AB413">
        <v>332.3</v>
      </c>
      <c r="AC413">
        <v>1</v>
      </c>
      <c r="AD413">
        <v>1</v>
      </c>
      <c r="AE413" t="s">
        <v>232</v>
      </c>
      <c r="AF413" t="s">
        <v>29</v>
      </c>
      <c r="AG413">
        <v>2</v>
      </c>
      <c r="AH413" t="s">
        <v>25</v>
      </c>
      <c r="AI413">
        <v>1106</v>
      </c>
      <c r="AJ413" t="s">
        <v>239</v>
      </c>
      <c r="AK413" t="s">
        <v>1237</v>
      </c>
      <c r="AP413">
        <v>393</v>
      </c>
      <c r="AQ413" t="s">
        <v>335</v>
      </c>
      <c r="AR413" t="s">
        <v>1295</v>
      </c>
      <c r="AS413" t="str">
        <f>+CONCATENATE(A413,"-",B413)</f>
        <v>BB01-669</v>
      </c>
    </row>
    <row r="414" spans="1:45" ht="15" customHeight="1">
      <c r="A414" t="s">
        <v>1238</v>
      </c>
      <c r="B414">
        <v>711</v>
      </c>
      <c r="C414" t="s">
        <v>27</v>
      </c>
      <c r="D414" s="8">
        <v>45687</v>
      </c>
      <c r="E414" s="22">
        <v>45964</v>
      </c>
      <c r="F414" t="s">
        <v>617</v>
      </c>
      <c r="H414">
        <v>1</v>
      </c>
      <c r="I414">
        <v>74023096</v>
      </c>
      <c r="J414" t="s">
        <v>1987</v>
      </c>
      <c r="K414" s="8">
        <v>45687</v>
      </c>
      <c r="Q414">
        <v>18677</v>
      </c>
      <c r="R414">
        <v>870</v>
      </c>
      <c r="S414" t="s">
        <v>1299</v>
      </c>
      <c r="T414" t="s">
        <v>215</v>
      </c>
      <c r="U414">
        <v>1</v>
      </c>
      <c r="V414">
        <v>283.73</v>
      </c>
      <c r="W414">
        <v>334.8</v>
      </c>
      <c r="X414">
        <v>0</v>
      </c>
      <c r="Y414">
        <v>283.73</v>
      </c>
      <c r="Z414">
        <v>18</v>
      </c>
      <c r="AA414">
        <v>51.07</v>
      </c>
      <c r="AB414">
        <v>334.8</v>
      </c>
      <c r="AC414">
        <v>1</v>
      </c>
      <c r="AD414">
        <v>1</v>
      </c>
      <c r="AE414" t="s">
        <v>232</v>
      </c>
      <c r="AF414" t="s">
        <v>29</v>
      </c>
      <c r="AG414">
        <v>2</v>
      </c>
      <c r="AH414" t="s">
        <v>25</v>
      </c>
      <c r="AI414">
        <v>1106</v>
      </c>
      <c r="AJ414" t="s">
        <v>239</v>
      </c>
      <c r="AK414" t="s">
        <v>1237</v>
      </c>
      <c r="AP414">
        <v>1172</v>
      </c>
      <c r="AQ414" t="s">
        <v>617</v>
      </c>
      <c r="AR414" t="s">
        <v>1295</v>
      </c>
      <c r="AS414" t="str">
        <f>+CONCATENATE(A414,"-",B414)</f>
        <v>BB01-711</v>
      </c>
    </row>
    <row r="415" spans="1:45" ht="15" customHeight="1">
      <c r="A415" t="s">
        <v>216</v>
      </c>
      <c r="B415">
        <v>1214</v>
      </c>
      <c r="C415" t="s">
        <v>27</v>
      </c>
      <c r="D415" s="8">
        <v>45663</v>
      </c>
      <c r="E415" s="22">
        <v>45964</v>
      </c>
      <c r="F415" t="s">
        <v>921</v>
      </c>
      <c r="H415">
        <v>6</v>
      </c>
      <c r="I415">
        <v>20609670518</v>
      </c>
      <c r="J415" t="s">
        <v>2168</v>
      </c>
      <c r="K415" s="8">
        <v>45663</v>
      </c>
      <c r="Q415">
        <v>17217</v>
      </c>
      <c r="R415">
        <v>871</v>
      </c>
      <c r="S415" t="s">
        <v>1316</v>
      </c>
      <c r="T415" t="s">
        <v>215</v>
      </c>
      <c r="U415">
        <v>1</v>
      </c>
      <c r="V415">
        <v>283.79000000000002</v>
      </c>
      <c r="W415">
        <v>334.87</v>
      </c>
      <c r="X415">
        <v>0</v>
      </c>
      <c r="Y415">
        <v>283.79000000000002</v>
      </c>
      <c r="Z415">
        <v>18</v>
      </c>
      <c r="AA415">
        <v>51.08</v>
      </c>
      <c r="AB415">
        <v>334.87</v>
      </c>
      <c r="AC415">
        <v>1</v>
      </c>
      <c r="AD415">
        <v>1</v>
      </c>
      <c r="AE415" t="s">
        <v>232</v>
      </c>
      <c r="AF415" t="s">
        <v>29</v>
      </c>
      <c r="AG415">
        <v>2</v>
      </c>
      <c r="AH415" t="s">
        <v>25</v>
      </c>
      <c r="AI415">
        <v>1106</v>
      </c>
      <c r="AJ415" t="s">
        <v>239</v>
      </c>
      <c r="AK415" t="s">
        <v>1237</v>
      </c>
      <c r="AP415">
        <v>1123</v>
      </c>
      <c r="AQ415" t="s">
        <v>921</v>
      </c>
      <c r="AR415" t="s">
        <v>12</v>
      </c>
      <c r="AS415" t="str">
        <f>+CONCATENATE(A415,"-",B415)</f>
        <v>FB01-1214</v>
      </c>
    </row>
    <row r="416" spans="1:45" ht="15" customHeight="1">
      <c r="A416" t="s">
        <v>1214</v>
      </c>
      <c r="B416" s="21" t="s">
        <v>1514</v>
      </c>
      <c r="C416" t="s">
        <v>27</v>
      </c>
      <c r="D416" s="8">
        <v>45954</v>
      </c>
      <c r="E416" s="22">
        <v>45964.573587962965</v>
      </c>
      <c r="F416" t="s">
        <v>1511</v>
      </c>
      <c r="H416">
        <v>1</v>
      </c>
      <c r="I416">
        <v>47037708</v>
      </c>
      <c r="J416" t="s">
        <v>1515</v>
      </c>
      <c r="K416" s="8">
        <v>45954</v>
      </c>
      <c r="Q416">
        <v>32509</v>
      </c>
      <c r="R416">
        <v>216</v>
      </c>
      <c r="S416" t="s">
        <v>1300</v>
      </c>
      <c r="T416" t="s">
        <v>163</v>
      </c>
      <c r="U416">
        <v>1</v>
      </c>
      <c r="V416">
        <v>284.75</v>
      </c>
      <c r="W416">
        <v>336.01</v>
      </c>
      <c r="X416">
        <v>0</v>
      </c>
      <c r="Y416">
        <v>284.75</v>
      </c>
      <c r="Z416">
        <v>18</v>
      </c>
      <c r="AA416">
        <v>51.26</v>
      </c>
      <c r="AB416">
        <v>336.01</v>
      </c>
      <c r="AC416">
        <v>1</v>
      </c>
      <c r="AD416">
        <v>1</v>
      </c>
      <c r="AE416" t="s">
        <v>1411</v>
      </c>
      <c r="AF416" t="s">
        <v>1412</v>
      </c>
      <c r="AG416">
        <v>2</v>
      </c>
      <c r="AH416" t="s">
        <v>25</v>
      </c>
      <c r="AI416">
        <v>6936</v>
      </c>
      <c r="AJ416" t="s">
        <v>1437</v>
      </c>
      <c r="AK416" t="s">
        <v>1433</v>
      </c>
      <c r="AL416">
        <v>3104</v>
      </c>
      <c r="AM416" t="s">
        <v>1513</v>
      </c>
      <c r="AN416" s="8">
        <v>45949</v>
      </c>
      <c r="AO416" s="8">
        <v>45949</v>
      </c>
      <c r="AP416">
        <v>5822</v>
      </c>
      <c r="AQ416" t="s">
        <v>1511</v>
      </c>
      <c r="AR416" t="s">
        <v>1295</v>
      </c>
      <c r="AS416" t="str">
        <f>+CONCATENATE(A416,"-",B416)</f>
        <v>(03) Boleta BOB1-00000079</v>
      </c>
    </row>
    <row r="417" spans="1:45" ht="15" customHeight="1">
      <c r="A417" t="s">
        <v>1214</v>
      </c>
      <c r="B417" s="21" t="s">
        <v>1713</v>
      </c>
      <c r="C417" t="s">
        <v>27</v>
      </c>
      <c r="D417" s="8">
        <v>45959</v>
      </c>
      <c r="E417" s="22">
        <v>45964.649050925924</v>
      </c>
      <c r="F417" t="s">
        <v>2480</v>
      </c>
      <c r="H417">
        <v>1</v>
      </c>
      <c r="I417">
        <v>47248550</v>
      </c>
      <c r="J417" t="s">
        <v>2654</v>
      </c>
      <c r="K417" s="8">
        <v>45959</v>
      </c>
      <c r="Q417">
        <v>32947</v>
      </c>
      <c r="R417">
        <v>1786</v>
      </c>
      <c r="S417" t="s">
        <v>1299</v>
      </c>
      <c r="T417" t="s">
        <v>163</v>
      </c>
      <c r="U417">
        <v>1</v>
      </c>
      <c r="V417">
        <v>287.83</v>
      </c>
      <c r="W417">
        <v>339.64</v>
      </c>
      <c r="X417">
        <v>0</v>
      </c>
      <c r="Y417">
        <v>287.83</v>
      </c>
      <c r="Z417">
        <v>18</v>
      </c>
      <c r="AA417">
        <v>51.81</v>
      </c>
      <c r="AB417">
        <v>339.64</v>
      </c>
      <c r="AC417">
        <v>1</v>
      </c>
      <c r="AD417">
        <v>1</v>
      </c>
      <c r="AE417" t="s">
        <v>1411</v>
      </c>
      <c r="AF417" t="s">
        <v>1412</v>
      </c>
      <c r="AG417">
        <v>2</v>
      </c>
      <c r="AH417" t="s">
        <v>25</v>
      </c>
      <c r="AI417">
        <v>6937</v>
      </c>
      <c r="AJ417" t="s">
        <v>1414</v>
      </c>
      <c r="AK417" t="s">
        <v>1251</v>
      </c>
      <c r="AL417">
        <v>3025</v>
      </c>
      <c r="AM417" t="s">
        <v>2481</v>
      </c>
      <c r="AN417" s="8">
        <v>45955</v>
      </c>
      <c r="AO417" s="8">
        <v>45955</v>
      </c>
      <c r="AP417">
        <v>5601</v>
      </c>
      <c r="AQ417" t="s">
        <v>2480</v>
      </c>
      <c r="AR417" t="s">
        <v>1295</v>
      </c>
      <c r="AS417" t="str">
        <f>+CONCATENATE(A417,"-",B417)</f>
        <v>(03) Boleta BOB1-00000114</v>
      </c>
    </row>
    <row r="418" spans="1:45" ht="15" customHeight="1">
      <c r="A418" t="s">
        <v>216</v>
      </c>
      <c r="B418">
        <v>1292</v>
      </c>
      <c r="C418" t="s">
        <v>27</v>
      </c>
      <c r="D418" s="8">
        <v>45680</v>
      </c>
      <c r="E418" s="22">
        <v>45964</v>
      </c>
      <c r="F418" t="s">
        <v>415</v>
      </c>
      <c r="H418">
        <v>6</v>
      </c>
      <c r="I418">
        <v>20611890746</v>
      </c>
      <c r="J418" t="s">
        <v>2079</v>
      </c>
      <c r="K418" s="8">
        <v>45680</v>
      </c>
      <c r="Q418">
        <v>17814</v>
      </c>
      <c r="R418">
        <v>870</v>
      </c>
      <c r="S418" t="s">
        <v>1299</v>
      </c>
      <c r="T418" t="s">
        <v>215</v>
      </c>
      <c r="U418">
        <v>1</v>
      </c>
      <c r="V418">
        <v>288.14</v>
      </c>
      <c r="W418">
        <v>340</v>
      </c>
      <c r="X418">
        <v>0</v>
      </c>
      <c r="Y418">
        <v>288.14</v>
      </c>
      <c r="Z418">
        <v>18</v>
      </c>
      <c r="AA418">
        <v>51.86</v>
      </c>
      <c r="AB418">
        <v>340</v>
      </c>
      <c r="AC418">
        <v>1</v>
      </c>
      <c r="AD418">
        <v>1</v>
      </c>
      <c r="AE418" t="s">
        <v>232</v>
      </c>
      <c r="AF418" t="s">
        <v>29</v>
      </c>
      <c r="AG418">
        <v>2</v>
      </c>
      <c r="AH418" t="s">
        <v>25</v>
      </c>
      <c r="AI418">
        <v>1106</v>
      </c>
      <c r="AJ418" t="s">
        <v>239</v>
      </c>
      <c r="AK418" t="s">
        <v>1237</v>
      </c>
      <c r="AP418">
        <v>1136</v>
      </c>
      <c r="AQ418" t="s">
        <v>415</v>
      </c>
      <c r="AR418" t="s">
        <v>12</v>
      </c>
      <c r="AS418" t="str">
        <f>+CONCATENATE(A418,"-",B418)</f>
        <v>FB01-1292</v>
      </c>
    </row>
    <row r="419" spans="1:45" ht="15" customHeight="1">
      <c r="A419" t="s">
        <v>1214</v>
      </c>
      <c r="B419" s="21" t="s">
        <v>1488</v>
      </c>
      <c r="C419" t="s">
        <v>27</v>
      </c>
      <c r="D419" s="8">
        <v>45954</v>
      </c>
      <c r="E419" s="22">
        <v>45964.580729166664</v>
      </c>
      <c r="F419" t="s">
        <v>1489</v>
      </c>
      <c r="H419">
        <v>1</v>
      </c>
      <c r="I419">
        <v>76629449</v>
      </c>
      <c r="J419" t="s">
        <v>1490</v>
      </c>
      <c r="K419" s="8">
        <v>45954</v>
      </c>
      <c r="Q419">
        <v>32533</v>
      </c>
      <c r="R419">
        <v>216</v>
      </c>
      <c r="S419" t="s">
        <v>1300</v>
      </c>
      <c r="T419" t="s">
        <v>163</v>
      </c>
      <c r="U419">
        <v>1</v>
      </c>
      <c r="V419">
        <v>289.11</v>
      </c>
      <c r="W419">
        <v>341.15</v>
      </c>
      <c r="X419">
        <v>0</v>
      </c>
      <c r="Y419">
        <v>289.11</v>
      </c>
      <c r="Z419">
        <v>18</v>
      </c>
      <c r="AA419">
        <v>52.04</v>
      </c>
      <c r="AB419">
        <v>341.15</v>
      </c>
      <c r="AC419">
        <v>1</v>
      </c>
      <c r="AD419">
        <v>1</v>
      </c>
      <c r="AE419" t="s">
        <v>1411</v>
      </c>
      <c r="AF419" t="s">
        <v>1412</v>
      </c>
      <c r="AG419">
        <v>2</v>
      </c>
      <c r="AH419" t="s">
        <v>25</v>
      </c>
      <c r="AI419">
        <v>6936</v>
      </c>
      <c r="AJ419" t="s">
        <v>1437</v>
      </c>
      <c r="AK419" t="s">
        <v>1433</v>
      </c>
      <c r="AL419">
        <v>2952</v>
      </c>
      <c r="AM419" t="s">
        <v>1491</v>
      </c>
      <c r="AN419" s="8">
        <v>45934</v>
      </c>
      <c r="AO419" s="8">
        <v>45934</v>
      </c>
      <c r="AP419">
        <v>6580</v>
      </c>
      <c r="AQ419" t="s">
        <v>1492</v>
      </c>
      <c r="AR419" t="s">
        <v>1295</v>
      </c>
      <c r="AS419" t="str">
        <f>+CONCATENATE(A419,"-",B419)</f>
        <v>(03) Boleta BOB1-00000087</v>
      </c>
    </row>
    <row r="420" spans="1:45" ht="15" customHeight="1">
      <c r="A420" t="s">
        <v>1214</v>
      </c>
      <c r="B420" s="21" t="s">
        <v>1564</v>
      </c>
      <c r="C420" t="s">
        <v>27</v>
      </c>
      <c r="D420" s="8">
        <v>45952</v>
      </c>
      <c r="E420" s="22">
        <v>45964.806006944447</v>
      </c>
      <c r="F420" t="s">
        <v>1492</v>
      </c>
      <c r="H420">
        <v>1</v>
      </c>
      <c r="I420">
        <v>46840541</v>
      </c>
      <c r="J420" t="s">
        <v>1565</v>
      </c>
      <c r="K420" s="8">
        <v>45952</v>
      </c>
      <c r="Q420">
        <v>32352</v>
      </c>
      <c r="R420">
        <v>216</v>
      </c>
      <c r="S420" t="s">
        <v>1300</v>
      </c>
      <c r="T420" t="s">
        <v>163</v>
      </c>
      <c r="U420">
        <v>1</v>
      </c>
      <c r="V420">
        <v>289.11</v>
      </c>
      <c r="W420">
        <v>341.15</v>
      </c>
      <c r="X420">
        <v>0</v>
      </c>
      <c r="Y420">
        <v>289.11</v>
      </c>
      <c r="Z420">
        <v>18</v>
      </c>
      <c r="AA420">
        <v>52.04</v>
      </c>
      <c r="AB420">
        <v>341.15</v>
      </c>
      <c r="AC420">
        <v>1</v>
      </c>
      <c r="AD420">
        <v>1</v>
      </c>
      <c r="AE420" t="s">
        <v>1411</v>
      </c>
      <c r="AF420" t="s">
        <v>1412</v>
      </c>
      <c r="AG420">
        <v>2</v>
      </c>
      <c r="AH420" t="s">
        <v>25</v>
      </c>
      <c r="AI420">
        <v>6936</v>
      </c>
      <c r="AJ420" t="s">
        <v>1437</v>
      </c>
      <c r="AK420" t="s">
        <v>1433</v>
      </c>
      <c r="AL420">
        <v>2952</v>
      </c>
      <c r="AM420" t="s">
        <v>1491</v>
      </c>
      <c r="AN420" s="8">
        <v>45934</v>
      </c>
      <c r="AO420" s="8">
        <v>45934</v>
      </c>
      <c r="AP420">
        <v>6580</v>
      </c>
      <c r="AQ420" t="s">
        <v>1492</v>
      </c>
      <c r="AR420" t="s">
        <v>1295</v>
      </c>
      <c r="AS420" t="str">
        <f>+CONCATENATE(A420,"-",B420)</f>
        <v>(03) Boleta BOB1-00000076</v>
      </c>
    </row>
    <row r="421" spans="1:45" ht="15" customHeight="1">
      <c r="A421" t="s">
        <v>216</v>
      </c>
      <c r="B421">
        <v>1303</v>
      </c>
      <c r="C421" t="s">
        <v>27</v>
      </c>
      <c r="D421" s="8">
        <v>45680</v>
      </c>
      <c r="E421" s="22">
        <v>45964</v>
      </c>
      <c r="F421" t="s">
        <v>462</v>
      </c>
      <c r="G421" t="s">
        <v>158</v>
      </c>
      <c r="H421">
        <v>6</v>
      </c>
      <c r="I421">
        <v>20608627422</v>
      </c>
      <c r="J421" t="s">
        <v>2070</v>
      </c>
      <c r="K421" s="8">
        <v>45680</v>
      </c>
      <c r="Q421">
        <v>17825</v>
      </c>
      <c r="R421">
        <v>870</v>
      </c>
      <c r="S421" t="s">
        <v>1299</v>
      </c>
      <c r="T421" t="s">
        <v>215</v>
      </c>
      <c r="U421">
        <v>1</v>
      </c>
      <c r="V421">
        <v>289.32</v>
      </c>
      <c r="W421">
        <v>341.4</v>
      </c>
      <c r="X421">
        <v>0</v>
      </c>
      <c r="Y421">
        <v>289.32</v>
      </c>
      <c r="Z421">
        <v>18</v>
      </c>
      <c r="AA421">
        <v>52.08</v>
      </c>
      <c r="AB421">
        <v>341.4</v>
      </c>
      <c r="AC421">
        <v>1</v>
      </c>
      <c r="AD421">
        <v>1</v>
      </c>
      <c r="AE421" t="s">
        <v>232</v>
      </c>
      <c r="AF421" t="s">
        <v>29</v>
      </c>
      <c r="AG421">
        <v>2</v>
      </c>
      <c r="AH421" t="s">
        <v>25</v>
      </c>
      <c r="AI421">
        <v>1106</v>
      </c>
      <c r="AJ421" t="s">
        <v>239</v>
      </c>
      <c r="AK421" t="s">
        <v>1237</v>
      </c>
      <c r="AP421">
        <v>396</v>
      </c>
      <c r="AQ421" t="s">
        <v>462</v>
      </c>
      <c r="AR421" t="s">
        <v>12</v>
      </c>
      <c r="AS421" t="str">
        <f>+CONCATENATE(A421,"-",B421)</f>
        <v>FB01-1303</v>
      </c>
    </row>
    <row r="422" spans="1:45" ht="15" customHeight="1">
      <c r="A422" t="s">
        <v>1214</v>
      </c>
      <c r="B422" s="21" t="s">
        <v>1715</v>
      </c>
      <c r="C422" t="s">
        <v>27</v>
      </c>
      <c r="D422" s="8">
        <v>45959</v>
      </c>
      <c r="E422" s="22">
        <v>45964.648541666669</v>
      </c>
      <c r="F422" t="s">
        <v>2480</v>
      </c>
      <c r="H422">
        <v>1</v>
      </c>
      <c r="I422">
        <v>47248550</v>
      </c>
      <c r="J422" t="s">
        <v>2655</v>
      </c>
      <c r="K422" s="8">
        <v>45959</v>
      </c>
      <c r="Q422">
        <v>32944</v>
      </c>
      <c r="R422">
        <v>216</v>
      </c>
      <c r="S422" t="s">
        <v>1300</v>
      </c>
      <c r="T422" t="s">
        <v>163</v>
      </c>
      <c r="U422">
        <v>1</v>
      </c>
      <c r="V422">
        <v>290.48</v>
      </c>
      <c r="W422">
        <v>342.77</v>
      </c>
      <c r="X422">
        <v>0</v>
      </c>
      <c r="Y422">
        <v>290.48</v>
      </c>
      <c r="Z422">
        <v>18</v>
      </c>
      <c r="AA422">
        <v>52.29</v>
      </c>
      <c r="AB422">
        <v>342.77</v>
      </c>
      <c r="AC422">
        <v>1</v>
      </c>
      <c r="AD422">
        <v>1</v>
      </c>
      <c r="AE422" t="s">
        <v>1411</v>
      </c>
      <c r="AF422" t="s">
        <v>1412</v>
      </c>
      <c r="AG422">
        <v>2</v>
      </c>
      <c r="AH422" t="s">
        <v>25</v>
      </c>
      <c r="AI422">
        <v>6936</v>
      </c>
      <c r="AJ422" t="s">
        <v>1437</v>
      </c>
      <c r="AK422" t="s">
        <v>1433</v>
      </c>
      <c r="AL422">
        <v>3025</v>
      </c>
      <c r="AM422" t="s">
        <v>2481</v>
      </c>
      <c r="AN422" s="8">
        <v>45955</v>
      </c>
      <c r="AO422" s="8">
        <v>45955</v>
      </c>
      <c r="AP422">
        <v>5601</v>
      </c>
      <c r="AQ422" t="s">
        <v>2480</v>
      </c>
      <c r="AR422" t="s">
        <v>1295</v>
      </c>
      <c r="AS422" t="str">
        <f>+CONCATENATE(A422,"-",B422)</f>
        <v>(03) Boleta BOB1-00000113</v>
      </c>
    </row>
    <row r="423" spans="1:45" ht="15" customHeight="1">
      <c r="A423" t="s">
        <v>1238</v>
      </c>
      <c r="B423">
        <v>682</v>
      </c>
      <c r="C423" t="s">
        <v>27</v>
      </c>
      <c r="D423" s="8">
        <v>45680</v>
      </c>
      <c r="E423" s="22">
        <v>45964</v>
      </c>
      <c r="F423" t="s">
        <v>519</v>
      </c>
      <c r="H423">
        <v>1</v>
      </c>
      <c r="I423">
        <v>19941551</v>
      </c>
      <c r="J423" t="s">
        <v>2056</v>
      </c>
      <c r="K423" s="8">
        <v>45680</v>
      </c>
      <c r="Q423">
        <v>17842</v>
      </c>
      <c r="R423">
        <v>940</v>
      </c>
      <c r="S423" t="s">
        <v>1310</v>
      </c>
      <c r="T423" t="s">
        <v>215</v>
      </c>
      <c r="U423">
        <v>1</v>
      </c>
      <c r="V423">
        <v>293.38</v>
      </c>
      <c r="W423">
        <v>346.19</v>
      </c>
      <c r="X423">
        <v>0</v>
      </c>
      <c r="Y423">
        <v>293.38</v>
      </c>
      <c r="Z423">
        <v>18</v>
      </c>
      <c r="AA423">
        <v>52.81</v>
      </c>
      <c r="AB423">
        <v>346.19</v>
      </c>
      <c r="AC423">
        <v>1</v>
      </c>
      <c r="AD423">
        <v>1</v>
      </c>
      <c r="AE423" t="s">
        <v>232</v>
      </c>
      <c r="AF423" t="s">
        <v>29</v>
      </c>
      <c r="AG423">
        <v>2</v>
      </c>
      <c r="AH423" t="s">
        <v>25</v>
      </c>
      <c r="AI423">
        <v>1106</v>
      </c>
      <c r="AJ423" t="s">
        <v>239</v>
      </c>
      <c r="AK423" t="s">
        <v>1237</v>
      </c>
      <c r="AP423">
        <v>1166</v>
      </c>
      <c r="AQ423" t="s">
        <v>519</v>
      </c>
      <c r="AR423" t="s">
        <v>1295</v>
      </c>
      <c r="AS423" t="str">
        <f>+CONCATENATE(A423,"-",B423)</f>
        <v>BB01-682</v>
      </c>
    </row>
    <row r="424" spans="1:45" ht="15" customHeight="1">
      <c r="A424" t="s">
        <v>216</v>
      </c>
      <c r="B424">
        <v>1398</v>
      </c>
      <c r="C424" t="s">
        <v>27</v>
      </c>
      <c r="D424" s="8">
        <v>45693</v>
      </c>
      <c r="E424" s="22">
        <v>45964</v>
      </c>
      <c r="F424" t="s">
        <v>1324</v>
      </c>
      <c r="H424">
        <v>6</v>
      </c>
      <c r="I424">
        <v>20603210868</v>
      </c>
      <c r="J424" t="s">
        <v>1937</v>
      </c>
      <c r="K424" s="8">
        <v>45693</v>
      </c>
      <c r="Q424">
        <v>18739</v>
      </c>
      <c r="R424">
        <v>877</v>
      </c>
      <c r="S424" t="s">
        <v>1300</v>
      </c>
      <c r="T424" t="s">
        <v>215</v>
      </c>
      <c r="U424">
        <v>1</v>
      </c>
      <c r="V424">
        <v>298.87</v>
      </c>
      <c r="W424">
        <v>352.67</v>
      </c>
      <c r="X424">
        <v>0</v>
      </c>
      <c r="Y424">
        <v>298.87</v>
      </c>
      <c r="Z424">
        <v>18</v>
      </c>
      <c r="AA424">
        <v>53.8</v>
      </c>
      <c r="AB424">
        <v>352.67</v>
      </c>
      <c r="AC424">
        <v>1</v>
      </c>
      <c r="AD424">
        <v>1</v>
      </c>
      <c r="AE424" t="s">
        <v>232</v>
      </c>
      <c r="AF424" t="s">
        <v>29</v>
      </c>
      <c r="AG424">
        <v>2</v>
      </c>
      <c r="AH424" t="s">
        <v>25</v>
      </c>
      <c r="AI424">
        <v>1106</v>
      </c>
      <c r="AJ424" t="s">
        <v>239</v>
      </c>
      <c r="AK424" t="s">
        <v>1237</v>
      </c>
      <c r="AP424">
        <v>1146</v>
      </c>
      <c r="AQ424" t="s">
        <v>1324</v>
      </c>
      <c r="AR424" t="s">
        <v>12</v>
      </c>
      <c r="AS424" t="str">
        <f>+CONCATENATE(A424,"-",B424)</f>
        <v>FB01-1398</v>
      </c>
    </row>
    <row r="425" spans="1:45" ht="15" customHeight="1">
      <c r="A425" t="s">
        <v>1216</v>
      </c>
      <c r="B425" s="21" t="s">
        <v>1404</v>
      </c>
      <c r="C425" t="s">
        <v>27</v>
      </c>
      <c r="D425" s="8">
        <v>45958</v>
      </c>
      <c r="E425" s="22">
        <v>45964.708333333336</v>
      </c>
      <c r="F425" t="s">
        <v>971</v>
      </c>
      <c r="H425">
        <v>6</v>
      </c>
      <c r="I425">
        <v>20604570451</v>
      </c>
      <c r="J425" t="s">
        <v>2688</v>
      </c>
      <c r="K425" s="8">
        <v>45958</v>
      </c>
      <c r="Q425">
        <v>32823</v>
      </c>
      <c r="R425">
        <v>1895</v>
      </c>
      <c r="S425" t="s">
        <v>1407</v>
      </c>
      <c r="T425" t="s">
        <v>215</v>
      </c>
      <c r="U425">
        <v>500</v>
      </c>
      <c r="V425">
        <v>0.6</v>
      </c>
      <c r="W425">
        <v>0.71</v>
      </c>
      <c r="X425">
        <v>0</v>
      </c>
      <c r="Y425">
        <v>300</v>
      </c>
      <c r="Z425">
        <v>18</v>
      </c>
      <c r="AA425">
        <v>54</v>
      </c>
      <c r="AB425">
        <v>354</v>
      </c>
      <c r="AC425">
        <v>1</v>
      </c>
      <c r="AD425">
        <v>1</v>
      </c>
      <c r="AE425" t="s">
        <v>1411</v>
      </c>
      <c r="AF425" t="s">
        <v>1412</v>
      </c>
      <c r="AG425">
        <v>16</v>
      </c>
      <c r="AH425" t="s">
        <v>1400</v>
      </c>
      <c r="AI425">
        <v>1106</v>
      </c>
      <c r="AJ425" t="s">
        <v>239</v>
      </c>
      <c r="AK425" t="s">
        <v>1406</v>
      </c>
      <c r="AL425">
        <v>3306</v>
      </c>
      <c r="AM425" t="s">
        <v>1403</v>
      </c>
      <c r="AN425" s="8">
        <v>45965</v>
      </c>
      <c r="AO425" s="8">
        <v>45965</v>
      </c>
      <c r="AP425">
        <v>1127</v>
      </c>
      <c r="AQ425" t="s">
        <v>971</v>
      </c>
      <c r="AR425" t="s">
        <v>12</v>
      </c>
      <c r="AS425" t="str">
        <f>+CONCATENATE(A425,"-",B425)</f>
        <v>(01) Factura FOF1-00000191</v>
      </c>
    </row>
    <row r="426" spans="1:45" ht="15" customHeight="1">
      <c r="A426" t="s">
        <v>1214</v>
      </c>
      <c r="B426" s="21" t="s">
        <v>1593</v>
      </c>
      <c r="C426" t="s">
        <v>27</v>
      </c>
      <c r="D426" s="8">
        <v>45948</v>
      </c>
      <c r="E426" s="22">
        <v>45964.458333333336</v>
      </c>
      <c r="F426" t="s">
        <v>742</v>
      </c>
      <c r="H426">
        <v>1</v>
      </c>
      <c r="I426">
        <v>74630652</v>
      </c>
      <c r="J426" t="s">
        <v>1594</v>
      </c>
      <c r="K426" s="8">
        <v>45948</v>
      </c>
      <c r="Q426">
        <v>31763</v>
      </c>
      <c r="R426">
        <v>2324</v>
      </c>
      <c r="S426" t="s">
        <v>1303</v>
      </c>
      <c r="T426" t="s">
        <v>215</v>
      </c>
      <c r="U426">
        <v>600</v>
      </c>
      <c r="V426">
        <v>0.5</v>
      </c>
      <c r="W426">
        <v>0.59</v>
      </c>
      <c r="X426">
        <v>0</v>
      </c>
      <c r="Y426">
        <v>300</v>
      </c>
      <c r="Z426">
        <v>18</v>
      </c>
      <c r="AA426">
        <v>54</v>
      </c>
      <c r="AB426">
        <v>354</v>
      </c>
      <c r="AC426">
        <v>1</v>
      </c>
      <c r="AD426">
        <v>1</v>
      </c>
      <c r="AE426" t="s">
        <v>1411</v>
      </c>
      <c r="AF426" t="s">
        <v>1412</v>
      </c>
      <c r="AG426">
        <v>16</v>
      </c>
      <c r="AH426" t="s">
        <v>1400</v>
      </c>
      <c r="AI426">
        <v>1106</v>
      </c>
      <c r="AJ426" t="s">
        <v>239</v>
      </c>
      <c r="AK426" t="s">
        <v>1406</v>
      </c>
      <c r="AL426">
        <v>2856</v>
      </c>
      <c r="AM426" t="s">
        <v>1595</v>
      </c>
      <c r="AN426" s="8">
        <v>45948</v>
      </c>
      <c r="AO426" s="8">
        <v>45948</v>
      </c>
      <c r="AP426">
        <v>1168</v>
      </c>
      <c r="AQ426" t="s">
        <v>742</v>
      </c>
      <c r="AR426" t="s">
        <v>1295</v>
      </c>
      <c r="AS426" t="str">
        <f>+CONCATENATE(A426,"-",B426)</f>
        <v>(03) Boleta BOB1-00000073</v>
      </c>
    </row>
    <row r="427" spans="1:45" ht="15" customHeight="1">
      <c r="A427" t="s">
        <v>1216</v>
      </c>
      <c r="B427" s="21" t="s">
        <v>1609</v>
      </c>
      <c r="C427" t="s">
        <v>27</v>
      </c>
      <c r="D427" s="8">
        <v>45948</v>
      </c>
      <c r="E427" s="22">
        <v>45964.375</v>
      </c>
      <c r="F427" t="s">
        <v>415</v>
      </c>
      <c r="H427">
        <v>6</v>
      </c>
      <c r="I427">
        <v>20611890746</v>
      </c>
      <c r="J427" t="s">
        <v>1610</v>
      </c>
      <c r="K427" s="8">
        <v>45948</v>
      </c>
      <c r="Q427">
        <v>31728</v>
      </c>
      <c r="R427">
        <v>1895</v>
      </c>
      <c r="S427" t="s">
        <v>1407</v>
      </c>
      <c r="T427" t="s">
        <v>215</v>
      </c>
      <c r="U427">
        <v>500</v>
      </c>
      <c r="V427">
        <v>0.6</v>
      </c>
      <c r="W427">
        <v>0.71</v>
      </c>
      <c r="X427">
        <v>0</v>
      </c>
      <c r="Y427">
        <v>300</v>
      </c>
      <c r="Z427">
        <v>18</v>
      </c>
      <c r="AA427">
        <v>54</v>
      </c>
      <c r="AB427">
        <v>354</v>
      </c>
      <c r="AC427">
        <v>1</v>
      </c>
      <c r="AD427">
        <v>1</v>
      </c>
      <c r="AE427" t="s">
        <v>1411</v>
      </c>
      <c r="AF427" t="s">
        <v>1412</v>
      </c>
      <c r="AG427">
        <v>16</v>
      </c>
      <c r="AH427" t="s">
        <v>1400</v>
      </c>
      <c r="AI427">
        <v>1106</v>
      </c>
      <c r="AJ427" t="s">
        <v>239</v>
      </c>
      <c r="AK427" t="s">
        <v>1406</v>
      </c>
      <c r="AL427">
        <v>3250</v>
      </c>
      <c r="AM427" t="s">
        <v>1611</v>
      </c>
      <c r="AN427" s="8">
        <v>45940</v>
      </c>
      <c r="AO427" s="8">
        <v>45940</v>
      </c>
      <c r="AP427">
        <v>1136</v>
      </c>
      <c r="AQ427" t="s">
        <v>415</v>
      </c>
      <c r="AR427" t="s">
        <v>12</v>
      </c>
      <c r="AS427" t="str">
        <f>+CONCATENATE(A427,"-",B427)</f>
        <v>(01) Factura FOF1-00000132</v>
      </c>
    </row>
    <row r="428" spans="1:45" ht="15" customHeight="1">
      <c r="A428" t="s">
        <v>1216</v>
      </c>
      <c r="B428" s="21" t="s">
        <v>1717</v>
      </c>
      <c r="C428" t="s">
        <v>27</v>
      </c>
      <c r="D428" s="8">
        <v>45946</v>
      </c>
      <c r="E428" s="22">
        <v>45964.834583333337</v>
      </c>
      <c r="F428" t="s">
        <v>415</v>
      </c>
      <c r="H428">
        <v>6</v>
      </c>
      <c r="I428">
        <v>20611890746</v>
      </c>
      <c r="J428" t="s">
        <v>1718</v>
      </c>
      <c r="K428" s="8">
        <v>45946</v>
      </c>
      <c r="Q428">
        <v>31548</v>
      </c>
      <c r="R428">
        <v>2314</v>
      </c>
      <c r="S428" t="s">
        <v>1302</v>
      </c>
      <c r="T428" t="s">
        <v>163</v>
      </c>
      <c r="U428">
        <v>1</v>
      </c>
      <c r="V428">
        <v>300</v>
      </c>
      <c r="W428">
        <v>354</v>
      </c>
      <c r="X428">
        <v>0</v>
      </c>
      <c r="Y428">
        <v>300</v>
      </c>
      <c r="Z428">
        <v>18</v>
      </c>
      <c r="AA428">
        <v>54</v>
      </c>
      <c r="AB428">
        <v>354</v>
      </c>
      <c r="AC428">
        <v>1</v>
      </c>
      <c r="AD428">
        <v>1</v>
      </c>
      <c r="AE428" t="s">
        <v>1411</v>
      </c>
      <c r="AF428" t="s">
        <v>1412</v>
      </c>
      <c r="AG428">
        <v>2</v>
      </c>
      <c r="AH428" t="s">
        <v>25</v>
      </c>
      <c r="AI428">
        <v>6959</v>
      </c>
      <c r="AJ428" t="s">
        <v>1401</v>
      </c>
      <c r="AK428" t="s">
        <v>1251</v>
      </c>
      <c r="AL428">
        <v>3134</v>
      </c>
      <c r="AM428" t="s">
        <v>1712</v>
      </c>
      <c r="AN428" s="8">
        <v>45935</v>
      </c>
      <c r="AO428" s="8">
        <v>45935</v>
      </c>
      <c r="AP428">
        <v>390</v>
      </c>
      <c r="AQ428" t="s">
        <v>1321</v>
      </c>
      <c r="AR428" t="s">
        <v>12</v>
      </c>
      <c r="AS428" t="str">
        <f>+CONCATENATE(A428,"-",B428)</f>
        <v>(01) Factura FOF1-00000112</v>
      </c>
    </row>
    <row r="429" spans="1:45" ht="15" customHeight="1">
      <c r="A429" t="s">
        <v>1216</v>
      </c>
      <c r="B429" s="21" t="s">
        <v>1727</v>
      </c>
      <c r="C429" t="s">
        <v>27</v>
      </c>
      <c r="D429" s="8">
        <v>45946</v>
      </c>
      <c r="E429" s="22">
        <v>45964.831689814811</v>
      </c>
      <c r="F429" t="s">
        <v>1321</v>
      </c>
      <c r="G429" t="s">
        <v>158</v>
      </c>
      <c r="H429">
        <v>6</v>
      </c>
      <c r="I429">
        <v>20296011356</v>
      </c>
      <c r="J429" t="s">
        <v>1728</v>
      </c>
      <c r="K429" s="8">
        <v>45946</v>
      </c>
      <c r="Q429">
        <v>31533</v>
      </c>
      <c r="R429">
        <v>2314</v>
      </c>
      <c r="S429" t="s">
        <v>1302</v>
      </c>
      <c r="T429" t="s">
        <v>163</v>
      </c>
      <c r="U429">
        <v>1</v>
      </c>
      <c r="V429">
        <v>300</v>
      </c>
      <c r="W429">
        <v>354</v>
      </c>
      <c r="X429">
        <v>0</v>
      </c>
      <c r="Y429">
        <v>300</v>
      </c>
      <c r="Z429">
        <v>18</v>
      </c>
      <c r="AA429">
        <v>54</v>
      </c>
      <c r="AB429">
        <v>354</v>
      </c>
      <c r="AC429">
        <v>1</v>
      </c>
      <c r="AD429">
        <v>1</v>
      </c>
      <c r="AE429" t="s">
        <v>1411</v>
      </c>
      <c r="AF429" t="s">
        <v>1412</v>
      </c>
      <c r="AG429">
        <v>2</v>
      </c>
      <c r="AH429" t="s">
        <v>25</v>
      </c>
      <c r="AI429">
        <v>6959</v>
      </c>
      <c r="AJ429" t="s">
        <v>1401</v>
      </c>
      <c r="AK429" t="s">
        <v>1251</v>
      </c>
      <c r="AL429">
        <v>3134</v>
      </c>
      <c r="AM429" t="s">
        <v>1712</v>
      </c>
      <c r="AN429" s="8">
        <v>45935</v>
      </c>
      <c r="AO429" s="8">
        <v>45935</v>
      </c>
      <c r="AP429">
        <v>390</v>
      </c>
      <c r="AQ429" t="s">
        <v>1321</v>
      </c>
      <c r="AR429" t="s">
        <v>12</v>
      </c>
      <c r="AS429" t="str">
        <f>+CONCATENATE(A429,"-",B429)</f>
        <v>(01) Factura FOF1-00000107</v>
      </c>
    </row>
    <row r="430" spans="1:45" ht="15" customHeight="1">
      <c r="A430" t="s">
        <v>1214</v>
      </c>
      <c r="B430" s="21" t="s">
        <v>174</v>
      </c>
      <c r="C430" t="s">
        <v>27</v>
      </c>
      <c r="D430" s="8">
        <v>45946</v>
      </c>
      <c r="E430" s="22">
        <v>45964.785520833335</v>
      </c>
      <c r="F430" t="s">
        <v>373</v>
      </c>
      <c r="H430">
        <v>1</v>
      </c>
      <c r="I430" s="21" t="s">
        <v>1234</v>
      </c>
      <c r="J430" t="s">
        <v>1785</v>
      </c>
      <c r="K430" s="8">
        <v>45946</v>
      </c>
      <c r="Q430">
        <v>31431</v>
      </c>
      <c r="R430">
        <v>2314</v>
      </c>
      <c r="S430" t="s">
        <v>1302</v>
      </c>
      <c r="T430" t="s">
        <v>163</v>
      </c>
      <c r="U430">
        <v>1</v>
      </c>
      <c r="V430">
        <v>300</v>
      </c>
      <c r="W430">
        <v>354</v>
      </c>
      <c r="X430">
        <v>0</v>
      </c>
      <c r="Y430">
        <v>300</v>
      </c>
      <c r="Z430">
        <v>18</v>
      </c>
      <c r="AA430">
        <v>54</v>
      </c>
      <c r="AB430">
        <v>354</v>
      </c>
      <c r="AC430">
        <v>1</v>
      </c>
      <c r="AD430">
        <v>1</v>
      </c>
      <c r="AE430" t="s">
        <v>1411</v>
      </c>
      <c r="AF430" t="s">
        <v>1412</v>
      </c>
      <c r="AG430">
        <v>2</v>
      </c>
      <c r="AH430" t="s">
        <v>25</v>
      </c>
      <c r="AI430">
        <v>6959</v>
      </c>
      <c r="AJ430" t="s">
        <v>1401</v>
      </c>
      <c r="AK430" t="s">
        <v>1251</v>
      </c>
      <c r="AL430">
        <v>3185</v>
      </c>
      <c r="AM430" t="s">
        <v>1235</v>
      </c>
      <c r="AN430" s="8">
        <v>45935</v>
      </c>
      <c r="AO430" s="8">
        <v>45935</v>
      </c>
      <c r="AP430">
        <v>6123</v>
      </c>
      <c r="AQ430" t="s">
        <v>1296</v>
      </c>
      <c r="AR430" t="s">
        <v>12</v>
      </c>
      <c r="AS430" t="str">
        <f>+CONCATENATE(A430,"-",B430)</f>
        <v>(03) Boleta BOB1-00000041</v>
      </c>
    </row>
    <row r="431" spans="1:45" ht="15" customHeight="1">
      <c r="A431" t="s">
        <v>1216</v>
      </c>
      <c r="B431" s="21" t="s">
        <v>1654</v>
      </c>
      <c r="C431" t="s">
        <v>27</v>
      </c>
      <c r="D431" s="8">
        <v>45946</v>
      </c>
      <c r="E431" s="22">
        <v>45964.75403935185</v>
      </c>
      <c r="F431" t="s">
        <v>1630</v>
      </c>
      <c r="H431">
        <v>6</v>
      </c>
      <c r="I431">
        <v>20606672323</v>
      </c>
      <c r="J431" t="s">
        <v>1807</v>
      </c>
      <c r="K431" s="8">
        <v>45946</v>
      </c>
      <c r="Q431">
        <v>31364</v>
      </c>
      <c r="R431">
        <v>2314</v>
      </c>
      <c r="S431" t="s">
        <v>1302</v>
      </c>
      <c r="T431" t="s">
        <v>163</v>
      </c>
      <c r="U431">
        <v>1</v>
      </c>
      <c r="V431">
        <v>300</v>
      </c>
      <c r="W431">
        <v>354</v>
      </c>
      <c r="X431">
        <v>0</v>
      </c>
      <c r="Y431">
        <v>300</v>
      </c>
      <c r="Z431">
        <v>18</v>
      </c>
      <c r="AA431">
        <v>54</v>
      </c>
      <c r="AB431">
        <v>354</v>
      </c>
      <c r="AC431">
        <v>1</v>
      </c>
      <c r="AD431">
        <v>1</v>
      </c>
      <c r="AE431" t="s">
        <v>1411</v>
      </c>
      <c r="AF431" t="s">
        <v>1412</v>
      </c>
      <c r="AG431">
        <v>2</v>
      </c>
      <c r="AH431" t="s">
        <v>25</v>
      </c>
      <c r="AI431">
        <v>6959</v>
      </c>
      <c r="AJ431" t="s">
        <v>1401</v>
      </c>
      <c r="AK431" t="s">
        <v>1251</v>
      </c>
      <c r="AL431">
        <v>3035</v>
      </c>
      <c r="AM431" t="s">
        <v>1632</v>
      </c>
      <c r="AN431" s="8">
        <v>45934</v>
      </c>
      <c r="AO431" s="8">
        <v>45934</v>
      </c>
      <c r="AP431">
        <v>5606</v>
      </c>
      <c r="AQ431" t="s">
        <v>1630</v>
      </c>
      <c r="AR431" t="s">
        <v>12</v>
      </c>
      <c r="AS431" t="str">
        <f>+CONCATENATE(A431,"-",B431)</f>
        <v>(01) Factura FOF1-00000064</v>
      </c>
    </row>
    <row r="432" spans="1:45" ht="15" customHeight="1">
      <c r="A432" t="s">
        <v>1214</v>
      </c>
      <c r="B432" s="21" t="s">
        <v>191</v>
      </c>
      <c r="C432" t="s">
        <v>27</v>
      </c>
      <c r="D432" s="8">
        <v>45945</v>
      </c>
      <c r="E432" s="22">
        <v>45964.757534722223</v>
      </c>
      <c r="F432" t="s">
        <v>281</v>
      </c>
      <c r="H432">
        <v>1</v>
      </c>
      <c r="I432">
        <v>73252959</v>
      </c>
      <c r="J432" t="s">
        <v>1857</v>
      </c>
      <c r="K432" s="8">
        <v>45945</v>
      </c>
      <c r="Q432">
        <v>31205</v>
      </c>
      <c r="R432">
        <v>2314</v>
      </c>
      <c r="S432" t="s">
        <v>1302</v>
      </c>
      <c r="T432" t="s">
        <v>163</v>
      </c>
      <c r="U432">
        <v>1</v>
      </c>
      <c r="V432">
        <v>300</v>
      </c>
      <c r="W432">
        <v>354</v>
      </c>
      <c r="X432">
        <v>0</v>
      </c>
      <c r="Y432">
        <v>300</v>
      </c>
      <c r="Z432">
        <v>18</v>
      </c>
      <c r="AA432">
        <v>54</v>
      </c>
      <c r="AB432">
        <v>354</v>
      </c>
      <c r="AC432">
        <v>1</v>
      </c>
      <c r="AD432">
        <v>1</v>
      </c>
      <c r="AE432" t="s">
        <v>1411</v>
      </c>
      <c r="AF432" t="s">
        <v>1412</v>
      </c>
      <c r="AG432">
        <v>2</v>
      </c>
      <c r="AH432" t="s">
        <v>25</v>
      </c>
      <c r="AI432">
        <v>1106</v>
      </c>
      <c r="AJ432" t="s">
        <v>239</v>
      </c>
      <c r="AK432" t="s">
        <v>169</v>
      </c>
      <c r="AL432">
        <v>3030</v>
      </c>
      <c r="AM432" t="s">
        <v>1225</v>
      </c>
      <c r="AN432" s="8">
        <v>45934</v>
      </c>
      <c r="AO432" s="8">
        <v>45934</v>
      </c>
      <c r="AP432">
        <v>5605</v>
      </c>
      <c r="AQ432" t="s">
        <v>281</v>
      </c>
      <c r="AR432" t="s">
        <v>1295</v>
      </c>
      <c r="AS432" t="str">
        <f>+CONCATENATE(A432,"-",B432)</f>
        <v>(03) Boleta BOB1-00000021</v>
      </c>
    </row>
    <row r="433" spans="1:45" ht="15" customHeight="1">
      <c r="A433" t="s">
        <v>1214</v>
      </c>
      <c r="B433" s="21" t="s">
        <v>193</v>
      </c>
      <c r="C433" t="s">
        <v>27</v>
      </c>
      <c r="D433" s="8">
        <v>45945</v>
      </c>
      <c r="E433" s="22">
        <v>45964.745532407411</v>
      </c>
      <c r="F433" t="s">
        <v>287</v>
      </c>
      <c r="H433">
        <v>1</v>
      </c>
      <c r="I433">
        <v>46168918</v>
      </c>
      <c r="J433" t="s">
        <v>1873</v>
      </c>
      <c r="K433" s="8">
        <v>45945</v>
      </c>
      <c r="Q433">
        <v>31157</v>
      </c>
      <c r="R433">
        <v>2314</v>
      </c>
      <c r="S433" t="s">
        <v>1302</v>
      </c>
      <c r="T433" t="s">
        <v>163</v>
      </c>
      <c r="U433">
        <v>1</v>
      </c>
      <c r="V433">
        <v>300</v>
      </c>
      <c r="W433">
        <v>354</v>
      </c>
      <c r="X433">
        <v>0</v>
      </c>
      <c r="Y433">
        <v>300</v>
      </c>
      <c r="Z433">
        <v>18</v>
      </c>
      <c r="AA433">
        <v>54</v>
      </c>
      <c r="AB433">
        <v>354</v>
      </c>
      <c r="AC433">
        <v>1</v>
      </c>
      <c r="AD433">
        <v>1</v>
      </c>
      <c r="AE433" t="s">
        <v>1411</v>
      </c>
      <c r="AF433" t="s">
        <v>1412</v>
      </c>
      <c r="AG433">
        <v>2</v>
      </c>
      <c r="AH433" t="s">
        <v>25</v>
      </c>
      <c r="AI433">
        <v>1106</v>
      </c>
      <c r="AJ433" t="s">
        <v>239</v>
      </c>
      <c r="AK433" t="s">
        <v>169</v>
      </c>
      <c r="AL433">
        <v>2953</v>
      </c>
      <c r="AM433" t="s">
        <v>1226</v>
      </c>
      <c r="AN433" s="8">
        <v>45934</v>
      </c>
      <c r="AO433" s="8">
        <v>45934</v>
      </c>
      <c r="AP433">
        <v>5592</v>
      </c>
      <c r="AQ433" t="s">
        <v>287</v>
      </c>
      <c r="AR433" t="s">
        <v>1295</v>
      </c>
      <c r="AS433" t="str">
        <f>+CONCATENATE(A433,"-",B433)</f>
        <v>(03) Boleta BOB1-00000013</v>
      </c>
    </row>
    <row r="434" spans="1:45" ht="15" customHeight="1">
      <c r="A434" t="s">
        <v>1238</v>
      </c>
      <c r="B434">
        <v>726</v>
      </c>
      <c r="C434" t="s">
        <v>27</v>
      </c>
      <c r="D434" s="8">
        <v>45693</v>
      </c>
      <c r="E434" s="22">
        <v>45964</v>
      </c>
      <c r="F434" t="s">
        <v>335</v>
      </c>
      <c r="G434" t="s">
        <v>158</v>
      </c>
      <c r="H434">
        <v>1</v>
      </c>
      <c r="I434">
        <v>43908595</v>
      </c>
      <c r="J434" t="s">
        <v>1961</v>
      </c>
      <c r="K434" s="8">
        <v>45693</v>
      </c>
      <c r="Q434">
        <v>18709</v>
      </c>
      <c r="R434">
        <v>966</v>
      </c>
      <c r="S434" t="s">
        <v>1254</v>
      </c>
      <c r="T434" t="s">
        <v>215</v>
      </c>
      <c r="U434">
        <v>1</v>
      </c>
      <c r="V434">
        <v>300</v>
      </c>
      <c r="W434">
        <v>354</v>
      </c>
      <c r="X434">
        <v>0</v>
      </c>
      <c r="Y434">
        <v>300</v>
      </c>
      <c r="Z434">
        <v>18</v>
      </c>
      <c r="AA434">
        <v>54</v>
      </c>
      <c r="AB434">
        <v>354</v>
      </c>
      <c r="AC434">
        <v>1</v>
      </c>
      <c r="AD434">
        <v>1</v>
      </c>
      <c r="AE434" t="s">
        <v>232</v>
      </c>
      <c r="AF434" t="s">
        <v>29</v>
      </c>
      <c r="AG434">
        <v>2</v>
      </c>
      <c r="AH434" t="s">
        <v>25</v>
      </c>
      <c r="AI434">
        <v>1106</v>
      </c>
      <c r="AJ434" t="s">
        <v>239</v>
      </c>
      <c r="AK434" t="s">
        <v>1243</v>
      </c>
      <c r="AP434">
        <v>393</v>
      </c>
      <c r="AQ434" t="s">
        <v>335</v>
      </c>
      <c r="AR434" t="s">
        <v>1295</v>
      </c>
      <c r="AS434" t="str">
        <f>+CONCATENATE(A434,"-",B434)</f>
        <v>BB01-726</v>
      </c>
    </row>
    <row r="435" spans="1:45" ht="15" customHeight="1">
      <c r="A435" t="s">
        <v>216</v>
      </c>
      <c r="B435">
        <v>1337</v>
      </c>
      <c r="C435" t="s">
        <v>27</v>
      </c>
      <c r="D435" s="8">
        <v>45686</v>
      </c>
      <c r="E435" s="22">
        <v>45964</v>
      </c>
      <c r="F435" t="s">
        <v>627</v>
      </c>
      <c r="H435">
        <v>6</v>
      </c>
      <c r="I435">
        <v>20101214771</v>
      </c>
      <c r="J435" t="s">
        <v>2013</v>
      </c>
      <c r="K435" s="8">
        <v>45686</v>
      </c>
      <c r="Q435">
        <v>18650</v>
      </c>
      <c r="R435">
        <v>913</v>
      </c>
      <c r="S435" t="s">
        <v>1338</v>
      </c>
      <c r="T435" t="s">
        <v>215</v>
      </c>
      <c r="U435">
        <v>1</v>
      </c>
      <c r="V435">
        <v>300</v>
      </c>
      <c r="W435">
        <v>354</v>
      </c>
      <c r="X435">
        <v>0</v>
      </c>
      <c r="Y435">
        <v>300</v>
      </c>
      <c r="Z435">
        <v>18</v>
      </c>
      <c r="AA435">
        <v>54</v>
      </c>
      <c r="AB435">
        <v>354</v>
      </c>
      <c r="AC435">
        <v>1</v>
      </c>
      <c r="AD435">
        <v>1</v>
      </c>
      <c r="AE435" t="s">
        <v>232</v>
      </c>
      <c r="AF435" t="s">
        <v>29</v>
      </c>
      <c r="AG435">
        <v>2</v>
      </c>
      <c r="AH435" t="s">
        <v>25</v>
      </c>
      <c r="AI435">
        <v>1106</v>
      </c>
      <c r="AJ435" t="s">
        <v>239</v>
      </c>
      <c r="AK435" t="s">
        <v>1251</v>
      </c>
      <c r="AP435">
        <v>1137</v>
      </c>
      <c r="AQ435" t="s">
        <v>627</v>
      </c>
      <c r="AR435" t="s">
        <v>12</v>
      </c>
      <c r="AS435" t="str">
        <f>+CONCATENATE(A435,"-",B435)</f>
        <v>FB01-1337</v>
      </c>
    </row>
    <row r="436" spans="1:45" ht="15" customHeight="1">
      <c r="A436" t="s">
        <v>216</v>
      </c>
      <c r="B436">
        <v>1265</v>
      </c>
      <c r="C436" t="s">
        <v>27</v>
      </c>
      <c r="D436" s="8">
        <v>45672</v>
      </c>
      <c r="E436" s="22">
        <v>45964</v>
      </c>
      <c r="F436" t="s">
        <v>1321</v>
      </c>
      <c r="G436" t="s">
        <v>158</v>
      </c>
      <c r="H436">
        <v>6</v>
      </c>
      <c r="I436">
        <v>20296011356</v>
      </c>
      <c r="J436" t="s">
        <v>2116</v>
      </c>
      <c r="K436" s="8">
        <v>45672</v>
      </c>
      <c r="Q436">
        <v>17774</v>
      </c>
      <c r="R436">
        <v>913</v>
      </c>
      <c r="S436" t="s">
        <v>1338</v>
      </c>
      <c r="T436" t="s">
        <v>215</v>
      </c>
      <c r="U436">
        <v>1</v>
      </c>
      <c r="V436">
        <v>300</v>
      </c>
      <c r="W436">
        <v>354</v>
      </c>
      <c r="X436">
        <v>0</v>
      </c>
      <c r="Y436">
        <v>300</v>
      </c>
      <c r="Z436">
        <v>18</v>
      </c>
      <c r="AA436">
        <v>54</v>
      </c>
      <c r="AB436">
        <v>354</v>
      </c>
      <c r="AC436">
        <v>1</v>
      </c>
      <c r="AD436">
        <v>1</v>
      </c>
      <c r="AE436" t="s">
        <v>232</v>
      </c>
      <c r="AF436" t="s">
        <v>29</v>
      </c>
      <c r="AG436">
        <v>2</v>
      </c>
      <c r="AH436" t="s">
        <v>25</v>
      </c>
      <c r="AI436">
        <v>1106</v>
      </c>
      <c r="AJ436" t="s">
        <v>239</v>
      </c>
      <c r="AK436" t="s">
        <v>1251</v>
      </c>
      <c r="AP436">
        <v>390</v>
      </c>
      <c r="AQ436" t="s">
        <v>1321</v>
      </c>
      <c r="AR436" t="s">
        <v>12</v>
      </c>
      <c r="AS436" t="str">
        <f>+CONCATENATE(A436,"-",B436)</f>
        <v>FB01-1265</v>
      </c>
    </row>
    <row r="437" spans="1:45" ht="15" customHeight="1">
      <c r="A437" t="s">
        <v>216</v>
      </c>
      <c r="B437">
        <v>1340</v>
      </c>
      <c r="C437" t="s">
        <v>27</v>
      </c>
      <c r="D437" s="8">
        <v>45686</v>
      </c>
      <c r="E437" s="22">
        <v>45964</v>
      </c>
      <c r="F437" t="s">
        <v>627</v>
      </c>
      <c r="H437">
        <v>6</v>
      </c>
      <c r="I437">
        <v>20101214771</v>
      </c>
      <c r="J437" t="s">
        <v>2010</v>
      </c>
      <c r="K437" s="8">
        <v>45686</v>
      </c>
      <c r="Q437">
        <v>18653</v>
      </c>
      <c r="R437">
        <v>870</v>
      </c>
      <c r="S437" t="s">
        <v>1299</v>
      </c>
      <c r="T437" t="s">
        <v>215</v>
      </c>
      <c r="U437">
        <v>1</v>
      </c>
      <c r="V437">
        <v>304.83</v>
      </c>
      <c r="W437">
        <v>359.7</v>
      </c>
      <c r="X437">
        <v>0</v>
      </c>
      <c r="Y437">
        <v>304.83</v>
      </c>
      <c r="Z437">
        <v>18</v>
      </c>
      <c r="AA437">
        <v>54.87</v>
      </c>
      <c r="AB437">
        <v>359.7</v>
      </c>
      <c r="AC437">
        <v>1</v>
      </c>
      <c r="AD437">
        <v>1</v>
      </c>
      <c r="AE437" t="s">
        <v>232</v>
      </c>
      <c r="AF437" t="s">
        <v>29</v>
      </c>
      <c r="AG437">
        <v>2</v>
      </c>
      <c r="AH437" t="s">
        <v>25</v>
      </c>
      <c r="AI437">
        <v>1106</v>
      </c>
      <c r="AJ437" t="s">
        <v>239</v>
      </c>
      <c r="AK437" t="s">
        <v>1237</v>
      </c>
      <c r="AP437">
        <v>1137</v>
      </c>
      <c r="AQ437" t="s">
        <v>627</v>
      </c>
      <c r="AR437" t="s">
        <v>12</v>
      </c>
      <c r="AS437" t="str">
        <f>+CONCATENATE(A437,"-",B437)</f>
        <v>FB01-1340</v>
      </c>
    </row>
    <row r="438" spans="1:45" ht="15" customHeight="1">
      <c r="A438" t="s">
        <v>1216</v>
      </c>
      <c r="B438" s="21" t="s">
        <v>1687</v>
      </c>
      <c r="C438" t="s">
        <v>27</v>
      </c>
      <c r="D438" s="8">
        <v>45946</v>
      </c>
      <c r="E438" s="22">
        <v>45964.743055555555</v>
      </c>
      <c r="F438" t="s">
        <v>1813</v>
      </c>
      <c r="H438">
        <v>6</v>
      </c>
      <c r="I438">
        <v>20613927221</v>
      </c>
      <c r="J438" t="s">
        <v>1816</v>
      </c>
      <c r="K438" s="8">
        <v>45946</v>
      </c>
      <c r="Q438">
        <v>31340</v>
      </c>
      <c r="R438">
        <v>216</v>
      </c>
      <c r="S438" t="s">
        <v>1300</v>
      </c>
      <c r="T438" t="s">
        <v>163</v>
      </c>
      <c r="U438">
        <v>1</v>
      </c>
      <c r="V438">
        <v>306.89999999999998</v>
      </c>
      <c r="W438">
        <v>362.14</v>
      </c>
      <c r="X438">
        <v>0</v>
      </c>
      <c r="Y438">
        <v>306.89999999999998</v>
      </c>
      <c r="Z438">
        <v>18</v>
      </c>
      <c r="AA438">
        <v>55.24</v>
      </c>
      <c r="AB438">
        <v>362.14</v>
      </c>
      <c r="AC438">
        <v>1</v>
      </c>
      <c r="AD438">
        <v>1</v>
      </c>
      <c r="AE438" t="s">
        <v>1411</v>
      </c>
      <c r="AF438" t="s">
        <v>1412</v>
      </c>
      <c r="AG438">
        <v>2</v>
      </c>
      <c r="AH438" t="s">
        <v>25</v>
      </c>
      <c r="AI438">
        <v>6936</v>
      </c>
      <c r="AJ438" t="s">
        <v>1437</v>
      </c>
      <c r="AK438" t="s">
        <v>1433</v>
      </c>
      <c r="AL438">
        <v>2616</v>
      </c>
      <c r="AM438" t="s">
        <v>1815</v>
      </c>
      <c r="AN438" s="8">
        <v>45928</v>
      </c>
      <c r="AO438" s="8">
        <v>45928</v>
      </c>
      <c r="AP438">
        <v>5539</v>
      </c>
      <c r="AQ438" t="s">
        <v>1813</v>
      </c>
      <c r="AR438" t="s">
        <v>12</v>
      </c>
      <c r="AS438" t="str">
        <f>+CONCATENATE(A438,"-",B438)</f>
        <v>(01) Factura FOF1-00000060</v>
      </c>
    </row>
    <row r="439" spans="1:45" ht="15" customHeight="1">
      <c r="A439" t="s">
        <v>216</v>
      </c>
      <c r="B439">
        <v>1399</v>
      </c>
      <c r="C439" t="s">
        <v>27</v>
      </c>
      <c r="D439" s="8">
        <v>45693</v>
      </c>
      <c r="E439" s="22">
        <v>45964</v>
      </c>
      <c r="F439" t="s">
        <v>1324</v>
      </c>
      <c r="H439">
        <v>6</v>
      </c>
      <c r="I439">
        <v>20603210868</v>
      </c>
      <c r="J439" t="s">
        <v>1936</v>
      </c>
      <c r="K439" s="8">
        <v>45693</v>
      </c>
      <c r="Q439">
        <v>18740</v>
      </c>
      <c r="R439">
        <v>972</v>
      </c>
      <c r="S439" t="s">
        <v>1252</v>
      </c>
      <c r="T439" t="s">
        <v>215</v>
      </c>
      <c r="U439">
        <v>1</v>
      </c>
      <c r="V439">
        <v>308</v>
      </c>
      <c r="W439">
        <v>363.44</v>
      </c>
      <c r="X439">
        <v>0</v>
      </c>
      <c r="Y439">
        <v>308</v>
      </c>
      <c r="Z439">
        <v>18</v>
      </c>
      <c r="AA439">
        <v>55.44</v>
      </c>
      <c r="AB439">
        <v>363.44</v>
      </c>
      <c r="AC439">
        <v>1</v>
      </c>
      <c r="AD439">
        <v>1</v>
      </c>
      <c r="AE439" t="s">
        <v>232</v>
      </c>
      <c r="AF439" t="s">
        <v>29</v>
      </c>
      <c r="AG439">
        <v>2</v>
      </c>
      <c r="AH439" t="s">
        <v>25</v>
      </c>
      <c r="AI439">
        <v>1106</v>
      </c>
      <c r="AJ439" t="s">
        <v>239</v>
      </c>
      <c r="AK439" t="s">
        <v>1237</v>
      </c>
      <c r="AP439">
        <v>1146</v>
      </c>
      <c r="AQ439" t="s">
        <v>1324</v>
      </c>
      <c r="AR439" t="s">
        <v>12</v>
      </c>
      <c r="AS439" t="str">
        <f>+CONCATENATE(A439,"-",B439)</f>
        <v>FB01-1399</v>
      </c>
    </row>
    <row r="440" spans="1:45" ht="15" customHeight="1">
      <c r="A440" t="s">
        <v>216</v>
      </c>
      <c r="B440">
        <v>1209</v>
      </c>
      <c r="C440" t="s">
        <v>27</v>
      </c>
      <c r="D440" s="8">
        <v>45663</v>
      </c>
      <c r="E440" s="22">
        <v>45964</v>
      </c>
      <c r="F440" t="s">
        <v>1275</v>
      </c>
      <c r="H440">
        <v>6</v>
      </c>
      <c r="I440">
        <v>20603064578</v>
      </c>
      <c r="J440" t="s">
        <v>2173</v>
      </c>
      <c r="K440" s="8">
        <v>45663</v>
      </c>
      <c r="Q440">
        <v>17212</v>
      </c>
      <c r="R440">
        <v>877</v>
      </c>
      <c r="S440" t="s">
        <v>1300</v>
      </c>
      <c r="T440" t="s">
        <v>215</v>
      </c>
      <c r="U440">
        <v>1</v>
      </c>
      <c r="V440">
        <v>311.91000000000003</v>
      </c>
      <c r="W440">
        <v>368.05</v>
      </c>
      <c r="X440">
        <v>0</v>
      </c>
      <c r="Y440">
        <v>311.91000000000003</v>
      </c>
      <c r="Z440">
        <v>18</v>
      </c>
      <c r="AA440">
        <v>56.14</v>
      </c>
      <c r="AB440">
        <v>368.05</v>
      </c>
      <c r="AC440">
        <v>1</v>
      </c>
      <c r="AD440">
        <v>1</v>
      </c>
      <c r="AE440" t="s">
        <v>232</v>
      </c>
      <c r="AF440" t="s">
        <v>29</v>
      </c>
      <c r="AG440">
        <v>2</v>
      </c>
      <c r="AH440" t="s">
        <v>25</v>
      </c>
      <c r="AI440">
        <v>1106</v>
      </c>
      <c r="AJ440" t="s">
        <v>239</v>
      </c>
      <c r="AK440" t="s">
        <v>1237</v>
      </c>
      <c r="AP440">
        <v>1121</v>
      </c>
      <c r="AQ440" t="s">
        <v>1275</v>
      </c>
      <c r="AR440" t="s">
        <v>12</v>
      </c>
      <c r="AS440" t="str">
        <f>+CONCATENATE(A440,"-",B440)</f>
        <v>FB01-1209</v>
      </c>
    </row>
    <row r="441" spans="1:45" ht="15" customHeight="1">
      <c r="A441" t="s">
        <v>1216</v>
      </c>
      <c r="B441" s="21" t="s">
        <v>203</v>
      </c>
      <c r="C441" t="s">
        <v>27</v>
      </c>
      <c r="D441" s="8">
        <v>45939</v>
      </c>
      <c r="E441" s="22">
        <v>45964.74732638889</v>
      </c>
      <c r="F441" t="s">
        <v>34</v>
      </c>
      <c r="H441">
        <v>6</v>
      </c>
      <c r="I441">
        <v>20611018925</v>
      </c>
      <c r="J441" t="s">
        <v>1903</v>
      </c>
      <c r="K441" s="8">
        <v>45939</v>
      </c>
      <c r="Q441">
        <v>30949</v>
      </c>
      <c r="R441">
        <v>216</v>
      </c>
      <c r="S441" t="s">
        <v>1300</v>
      </c>
      <c r="T441" t="s">
        <v>163</v>
      </c>
      <c r="U441">
        <v>1</v>
      </c>
      <c r="V441">
        <v>317.5</v>
      </c>
      <c r="W441">
        <v>374.65</v>
      </c>
      <c r="X441">
        <v>0</v>
      </c>
      <c r="Y441">
        <v>317.5</v>
      </c>
      <c r="Z441">
        <v>18</v>
      </c>
      <c r="AA441">
        <v>57.15</v>
      </c>
      <c r="AB441">
        <v>374.65</v>
      </c>
      <c r="AC441">
        <v>1</v>
      </c>
      <c r="AD441">
        <v>1</v>
      </c>
      <c r="AE441" t="s">
        <v>1411</v>
      </c>
      <c r="AF441" t="s">
        <v>1412</v>
      </c>
      <c r="AG441">
        <v>2</v>
      </c>
      <c r="AH441" t="s">
        <v>25</v>
      </c>
      <c r="AI441">
        <v>1106</v>
      </c>
      <c r="AJ441" t="s">
        <v>239</v>
      </c>
      <c r="AK441" t="s">
        <v>169</v>
      </c>
      <c r="AL441">
        <v>3157</v>
      </c>
      <c r="AM441" t="s">
        <v>1233</v>
      </c>
      <c r="AN441" s="8">
        <v>45925</v>
      </c>
      <c r="AO441" s="8">
        <v>45925</v>
      </c>
      <c r="AP441">
        <v>1128</v>
      </c>
      <c r="AQ441" t="s">
        <v>34</v>
      </c>
      <c r="AR441" t="s">
        <v>12</v>
      </c>
      <c r="AS441" t="str">
        <f>+CONCATENATE(A441,"-",B441)</f>
        <v>(01) Factura FOF1-00000003</v>
      </c>
    </row>
    <row r="442" spans="1:45" ht="15" customHeight="1">
      <c r="A442" t="s">
        <v>1238</v>
      </c>
      <c r="B442">
        <v>633</v>
      </c>
      <c r="C442" t="s">
        <v>27</v>
      </c>
      <c r="D442" s="8">
        <v>45660</v>
      </c>
      <c r="E442" s="22">
        <v>45964</v>
      </c>
      <c r="F442" t="s">
        <v>1198</v>
      </c>
      <c r="H442">
        <v>1</v>
      </c>
      <c r="I442">
        <v>70040189</v>
      </c>
      <c r="J442" t="s">
        <v>2208</v>
      </c>
      <c r="K442" s="8">
        <v>45660</v>
      </c>
      <c r="Q442">
        <v>17171</v>
      </c>
      <c r="R442">
        <v>871</v>
      </c>
      <c r="S442" t="s">
        <v>1316</v>
      </c>
      <c r="T442" t="s">
        <v>215</v>
      </c>
      <c r="U442">
        <v>1</v>
      </c>
      <c r="V442">
        <v>323.68</v>
      </c>
      <c r="W442">
        <v>381.94</v>
      </c>
      <c r="X442">
        <v>0</v>
      </c>
      <c r="Y442">
        <v>323.68</v>
      </c>
      <c r="Z442">
        <v>18</v>
      </c>
      <c r="AA442">
        <v>58.26</v>
      </c>
      <c r="AB442">
        <v>381.94</v>
      </c>
      <c r="AC442">
        <v>1</v>
      </c>
      <c r="AD442">
        <v>1</v>
      </c>
      <c r="AE442" t="s">
        <v>232</v>
      </c>
      <c r="AF442" t="s">
        <v>29</v>
      </c>
      <c r="AG442">
        <v>2</v>
      </c>
      <c r="AH442" t="s">
        <v>25</v>
      </c>
      <c r="AI442">
        <v>1106</v>
      </c>
      <c r="AJ442" t="s">
        <v>239</v>
      </c>
      <c r="AK442" t="s">
        <v>1237</v>
      </c>
      <c r="AP442">
        <v>1153</v>
      </c>
      <c r="AQ442" t="s">
        <v>1198</v>
      </c>
      <c r="AR442" t="s">
        <v>1295</v>
      </c>
      <c r="AS442" t="str">
        <f>+CONCATENATE(A442,"-",B442)</f>
        <v>BB01-633</v>
      </c>
    </row>
    <row r="443" spans="1:45" ht="15" customHeight="1">
      <c r="A443" t="s">
        <v>1238</v>
      </c>
      <c r="B443">
        <v>653</v>
      </c>
      <c r="C443" t="s">
        <v>27</v>
      </c>
      <c r="D443" s="8">
        <v>45665</v>
      </c>
      <c r="E443" s="22">
        <v>45964</v>
      </c>
      <c r="F443" t="s">
        <v>1036</v>
      </c>
      <c r="H443">
        <v>1</v>
      </c>
      <c r="I443">
        <v>43200314</v>
      </c>
      <c r="J443" t="s">
        <v>2138</v>
      </c>
      <c r="K443" s="8">
        <v>45665</v>
      </c>
      <c r="Q443">
        <v>17748</v>
      </c>
      <c r="R443">
        <v>870</v>
      </c>
      <c r="S443" t="s">
        <v>1299</v>
      </c>
      <c r="T443" t="s">
        <v>215</v>
      </c>
      <c r="U443">
        <v>1</v>
      </c>
      <c r="V443">
        <v>338.9</v>
      </c>
      <c r="W443">
        <v>399.9</v>
      </c>
      <c r="X443">
        <v>0</v>
      </c>
      <c r="Y443">
        <v>338.9</v>
      </c>
      <c r="Z443">
        <v>18</v>
      </c>
      <c r="AA443">
        <v>61</v>
      </c>
      <c r="AB443">
        <v>399.9</v>
      </c>
      <c r="AC443">
        <v>1</v>
      </c>
      <c r="AD443">
        <v>1</v>
      </c>
      <c r="AE443" t="s">
        <v>232</v>
      </c>
      <c r="AF443" t="s">
        <v>29</v>
      </c>
      <c r="AG443">
        <v>2</v>
      </c>
      <c r="AH443" t="s">
        <v>25</v>
      </c>
      <c r="AI443">
        <v>1106</v>
      </c>
      <c r="AJ443" t="s">
        <v>239</v>
      </c>
      <c r="AK443" t="s">
        <v>1237</v>
      </c>
      <c r="AP443">
        <v>1159</v>
      </c>
      <c r="AQ443" t="s">
        <v>1036</v>
      </c>
      <c r="AR443" t="s">
        <v>1295</v>
      </c>
      <c r="AS443" t="str">
        <f>+CONCATENATE(A443,"-",B443)</f>
        <v>BB01-653</v>
      </c>
    </row>
    <row r="444" spans="1:45" ht="15" customHeight="1">
      <c r="A444" t="s">
        <v>1238</v>
      </c>
      <c r="B444">
        <v>634</v>
      </c>
      <c r="C444" t="s">
        <v>27</v>
      </c>
      <c r="D444" s="8">
        <v>45660</v>
      </c>
      <c r="E444" s="22">
        <v>45964</v>
      </c>
      <c r="F444" t="s">
        <v>1191</v>
      </c>
      <c r="G444" t="s">
        <v>158</v>
      </c>
      <c r="H444">
        <v>1</v>
      </c>
      <c r="I444">
        <v>43852005</v>
      </c>
      <c r="J444" t="s">
        <v>2207</v>
      </c>
      <c r="K444" s="8">
        <v>45660</v>
      </c>
      <c r="Q444">
        <v>17172</v>
      </c>
      <c r="R444">
        <v>878</v>
      </c>
      <c r="S444" t="s">
        <v>1334</v>
      </c>
      <c r="T444" t="s">
        <v>215</v>
      </c>
      <c r="U444">
        <v>1</v>
      </c>
      <c r="V444">
        <v>343.47</v>
      </c>
      <c r="W444">
        <v>405.3</v>
      </c>
      <c r="X444">
        <v>0</v>
      </c>
      <c r="Y444">
        <v>343.47</v>
      </c>
      <c r="Z444">
        <v>18</v>
      </c>
      <c r="AA444">
        <v>61.83</v>
      </c>
      <c r="AB444">
        <v>405.3</v>
      </c>
      <c r="AC444">
        <v>1</v>
      </c>
      <c r="AD444">
        <v>1</v>
      </c>
      <c r="AE444" t="s">
        <v>232</v>
      </c>
      <c r="AF444" t="s">
        <v>29</v>
      </c>
      <c r="AG444">
        <v>2</v>
      </c>
      <c r="AH444" t="s">
        <v>25</v>
      </c>
      <c r="AI444">
        <v>1106</v>
      </c>
      <c r="AJ444" t="s">
        <v>239</v>
      </c>
      <c r="AK444" t="s">
        <v>1237</v>
      </c>
      <c r="AP444">
        <v>441</v>
      </c>
      <c r="AQ444" t="s">
        <v>1191</v>
      </c>
      <c r="AR444" t="s">
        <v>1295</v>
      </c>
      <c r="AS444" t="str">
        <f>+CONCATENATE(A444,"-",B444)</f>
        <v>BB01-634</v>
      </c>
    </row>
    <row r="445" spans="1:45" ht="15" customHeight="1">
      <c r="A445" t="s">
        <v>1214</v>
      </c>
      <c r="B445" s="21" t="s">
        <v>1614</v>
      </c>
      <c r="C445" t="s">
        <v>27</v>
      </c>
      <c r="D445" s="8">
        <v>45959</v>
      </c>
      <c r="E445" s="22">
        <v>45964.716909722221</v>
      </c>
      <c r="F445" t="s">
        <v>742</v>
      </c>
      <c r="H445">
        <v>1</v>
      </c>
      <c r="I445">
        <v>74630652</v>
      </c>
      <c r="J445" t="s">
        <v>2636</v>
      </c>
      <c r="K445" s="8">
        <v>45959</v>
      </c>
      <c r="Q445">
        <v>33020</v>
      </c>
      <c r="R445">
        <v>2274</v>
      </c>
      <c r="S445" t="s">
        <v>1255</v>
      </c>
      <c r="T445" t="s">
        <v>215</v>
      </c>
      <c r="U445">
        <v>1</v>
      </c>
      <c r="V445">
        <v>350</v>
      </c>
      <c r="W445">
        <v>413</v>
      </c>
      <c r="X445">
        <v>0</v>
      </c>
      <c r="Y445">
        <v>350</v>
      </c>
      <c r="Z445">
        <v>18</v>
      </c>
      <c r="AA445">
        <v>63</v>
      </c>
      <c r="AB445">
        <v>413</v>
      </c>
      <c r="AC445">
        <v>1</v>
      </c>
      <c r="AD445">
        <v>1</v>
      </c>
      <c r="AE445" t="s">
        <v>1411</v>
      </c>
      <c r="AF445" t="s">
        <v>1412</v>
      </c>
      <c r="AG445">
        <v>2</v>
      </c>
      <c r="AH445" t="s">
        <v>25</v>
      </c>
      <c r="AI445">
        <v>6937</v>
      </c>
      <c r="AJ445" t="s">
        <v>1414</v>
      </c>
      <c r="AK445" t="s">
        <v>1433</v>
      </c>
      <c r="AL445">
        <v>2856</v>
      </c>
      <c r="AM445" t="s">
        <v>1595</v>
      </c>
      <c r="AN445" s="8">
        <v>45948</v>
      </c>
      <c r="AO445" s="8">
        <v>45948</v>
      </c>
      <c r="AP445">
        <v>1168</v>
      </c>
      <c r="AQ445" t="s">
        <v>742</v>
      </c>
      <c r="AR445" t="s">
        <v>1295</v>
      </c>
      <c r="AS445" t="str">
        <f>+CONCATENATE(A445,"-",B445)</f>
        <v>(03) Boleta BOB1-00000130</v>
      </c>
    </row>
    <row r="446" spans="1:45" ht="15" customHeight="1">
      <c r="A446" t="s">
        <v>1216</v>
      </c>
      <c r="B446" s="21" t="s">
        <v>1614</v>
      </c>
      <c r="C446" t="s">
        <v>27</v>
      </c>
      <c r="D446" s="8">
        <v>45948</v>
      </c>
      <c r="E446" s="22">
        <v>45964.375</v>
      </c>
      <c r="F446" t="s">
        <v>34</v>
      </c>
      <c r="H446">
        <v>6</v>
      </c>
      <c r="I446">
        <v>20611018925</v>
      </c>
      <c r="J446" t="s">
        <v>1615</v>
      </c>
      <c r="K446" s="8">
        <v>45948</v>
      </c>
      <c r="Q446">
        <v>31720</v>
      </c>
      <c r="R446">
        <v>1924</v>
      </c>
      <c r="S446" t="s">
        <v>1405</v>
      </c>
      <c r="T446" t="s">
        <v>215</v>
      </c>
      <c r="U446">
        <v>1000</v>
      </c>
      <c r="V446">
        <v>0.36</v>
      </c>
      <c r="W446">
        <v>0.42</v>
      </c>
      <c r="X446">
        <v>0</v>
      </c>
      <c r="Y446">
        <v>360</v>
      </c>
      <c r="Z446">
        <v>18</v>
      </c>
      <c r="AA446">
        <v>64.8</v>
      </c>
      <c r="AB446">
        <v>424.8</v>
      </c>
      <c r="AC446">
        <v>1</v>
      </c>
      <c r="AD446">
        <v>1</v>
      </c>
      <c r="AE446" t="s">
        <v>1411</v>
      </c>
      <c r="AF446" t="s">
        <v>1412</v>
      </c>
      <c r="AG446">
        <v>16</v>
      </c>
      <c r="AH446" t="s">
        <v>1400</v>
      </c>
      <c r="AI446">
        <v>1106</v>
      </c>
      <c r="AJ446" t="s">
        <v>239</v>
      </c>
      <c r="AK446" t="s">
        <v>1406</v>
      </c>
      <c r="AL446">
        <v>3205</v>
      </c>
      <c r="AM446" t="s">
        <v>1559</v>
      </c>
      <c r="AN446" s="8">
        <v>45947</v>
      </c>
      <c r="AO446" s="8">
        <v>45947</v>
      </c>
      <c r="AP446">
        <v>1128</v>
      </c>
      <c r="AQ446" t="s">
        <v>34</v>
      </c>
      <c r="AR446" t="s">
        <v>12</v>
      </c>
      <c r="AS446" t="str">
        <f>+CONCATENATE(A446,"-",B446)</f>
        <v>(01) Factura FOF1-00000130</v>
      </c>
    </row>
    <row r="447" spans="1:45" ht="15" customHeight="1">
      <c r="A447" t="s">
        <v>216</v>
      </c>
      <c r="B447">
        <v>1263</v>
      </c>
      <c r="C447" t="s">
        <v>27</v>
      </c>
      <c r="D447" s="8">
        <v>45672</v>
      </c>
      <c r="E447" s="22">
        <v>45964</v>
      </c>
      <c r="F447" t="s">
        <v>1321</v>
      </c>
      <c r="G447" t="s">
        <v>158</v>
      </c>
      <c r="H447">
        <v>6</v>
      </c>
      <c r="I447">
        <v>20296011356</v>
      </c>
      <c r="J447" t="s">
        <v>2118</v>
      </c>
      <c r="K447" s="8">
        <v>45672</v>
      </c>
      <c r="Q447">
        <v>17772</v>
      </c>
      <c r="R447">
        <v>870</v>
      </c>
      <c r="S447" t="s">
        <v>1299</v>
      </c>
      <c r="T447" t="s">
        <v>215</v>
      </c>
      <c r="U447">
        <v>1</v>
      </c>
      <c r="V447">
        <v>364.66</v>
      </c>
      <c r="W447">
        <v>430.3</v>
      </c>
      <c r="X447">
        <v>0</v>
      </c>
      <c r="Y447">
        <v>364.66</v>
      </c>
      <c r="Z447">
        <v>18</v>
      </c>
      <c r="AA447">
        <v>65.64</v>
      </c>
      <c r="AB447">
        <v>430.3</v>
      </c>
      <c r="AC447">
        <v>1</v>
      </c>
      <c r="AD447">
        <v>1</v>
      </c>
      <c r="AE447" t="s">
        <v>232</v>
      </c>
      <c r="AF447" t="s">
        <v>29</v>
      </c>
      <c r="AG447">
        <v>2</v>
      </c>
      <c r="AH447" t="s">
        <v>25</v>
      </c>
      <c r="AI447">
        <v>1106</v>
      </c>
      <c r="AJ447" t="s">
        <v>239</v>
      </c>
      <c r="AK447" t="s">
        <v>1237</v>
      </c>
      <c r="AP447">
        <v>390</v>
      </c>
      <c r="AQ447" t="s">
        <v>1321</v>
      </c>
      <c r="AR447" t="s">
        <v>12</v>
      </c>
      <c r="AS447" t="str">
        <f>+CONCATENATE(A447,"-",B447)</f>
        <v>FB01-1263</v>
      </c>
    </row>
    <row r="448" spans="1:45" ht="15" customHeight="1">
      <c r="A448" t="s">
        <v>1214</v>
      </c>
      <c r="B448" s="21" t="s">
        <v>1510</v>
      </c>
      <c r="C448" t="s">
        <v>27</v>
      </c>
      <c r="D448" s="8">
        <v>45954</v>
      </c>
      <c r="E448" s="22">
        <v>45964.573831018519</v>
      </c>
      <c r="F448" t="s">
        <v>1511</v>
      </c>
      <c r="H448">
        <v>1</v>
      </c>
      <c r="I448">
        <v>47037708</v>
      </c>
      <c r="J448" t="s">
        <v>1512</v>
      </c>
      <c r="K448" s="8">
        <v>45954</v>
      </c>
      <c r="Q448">
        <v>32512</v>
      </c>
      <c r="R448">
        <v>1786</v>
      </c>
      <c r="S448" t="s">
        <v>1299</v>
      </c>
      <c r="T448" t="s">
        <v>163</v>
      </c>
      <c r="U448">
        <v>1</v>
      </c>
      <c r="V448">
        <v>367.8</v>
      </c>
      <c r="W448">
        <v>434</v>
      </c>
      <c r="X448">
        <v>0</v>
      </c>
      <c r="Y448">
        <v>367.8</v>
      </c>
      <c r="Z448">
        <v>18</v>
      </c>
      <c r="AA448">
        <v>66.2</v>
      </c>
      <c r="AB448">
        <v>434</v>
      </c>
      <c r="AC448">
        <v>1</v>
      </c>
      <c r="AD448">
        <v>1</v>
      </c>
      <c r="AE448" t="s">
        <v>1411</v>
      </c>
      <c r="AF448" t="s">
        <v>1412</v>
      </c>
      <c r="AG448">
        <v>2</v>
      </c>
      <c r="AH448" t="s">
        <v>25</v>
      </c>
      <c r="AI448">
        <v>6937</v>
      </c>
      <c r="AJ448" t="s">
        <v>1414</v>
      </c>
      <c r="AK448" t="s">
        <v>1251</v>
      </c>
      <c r="AL448">
        <v>3104</v>
      </c>
      <c r="AM448" t="s">
        <v>1513</v>
      </c>
      <c r="AN448" s="8">
        <v>45949</v>
      </c>
      <c r="AO448" s="8">
        <v>45949</v>
      </c>
      <c r="AP448">
        <v>5822</v>
      </c>
      <c r="AQ448" t="s">
        <v>1511</v>
      </c>
      <c r="AR448" t="s">
        <v>1295</v>
      </c>
      <c r="AS448" t="str">
        <f>+CONCATENATE(A448,"-",B448)</f>
        <v>(03) Boleta BOB1-00000080</v>
      </c>
    </row>
    <row r="449" spans="1:45" ht="15" customHeight="1">
      <c r="A449" t="s">
        <v>1216</v>
      </c>
      <c r="B449" s="21" t="s">
        <v>2501</v>
      </c>
      <c r="C449" t="s">
        <v>27</v>
      </c>
      <c r="D449" s="8">
        <v>45959</v>
      </c>
      <c r="E449" s="22">
        <v>45964.629513888889</v>
      </c>
      <c r="F449" t="s">
        <v>1321</v>
      </c>
      <c r="G449" t="s">
        <v>158</v>
      </c>
      <c r="H449">
        <v>6</v>
      </c>
      <c r="I449">
        <v>20296011356</v>
      </c>
      <c r="J449" t="s">
        <v>2679</v>
      </c>
      <c r="K449" s="8">
        <v>45959</v>
      </c>
      <c r="Q449">
        <v>32867</v>
      </c>
      <c r="R449">
        <v>216</v>
      </c>
      <c r="S449" t="s">
        <v>1300</v>
      </c>
      <c r="T449" t="s">
        <v>163</v>
      </c>
      <c r="U449">
        <v>1</v>
      </c>
      <c r="V449">
        <v>368.81</v>
      </c>
      <c r="W449">
        <v>435.2</v>
      </c>
      <c r="X449">
        <v>0</v>
      </c>
      <c r="Y449">
        <v>368.81</v>
      </c>
      <c r="Z449">
        <v>18</v>
      </c>
      <c r="AA449">
        <v>66.39</v>
      </c>
      <c r="AB449">
        <v>435.2</v>
      </c>
      <c r="AC449">
        <v>1</v>
      </c>
      <c r="AD449">
        <v>1</v>
      </c>
      <c r="AE449" t="s">
        <v>1411</v>
      </c>
      <c r="AF449" t="s">
        <v>1412</v>
      </c>
      <c r="AG449">
        <v>2</v>
      </c>
      <c r="AH449" t="s">
        <v>25</v>
      </c>
      <c r="AI449">
        <v>6936</v>
      </c>
      <c r="AJ449" t="s">
        <v>1437</v>
      </c>
      <c r="AK449" t="s">
        <v>1433</v>
      </c>
      <c r="AL449">
        <v>3277</v>
      </c>
      <c r="AM449" t="s">
        <v>2498</v>
      </c>
      <c r="AN449" s="8">
        <v>45956</v>
      </c>
      <c r="AO449" s="8">
        <v>45956</v>
      </c>
      <c r="AP449">
        <v>390</v>
      </c>
      <c r="AQ449" t="s">
        <v>1321</v>
      </c>
      <c r="AR449" t="s">
        <v>12</v>
      </c>
      <c r="AS449" t="str">
        <f>+CONCATENATE(A449,"-",B449)</f>
        <v>(01) Factura FOF1-00000200</v>
      </c>
    </row>
    <row r="450" spans="1:45" ht="15" customHeight="1">
      <c r="A450" t="s">
        <v>1216</v>
      </c>
      <c r="B450" s="21" t="s">
        <v>176</v>
      </c>
      <c r="C450" t="s">
        <v>27</v>
      </c>
      <c r="D450" s="8">
        <v>45945</v>
      </c>
      <c r="E450" s="22">
        <v>45964.764953703707</v>
      </c>
      <c r="F450" t="s">
        <v>307</v>
      </c>
      <c r="H450">
        <v>6</v>
      </c>
      <c r="I450">
        <v>20509594903</v>
      </c>
      <c r="J450" t="s">
        <v>1851</v>
      </c>
      <c r="K450" s="8">
        <v>45945</v>
      </c>
      <c r="Q450">
        <v>31226</v>
      </c>
      <c r="R450">
        <v>1786</v>
      </c>
      <c r="S450" t="s">
        <v>1299</v>
      </c>
      <c r="T450" t="s">
        <v>163</v>
      </c>
      <c r="U450">
        <v>1</v>
      </c>
      <c r="V450">
        <v>369.41</v>
      </c>
      <c r="W450">
        <v>435.9</v>
      </c>
      <c r="X450">
        <v>0</v>
      </c>
      <c r="Y450">
        <v>369.41</v>
      </c>
      <c r="Z450">
        <v>18</v>
      </c>
      <c r="AA450">
        <v>66.489999999999995</v>
      </c>
      <c r="AB450">
        <v>435.9</v>
      </c>
      <c r="AC450">
        <v>1</v>
      </c>
      <c r="AD450">
        <v>1</v>
      </c>
      <c r="AE450" t="s">
        <v>1411</v>
      </c>
      <c r="AF450" t="s">
        <v>1412</v>
      </c>
      <c r="AG450">
        <v>2</v>
      </c>
      <c r="AH450" t="s">
        <v>25</v>
      </c>
      <c r="AI450">
        <v>1106</v>
      </c>
      <c r="AJ450" t="s">
        <v>239</v>
      </c>
      <c r="AK450" t="s">
        <v>169</v>
      </c>
      <c r="AL450">
        <v>3188</v>
      </c>
      <c r="AM450" t="s">
        <v>1222</v>
      </c>
      <c r="AN450" s="8">
        <v>45933</v>
      </c>
      <c r="AO450" s="8">
        <v>45933</v>
      </c>
      <c r="AP450">
        <v>5251</v>
      </c>
      <c r="AQ450" t="s">
        <v>307</v>
      </c>
      <c r="AR450" t="s">
        <v>12</v>
      </c>
      <c r="AS450" t="str">
        <f>+CONCATENATE(A450,"-",B450)</f>
        <v>(01) Factura FOF1-00000039</v>
      </c>
    </row>
    <row r="451" spans="1:45" ht="15" customHeight="1">
      <c r="A451" t="s">
        <v>1238</v>
      </c>
      <c r="B451">
        <v>712</v>
      </c>
      <c r="C451" t="s">
        <v>27</v>
      </c>
      <c r="D451" s="8">
        <v>45687</v>
      </c>
      <c r="E451" s="22">
        <v>45964</v>
      </c>
      <c r="F451" t="s">
        <v>617</v>
      </c>
      <c r="H451">
        <v>1</v>
      </c>
      <c r="I451">
        <v>74023096</v>
      </c>
      <c r="J451" t="s">
        <v>1986</v>
      </c>
      <c r="K451" s="8">
        <v>45687</v>
      </c>
      <c r="Q451">
        <v>18678</v>
      </c>
      <c r="R451">
        <v>877</v>
      </c>
      <c r="S451" t="s">
        <v>1300</v>
      </c>
      <c r="T451" t="s">
        <v>215</v>
      </c>
      <c r="U451">
        <v>1</v>
      </c>
      <c r="V451">
        <v>370.08</v>
      </c>
      <c r="W451">
        <v>436.7</v>
      </c>
      <c r="X451">
        <v>0</v>
      </c>
      <c r="Y451">
        <v>370.08</v>
      </c>
      <c r="Z451">
        <v>18</v>
      </c>
      <c r="AA451">
        <v>66.62</v>
      </c>
      <c r="AB451">
        <v>436.7</v>
      </c>
      <c r="AC451">
        <v>1</v>
      </c>
      <c r="AD451">
        <v>1</v>
      </c>
      <c r="AE451" t="s">
        <v>232</v>
      </c>
      <c r="AF451" t="s">
        <v>29</v>
      </c>
      <c r="AG451">
        <v>2</v>
      </c>
      <c r="AH451" t="s">
        <v>25</v>
      </c>
      <c r="AI451">
        <v>1106</v>
      </c>
      <c r="AJ451" t="s">
        <v>239</v>
      </c>
      <c r="AK451" t="s">
        <v>1237</v>
      </c>
      <c r="AP451">
        <v>1172</v>
      </c>
      <c r="AQ451" t="s">
        <v>617</v>
      </c>
      <c r="AR451" t="s">
        <v>1295</v>
      </c>
      <c r="AS451" t="str">
        <f>+CONCATENATE(A451,"-",B451)</f>
        <v>BB01-712</v>
      </c>
    </row>
    <row r="452" spans="1:45" ht="15" customHeight="1">
      <c r="A452" t="s">
        <v>1238</v>
      </c>
      <c r="B452">
        <v>717</v>
      </c>
      <c r="C452" t="s">
        <v>27</v>
      </c>
      <c r="D452" s="8">
        <v>45687</v>
      </c>
      <c r="E452" s="22">
        <v>45964</v>
      </c>
      <c r="F452" t="s">
        <v>566</v>
      </c>
      <c r="H452">
        <v>1</v>
      </c>
      <c r="I452">
        <v>45273802</v>
      </c>
      <c r="J452" t="s">
        <v>1982</v>
      </c>
      <c r="K452" s="8">
        <v>45687</v>
      </c>
      <c r="Q452">
        <v>18683</v>
      </c>
      <c r="R452">
        <v>877</v>
      </c>
      <c r="S452" t="s">
        <v>1300</v>
      </c>
      <c r="T452" t="s">
        <v>215</v>
      </c>
      <c r="U452">
        <v>1</v>
      </c>
      <c r="V452">
        <v>374.24</v>
      </c>
      <c r="W452">
        <v>441.6</v>
      </c>
      <c r="X452">
        <v>0</v>
      </c>
      <c r="Y452">
        <v>374.24</v>
      </c>
      <c r="Z452">
        <v>18</v>
      </c>
      <c r="AA452">
        <v>67.36</v>
      </c>
      <c r="AB452">
        <v>441.6</v>
      </c>
      <c r="AC452">
        <v>1</v>
      </c>
      <c r="AD452">
        <v>1</v>
      </c>
      <c r="AE452" t="s">
        <v>232</v>
      </c>
      <c r="AF452" t="s">
        <v>29</v>
      </c>
      <c r="AG452">
        <v>2</v>
      </c>
      <c r="AH452" t="s">
        <v>25</v>
      </c>
      <c r="AI452">
        <v>1106</v>
      </c>
      <c r="AJ452" t="s">
        <v>239</v>
      </c>
      <c r="AK452" t="s">
        <v>1237</v>
      </c>
      <c r="AP452">
        <v>1174</v>
      </c>
      <c r="AQ452" t="s">
        <v>566</v>
      </c>
      <c r="AR452" t="s">
        <v>1295</v>
      </c>
      <c r="AS452" t="str">
        <f>+CONCATENATE(A452,"-",B452)</f>
        <v>BB01-717</v>
      </c>
    </row>
    <row r="453" spans="1:45" ht="15" customHeight="1">
      <c r="A453" t="s">
        <v>1216</v>
      </c>
      <c r="B453" s="21" t="s">
        <v>197</v>
      </c>
      <c r="C453" t="s">
        <v>27</v>
      </c>
      <c r="D453" s="8">
        <v>45943</v>
      </c>
      <c r="E453" s="22">
        <v>45964.765775462962</v>
      </c>
      <c r="F453" t="s">
        <v>359</v>
      </c>
      <c r="H453">
        <v>6</v>
      </c>
      <c r="I453">
        <v>20613294814</v>
      </c>
      <c r="J453" t="s">
        <v>1898</v>
      </c>
      <c r="K453" s="8">
        <v>45943</v>
      </c>
      <c r="Q453">
        <v>31064</v>
      </c>
      <c r="R453">
        <v>1786</v>
      </c>
      <c r="S453" t="s">
        <v>1299</v>
      </c>
      <c r="T453" t="s">
        <v>163</v>
      </c>
      <c r="U453">
        <v>1</v>
      </c>
      <c r="V453">
        <v>375.53</v>
      </c>
      <c r="W453">
        <v>443.13</v>
      </c>
      <c r="X453">
        <v>0</v>
      </c>
      <c r="Y453">
        <v>375.53</v>
      </c>
      <c r="Z453">
        <v>18</v>
      </c>
      <c r="AA453">
        <v>67.599999999999994</v>
      </c>
      <c r="AB453">
        <v>443.13</v>
      </c>
      <c r="AC453">
        <v>1</v>
      </c>
      <c r="AD453">
        <v>1</v>
      </c>
      <c r="AE453" t="s">
        <v>1411</v>
      </c>
      <c r="AF453" t="s">
        <v>1412</v>
      </c>
      <c r="AG453">
        <v>2</v>
      </c>
      <c r="AH453" t="s">
        <v>25</v>
      </c>
      <c r="AI453">
        <v>1106</v>
      </c>
      <c r="AJ453" t="s">
        <v>239</v>
      </c>
      <c r="AK453" t="s">
        <v>169</v>
      </c>
      <c r="AL453">
        <v>3147</v>
      </c>
      <c r="AM453" t="s">
        <v>1231</v>
      </c>
      <c r="AN453" s="8">
        <v>45938</v>
      </c>
      <c r="AO453" s="8">
        <v>45938</v>
      </c>
      <c r="AP453">
        <v>1124</v>
      </c>
      <c r="AQ453" t="s">
        <v>359</v>
      </c>
      <c r="AR453" t="s">
        <v>12</v>
      </c>
      <c r="AS453" t="str">
        <f>+CONCATENATE(A453,"-",B453)</f>
        <v>(01) Factura FOF1-00000010</v>
      </c>
    </row>
    <row r="454" spans="1:45" ht="15" customHeight="1">
      <c r="A454" t="s">
        <v>216</v>
      </c>
      <c r="B454">
        <v>1252</v>
      </c>
      <c r="C454" t="s">
        <v>27</v>
      </c>
      <c r="D454" s="8">
        <v>45665</v>
      </c>
      <c r="E454" s="22">
        <v>45964</v>
      </c>
      <c r="F454" t="s">
        <v>34</v>
      </c>
      <c r="H454">
        <v>6</v>
      </c>
      <c r="I454">
        <v>20611018925</v>
      </c>
      <c r="J454" t="s">
        <v>2130</v>
      </c>
      <c r="K454" s="8">
        <v>45665</v>
      </c>
      <c r="Q454">
        <v>17757</v>
      </c>
      <c r="R454">
        <v>903</v>
      </c>
      <c r="S454" t="s">
        <v>1374</v>
      </c>
      <c r="T454" t="s">
        <v>215</v>
      </c>
      <c r="U454">
        <v>1</v>
      </c>
      <c r="V454">
        <v>390</v>
      </c>
      <c r="W454">
        <v>460.2</v>
      </c>
      <c r="X454">
        <v>0</v>
      </c>
      <c r="Y454">
        <v>390</v>
      </c>
      <c r="Z454">
        <v>18</v>
      </c>
      <c r="AA454">
        <v>70.2</v>
      </c>
      <c r="AB454">
        <v>460.2</v>
      </c>
      <c r="AC454">
        <v>1</v>
      </c>
      <c r="AD454">
        <v>1</v>
      </c>
      <c r="AE454" t="s">
        <v>232</v>
      </c>
      <c r="AF454" t="s">
        <v>29</v>
      </c>
      <c r="AG454">
        <v>2</v>
      </c>
      <c r="AH454" t="s">
        <v>25</v>
      </c>
      <c r="AI454">
        <v>1106</v>
      </c>
      <c r="AJ454" t="s">
        <v>239</v>
      </c>
      <c r="AK454" t="s">
        <v>1251</v>
      </c>
      <c r="AP454">
        <v>1128</v>
      </c>
      <c r="AQ454" t="s">
        <v>34</v>
      </c>
      <c r="AR454" t="s">
        <v>12</v>
      </c>
      <c r="AS454" t="str">
        <f>+CONCATENATE(A454,"-",B454)</f>
        <v>FB01-1252</v>
      </c>
    </row>
    <row r="455" spans="1:45" ht="15" customHeight="1">
      <c r="A455" t="s">
        <v>1238</v>
      </c>
      <c r="B455">
        <v>751</v>
      </c>
      <c r="C455" t="s">
        <v>27</v>
      </c>
      <c r="D455" s="8">
        <v>45693</v>
      </c>
      <c r="E455" s="22">
        <v>45964</v>
      </c>
      <c r="F455" t="s">
        <v>519</v>
      </c>
      <c r="H455">
        <v>1</v>
      </c>
      <c r="I455">
        <v>19941551</v>
      </c>
      <c r="J455" t="s">
        <v>1915</v>
      </c>
      <c r="K455" s="8">
        <v>45693</v>
      </c>
      <c r="Q455">
        <v>18771</v>
      </c>
      <c r="R455">
        <v>979</v>
      </c>
      <c r="S455" t="s">
        <v>1311</v>
      </c>
      <c r="T455" t="s">
        <v>215</v>
      </c>
      <c r="U455">
        <v>1</v>
      </c>
      <c r="V455">
        <v>391.08</v>
      </c>
      <c r="W455">
        <v>461.47</v>
      </c>
      <c r="X455">
        <v>0</v>
      </c>
      <c r="Y455">
        <v>391.08</v>
      </c>
      <c r="Z455">
        <v>18</v>
      </c>
      <c r="AA455">
        <v>70.39</v>
      </c>
      <c r="AB455">
        <v>461.47</v>
      </c>
      <c r="AC455">
        <v>1</v>
      </c>
      <c r="AD455">
        <v>1</v>
      </c>
      <c r="AE455" t="s">
        <v>232</v>
      </c>
      <c r="AF455" t="s">
        <v>29</v>
      </c>
      <c r="AG455">
        <v>2</v>
      </c>
      <c r="AH455" t="s">
        <v>25</v>
      </c>
      <c r="AI455">
        <v>1106</v>
      </c>
      <c r="AJ455" t="s">
        <v>239</v>
      </c>
      <c r="AK455" t="s">
        <v>1237</v>
      </c>
      <c r="AP455">
        <v>1166</v>
      </c>
      <c r="AQ455" t="s">
        <v>519</v>
      </c>
      <c r="AR455" t="s">
        <v>1295</v>
      </c>
      <c r="AS455" t="str">
        <f>+CONCATENATE(A455,"-",B455)</f>
        <v>BB01-751</v>
      </c>
    </row>
    <row r="456" spans="1:45" ht="15" customHeight="1">
      <c r="A456" t="s">
        <v>1216</v>
      </c>
      <c r="B456" s="21" t="s">
        <v>1685</v>
      </c>
      <c r="C456" t="s">
        <v>27</v>
      </c>
      <c r="D456" s="8">
        <v>45946</v>
      </c>
      <c r="E456" s="22">
        <v>45964.743298611109</v>
      </c>
      <c r="F456" t="s">
        <v>1813</v>
      </c>
      <c r="H456">
        <v>6</v>
      </c>
      <c r="I456">
        <v>20613927221</v>
      </c>
      <c r="J456" t="s">
        <v>1814</v>
      </c>
      <c r="K456" s="8">
        <v>45946</v>
      </c>
      <c r="Q456">
        <v>31343</v>
      </c>
      <c r="R456">
        <v>1786</v>
      </c>
      <c r="S456" t="s">
        <v>1299</v>
      </c>
      <c r="T456" t="s">
        <v>163</v>
      </c>
      <c r="U456">
        <v>1</v>
      </c>
      <c r="V456">
        <v>392.03</v>
      </c>
      <c r="W456">
        <v>462.6</v>
      </c>
      <c r="X456">
        <v>0</v>
      </c>
      <c r="Y456">
        <v>392.03</v>
      </c>
      <c r="Z456">
        <v>18</v>
      </c>
      <c r="AA456">
        <v>70.569999999999993</v>
      </c>
      <c r="AB456">
        <v>462.6</v>
      </c>
      <c r="AC456">
        <v>1</v>
      </c>
      <c r="AD456">
        <v>1</v>
      </c>
      <c r="AE456" t="s">
        <v>1411</v>
      </c>
      <c r="AF456" t="s">
        <v>1412</v>
      </c>
      <c r="AG456">
        <v>2</v>
      </c>
      <c r="AH456" t="s">
        <v>25</v>
      </c>
      <c r="AI456">
        <v>6937</v>
      </c>
      <c r="AJ456" t="s">
        <v>1414</v>
      </c>
      <c r="AK456" t="s">
        <v>1251</v>
      </c>
      <c r="AL456">
        <v>2616</v>
      </c>
      <c r="AM456" t="s">
        <v>1815</v>
      </c>
      <c r="AN456" s="8">
        <v>45928</v>
      </c>
      <c r="AO456" s="8">
        <v>45928</v>
      </c>
      <c r="AP456">
        <v>5539</v>
      </c>
      <c r="AQ456" t="s">
        <v>1813</v>
      </c>
      <c r="AR456" t="s">
        <v>12</v>
      </c>
      <c r="AS456" t="str">
        <f>+CONCATENATE(A456,"-",B456)</f>
        <v>(01) Factura FOF1-00000061</v>
      </c>
    </row>
    <row r="457" spans="1:45" ht="15" customHeight="1">
      <c r="A457" t="s">
        <v>216</v>
      </c>
      <c r="B457">
        <v>1416</v>
      </c>
      <c r="C457" t="s">
        <v>27</v>
      </c>
      <c r="D457" s="8">
        <v>45693</v>
      </c>
      <c r="E457" s="22">
        <v>45964</v>
      </c>
      <c r="F457" t="s">
        <v>1240</v>
      </c>
      <c r="G457" t="s">
        <v>158</v>
      </c>
      <c r="H457">
        <v>6</v>
      </c>
      <c r="I457">
        <v>20602855733</v>
      </c>
      <c r="J457" t="s">
        <v>1911</v>
      </c>
      <c r="K457" s="8">
        <v>45693</v>
      </c>
      <c r="Q457">
        <v>18775</v>
      </c>
      <c r="R457">
        <v>877</v>
      </c>
      <c r="S457" t="s">
        <v>1300</v>
      </c>
      <c r="T457" t="s">
        <v>215</v>
      </c>
      <c r="U457">
        <v>1</v>
      </c>
      <c r="V457">
        <v>392.2</v>
      </c>
      <c r="W457">
        <v>462.8</v>
      </c>
      <c r="X457">
        <v>0</v>
      </c>
      <c r="Y457">
        <v>392.2</v>
      </c>
      <c r="Z457">
        <v>18</v>
      </c>
      <c r="AA457">
        <v>70.599999999999994</v>
      </c>
      <c r="AB457">
        <v>462.8</v>
      </c>
      <c r="AC457">
        <v>1</v>
      </c>
      <c r="AD457">
        <v>1</v>
      </c>
      <c r="AE457" t="s">
        <v>232</v>
      </c>
      <c r="AF457" t="s">
        <v>29</v>
      </c>
      <c r="AG457">
        <v>2</v>
      </c>
      <c r="AH457" t="s">
        <v>25</v>
      </c>
      <c r="AI457">
        <v>1106</v>
      </c>
      <c r="AJ457" t="s">
        <v>239</v>
      </c>
      <c r="AK457" t="s">
        <v>1237</v>
      </c>
      <c r="AP457">
        <v>385</v>
      </c>
      <c r="AQ457" t="s">
        <v>1240</v>
      </c>
      <c r="AR457" t="s">
        <v>12</v>
      </c>
      <c r="AS457" t="str">
        <f>+CONCATENATE(A457,"-",B457)</f>
        <v>FB01-1416</v>
      </c>
    </row>
    <row r="458" spans="1:45" ht="15" customHeight="1">
      <c r="A458" t="s">
        <v>1216</v>
      </c>
      <c r="B458" s="21" t="s">
        <v>1426</v>
      </c>
      <c r="C458" t="s">
        <v>27</v>
      </c>
      <c r="D458" s="8">
        <v>45954</v>
      </c>
      <c r="E458" s="22">
        <v>45964.708333333336</v>
      </c>
      <c r="F458" t="s">
        <v>415</v>
      </c>
      <c r="H458">
        <v>6</v>
      </c>
      <c r="I458">
        <v>20611890746</v>
      </c>
      <c r="J458" t="s">
        <v>2695</v>
      </c>
      <c r="K458" s="8">
        <v>45954</v>
      </c>
      <c r="Q458">
        <v>32763</v>
      </c>
      <c r="R458">
        <v>1924</v>
      </c>
      <c r="S458" t="s">
        <v>1405</v>
      </c>
      <c r="T458" t="s">
        <v>215</v>
      </c>
      <c r="U458">
        <v>1000</v>
      </c>
      <c r="V458">
        <v>0.4</v>
      </c>
      <c r="W458">
        <v>0.47</v>
      </c>
      <c r="X458">
        <v>0</v>
      </c>
      <c r="Y458">
        <v>400</v>
      </c>
      <c r="Z458">
        <v>18</v>
      </c>
      <c r="AA458">
        <v>72</v>
      </c>
      <c r="AB458">
        <v>472</v>
      </c>
      <c r="AC458">
        <v>1</v>
      </c>
      <c r="AD458">
        <v>1</v>
      </c>
      <c r="AE458" t="s">
        <v>1411</v>
      </c>
      <c r="AF458" t="s">
        <v>1412</v>
      </c>
      <c r="AG458">
        <v>16</v>
      </c>
      <c r="AH458" t="s">
        <v>1400</v>
      </c>
      <c r="AI458">
        <v>1106</v>
      </c>
      <c r="AJ458" t="s">
        <v>239</v>
      </c>
      <c r="AK458" t="s">
        <v>1406</v>
      </c>
      <c r="AL458">
        <v>3317</v>
      </c>
      <c r="AM458" t="s">
        <v>1422</v>
      </c>
      <c r="AN458" s="8">
        <v>45955</v>
      </c>
      <c r="AO458" s="8">
        <v>45955</v>
      </c>
      <c r="AP458">
        <v>1136</v>
      </c>
      <c r="AQ458" t="s">
        <v>415</v>
      </c>
      <c r="AR458" t="s">
        <v>12</v>
      </c>
      <c r="AS458" t="str">
        <f>+CONCATENATE(A458,"-",B458)</f>
        <v>(01) Factura FOF1-00000185</v>
      </c>
    </row>
    <row r="459" spans="1:45" ht="15" customHeight="1">
      <c r="A459" t="s">
        <v>1216</v>
      </c>
      <c r="B459" s="21" t="s">
        <v>1596</v>
      </c>
      <c r="C459" t="s">
        <v>27</v>
      </c>
      <c r="D459" s="8">
        <v>45948</v>
      </c>
      <c r="E459" s="22">
        <v>45964.416666666664</v>
      </c>
      <c r="F459" t="s">
        <v>1597</v>
      </c>
      <c r="H459">
        <v>6</v>
      </c>
      <c r="I459">
        <v>20613375571</v>
      </c>
      <c r="J459" t="s">
        <v>1598</v>
      </c>
      <c r="K459" s="8">
        <v>45948</v>
      </c>
      <c r="Q459">
        <v>31744</v>
      </c>
      <c r="R459">
        <v>1924</v>
      </c>
      <c r="S459" t="s">
        <v>1405</v>
      </c>
      <c r="T459" t="s">
        <v>215</v>
      </c>
      <c r="U459">
        <v>1000</v>
      </c>
      <c r="V459">
        <v>0.4</v>
      </c>
      <c r="W459">
        <v>0.47</v>
      </c>
      <c r="X459">
        <v>0</v>
      </c>
      <c r="Y459">
        <v>400</v>
      </c>
      <c r="Z459">
        <v>18</v>
      </c>
      <c r="AA459">
        <v>72</v>
      </c>
      <c r="AB459">
        <v>472</v>
      </c>
      <c r="AC459">
        <v>1</v>
      </c>
      <c r="AD459">
        <v>1</v>
      </c>
      <c r="AE459" t="s">
        <v>1411</v>
      </c>
      <c r="AF459" t="s">
        <v>1412</v>
      </c>
      <c r="AG459">
        <v>16</v>
      </c>
      <c r="AH459" t="s">
        <v>1400</v>
      </c>
      <c r="AI459">
        <v>1106</v>
      </c>
      <c r="AJ459" t="s">
        <v>239</v>
      </c>
      <c r="AK459" t="s">
        <v>1406</v>
      </c>
      <c r="AL459">
        <v>3014</v>
      </c>
      <c r="AM459" t="s">
        <v>1599</v>
      </c>
      <c r="AN459" s="8">
        <v>45968</v>
      </c>
      <c r="AO459" s="8">
        <v>45968</v>
      </c>
      <c r="AP459">
        <v>5425</v>
      </c>
      <c r="AQ459" t="s">
        <v>1597</v>
      </c>
      <c r="AR459" t="s">
        <v>12</v>
      </c>
      <c r="AS459" t="str">
        <f>+CONCATENATE(A459,"-",B459)</f>
        <v>(01) Factura FOF1-00000136</v>
      </c>
    </row>
    <row r="460" spans="1:45" ht="15" customHeight="1">
      <c r="A460" t="s">
        <v>1216</v>
      </c>
      <c r="B460" s="21" t="s">
        <v>1607</v>
      </c>
      <c r="C460" t="s">
        <v>27</v>
      </c>
      <c r="D460" s="8">
        <v>45948</v>
      </c>
      <c r="E460" s="22">
        <v>45964.416666666664</v>
      </c>
      <c r="F460" t="s">
        <v>415</v>
      </c>
      <c r="H460">
        <v>6</v>
      </c>
      <c r="I460">
        <v>20611890746</v>
      </c>
      <c r="J460" t="s">
        <v>1608</v>
      </c>
      <c r="K460" s="8">
        <v>45948</v>
      </c>
      <c r="Q460">
        <v>31731</v>
      </c>
      <c r="R460">
        <v>1924</v>
      </c>
      <c r="S460" t="s">
        <v>1405</v>
      </c>
      <c r="T460" t="s">
        <v>215</v>
      </c>
      <c r="U460">
        <v>1000</v>
      </c>
      <c r="V460">
        <v>0.4</v>
      </c>
      <c r="W460">
        <v>0.47</v>
      </c>
      <c r="X460">
        <v>0</v>
      </c>
      <c r="Y460">
        <v>400</v>
      </c>
      <c r="Z460">
        <v>18</v>
      </c>
      <c r="AA460">
        <v>72</v>
      </c>
      <c r="AB460">
        <v>472</v>
      </c>
      <c r="AC460">
        <v>1</v>
      </c>
      <c r="AD460">
        <v>1</v>
      </c>
      <c r="AE460" t="s">
        <v>1411</v>
      </c>
      <c r="AF460" t="s">
        <v>1412</v>
      </c>
      <c r="AG460">
        <v>16</v>
      </c>
      <c r="AH460" t="s">
        <v>1400</v>
      </c>
      <c r="AI460">
        <v>1106</v>
      </c>
      <c r="AJ460" t="s">
        <v>239</v>
      </c>
      <c r="AK460" t="s">
        <v>1406</v>
      </c>
      <c r="AL460">
        <v>3198</v>
      </c>
      <c r="AM460" t="s">
        <v>1605</v>
      </c>
      <c r="AN460" s="8">
        <v>45940</v>
      </c>
      <c r="AO460" s="8">
        <v>45940</v>
      </c>
      <c r="AP460">
        <v>5519</v>
      </c>
      <c r="AQ460" t="s">
        <v>1606</v>
      </c>
      <c r="AR460" t="s">
        <v>12</v>
      </c>
      <c r="AS460" t="str">
        <f>+CONCATENATE(A460,"-",B460)</f>
        <v>(01) Factura FOF1-00000133</v>
      </c>
    </row>
    <row r="461" spans="1:45" ht="15" customHeight="1">
      <c r="A461" t="s">
        <v>214</v>
      </c>
      <c r="B461">
        <v>219</v>
      </c>
      <c r="C461" t="s">
        <v>27</v>
      </c>
      <c r="D461" s="8">
        <v>45698</v>
      </c>
      <c r="E461" s="22">
        <v>45964</v>
      </c>
      <c r="F461" t="s">
        <v>35</v>
      </c>
      <c r="H461">
        <v>6</v>
      </c>
      <c r="I461">
        <v>10198893710</v>
      </c>
      <c r="J461" t="s">
        <v>1908</v>
      </c>
      <c r="K461" s="8">
        <v>45698</v>
      </c>
      <c r="Q461">
        <v>18782</v>
      </c>
      <c r="R461">
        <v>983</v>
      </c>
      <c r="S461" t="s">
        <v>1309</v>
      </c>
      <c r="T461" t="s">
        <v>215</v>
      </c>
      <c r="U461">
        <v>1</v>
      </c>
      <c r="V461">
        <v>400</v>
      </c>
      <c r="W461">
        <v>472</v>
      </c>
      <c r="X461">
        <v>0</v>
      </c>
      <c r="Y461">
        <v>400</v>
      </c>
      <c r="Z461">
        <v>18</v>
      </c>
      <c r="AA461">
        <v>72</v>
      </c>
      <c r="AB461">
        <v>472</v>
      </c>
      <c r="AC461">
        <v>1</v>
      </c>
      <c r="AD461">
        <v>1</v>
      </c>
      <c r="AE461" t="s">
        <v>232</v>
      </c>
      <c r="AF461" t="s">
        <v>29</v>
      </c>
      <c r="AG461">
        <v>2</v>
      </c>
      <c r="AH461" t="s">
        <v>25</v>
      </c>
      <c r="AI461">
        <v>1106</v>
      </c>
      <c r="AJ461" t="s">
        <v>239</v>
      </c>
      <c r="AK461" t="s">
        <v>1236</v>
      </c>
      <c r="AP461">
        <v>1150</v>
      </c>
      <c r="AQ461" t="s">
        <v>35</v>
      </c>
      <c r="AR461" t="s">
        <v>12</v>
      </c>
      <c r="AS461" t="str">
        <f>+CONCATENATE(A461,"-",B461)</f>
        <v>FFF1-219</v>
      </c>
    </row>
    <row r="462" spans="1:45" ht="15" customHeight="1">
      <c r="A462" t="s">
        <v>216</v>
      </c>
      <c r="B462">
        <v>1304</v>
      </c>
      <c r="C462" t="s">
        <v>27</v>
      </c>
      <c r="D462" s="8">
        <v>45680</v>
      </c>
      <c r="E462" s="22">
        <v>45964</v>
      </c>
      <c r="F462" t="s">
        <v>462</v>
      </c>
      <c r="G462" t="s">
        <v>158</v>
      </c>
      <c r="H462">
        <v>6</v>
      </c>
      <c r="I462">
        <v>20608627422</v>
      </c>
      <c r="J462" t="s">
        <v>2069</v>
      </c>
      <c r="K462" s="8">
        <v>45680</v>
      </c>
      <c r="Q462">
        <v>17826</v>
      </c>
      <c r="R462">
        <v>877</v>
      </c>
      <c r="S462" t="s">
        <v>1300</v>
      </c>
      <c r="T462" t="s">
        <v>215</v>
      </c>
      <c r="U462">
        <v>1</v>
      </c>
      <c r="V462">
        <v>400.93</v>
      </c>
      <c r="W462">
        <v>473.1</v>
      </c>
      <c r="X462">
        <v>0</v>
      </c>
      <c r="Y462">
        <v>400.93</v>
      </c>
      <c r="Z462">
        <v>18</v>
      </c>
      <c r="AA462">
        <v>72.17</v>
      </c>
      <c r="AB462">
        <v>473.1</v>
      </c>
      <c r="AC462">
        <v>1</v>
      </c>
      <c r="AD462">
        <v>1</v>
      </c>
      <c r="AE462" t="s">
        <v>232</v>
      </c>
      <c r="AF462" t="s">
        <v>29</v>
      </c>
      <c r="AG462">
        <v>2</v>
      </c>
      <c r="AH462" t="s">
        <v>25</v>
      </c>
      <c r="AI462">
        <v>1106</v>
      </c>
      <c r="AJ462" t="s">
        <v>239</v>
      </c>
      <c r="AK462" t="s">
        <v>1237</v>
      </c>
      <c r="AP462">
        <v>396</v>
      </c>
      <c r="AQ462" t="s">
        <v>462</v>
      </c>
      <c r="AR462" t="s">
        <v>12</v>
      </c>
      <c r="AS462" t="str">
        <f>+CONCATENATE(A462,"-",B462)</f>
        <v>FB01-1304</v>
      </c>
    </row>
    <row r="463" spans="1:45" ht="15" customHeight="1">
      <c r="A463" t="s">
        <v>1216</v>
      </c>
      <c r="B463" s="21" t="s">
        <v>2505</v>
      </c>
      <c r="C463" t="s">
        <v>27</v>
      </c>
      <c r="D463" s="8">
        <v>45959</v>
      </c>
      <c r="E463" s="22">
        <v>45964.627604166664</v>
      </c>
      <c r="F463" t="s">
        <v>34</v>
      </c>
      <c r="H463">
        <v>6</v>
      </c>
      <c r="I463">
        <v>20611018925</v>
      </c>
      <c r="J463" t="s">
        <v>2682</v>
      </c>
      <c r="K463" s="8">
        <v>45959</v>
      </c>
      <c r="Q463">
        <v>32858</v>
      </c>
      <c r="R463">
        <v>216</v>
      </c>
      <c r="S463" t="s">
        <v>1300</v>
      </c>
      <c r="T463" t="s">
        <v>163</v>
      </c>
      <c r="U463">
        <v>1</v>
      </c>
      <c r="V463">
        <v>408.15</v>
      </c>
      <c r="W463">
        <v>481.62</v>
      </c>
      <c r="X463">
        <v>0</v>
      </c>
      <c r="Y463">
        <v>408.15</v>
      </c>
      <c r="Z463">
        <v>18</v>
      </c>
      <c r="AA463">
        <v>73.47</v>
      </c>
      <c r="AB463">
        <v>481.62</v>
      </c>
      <c r="AC463">
        <v>1</v>
      </c>
      <c r="AD463">
        <v>1</v>
      </c>
      <c r="AE463" t="s">
        <v>1411</v>
      </c>
      <c r="AF463" t="s">
        <v>1412</v>
      </c>
      <c r="AG463">
        <v>2</v>
      </c>
      <c r="AH463" t="s">
        <v>25</v>
      </c>
      <c r="AI463">
        <v>6936</v>
      </c>
      <c r="AJ463" t="s">
        <v>1437</v>
      </c>
      <c r="AK463" t="s">
        <v>1433</v>
      </c>
      <c r="AL463">
        <v>3278</v>
      </c>
      <c r="AM463" t="s">
        <v>2503</v>
      </c>
      <c r="AN463" s="8">
        <v>45956</v>
      </c>
      <c r="AO463" s="8">
        <v>45956</v>
      </c>
      <c r="AP463">
        <v>1128</v>
      </c>
      <c r="AQ463" t="s">
        <v>34</v>
      </c>
      <c r="AR463" t="s">
        <v>12</v>
      </c>
      <c r="AS463" t="str">
        <f>+CONCATENATE(A463,"-",B463)</f>
        <v>(01) Factura FOF1-00000197</v>
      </c>
    </row>
    <row r="464" spans="1:45" ht="15" customHeight="1">
      <c r="A464" t="s">
        <v>216</v>
      </c>
      <c r="B464">
        <v>1351</v>
      </c>
      <c r="C464" t="s">
        <v>27</v>
      </c>
      <c r="D464" s="8">
        <v>45686</v>
      </c>
      <c r="E464" s="22">
        <v>45964</v>
      </c>
      <c r="F464" t="s">
        <v>627</v>
      </c>
      <c r="H464">
        <v>6</v>
      </c>
      <c r="I464">
        <v>20101214771</v>
      </c>
      <c r="J464" t="s">
        <v>1999</v>
      </c>
      <c r="K464" s="8">
        <v>45686</v>
      </c>
      <c r="Q464">
        <v>18664</v>
      </c>
      <c r="R464">
        <v>877</v>
      </c>
      <c r="S464" t="s">
        <v>1300</v>
      </c>
      <c r="T464" t="s">
        <v>215</v>
      </c>
      <c r="U464">
        <v>1</v>
      </c>
      <c r="V464">
        <v>418.22</v>
      </c>
      <c r="W464">
        <v>493.5</v>
      </c>
      <c r="X464">
        <v>0</v>
      </c>
      <c r="Y464">
        <v>418.22</v>
      </c>
      <c r="Z464">
        <v>18</v>
      </c>
      <c r="AA464">
        <v>75.28</v>
      </c>
      <c r="AB464">
        <v>493.5</v>
      </c>
      <c r="AC464">
        <v>1</v>
      </c>
      <c r="AD464">
        <v>1</v>
      </c>
      <c r="AE464" t="s">
        <v>232</v>
      </c>
      <c r="AF464" t="s">
        <v>29</v>
      </c>
      <c r="AG464">
        <v>2</v>
      </c>
      <c r="AH464" t="s">
        <v>25</v>
      </c>
      <c r="AI464">
        <v>1106</v>
      </c>
      <c r="AJ464" t="s">
        <v>239</v>
      </c>
      <c r="AK464" t="s">
        <v>1237</v>
      </c>
      <c r="AP464">
        <v>1137</v>
      </c>
      <c r="AQ464" t="s">
        <v>627</v>
      </c>
      <c r="AR464" t="s">
        <v>12</v>
      </c>
      <c r="AS464" t="str">
        <f>+CONCATENATE(A464,"-",B464)</f>
        <v>FB01-1351</v>
      </c>
    </row>
    <row r="465" spans="1:45" ht="15" customHeight="1">
      <c r="A465" t="s">
        <v>1214</v>
      </c>
      <c r="B465" s="21" t="s">
        <v>1708</v>
      </c>
      <c r="C465" t="s">
        <v>27</v>
      </c>
      <c r="D465" s="8">
        <v>45946</v>
      </c>
      <c r="E465" s="22">
        <v>45964.849560185183</v>
      </c>
      <c r="F465" t="s">
        <v>1703</v>
      </c>
      <c r="H465">
        <v>1</v>
      </c>
      <c r="I465">
        <v>40598854</v>
      </c>
      <c r="J465" t="s">
        <v>1709</v>
      </c>
      <c r="K465" s="8">
        <v>45946</v>
      </c>
      <c r="Q465">
        <v>31560</v>
      </c>
      <c r="R465">
        <v>216</v>
      </c>
      <c r="S465" t="s">
        <v>1300</v>
      </c>
      <c r="T465" t="s">
        <v>163</v>
      </c>
      <c r="U465">
        <v>1</v>
      </c>
      <c r="V465">
        <v>419.83</v>
      </c>
      <c r="W465">
        <v>495.4</v>
      </c>
      <c r="X465">
        <v>0</v>
      </c>
      <c r="Y465">
        <v>419.83</v>
      </c>
      <c r="Z465">
        <v>18</v>
      </c>
      <c r="AA465">
        <v>75.569999999999993</v>
      </c>
      <c r="AB465">
        <v>495.4</v>
      </c>
      <c r="AC465">
        <v>1</v>
      </c>
      <c r="AD465">
        <v>1</v>
      </c>
      <c r="AE465" t="s">
        <v>1411</v>
      </c>
      <c r="AF465" t="s">
        <v>1412</v>
      </c>
      <c r="AG465">
        <v>2</v>
      </c>
      <c r="AH465" t="s">
        <v>25</v>
      </c>
      <c r="AI465">
        <v>6936</v>
      </c>
      <c r="AJ465" t="s">
        <v>1437</v>
      </c>
      <c r="AK465" t="s">
        <v>1433</v>
      </c>
      <c r="AL465">
        <v>3158</v>
      </c>
      <c r="AM465" t="s">
        <v>1705</v>
      </c>
      <c r="AN465" s="8">
        <v>45935</v>
      </c>
      <c r="AO465" s="8">
        <v>45935</v>
      </c>
      <c r="AP465">
        <v>5984</v>
      </c>
      <c r="AQ465" t="s">
        <v>1703</v>
      </c>
      <c r="AR465" t="s">
        <v>1295</v>
      </c>
      <c r="AS465" t="str">
        <f>+CONCATENATE(A465,"-",B465)</f>
        <v>(03) Boleta BOB1-00000051</v>
      </c>
    </row>
    <row r="466" spans="1:45" ht="15" customHeight="1">
      <c r="A466" t="s">
        <v>1216</v>
      </c>
      <c r="B466" s="21" t="s">
        <v>1681</v>
      </c>
      <c r="C466" t="s">
        <v>27</v>
      </c>
      <c r="D466" s="8">
        <v>45946</v>
      </c>
      <c r="E466" s="22">
        <v>45964.86314814815</v>
      </c>
      <c r="F466" t="s">
        <v>1670</v>
      </c>
      <c r="H466">
        <v>6</v>
      </c>
      <c r="I466">
        <v>20542731347</v>
      </c>
      <c r="J466" t="s">
        <v>1682</v>
      </c>
      <c r="K466" s="8">
        <v>45946</v>
      </c>
      <c r="Q466">
        <v>31599</v>
      </c>
      <c r="R466">
        <v>2314</v>
      </c>
      <c r="S466" t="s">
        <v>1302</v>
      </c>
      <c r="T466" t="s">
        <v>163</v>
      </c>
      <c r="U466">
        <v>1</v>
      </c>
      <c r="V466">
        <v>421.61</v>
      </c>
      <c r="W466">
        <v>497.5</v>
      </c>
      <c r="X466">
        <v>0</v>
      </c>
      <c r="Y466">
        <v>421.61</v>
      </c>
      <c r="Z466">
        <v>18</v>
      </c>
      <c r="AA466">
        <v>75.89</v>
      </c>
      <c r="AB466">
        <v>497.5</v>
      </c>
      <c r="AC466">
        <v>1</v>
      </c>
      <c r="AD466">
        <v>1</v>
      </c>
      <c r="AE466" t="s">
        <v>1411</v>
      </c>
      <c r="AF466" t="s">
        <v>1412</v>
      </c>
      <c r="AG466">
        <v>2</v>
      </c>
      <c r="AH466" t="s">
        <v>25</v>
      </c>
      <c r="AI466">
        <v>6959</v>
      </c>
      <c r="AJ466" t="s">
        <v>1401</v>
      </c>
      <c r="AK466" t="s">
        <v>1251</v>
      </c>
      <c r="AL466">
        <v>2972</v>
      </c>
      <c r="AM466" t="s">
        <v>1672</v>
      </c>
      <c r="AN466" s="8">
        <v>45928</v>
      </c>
      <c r="AO466" s="8">
        <v>45928</v>
      </c>
      <c r="AP466">
        <v>435</v>
      </c>
      <c r="AQ466" t="s">
        <v>1673</v>
      </c>
      <c r="AR466" t="s">
        <v>1295</v>
      </c>
      <c r="AS466" t="str">
        <f>+CONCATENATE(A466,"-",B466)</f>
        <v>(01) Factura FOF1-00000118</v>
      </c>
    </row>
    <row r="467" spans="1:45" ht="15" customHeight="1">
      <c r="A467" t="s">
        <v>1214</v>
      </c>
      <c r="B467" s="21" t="s">
        <v>1698</v>
      </c>
      <c r="C467" t="s">
        <v>27</v>
      </c>
      <c r="D467" s="8">
        <v>45946</v>
      </c>
      <c r="E467" s="22">
        <v>45964.860601851855</v>
      </c>
      <c r="F467" t="s">
        <v>1673</v>
      </c>
      <c r="G467" t="s">
        <v>158</v>
      </c>
      <c r="H467">
        <v>1</v>
      </c>
      <c r="I467">
        <v>40469388</v>
      </c>
      <c r="J467" t="s">
        <v>1699</v>
      </c>
      <c r="K467" s="8">
        <v>45946</v>
      </c>
      <c r="Q467">
        <v>31572</v>
      </c>
      <c r="R467">
        <v>2314</v>
      </c>
      <c r="S467" t="s">
        <v>1302</v>
      </c>
      <c r="T467" t="s">
        <v>163</v>
      </c>
      <c r="U467">
        <v>1</v>
      </c>
      <c r="V467">
        <v>421.61</v>
      </c>
      <c r="W467">
        <v>497.5</v>
      </c>
      <c r="X467">
        <v>0</v>
      </c>
      <c r="Y467">
        <v>421.61</v>
      </c>
      <c r="Z467">
        <v>18</v>
      </c>
      <c r="AA467">
        <v>75.89</v>
      </c>
      <c r="AB467">
        <v>497.5</v>
      </c>
      <c r="AC467">
        <v>1</v>
      </c>
      <c r="AD467">
        <v>1</v>
      </c>
      <c r="AE467" t="s">
        <v>1411</v>
      </c>
      <c r="AF467" t="s">
        <v>1412</v>
      </c>
      <c r="AG467">
        <v>2</v>
      </c>
      <c r="AH467" t="s">
        <v>25</v>
      </c>
      <c r="AI467">
        <v>6959</v>
      </c>
      <c r="AJ467" t="s">
        <v>1401</v>
      </c>
      <c r="AK467" t="s">
        <v>1251</v>
      </c>
      <c r="AL467">
        <v>2972</v>
      </c>
      <c r="AM467" t="s">
        <v>1672</v>
      </c>
      <c r="AN467" s="8">
        <v>45928</v>
      </c>
      <c r="AO467" s="8">
        <v>45928</v>
      </c>
      <c r="AP467">
        <v>435</v>
      </c>
      <c r="AQ467" t="s">
        <v>1673</v>
      </c>
      <c r="AR467" t="s">
        <v>1295</v>
      </c>
      <c r="AS467" t="str">
        <f>+CONCATENATE(A467,"-",B467)</f>
        <v>(03) Boleta BOB1-00000055</v>
      </c>
    </row>
    <row r="468" spans="1:45" ht="15" customHeight="1">
      <c r="A468" t="s">
        <v>1216</v>
      </c>
      <c r="B468" s="21" t="s">
        <v>193</v>
      </c>
      <c r="C468" t="s">
        <v>27</v>
      </c>
      <c r="D468" s="8">
        <v>45943</v>
      </c>
      <c r="E468" s="22">
        <v>45964.768449074072</v>
      </c>
      <c r="F468" t="s">
        <v>307</v>
      </c>
      <c r="H468">
        <v>6</v>
      </c>
      <c r="I468">
        <v>20509594903</v>
      </c>
      <c r="J468" t="s">
        <v>1895</v>
      </c>
      <c r="K468" s="8">
        <v>45943</v>
      </c>
      <c r="Q468">
        <v>31073</v>
      </c>
      <c r="R468">
        <v>2315</v>
      </c>
      <c r="S468" t="s">
        <v>1304</v>
      </c>
      <c r="T468" t="s">
        <v>163</v>
      </c>
      <c r="U468">
        <v>1</v>
      </c>
      <c r="V468">
        <v>423.73</v>
      </c>
      <c r="W468">
        <v>500</v>
      </c>
      <c r="X468">
        <v>0</v>
      </c>
      <c r="Y468">
        <v>423.73</v>
      </c>
      <c r="Z468">
        <v>18</v>
      </c>
      <c r="AA468">
        <v>76.27</v>
      </c>
      <c r="AB468">
        <v>500</v>
      </c>
      <c r="AC468">
        <v>1</v>
      </c>
      <c r="AD468">
        <v>1</v>
      </c>
      <c r="AE468" t="s">
        <v>1411</v>
      </c>
      <c r="AF468" t="s">
        <v>1412</v>
      </c>
      <c r="AG468">
        <v>2</v>
      </c>
      <c r="AH468" t="s">
        <v>25</v>
      </c>
      <c r="AI468">
        <v>1106</v>
      </c>
      <c r="AJ468" t="s">
        <v>239</v>
      </c>
      <c r="AK468" t="s">
        <v>169</v>
      </c>
      <c r="AL468">
        <v>3168</v>
      </c>
      <c r="AM468" t="s">
        <v>1230</v>
      </c>
      <c r="AN468" s="8">
        <v>45937</v>
      </c>
      <c r="AO468" s="8">
        <v>45937</v>
      </c>
      <c r="AP468">
        <v>5251</v>
      </c>
      <c r="AQ468" t="s">
        <v>307</v>
      </c>
      <c r="AR468" t="s">
        <v>12</v>
      </c>
      <c r="AS468" t="str">
        <f>+CONCATENATE(A468,"-",B468)</f>
        <v>(01) Factura FOF1-00000013</v>
      </c>
    </row>
    <row r="469" spans="1:45" ht="15" customHeight="1">
      <c r="A469" t="s">
        <v>1238</v>
      </c>
      <c r="B469">
        <v>744</v>
      </c>
      <c r="C469" t="s">
        <v>27</v>
      </c>
      <c r="D469" s="8">
        <v>45693</v>
      </c>
      <c r="E469" s="22">
        <v>45964</v>
      </c>
      <c r="F469" t="s">
        <v>1246</v>
      </c>
      <c r="G469" t="s">
        <v>158</v>
      </c>
      <c r="H469">
        <v>1</v>
      </c>
      <c r="I469">
        <v>19988495</v>
      </c>
      <c r="J469" t="s">
        <v>1922</v>
      </c>
      <c r="K469" s="8">
        <v>45693</v>
      </c>
      <c r="Q469">
        <v>18764</v>
      </c>
      <c r="R469">
        <v>976</v>
      </c>
      <c r="S469" t="s">
        <v>1247</v>
      </c>
      <c r="T469" t="s">
        <v>215</v>
      </c>
      <c r="U469">
        <v>1</v>
      </c>
      <c r="V469">
        <v>423.73</v>
      </c>
      <c r="W469">
        <v>500</v>
      </c>
      <c r="X469">
        <v>0</v>
      </c>
      <c r="Y469">
        <v>423.73</v>
      </c>
      <c r="Z469">
        <v>18</v>
      </c>
      <c r="AA469">
        <v>76.27</v>
      </c>
      <c r="AB469">
        <v>500</v>
      </c>
      <c r="AC469">
        <v>1</v>
      </c>
      <c r="AD469">
        <v>1</v>
      </c>
      <c r="AE469" t="s">
        <v>232</v>
      </c>
      <c r="AF469" t="s">
        <v>29</v>
      </c>
      <c r="AG469">
        <v>2</v>
      </c>
      <c r="AH469" t="s">
        <v>25</v>
      </c>
      <c r="AI469">
        <v>1106</v>
      </c>
      <c r="AJ469" t="s">
        <v>239</v>
      </c>
      <c r="AK469" t="s">
        <v>1243</v>
      </c>
      <c r="AP469">
        <v>432</v>
      </c>
      <c r="AQ469" t="s">
        <v>1246</v>
      </c>
      <c r="AR469" t="s">
        <v>1295</v>
      </c>
      <c r="AS469" t="str">
        <f>+CONCATENATE(A469,"-",B469)</f>
        <v>BB01-744</v>
      </c>
    </row>
    <row r="470" spans="1:45" ht="15" customHeight="1">
      <c r="A470" t="s">
        <v>216</v>
      </c>
      <c r="B470">
        <v>1357</v>
      </c>
      <c r="C470" t="s">
        <v>27</v>
      </c>
      <c r="D470" s="8">
        <v>45686</v>
      </c>
      <c r="E470" s="22">
        <v>45964</v>
      </c>
      <c r="F470" t="s">
        <v>627</v>
      </c>
      <c r="H470">
        <v>6</v>
      </c>
      <c r="I470">
        <v>20101214771</v>
      </c>
      <c r="J470" t="s">
        <v>1993</v>
      </c>
      <c r="K470" s="8">
        <v>45686</v>
      </c>
      <c r="Q470">
        <v>18670</v>
      </c>
      <c r="R470">
        <v>955</v>
      </c>
      <c r="S470" t="s">
        <v>1262</v>
      </c>
      <c r="T470" t="s">
        <v>215</v>
      </c>
      <c r="U470">
        <v>1</v>
      </c>
      <c r="V470">
        <v>423.73</v>
      </c>
      <c r="W470">
        <v>500</v>
      </c>
      <c r="X470">
        <v>0</v>
      </c>
      <c r="Y470">
        <v>423.73</v>
      </c>
      <c r="Z470">
        <v>18</v>
      </c>
      <c r="AA470">
        <v>76.27</v>
      </c>
      <c r="AB470">
        <v>500</v>
      </c>
      <c r="AC470">
        <v>1</v>
      </c>
      <c r="AD470">
        <v>1</v>
      </c>
      <c r="AE470" t="s">
        <v>232</v>
      </c>
      <c r="AF470" t="s">
        <v>29</v>
      </c>
      <c r="AG470">
        <v>2</v>
      </c>
      <c r="AH470" t="s">
        <v>25</v>
      </c>
      <c r="AI470">
        <v>1106</v>
      </c>
      <c r="AJ470" t="s">
        <v>239</v>
      </c>
      <c r="AK470" t="s">
        <v>1243</v>
      </c>
      <c r="AP470">
        <v>1137</v>
      </c>
      <c r="AQ470" t="s">
        <v>627</v>
      </c>
      <c r="AR470" t="s">
        <v>12</v>
      </c>
      <c r="AS470" t="str">
        <f>+CONCATENATE(A470,"-",B470)</f>
        <v>FB01-1357</v>
      </c>
    </row>
    <row r="471" spans="1:45" ht="15" customHeight="1">
      <c r="A471" t="s">
        <v>216</v>
      </c>
      <c r="B471">
        <v>1352</v>
      </c>
      <c r="C471" t="s">
        <v>27</v>
      </c>
      <c r="D471" s="8">
        <v>45686</v>
      </c>
      <c r="E471" s="22">
        <v>45964</v>
      </c>
      <c r="F471" t="s">
        <v>627</v>
      </c>
      <c r="H471">
        <v>6</v>
      </c>
      <c r="I471">
        <v>20101214771</v>
      </c>
      <c r="J471" t="s">
        <v>1998</v>
      </c>
      <c r="K471" s="8">
        <v>45686</v>
      </c>
      <c r="Q471">
        <v>18665</v>
      </c>
      <c r="R471">
        <v>955</v>
      </c>
      <c r="S471" t="s">
        <v>1262</v>
      </c>
      <c r="T471" t="s">
        <v>215</v>
      </c>
      <c r="U471">
        <v>1</v>
      </c>
      <c r="V471">
        <v>423.73</v>
      </c>
      <c r="W471">
        <v>500</v>
      </c>
      <c r="X471">
        <v>0</v>
      </c>
      <c r="Y471">
        <v>423.73</v>
      </c>
      <c r="Z471">
        <v>18</v>
      </c>
      <c r="AA471">
        <v>76.27</v>
      </c>
      <c r="AB471">
        <v>500</v>
      </c>
      <c r="AC471">
        <v>1</v>
      </c>
      <c r="AD471">
        <v>1</v>
      </c>
      <c r="AE471" t="s">
        <v>232</v>
      </c>
      <c r="AF471" t="s">
        <v>29</v>
      </c>
      <c r="AG471">
        <v>2</v>
      </c>
      <c r="AH471" t="s">
        <v>25</v>
      </c>
      <c r="AI471">
        <v>1106</v>
      </c>
      <c r="AJ471" t="s">
        <v>239</v>
      </c>
      <c r="AK471" t="s">
        <v>1243</v>
      </c>
      <c r="AP471">
        <v>1137</v>
      </c>
      <c r="AQ471" t="s">
        <v>627</v>
      </c>
      <c r="AR471" t="s">
        <v>12</v>
      </c>
      <c r="AS471" t="str">
        <f>+CONCATENATE(A471,"-",B471)</f>
        <v>FB01-1352</v>
      </c>
    </row>
    <row r="472" spans="1:45" ht="15" customHeight="1">
      <c r="A472" t="s">
        <v>216</v>
      </c>
      <c r="B472">
        <v>1342</v>
      </c>
      <c r="C472" t="s">
        <v>27</v>
      </c>
      <c r="D472" s="8">
        <v>45686</v>
      </c>
      <c r="E472" s="22">
        <v>45964</v>
      </c>
      <c r="F472" t="s">
        <v>627</v>
      </c>
      <c r="H472">
        <v>6</v>
      </c>
      <c r="I472">
        <v>20101214771</v>
      </c>
      <c r="J472" t="s">
        <v>2008</v>
      </c>
      <c r="K472" s="8">
        <v>45686</v>
      </c>
      <c r="Q472">
        <v>18655</v>
      </c>
      <c r="R472">
        <v>951</v>
      </c>
      <c r="S472" t="s">
        <v>1266</v>
      </c>
      <c r="T472" t="s">
        <v>215</v>
      </c>
      <c r="U472">
        <v>1</v>
      </c>
      <c r="V472">
        <v>423.73</v>
      </c>
      <c r="W472">
        <v>500</v>
      </c>
      <c r="X472">
        <v>0</v>
      </c>
      <c r="Y472">
        <v>423.73</v>
      </c>
      <c r="Z472">
        <v>18</v>
      </c>
      <c r="AA472">
        <v>76.27</v>
      </c>
      <c r="AB472">
        <v>500</v>
      </c>
      <c r="AC472">
        <v>1</v>
      </c>
      <c r="AD472">
        <v>1</v>
      </c>
      <c r="AE472" t="s">
        <v>232</v>
      </c>
      <c r="AF472" t="s">
        <v>29</v>
      </c>
      <c r="AG472">
        <v>2</v>
      </c>
      <c r="AH472" t="s">
        <v>25</v>
      </c>
      <c r="AI472">
        <v>1106</v>
      </c>
      <c r="AJ472" t="s">
        <v>239</v>
      </c>
      <c r="AK472" t="s">
        <v>1243</v>
      </c>
      <c r="AP472">
        <v>1137</v>
      </c>
      <c r="AQ472" t="s">
        <v>627</v>
      </c>
      <c r="AR472" t="s">
        <v>12</v>
      </c>
      <c r="AS472" t="str">
        <f>+CONCATENATE(A472,"-",B472)</f>
        <v>FB01-1342</v>
      </c>
    </row>
    <row r="473" spans="1:45" ht="15" customHeight="1">
      <c r="A473" t="s">
        <v>216</v>
      </c>
      <c r="B473">
        <v>1339</v>
      </c>
      <c r="C473" t="s">
        <v>27</v>
      </c>
      <c r="D473" s="8">
        <v>45686</v>
      </c>
      <c r="E473" s="22">
        <v>45964</v>
      </c>
      <c r="F473" t="s">
        <v>627</v>
      </c>
      <c r="H473">
        <v>6</v>
      </c>
      <c r="I473">
        <v>20101214771</v>
      </c>
      <c r="J473" t="s">
        <v>2011</v>
      </c>
      <c r="K473" s="8">
        <v>45686</v>
      </c>
      <c r="Q473">
        <v>18652</v>
      </c>
      <c r="R473">
        <v>950</v>
      </c>
      <c r="S473" t="s">
        <v>1267</v>
      </c>
      <c r="T473" t="s">
        <v>215</v>
      </c>
      <c r="U473">
        <v>1</v>
      </c>
      <c r="V473">
        <v>423.73</v>
      </c>
      <c r="W473">
        <v>500</v>
      </c>
      <c r="X473">
        <v>0</v>
      </c>
      <c r="Y473">
        <v>423.73</v>
      </c>
      <c r="Z473">
        <v>18</v>
      </c>
      <c r="AA473">
        <v>76.27</v>
      </c>
      <c r="AB473">
        <v>500</v>
      </c>
      <c r="AC473">
        <v>1</v>
      </c>
      <c r="AD473">
        <v>1</v>
      </c>
      <c r="AE473" t="s">
        <v>232</v>
      </c>
      <c r="AF473" t="s">
        <v>29</v>
      </c>
      <c r="AG473">
        <v>2</v>
      </c>
      <c r="AH473" t="s">
        <v>25</v>
      </c>
      <c r="AI473">
        <v>1106</v>
      </c>
      <c r="AJ473" t="s">
        <v>239</v>
      </c>
      <c r="AK473" t="s">
        <v>1243</v>
      </c>
      <c r="AP473">
        <v>1137</v>
      </c>
      <c r="AQ473" t="s">
        <v>627</v>
      </c>
      <c r="AR473" t="s">
        <v>12</v>
      </c>
      <c r="AS473" t="str">
        <f>+CONCATENATE(A473,"-",B473)</f>
        <v>FB01-1339</v>
      </c>
    </row>
    <row r="474" spans="1:45" ht="15" customHeight="1">
      <c r="A474" t="s">
        <v>1238</v>
      </c>
      <c r="B474">
        <v>752</v>
      </c>
      <c r="C474" t="s">
        <v>27</v>
      </c>
      <c r="D474" s="8">
        <v>45693</v>
      </c>
      <c r="E474" s="22">
        <v>45964</v>
      </c>
      <c r="F474" t="s">
        <v>519</v>
      </c>
      <c r="H474">
        <v>1</v>
      </c>
      <c r="I474">
        <v>19941551</v>
      </c>
      <c r="J474" t="s">
        <v>1914</v>
      </c>
      <c r="K474" s="8">
        <v>45693</v>
      </c>
      <c r="Q474">
        <v>18772</v>
      </c>
      <c r="R474">
        <v>940</v>
      </c>
      <c r="S474" t="s">
        <v>1310</v>
      </c>
      <c r="T474" t="s">
        <v>215</v>
      </c>
      <c r="U474">
        <v>1</v>
      </c>
      <c r="V474">
        <v>437.8</v>
      </c>
      <c r="W474">
        <v>516.6</v>
      </c>
      <c r="X474">
        <v>0</v>
      </c>
      <c r="Y474">
        <v>437.8</v>
      </c>
      <c r="Z474">
        <v>18</v>
      </c>
      <c r="AA474">
        <v>78.8</v>
      </c>
      <c r="AB474">
        <v>516.6</v>
      </c>
      <c r="AC474">
        <v>1</v>
      </c>
      <c r="AD474">
        <v>1</v>
      </c>
      <c r="AE474" t="s">
        <v>232</v>
      </c>
      <c r="AF474" t="s">
        <v>29</v>
      </c>
      <c r="AG474">
        <v>2</v>
      </c>
      <c r="AH474" t="s">
        <v>25</v>
      </c>
      <c r="AI474">
        <v>1106</v>
      </c>
      <c r="AJ474" t="s">
        <v>239</v>
      </c>
      <c r="AK474" t="s">
        <v>1237</v>
      </c>
      <c r="AP474">
        <v>1166</v>
      </c>
      <c r="AQ474" t="s">
        <v>519</v>
      </c>
      <c r="AR474" t="s">
        <v>1295</v>
      </c>
      <c r="AS474" t="str">
        <f>+CONCATENATE(A474,"-",B474)</f>
        <v>BB01-752</v>
      </c>
    </row>
    <row r="475" spans="1:45" ht="15" customHeight="1">
      <c r="A475" t="s">
        <v>216</v>
      </c>
      <c r="B475">
        <v>1349</v>
      </c>
      <c r="C475" t="s">
        <v>27</v>
      </c>
      <c r="D475" s="8">
        <v>45686</v>
      </c>
      <c r="E475" s="22">
        <v>45964</v>
      </c>
      <c r="F475" t="s">
        <v>627</v>
      </c>
      <c r="H475">
        <v>6</v>
      </c>
      <c r="I475">
        <v>20101214771</v>
      </c>
      <c r="J475" t="s">
        <v>2001</v>
      </c>
      <c r="K475" s="8">
        <v>45686</v>
      </c>
      <c r="Q475">
        <v>18662</v>
      </c>
      <c r="R475">
        <v>954</v>
      </c>
      <c r="S475" t="s">
        <v>1264</v>
      </c>
      <c r="T475" t="s">
        <v>215</v>
      </c>
      <c r="U475">
        <v>1</v>
      </c>
      <c r="V475">
        <v>438.73</v>
      </c>
      <c r="W475">
        <v>517.70000000000005</v>
      </c>
      <c r="X475">
        <v>0</v>
      </c>
      <c r="Y475">
        <v>438.73</v>
      </c>
      <c r="Z475">
        <v>18</v>
      </c>
      <c r="AA475">
        <v>78.97</v>
      </c>
      <c r="AB475">
        <v>517.70000000000005</v>
      </c>
      <c r="AC475">
        <v>1</v>
      </c>
      <c r="AD475">
        <v>1</v>
      </c>
      <c r="AE475" t="s">
        <v>232</v>
      </c>
      <c r="AF475" t="s">
        <v>29</v>
      </c>
      <c r="AG475">
        <v>2</v>
      </c>
      <c r="AH475" t="s">
        <v>25</v>
      </c>
      <c r="AI475">
        <v>1106</v>
      </c>
      <c r="AJ475" t="s">
        <v>239</v>
      </c>
      <c r="AK475" t="s">
        <v>1243</v>
      </c>
      <c r="AP475">
        <v>1137</v>
      </c>
      <c r="AQ475" t="s">
        <v>627</v>
      </c>
      <c r="AR475" t="s">
        <v>12</v>
      </c>
      <c r="AS475" t="str">
        <f>+CONCATENATE(A475,"-",B475)</f>
        <v>FB01-1349</v>
      </c>
    </row>
    <row r="476" spans="1:45" ht="15" customHeight="1">
      <c r="A476" t="s">
        <v>1216</v>
      </c>
      <c r="B476" s="21" t="s">
        <v>1458</v>
      </c>
      <c r="C476" t="s">
        <v>27</v>
      </c>
      <c r="D476" s="8">
        <v>45954</v>
      </c>
      <c r="E476" s="22">
        <v>45964.604050925926</v>
      </c>
      <c r="F476" t="s">
        <v>1454</v>
      </c>
      <c r="H476">
        <v>6</v>
      </c>
      <c r="I476">
        <v>20608574663</v>
      </c>
      <c r="J476" t="s">
        <v>1459</v>
      </c>
      <c r="K476" s="8">
        <v>45954</v>
      </c>
      <c r="Q476">
        <v>32581</v>
      </c>
      <c r="R476">
        <v>1786</v>
      </c>
      <c r="S476" t="s">
        <v>1299</v>
      </c>
      <c r="T476" t="s">
        <v>163</v>
      </c>
      <c r="U476">
        <v>1</v>
      </c>
      <c r="V476">
        <v>444.86</v>
      </c>
      <c r="W476">
        <v>524.92999999999995</v>
      </c>
      <c r="X476">
        <v>0</v>
      </c>
      <c r="Y476">
        <v>444.86</v>
      </c>
      <c r="Z476">
        <v>18</v>
      </c>
      <c r="AA476">
        <v>80.069999999999993</v>
      </c>
      <c r="AB476">
        <v>524.92999999999995</v>
      </c>
      <c r="AC476">
        <v>1</v>
      </c>
      <c r="AD476">
        <v>1</v>
      </c>
      <c r="AE476" t="s">
        <v>1411</v>
      </c>
      <c r="AF476" t="s">
        <v>1412</v>
      </c>
      <c r="AG476">
        <v>2</v>
      </c>
      <c r="AH476" t="s">
        <v>25</v>
      </c>
      <c r="AI476">
        <v>6937</v>
      </c>
      <c r="AJ476" t="s">
        <v>1414</v>
      </c>
      <c r="AK476" t="s">
        <v>1251</v>
      </c>
      <c r="AL476">
        <v>3079</v>
      </c>
      <c r="AM476" t="s">
        <v>1456</v>
      </c>
      <c r="AN476" s="8">
        <v>45921</v>
      </c>
      <c r="AO476" s="8">
        <v>45921</v>
      </c>
      <c r="AP476">
        <v>5597</v>
      </c>
      <c r="AQ476" t="s">
        <v>1457</v>
      </c>
      <c r="AR476" t="s">
        <v>12</v>
      </c>
      <c r="AS476" t="str">
        <f>+CONCATENATE(A476,"-",B476)</f>
        <v>(01) Factura FOF1-00000181</v>
      </c>
    </row>
    <row r="477" spans="1:45" ht="15" customHeight="1">
      <c r="A477" t="s">
        <v>216</v>
      </c>
      <c r="B477">
        <v>1346</v>
      </c>
      <c r="C477" t="s">
        <v>27</v>
      </c>
      <c r="D477" s="8">
        <v>45686</v>
      </c>
      <c r="E477" s="22">
        <v>45964</v>
      </c>
      <c r="F477" t="s">
        <v>627</v>
      </c>
      <c r="H477">
        <v>6</v>
      </c>
      <c r="I477">
        <v>20101214771</v>
      </c>
      <c r="J477" t="s">
        <v>2004</v>
      </c>
      <c r="K477" s="8">
        <v>45686</v>
      </c>
      <c r="Q477">
        <v>18659</v>
      </c>
      <c r="R477">
        <v>953</v>
      </c>
      <c r="S477" t="s">
        <v>1265</v>
      </c>
      <c r="T477" t="s">
        <v>215</v>
      </c>
      <c r="U477">
        <v>1</v>
      </c>
      <c r="V477">
        <v>447.73</v>
      </c>
      <c r="W477">
        <v>528.32000000000005</v>
      </c>
      <c r="X477">
        <v>0</v>
      </c>
      <c r="Y477">
        <v>447.73</v>
      </c>
      <c r="Z477">
        <v>18</v>
      </c>
      <c r="AA477">
        <v>80.59</v>
      </c>
      <c r="AB477">
        <v>528.32000000000005</v>
      </c>
      <c r="AC477">
        <v>1</v>
      </c>
      <c r="AD477">
        <v>1</v>
      </c>
      <c r="AE477" t="s">
        <v>232</v>
      </c>
      <c r="AF477" t="s">
        <v>29</v>
      </c>
      <c r="AG477">
        <v>2</v>
      </c>
      <c r="AH477" t="s">
        <v>25</v>
      </c>
      <c r="AI477">
        <v>1106</v>
      </c>
      <c r="AJ477" t="s">
        <v>239</v>
      </c>
      <c r="AK477" t="s">
        <v>1237</v>
      </c>
      <c r="AP477">
        <v>1137</v>
      </c>
      <c r="AQ477" t="s">
        <v>627</v>
      </c>
      <c r="AR477" t="s">
        <v>12</v>
      </c>
      <c r="AS477" t="str">
        <f>+CONCATENATE(A477,"-",B477)</f>
        <v>FB01-1346</v>
      </c>
    </row>
    <row r="478" spans="1:45" ht="15" customHeight="1">
      <c r="A478" t="s">
        <v>1216</v>
      </c>
      <c r="B478" s="21" t="s">
        <v>2499</v>
      </c>
      <c r="C478" t="s">
        <v>27</v>
      </c>
      <c r="D478" s="8">
        <v>45959</v>
      </c>
      <c r="E478" s="22">
        <v>45964.63</v>
      </c>
      <c r="F478" t="s">
        <v>1321</v>
      </c>
      <c r="G478" t="s">
        <v>158</v>
      </c>
      <c r="H478">
        <v>6</v>
      </c>
      <c r="I478">
        <v>20296011356</v>
      </c>
      <c r="J478" t="s">
        <v>2677</v>
      </c>
      <c r="K478" s="8">
        <v>45959</v>
      </c>
      <c r="Q478">
        <v>32873</v>
      </c>
      <c r="R478">
        <v>2314</v>
      </c>
      <c r="S478" t="s">
        <v>1302</v>
      </c>
      <c r="T478" t="s">
        <v>163</v>
      </c>
      <c r="U478">
        <v>1</v>
      </c>
      <c r="V478">
        <v>450</v>
      </c>
      <c r="W478">
        <v>531</v>
      </c>
      <c r="X478">
        <v>0</v>
      </c>
      <c r="Y478">
        <v>450</v>
      </c>
      <c r="Z478">
        <v>18</v>
      </c>
      <c r="AA478">
        <v>81</v>
      </c>
      <c r="AB478">
        <v>531</v>
      </c>
      <c r="AC478">
        <v>1</v>
      </c>
      <c r="AD478">
        <v>1</v>
      </c>
      <c r="AE478" t="s">
        <v>1411</v>
      </c>
      <c r="AF478" t="s">
        <v>1412</v>
      </c>
      <c r="AG478">
        <v>2</v>
      </c>
      <c r="AH478" t="s">
        <v>25</v>
      </c>
      <c r="AI478">
        <v>6959</v>
      </c>
      <c r="AJ478" t="s">
        <v>1401</v>
      </c>
      <c r="AK478" t="s">
        <v>1251</v>
      </c>
      <c r="AL478">
        <v>3277</v>
      </c>
      <c r="AM478" t="s">
        <v>2498</v>
      </c>
      <c r="AN478" s="8">
        <v>45956</v>
      </c>
      <c r="AO478" s="8">
        <v>45956</v>
      </c>
      <c r="AP478">
        <v>390</v>
      </c>
      <c r="AQ478" t="s">
        <v>1321</v>
      </c>
      <c r="AR478" t="s">
        <v>12</v>
      </c>
      <c r="AS478" t="str">
        <f>+CONCATENATE(A478,"-",B478)</f>
        <v>(01) Factura FOF1-00000202</v>
      </c>
    </row>
    <row r="479" spans="1:45" ht="15" customHeight="1">
      <c r="A479" t="s">
        <v>1216</v>
      </c>
      <c r="B479" s="21" t="s">
        <v>1408</v>
      </c>
      <c r="C479" t="s">
        <v>27</v>
      </c>
      <c r="D479" s="8">
        <v>45957</v>
      </c>
      <c r="E479" s="22">
        <v>45964.766041666669</v>
      </c>
      <c r="F479" t="s">
        <v>1409</v>
      </c>
      <c r="H479">
        <v>6</v>
      </c>
      <c r="I479">
        <v>20604680795</v>
      </c>
      <c r="J479" t="s">
        <v>2689</v>
      </c>
      <c r="K479" s="8">
        <v>45957</v>
      </c>
      <c r="Q479">
        <v>32793</v>
      </c>
      <c r="R479">
        <v>223</v>
      </c>
      <c r="S479" t="s">
        <v>1410</v>
      </c>
      <c r="T479" t="s">
        <v>215</v>
      </c>
      <c r="U479">
        <v>500</v>
      </c>
      <c r="V479">
        <v>0.9</v>
      </c>
      <c r="W479">
        <v>1.06</v>
      </c>
      <c r="X479">
        <v>0</v>
      </c>
      <c r="Y479">
        <v>450</v>
      </c>
      <c r="Z479">
        <v>18</v>
      </c>
      <c r="AA479">
        <v>81</v>
      </c>
      <c r="AB479">
        <v>531</v>
      </c>
      <c r="AC479">
        <v>1</v>
      </c>
      <c r="AD479">
        <v>1</v>
      </c>
      <c r="AE479" t="s">
        <v>1411</v>
      </c>
      <c r="AF479" t="s">
        <v>1412</v>
      </c>
      <c r="AG479">
        <v>2</v>
      </c>
      <c r="AH479" t="s">
        <v>25</v>
      </c>
      <c r="AI479">
        <v>1106</v>
      </c>
      <c r="AJ479" t="s">
        <v>239</v>
      </c>
      <c r="AK479" t="s">
        <v>1406</v>
      </c>
      <c r="AP479">
        <v>5214</v>
      </c>
      <c r="AQ479" t="s">
        <v>1409</v>
      </c>
      <c r="AR479" t="s">
        <v>12</v>
      </c>
      <c r="AS479" t="str">
        <f>+CONCATENATE(A479,"-",B479)</f>
        <v>(01) Factura FOF1-00000190</v>
      </c>
    </row>
    <row r="480" spans="1:45" ht="15" customHeight="1">
      <c r="A480" t="s">
        <v>1216</v>
      </c>
      <c r="B480" s="21" t="s">
        <v>1408</v>
      </c>
      <c r="C480" t="s">
        <v>27</v>
      </c>
      <c r="D480" s="8">
        <v>45957</v>
      </c>
      <c r="E480" s="22">
        <v>45964.766041666669</v>
      </c>
      <c r="F480" t="s">
        <v>1409</v>
      </c>
      <c r="H480">
        <v>6</v>
      </c>
      <c r="I480">
        <v>20604680795</v>
      </c>
      <c r="J480" t="s">
        <v>2689</v>
      </c>
      <c r="K480" s="8">
        <v>45957</v>
      </c>
      <c r="Q480">
        <v>32795</v>
      </c>
      <c r="R480">
        <v>223</v>
      </c>
      <c r="S480" t="s">
        <v>1410</v>
      </c>
      <c r="T480" t="s">
        <v>215</v>
      </c>
      <c r="U480">
        <v>500</v>
      </c>
      <c r="V480">
        <v>0.9</v>
      </c>
      <c r="W480">
        <v>1.06</v>
      </c>
      <c r="X480">
        <v>0</v>
      </c>
      <c r="Y480">
        <v>450</v>
      </c>
      <c r="Z480">
        <v>18</v>
      </c>
      <c r="AA480">
        <v>81</v>
      </c>
      <c r="AB480">
        <v>531</v>
      </c>
      <c r="AC480">
        <v>1</v>
      </c>
      <c r="AD480">
        <v>1</v>
      </c>
      <c r="AE480" t="s">
        <v>1411</v>
      </c>
      <c r="AF480" t="s">
        <v>1412</v>
      </c>
      <c r="AG480">
        <v>2</v>
      </c>
      <c r="AH480" t="s">
        <v>25</v>
      </c>
      <c r="AI480">
        <v>1106</v>
      </c>
      <c r="AJ480" t="s">
        <v>239</v>
      </c>
      <c r="AK480" t="s">
        <v>1406</v>
      </c>
      <c r="AP480">
        <v>5214</v>
      </c>
      <c r="AQ480" t="s">
        <v>1409</v>
      </c>
      <c r="AR480" t="s">
        <v>12</v>
      </c>
      <c r="AS480" t="str">
        <f>+CONCATENATE(A480,"-",B480)</f>
        <v>(01) Factura FOF1-00000190</v>
      </c>
    </row>
    <row r="481" spans="1:45" ht="15" customHeight="1">
      <c r="A481" t="s">
        <v>1216</v>
      </c>
      <c r="B481" s="21" t="s">
        <v>1427</v>
      </c>
      <c r="C481" t="s">
        <v>27</v>
      </c>
      <c r="D481" s="8">
        <v>45954</v>
      </c>
      <c r="E481" s="22">
        <v>45964.708333333336</v>
      </c>
      <c r="F481" t="s">
        <v>415</v>
      </c>
      <c r="H481">
        <v>6</v>
      </c>
      <c r="I481">
        <v>20611890746</v>
      </c>
      <c r="J481" t="s">
        <v>2696</v>
      </c>
      <c r="K481" s="8">
        <v>45954</v>
      </c>
      <c r="Q481">
        <v>32759</v>
      </c>
      <c r="R481">
        <v>223</v>
      </c>
      <c r="S481" t="s">
        <v>1410</v>
      </c>
      <c r="T481" t="s">
        <v>215</v>
      </c>
      <c r="U481">
        <v>500</v>
      </c>
      <c r="V481">
        <v>0.9</v>
      </c>
      <c r="W481">
        <v>1.06</v>
      </c>
      <c r="X481">
        <v>0</v>
      </c>
      <c r="Y481">
        <v>450</v>
      </c>
      <c r="Z481">
        <v>18</v>
      </c>
      <c r="AA481">
        <v>81</v>
      </c>
      <c r="AB481">
        <v>531</v>
      </c>
      <c r="AC481">
        <v>1</v>
      </c>
      <c r="AD481">
        <v>1</v>
      </c>
      <c r="AE481" t="s">
        <v>1411</v>
      </c>
      <c r="AF481" t="s">
        <v>1412</v>
      </c>
      <c r="AG481">
        <v>16</v>
      </c>
      <c r="AH481" t="s">
        <v>1400</v>
      </c>
      <c r="AI481">
        <v>1106</v>
      </c>
      <c r="AJ481" t="s">
        <v>239</v>
      </c>
      <c r="AK481" t="s">
        <v>1406</v>
      </c>
      <c r="AL481">
        <v>3318</v>
      </c>
      <c r="AM481" t="s">
        <v>1428</v>
      </c>
      <c r="AN481" s="8">
        <v>45969</v>
      </c>
      <c r="AO481" s="8">
        <v>45969</v>
      </c>
      <c r="AP481">
        <v>1136</v>
      </c>
      <c r="AQ481" t="s">
        <v>415</v>
      </c>
      <c r="AR481" t="s">
        <v>12</v>
      </c>
      <c r="AS481" t="str">
        <f>+CONCATENATE(A481,"-",B481)</f>
        <v>(01) Factura FOF1-00000184</v>
      </c>
    </row>
    <row r="482" spans="1:45" ht="15" customHeight="1">
      <c r="A482" t="s">
        <v>1216</v>
      </c>
      <c r="B482" s="21" t="s">
        <v>1427</v>
      </c>
      <c r="C482" t="s">
        <v>27</v>
      </c>
      <c r="D482" s="8">
        <v>45954</v>
      </c>
      <c r="E482" s="22">
        <v>45964.708333333336</v>
      </c>
      <c r="F482" t="s">
        <v>415</v>
      </c>
      <c r="H482">
        <v>6</v>
      </c>
      <c r="I482">
        <v>20611890746</v>
      </c>
      <c r="J482" t="s">
        <v>2696</v>
      </c>
      <c r="K482" s="8">
        <v>45954</v>
      </c>
      <c r="Q482">
        <v>32760</v>
      </c>
      <c r="R482">
        <v>223</v>
      </c>
      <c r="S482" t="s">
        <v>1410</v>
      </c>
      <c r="T482" t="s">
        <v>215</v>
      </c>
      <c r="U482">
        <v>500</v>
      </c>
      <c r="V482">
        <v>0.9</v>
      </c>
      <c r="W482">
        <v>1.06</v>
      </c>
      <c r="X482">
        <v>0</v>
      </c>
      <c r="Y482">
        <v>450</v>
      </c>
      <c r="Z482">
        <v>18</v>
      </c>
      <c r="AA482">
        <v>81</v>
      </c>
      <c r="AB482">
        <v>531</v>
      </c>
      <c r="AC482">
        <v>1</v>
      </c>
      <c r="AD482">
        <v>1</v>
      </c>
      <c r="AE482" t="s">
        <v>1411</v>
      </c>
      <c r="AF482" t="s">
        <v>1412</v>
      </c>
      <c r="AG482">
        <v>16</v>
      </c>
      <c r="AH482" t="s">
        <v>1400</v>
      </c>
      <c r="AI482">
        <v>1106</v>
      </c>
      <c r="AJ482" t="s">
        <v>239</v>
      </c>
      <c r="AK482" t="s">
        <v>1406</v>
      </c>
      <c r="AL482">
        <v>3318</v>
      </c>
      <c r="AM482" t="s">
        <v>1428</v>
      </c>
      <c r="AN482" s="8">
        <v>45969</v>
      </c>
      <c r="AO482" s="8">
        <v>45969</v>
      </c>
      <c r="AP482">
        <v>1136</v>
      </c>
      <c r="AQ482" t="s">
        <v>415</v>
      </c>
      <c r="AR482" t="s">
        <v>12</v>
      </c>
      <c r="AS482" t="str">
        <f>+CONCATENATE(A482,"-",B482)</f>
        <v>(01) Factura FOF1-00000184</v>
      </c>
    </row>
    <row r="483" spans="1:45" ht="15" customHeight="1">
      <c r="A483" t="s">
        <v>1216</v>
      </c>
      <c r="B483" s="21" t="s">
        <v>1583</v>
      </c>
      <c r="C483" t="s">
        <v>27</v>
      </c>
      <c r="D483" s="8">
        <v>45952</v>
      </c>
      <c r="E483" s="22">
        <v>45964.780543981484</v>
      </c>
      <c r="F483" t="s">
        <v>1569</v>
      </c>
      <c r="H483">
        <v>6</v>
      </c>
      <c r="I483">
        <v>20603011601</v>
      </c>
      <c r="J483" t="s">
        <v>1584</v>
      </c>
      <c r="K483" s="8">
        <v>45952</v>
      </c>
      <c r="Q483">
        <v>32320</v>
      </c>
      <c r="R483">
        <v>223</v>
      </c>
      <c r="S483" t="s">
        <v>1410</v>
      </c>
      <c r="T483" t="s">
        <v>215</v>
      </c>
      <c r="U483">
        <v>500</v>
      </c>
      <c r="V483">
        <v>0.9</v>
      </c>
      <c r="W483">
        <v>1.06</v>
      </c>
      <c r="X483">
        <v>0</v>
      </c>
      <c r="Y483">
        <v>450</v>
      </c>
      <c r="Z483">
        <v>18</v>
      </c>
      <c r="AA483">
        <v>81</v>
      </c>
      <c r="AB483">
        <v>531</v>
      </c>
      <c r="AC483">
        <v>1</v>
      </c>
      <c r="AD483">
        <v>1</v>
      </c>
      <c r="AE483" t="s">
        <v>1411</v>
      </c>
      <c r="AF483" t="s">
        <v>1412</v>
      </c>
      <c r="AG483">
        <v>16</v>
      </c>
      <c r="AH483" t="s">
        <v>1400</v>
      </c>
      <c r="AI483">
        <v>1106</v>
      </c>
      <c r="AJ483" t="s">
        <v>239</v>
      </c>
      <c r="AK483" t="s">
        <v>1406</v>
      </c>
      <c r="AL483">
        <v>3271</v>
      </c>
      <c r="AM483" t="s">
        <v>1581</v>
      </c>
      <c r="AN483" s="8">
        <v>45968</v>
      </c>
      <c r="AO483" s="8">
        <v>45968</v>
      </c>
      <c r="AP483">
        <v>5613</v>
      </c>
      <c r="AQ483" t="s">
        <v>1569</v>
      </c>
      <c r="AR483" t="s">
        <v>12</v>
      </c>
      <c r="AS483" t="str">
        <f>+CONCATENATE(A483,"-",B483)</f>
        <v>(01) Factura FOF1-00000141</v>
      </c>
    </row>
    <row r="484" spans="1:45" ht="15" customHeight="1">
      <c r="A484" t="s">
        <v>1216</v>
      </c>
      <c r="B484" s="21" t="s">
        <v>1583</v>
      </c>
      <c r="C484" t="s">
        <v>27</v>
      </c>
      <c r="D484" s="8">
        <v>45952</v>
      </c>
      <c r="E484" s="22">
        <v>45964.780543981484</v>
      </c>
      <c r="F484" t="s">
        <v>1569</v>
      </c>
      <c r="H484">
        <v>6</v>
      </c>
      <c r="I484">
        <v>20603011601</v>
      </c>
      <c r="J484" t="s">
        <v>1584</v>
      </c>
      <c r="K484" s="8">
        <v>45952</v>
      </c>
      <c r="Q484">
        <v>32321</v>
      </c>
      <c r="R484">
        <v>223</v>
      </c>
      <c r="S484" t="s">
        <v>1410</v>
      </c>
      <c r="T484" t="s">
        <v>215</v>
      </c>
      <c r="U484">
        <v>500</v>
      </c>
      <c r="V484">
        <v>0.9</v>
      </c>
      <c r="W484">
        <v>1.06</v>
      </c>
      <c r="X484">
        <v>0</v>
      </c>
      <c r="Y484">
        <v>450</v>
      </c>
      <c r="Z484">
        <v>18</v>
      </c>
      <c r="AA484">
        <v>81</v>
      </c>
      <c r="AB484">
        <v>531</v>
      </c>
      <c r="AC484">
        <v>1</v>
      </c>
      <c r="AD484">
        <v>1</v>
      </c>
      <c r="AE484" t="s">
        <v>1411</v>
      </c>
      <c r="AF484" t="s">
        <v>1412</v>
      </c>
      <c r="AG484">
        <v>16</v>
      </c>
      <c r="AH484" t="s">
        <v>1400</v>
      </c>
      <c r="AI484">
        <v>1106</v>
      </c>
      <c r="AJ484" t="s">
        <v>239</v>
      </c>
      <c r="AK484" t="s">
        <v>1406</v>
      </c>
      <c r="AL484">
        <v>3271</v>
      </c>
      <c r="AM484" t="s">
        <v>1581</v>
      </c>
      <c r="AN484" s="8">
        <v>45968</v>
      </c>
      <c r="AO484" s="8">
        <v>45968</v>
      </c>
      <c r="AP484">
        <v>5613</v>
      </c>
      <c r="AQ484" t="s">
        <v>1569</v>
      </c>
      <c r="AR484" t="s">
        <v>12</v>
      </c>
      <c r="AS484" t="str">
        <f>+CONCATENATE(A484,"-",B484)</f>
        <v>(01) Factura FOF1-00000141</v>
      </c>
    </row>
    <row r="485" spans="1:45" ht="15" customHeight="1">
      <c r="A485" t="s">
        <v>216</v>
      </c>
      <c r="B485">
        <v>1247</v>
      </c>
      <c r="C485" t="s">
        <v>27</v>
      </c>
      <c r="D485" s="8">
        <v>45665</v>
      </c>
      <c r="E485" s="22">
        <v>45964</v>
      </c>
      <c r="F485" t="s">
        <v>1321</v>
      </c>
      <c r="G485" t="s">
        <v>158</v>
      </c>
      <c r="H485">
        <v>6</v>
      </c>
      <c r="I485">
        <v>20296011356</v>
      </c>
      <c r="J485" t="s">
        <v>2139</v>
      </c>
      <c r="K485" s="8">
        <v>45665</v>
      </c>
      <c r="Q485">
        <v>17250</v>
      </c>
      <c r="R485">
        <v>902</v>
      </c>
      <c r="S485" t="s">
        <v>1272</v>
      </c>
      <c r="T485" t="s">
        <v>215</v>
      </c>
      <c r="U485">
        <v>1</v>
      </c>
      <c r="V485">
        <v>450</v>
      </c>
      <c r="W485">
        <v>531</v>
      </c>
      <c r="X485">
        <v>0</v>
      </c>
      <c r="Y485">
        <v>450</v>
      </c>
      <c r="Z485">
        <v>18</v>
      </c>
      <c r="AA485">
        <v>81</v>
      </c>
      <c r="AB485">
        <v>531</v>
      </c>
      <c r="AC485">
        <v>1</v>
      </c>
      <c r="AD485">
        <v>1</v>
      </c>
      <c r="AE485" t="s">
        <v>232</v>
      </c>
      <c r="AF485" t="s">
        <v>29</v>
      </c>
      <c r="AG485">
        <v>2</v>
      </c>
      <c r="AH485" t="s">
        <v>25</v>
      </c>
      <c r="AI485">
        <v>1106</v>
      </c>
      <c r="AJ485" t="s">
        <v>239</v>
      </c>
      <c r="AK485" t="s">
        <v>1251</v>
      </c>
      <c r="AP485">
        <v>390</v>
      </c>
      <c r="AQ485" t="s">
        <v>1321</v>
      </c>
      <c r="AR485" t="s">
        <v>12</v>
      </c>
      <c r="AS485" t="str">
        <f>+CONCATENATE(A485,"-",B485)</f>
        <v>FB01-1247</v>
      </c>
    </row>
    <row r="486" spans="1:45" ht="15" customHeight="1">
      <c r="A486" t="s">
        <v>216</v>
      </c>
      <c r="B486">
        <v>1230</v>
      </c>
      <c r="C486" t="s">
        <v>27</v>
      </c>
      <c r="D486" s="8">
        <v>45665</v>
      </c>
      <c r="E486" s="22">
        <v>45964</v>
      </c>
      <c r="F486" t="s">
        <v>1240</v>
      </c>
      <c r="G486" t="s">
        <v>158</v>
      </c>
      <c r="H486">
        <v>6</v>
      </c>
      <c r="I486">
        <v>20602855733</v>
      </c>
      <c r="J486" t="s">
        <v>2155</v>
      </c>
      <c r="K486" s="8">
        <v>45665</v>
      </c>
      <c r="Q486">
        <v>17233</v>
      </c>
      <c r="R486">
        <v>892</v>
      </c>
      <c r="S486" t="s">
        <v>1383</v>
      </c>
      <c r="T486" t="s">
        <v>215</v>
      </c>
      <c r="U486">
        <v>1</v>
      </c>
      <c r="V486">
        <v>450</v>
      </c>
      <c r="W486">
        <v>531</v>
      </c>
      <c r="X486">
        <v>0</v>
      </c>
      <c r="Y486">
        <v>450</v>
      </c>
      <c r="Z486">
        <v>18</v>
      </c>
      <c r="AA486">
        <v>81</v>
      </c>
      <c r="AB486">
        <v>531</v>
      </c>
      <c r="AC486">
        <v>1</v>
      </c>
      <c r="AD486">
        <v>1</v>
      </c>
      <c r="AE486" t="s">
        <v>232</v>
      </c>
      <c r="AF486" t="s">
        <v>29</v>
      </c>
      <c r="AG486">
        <v>2</v>
      </c>
      <c r="AH486" t="s">
        <v>25</v>
      </c>
      <c r="AI486">
        <v>1106</v>
      </c>
      <c r="AJ486" t="s">
        <v>239</v>
      </c>
      <c r="AK486" t="s">
        <v>1251</v>
      </c>
      <c r="AP486">
        <v>385</v>
      </c>
      <c r="AQ486" t="s">
        <v>1240</v>
      </c>
      <c r="AR486" t="s">
        <v>12</v>
      </c>
      <c r="AS486" t="str">
        <f>+CONCATENATE(A486,"-",B486)</f>
        <v>FB01-1230</v>
      </c>
    </row>
    <row r="487" spans="1:45" ht="15" customHeight="1">
      <c r="A487" t="s">
        <v>216</v>
      </c>
      <c r="B487">
        <v>1174</v>
      </c>
      <c r="C487" t="s">
        <v>27</v>
      </c>
      <c r="D487" s="8">
        <v>45660</v>
      </c>
      <c r="E487" s="22">
        <v>45964</v>
      </c>
      <c r="F487" t="s">
        <v>1240</v>
      </c>
      <c r="G487" t="s">
        <v>158</v>
      </c>
      <c r="H487">
        <v>6</v>
      </c>
      <c r="I487">
        <v>20602855733</v>
      </c>
      <c r="J487" t="s">
        <v>2224</v>
      </c>
      <c r="K487" s="8">
        <v>45660</v>
      </c>
      <c r="Q487">
        <v>17155</v>
      </c>
      <c r="R487">
        <v>873</v>
      </c>
      <c r="S487" t="s">
        <v>1395</v>
      </c>
      <c r="T487" t="s">
        <v>215</v>
      </c>
      <c r="U487">
        <v>1</v>
      </c>
      <c r="V487">
        <v>450</v>
      </c>
      <c r="W487">
        <v>531</v>
      </c>
      <c r="X487">
        <v>0</v>
      </c>
      <c r="Y487">
        <v>450</v>
      </c>
      <c r="Z487">
        <v>18</v>
      </c>
      <c r="AA487">
        <v>81</v>
      </c>
      <c r="AB487">
        <v>531</v>
      </c>
      <c r="AC487">
        <v>1</v>
      </c>
      <c r="AD487">
        <v>1</v>
      </c>
      <c r="AE487" t="s">
        <v>232</v>
      </c>
      <c r="AF487" t="s">
        <v>29</v>
      </c>
      <c r="AG487">
        <v>2</v>
      </c>
      <c r="AH487" t="s">
        <v>25</v>
      </c>
      <c r="AI487">
        <v>1106</v>
      </c>
      <c r="AJ487" t="s">
        <v>239</v>
      </c>
      <c r="AK487" t="s">
        <v>1251</v>
      </c>
      <c r="AP487">
        <v>385</v>
      </c>
      <c r="AQ487" t="s">
        <v>1240</v>
      </c>
      <c r="AR487" t="s">
        <v>12</v>
      </c>
      <c r="AS487" t="str">
        <f>+CONCATENATE(A487,"-",B487)</f>
        <v>FB01-1174</v>
      </c>
    </row>
    <row r="488" spans="1:45" ht="15" customHeight="1">
      <c r="A488" t="s">
        <v>1238</v>
      </c>
      <c r="B488">
        <v>687</v>
      </c>
      <c r="C488" t="s">
        <v>27</v>
      </c>
      <c r="D488" s="8">
        <v>45680</v>
      </c>
      <c r="E488" s="22">
        <v>45964</v>
      </c>
      <c r="F488" t="s">
        <v>526</v>
      </c>
      <c r="H488">
        <v>1</v>
      </c>
      <c r="I488">
        <v>19889371</v>
      </c>
      <c r="J488" t="s">
        <v>2053</v>
      </c>
      <c r="K488" s="8">
        <v>45680</v>
      </c>
      <c r="Q488">
        <v>18603</v>
      </c>
      <c r="R488">
        <v>937</v>
      </c>
      <c r="S488" t="s">
        <v>1313</v>
      </c>
      <c r="T488" t="s">
        <v>215</v>
      </c>
      <c r="U488">
        <v>1</v>
      </c>
      <c r="V488">
        <v>452.31</v>
      </c>
      <c r="W488">
        <v>533.72</v>
      </c>
      <c r="X488">
        <v>0</v>
      </c>
      <c r="Y488">
        <v>452.31</v>
      </c>
      <c r="Z488">
        <v>18</v>
      </c>
      <c r="AA488">
        <v>81.41</v>
      </c>
      <c r="AB488">
        <v>533.72</v>
      </c>
      <c r="AC488">
        <v>1</v>
      </c>
      <c r="AD488">
        <v>1</v>
      </c>
      <c r="AE488" t="s">
        <v>232</v>
      </c>
      <c r="AF488" t="s">
        <v>29</v>
      </c>
      <c r="AG488">
        <v>2</v>
      </c>
      <c r="AH488" t="s">
        <v>25</v>
      </c>
      <c r="AI488">
        <v>1106</v>
      </c>
      <c r="AJ488" t="s">
        <v>239</v>
      </c>
      <c r="AK488" t="s">
        <v>1237</v>
      </c>
      <c r="AP488">
        <v>1165</v>
      </c>
      <c r="AQ488" t="s">
        <v>526</v>
      </c>
      <c r="AR488" t="s">
        <v>1295</v>
      </c>
      <c r="AS488" t="str">
        <f>+CONCATENATE(A488,"-",B488)</f>
        <v>BB01-687</v>
      </c>
    </row>
    <row r="489" spans="1:45" ht="15" customHeight="1">
      <c r="A489" t="s">
        <v>1238</v>
      </c>
      <c r="B489">
        <v>685</v>
      </c>
      <c r="C489" t="s">
        <v>27</v>
      </c>
      <c r="D489" s="8">
        <v>45680</v>
      </c>
      <c r="E489" s="22">
        <v>45964</v>
      </c>
      <c r="F489" t="s">
        <v>533</v>
      </c>
      <c r="H489">
        <v>1</v>
      </c>
      <c r="I489">
        <v>76561182</v>
      </c>
      <c r="J489" t="s">
        <v>2055</v>
      </c>
      <c r="K489" s="8">
        <v>45680</v>
      </c>
      <c r="Q489">
        <v>18601</v>
      </c>
      <c r="R489">
        <v>935</v>
      </c>
      <c r="S489" t="s">
        <v>1315</v>
      </c>
      <c r="T489" t="s">
        <v>215</v>
      </c>
      <c r="U489">
        <v>1</v>
      </c>
      <c r="V489">
        <v>452.31</v>
      </c>
      <c r="W489">
        <v>533.72</v>
      </c>
      <c r="X489">
        <v>0</v>
      </c>
      <c r="Y489">
        <v>452.31</v>
      </c>
      <c r="Z489">
        <v>18</v>
      </c>
      <c r="AA489">
        <v>81.41</v>
      </c>
      <c r="AB489">
        <v>533.72</v>
      </c>
      <c r="AC489">
        <v>1</v>
      </c>
      <c r="AD489">
        <v>1</v>
      </c>
      <c r="AE489" t="s">
        <v>232</v>
      </c>
      <c r="AF489" t="s">
        <v>29</v>
      </c>
      <c r="AG489">
        <v>2</v>
      </c>
      <c r="AH489" t="s">
        <v>25</v>
      </c>
      <c r="AI489">
        <v>1106</v>
      </c>
      <c r="AJ489" t="s">
        <v>239</v>
      </c>
      <c r="AK489" t="s">
        <v>1237</v>
      </c>
      <c r="AP489">
        <v>1164</v>
      </c>
      <c r="AQ489" t="s">
        <v>533</v>
      </c>
      <c r="AR489" t="s">
        <v>1295</v>
      </c>
      <c r="AS489" t="str">
        <f>+CONCATENATE(A489,"-",B489)</f>
        <v>BB01-685</v>
      </c>
    </row>
    <row r="490" spans="1:45" ht="15" customHeight="1">
      <c r="A490" t="s">
        <v>1238</v>
      </c>
      <c r="B490">
        <v>641</v>
      </c>
      <c r="C490" t="s">
        <v>27</v>
      </c>
      <c r="D490" s="8">
        <v>45663</v>
      </c>
      <c r="E490" s="22">
        <v>45964</v>
      </c>
      <c r="F490" t="s">
        <v>1151</v>
      </c>
      <c r="G490" t="s">
        <v>158</v>
      </c>
      <c r="H490">
        <v>1</v>
      </c>
      <c r="I490">
        <v>44413438</v>
      </c>
      <c r="J490" t="s">
        <v>2190</v>
      </c>
      <c r="K490" s="8">
        <v>45663</v>
      </c>
      <c r="Q490">
        <v>17193</v>
      </c>
      <c r="R490">
        <v>878</v>
      </c>
      <c r="S490" t="s">
        <v>1334</v>
      </c>
      <c r="T490" t="s">
        <v>215</v>
      </c>
      <c r="U490">
        <v>1</v>
      </c>
      <c r="V490">
        <v>460.17</v>
      </c>
      <c r="W490">
        <v>543</v>
      </c>
      <c r="X490">
        <v>0</v>
      </c>
      <c r="Y490">
        <v>460.17</v>
      </c>
      <c r="Z490">
        <v>18</v>
      </c>
      <c r="AA490">
        <v>82.83</v>
      </c>
      <c r="AB490">
        <v>543</v>
      </c>
      <c r="AC490">
        <v>1</v>
      </c>
      <c r="AD490">
        <v>1</v>
      </c>
      <c r="AE490" t="s">
        <v>232</v>
      </c>
      <c r="AF490" t="s">
        <v>29</v>
      </c>
      <c r="AG490">
        <v>2</v>
      </c>
      <c r="AH490" t="s">
        <v>25</v>
      </c>
      <c r="AI490">
        <v>1106</v>
      </c>
      <c r="AJ490" t="s">
        <v>239</v>
      </c>
      <c r="AK490" t="s">
        <v>1237</v>
      </c>
      <c r="AP490">
        <v>405</v>
      </c>
      <c r="AQ490" t="s">
        <v>1151</v>
      </c>
      <c r="AR490" t="s">
        <v>1295</v>
      </c>
      <c r="AS490" t="str">
        <f>+CONCATENATE(A490,"-",B490)</f>
        <v>BB01-641</v>
      </c>
    </row>
    <row r="491" spans="1:45" ht="15" customHeight="1">
      <c r="A491" t="s">
        <v>216</v>
      </c>
      <c r="B491">
        <v>1250</v>
      </c>
      <c r="C491" t="s">
        <v>27</v>
      </c>
      <c r="D491" s="8">
        <v>45665</v>
      </c>
      <c r="E491" s="22">
        <v>45964</v>
      </c>
      <c r="F491" t="s">
        <v>971</v>
      </c>
      <c r="H491">
        <v>6</v>
      </c>
      <c r="I491">
        <v>20604570451</v>
      </c>
      <c r="J491" t="s">
        <v>2132</v>
      </c>
      <c r="K491" s="8">
        <v>45665</v>
      </c>
      <c r="Q491">
        <v>17755</v>
      </c>
      <c r="R491">
        <v>870</v>
      </c>
      <c r="S491" t="s">
        <v>1299</v>
      </c>
      <c r="T491" t="s">
        <v>215</v>
      </c>
      <c r="U491">
        <v>1</v>
      </c>
      <c r="V491">
        <v>461.61</v>
      </c>
      <c r="W491">
        <v>544.70000000000005</v>
      </c>
      <c r="X491">
        <v>0</v>
      </c>
      <c r="Y491">
        <v>461.61</v>
      </c>
      <c r="Z491">
        <v>18</v>
      </c>
      <c r="AA491">
        <v>83.09</v>
      </c>
      <c r="AB491">
        <v>544.70000000000005</v>
      </c>
      <c r="AC491">
        <v>1</v>
      </c>
      <c r="AD491">
        <v>1</v>
      </c>
      <c r="AE491" t="s">
        <v>232</v>
      </c>
      <c r="AF491" t="s">
        <v>29</v>
      </c>
      <c r="AG491">
        <v>2</v>
      </c>
      <c r="AH491" t="s">
        <v>25</v>
      </c>
      <c r="AI491">
        <v>1106</v>
      </c>
      <c r="AJ491" t="s">
        <v>239</v>
      </c>
      <c r="AK491" t="s">
        <v>1237</v>
      </c>
      <c r="AP491">
        <v>1127</v>
      </c>
      <c r="AQ491" t="s">
        <v>971</v>
      </c>
      <c r="AR491" t="s">
        <v>12</v>
      </c>
      <c r="AS491" t="str">
        <f>+CONCATENATE(A491,"-",B491)</f>
        <v>FB01-1250</v>
      </c>
    </row>
    <row r="492" spans="1:45" ht="15" customHeight="1">
      <c r="A492" t="s">
        <v>1216</v>
      </c>
      <c r="B492" s="21" t="s">
        <v>202</v>
      </c>
      <c r="C492" t="s">
        <v>27</v>
      </c>
      <c r="D492" s="8">
        <v>45940</v>
      </c>
      <c r="E492" s="22">
        <v>45964.658414351848</v>
      </c>
      <c r="F492" t="s">
        <v>34</v>
      </c>
      <c r="H492">
        <v>6</v>
      </c>
      <c r="I492">
        <v>20611018925</v>
      </c>
      <c r="J492" t="s">
        <v>1902</v>
      </c>
      <c r="K492" s="8">
        <v>45940</v>
      </c>
      <c r="Q492">
        <v>30993</v>
      </c>
      <c r="R492">
        <v>1786</v>
      </c>
      <c r="S492" t="s">
        <v>1299</v>
      </c>
      <c r="T492" t="s">
        <v>163</v>
      </c>
      <c r="U492">
        <v>1</v>
      </c>
      <c r="V492">
        <v>482.54</v>
      </c>
      <c r="W492">
        <v>569.4</v>
      </c>
      <c r="X492">
        <v>0</v>
      </c>
      <c r="Y492">
        <v>482.54</v>
      </c>
      <c r="Z492">
        <v>18</v>
      </c>
      <c r="AA492">
        <v>86.86</v>
      </c>
      <c r="AB492">
        <v>569.4</v>
      </c>
      <c r="AC492">
        <v>1</v>
      </c>
      <c r="AD492">
        <v>1</v>
      </c>
      <c r="AE492" t="s">
        <v>1411</v>
      </c>
      <c r="AF492" t="s">
        <v>1412</v>
      </c>
      <c r="AG492">
        <v>2</v>
      </c>
      <c r="AH492" t="s">
        <v>25</v>
      </c>
      <c r="AI492">
        <v>1106</v>
      </c>
      <c r="AJ492" t="s">
        <v>239</v>
      </c>
      <c r="AK492" t="s">
        <v>169</v>
      </c>
      <c r="AL492">
        <v>3157</v>
      </c>
      <c r="AM492" t="s">
        <v>1233</v>
      </c>
      <c r="AN492" s="8">
        <v>45925</v>
      </c>
      <c r="AO492" s="8">
        <v>45925</v>
      </c>
      <c r="AP492">
        <v>1128</v>
      </c>
      <c r="AQ492" t="s">
        <v>34</v>
      </c>
      <c r="AR492" t="s">
        <v>12</v>
      </c>
      <c r="AS492" t="str">
        <f>+CONCATENATE(A492,"-",B492)</f>
        <v>(01) Factura FOF1-00000004</v>
      </c>
    </row>
    <row r="493" spans="1:45" ht="15" customHeight="1">
      <c r="A493" t="s">
        <v>1238</v>
      </c>
      <c r="B493">
        <v>710</v>
      </c>
      <c r="C493" t="s">
        <v>27</v>
      </c>
      <c r="D493" s="8">
        <v>45686</v>
      </c>
      <c r="E493" s="22">
        <v>45964</v>
      </c>
      <c r="F493" t="s">
        <v>674</v>
      </c>
      <c r="H493">
        <v>1</v>
      </c>
      <c r="I493">
        <v>48831337</v>
      </c>
      <c r="J493" t="s">
        <v>1989</v>
      </c>
      <c r="K493" s="8">
        <v>45686</v>
      </c>
      <c r="Q493">
        <v>18674</v>
      </c>
      <c r="R493">
        <v>949</v>
      </c>
      <c r="S493" t="s">
        <v>1261</v>
      </c>
      <c r="T493" t="s">
        <v>215</v>
      </c>
      <c r="U493">
        <v>1</v>
      </c>
      <c r="V493">
        <v>483.73</v>
      </c>
      <c r="W493">
        <v>570.79999999999995</v>
      </c>
      <c r="X493">
        <v>0</v>
      </c>
      <c r="Y493">
        <v>483.73</v>
      </c>
      <c r="Z493">
        <v>18</v>
      </c>
      <c r="AA493">
        <v>87.07</v>
      </c>
      <c r="AB493">
        <v>570.79999999999995</v>
      </c>
      <c r="AC493">
        <v>1</v>
      </c>
      <c r="AD493">
        <v>1</v>
      </c>
      <c r="AE493" t="s">
        <v>232</v>
      </c>
      <c r="AF493" t="s">
        <v>29</v>
      </c>
      <c r="AG493">
        <v>2</v>
      </c>
      <c r="AH493" t="s">
        <v>25</v>
      </c>
      <c r="AI493">
        <v>1106</v>
      </c>
      <c r="AJ493" t="s">
        <v>239</v>
      </c>
      <c r="AK493" t="s">
        <v>1237</v>
      </c>
      <c r="AP493">
        <v>1171</v>
      </c>
      <c r="AQ493" t="s">
        <v>674</v>
      </c>
      <c r="AR493" t="s">
        <v>1295</v>
      </c>
      <c r="AS493" t="str">
        <f>+CONCATENATE(A493,"-",B493)</f>
        <v>BB01-710</v>
      </c>
    </row>
    <row r="494" spans="1:45" ht="15" customHeight="1">
      <c r="A494" t="s">
        <v>1216</v>
      </c>
      <c r="B494" s="21" t="s">
        <v>201</v>
      </c>
      <c r="C494" t="s">
        <v>27</v>
      </c>
      <c r="D494" s="8">
        <v>45943</v>
      </c>
      <c r="E494" s="22">
        <v>45964.481770833336</v>
      </c>
      <c r="F494" t="s">
        <v>307</v>
      </c>
      <c r="H494">
        <v>6</v>
      </c>
      <c r="I494">
        <v>20509594903</v>
      </c>
      <c r="J494" t="s">
        <v>1901</v>
      </c>
      <c r="K494" s="8">
        <v>45943</v>
      </c>
      <c r="Q494">
        <v>31033</v>
      </c>
      <c r="R494">
        <v>216</v>
      </c>
      <c r="S494" t="s">
        <v>1300</v>
      </c>
      <c r="T494" t="s">
        <v>163</v>
      </c>
      <c r="U494">
        <v>1</v>
      </c>
      <c r="V494">
        <v>488.81</v>
      </c>
      <c r="W494">
        <v>576.79999999999995</v>
      </c>
      <c r="X494">
        <v>0</v>
      </c>
      <c r="Y494">
        <v>488.81</v>
      </c>
      <c r="Z494">
        <v>18</v>
      </c>
      <c r="AA494">
        <v>87.99</v>
      </c>
      <c r="AB494">
        <v>576.79999999999995</v>
      </c>
      <c r="AC494">
        <v>1</v>
      </c>
      <c r="AD494">
        <v>1</v>
      </c>
      <c r="AE494" t="s">
        <v>1411</v>
      </c>
      <c r="AF494" t="s">
        <v>1412</v>
      </c>
      <c r="AG494">
        <v>2</v>
      </c>
      <c r="AH494" t="s">
        <v>25</v>
      </c>
      <c r="AI494">
        <v>1106</v>
      </c>
      <c r="AJ494" t="s">
        <v>239</v>
      </c>
      <c r="AK494" t="s">
        <v>169</v>
      </c>
      <c r="AL494">
        <v>3190</v>
      </c>
      <c r="AM494" t="s">
        <v>362</v>
      </c>
      <c r="AN494" s="8">
        <v>45938</v>
      </c>
      <c r="AO494" s="8">
        <v>45938</v>
      </c>
      <c r="AP494">
        <v>5251</v>
      </c>
      <c r="AQ494" t="s">
        <v>307</v>
      </c>
      <c r="AR494" t="s">
        <v>12</v>
      </c>
      <c r="AS494" t="str">
        <f>+CONCATENATE(A494,"-",B494)</f>
        <v>(01) Factura FOF1-00000006</v>
      </c>
    </row>
    <row r="495" spans="1:45" ht="15" customHeight="1">
      <c r="A495" t="s">
        <v>1214</v>
      </c>
      <c r="B495" s="21" t="s">
        <v>199</v>
      </c>
      <c r="C495" t="s">
        <v>27</v>
      </c>
      <c r="D495" s="8">
        <v>45943</v>
      </c>
      <c r="E495" s="22">
        <v>45964.776238425926</v>
      </c>
      <c r="F495" t="s">
        <v>335</v>
      </c>
      <c r="G495" t="s">
        <v>158</v>
      </c>
      <c r="H495">
        <v>1</v>
      </c>
      <c r="I495">
        <v>43908595</v>
      </c>
      <c r="J495" t="s">
        <v>1889</v>
      </c>
      <c r="K495" s="8">
        <v>45943</v>
      </c>
      <c r="Q495">
        <v>31091</v>
      </c>
      <c r="R495">
        <v>2315</v>
      </c>
      <c r="S495" t="s">
        <v>1304</v>
      </c>
      <c r="T495" t="s">
        <v>163</v>
      </c>
      <c r="U495">
        <v>1</v>
      </c>
      <c r="V495">
        <v>500</v>
      </c>
      <c r="W495">
        <v>590</v>
      </c>
      <c r="X495">
        <v>0</v>
      </c>
      <c r="Y495">
        <v>500</v>
      </c>
      <c r="Z495">
        <v>18</v>
      </c>
      <c r="AA495">
        <v>90</v>
      </c>
      <c r="AB495">
        <v>590</v>
      </c>
      <c r="AC495">
        <v>1</v>
      </c>
      <c r="AD495">
        <v>1</v>
      </c>
      <c r="AE495" t="s">
        <v>1411</v>
      </c>
      <c r="AF495" t="s">
        <v>1412</v>
      </c>
      <c r="AG495">
        <v>2</v>
      </c>
      <c r="AH495" t="s">
        <v>25</v>
      </c>
      <c r="AI495">
        <v>1106</v>
      </c>
      <c r="AJ495" t="s">
        <v>239</v>
      </c>
      <c r="AK495" t="s">
        <v>169</v>
      </c>
      <c r="AL495">
        <v>3123</v>
      </c>
      <c r="AM495" t="s">
        <v>334</v>
      </c>
      <c r="AN495" s="8">
        <v>45937</v>
      </c>
      <c r="AO495" s="8">
        <v>45937</v>
      </c>
      <c r="AP495">
        <v>393</v>
      </c>
      <c r="AQ495" t="s">
        <v>335</v>
      </c>
      <c r="AR495" t="s">
        <v>1295</v>
      </c>
      <c r="AS495" t="str">
        <f>+CONCATENATE(A495,"-",B495)</f>
        <v>(03) Boleta BOB1-00000008</v>
      </c>
    </row>
    <row r="496" spans="1:45" ht="15" customHeight="1">
      <c r="A496" t="s">
        <v>1238</v>
      </c>
      <c r="B496">
        <v>750</v>
      </c>
      <c r="C496" t="s">
        <v>27</v>
      </c>
      <c r="D496" s="8">
        <v>45693</v>
      </c>
      <c r="E496" s="22">
        <v>45964</v>
      </c>
      <c r="F496" t="s">
        <v>526</v>
      </c>
      <c r="H496">
        <v>1</v>
      </c>
      <c r="I496">
        <v>19889371</v>
      </c>
      <c r="J496" t="s">
        <v>1916</v>
      </c>
      <c r="K496" s="8">
        <v>45693</v>
      </c>
      <c r="Q496">
        <v>18770</v>
      </c>
      <c r="R496">
        <v>978</v>
      </c>
      <c r="S496" t="s">
        <v>1244</v>
      </c>
      <c r="T496" t="s">
        <v>215</v>
      </c>
      <c r="U496">
        <v>1</v>
      </c>
      <c r="V496">
        <v>500</v>
      </c>
      <c r="W496">
        <v>590</v>
      </c>
      <c r="X496">
        <v>0</v>
      </c>
      <c r="Y496">
        <v>500</v>
      </c>
      <c r="Z496">
        <v>18</v>
      </c>
      <c r="AA496">
        <v>90</v>
      </c>
      <c r="AB496">
        <v>590</v>
      </c>
      <c r="AC496">
        <v>1</v>
      </c>
      <c r="AD496">
        <v>1</v>
      </c>
      <c r="AE496" t="s">
        <v>232</v>
      </c>
      <c r="AF496" t="s">
        <v>29</v>
      </c>
      <c r="AG496">
        <v>2</v>
      </c>
      <c r="AH496" t="s">
        <v>25</v>
      </c>
      <c r="AI496">
        <v>1106</v>
      </c>
      <c r="AJ496" t="s">
        <v>239</v>
      </c>
      <c r="AK496" t="s">
        <v>1243</v>
      </c>
      <c r="AP496">
        <v>1165</v>
      </c>
      <c r="AQ496" t="s">
        <v>526</v>
      </c>
      <c r="AR496" t="s">
        <v>1295</v>
      </c>
      <c r="AS496" t="str">
        <f>+CONCATENATE(A496,"-",B496)</f>
        <v>BB01-750</v>
      </c>
    </row>
    <row r="497" spans="1:45" ht="15" customHeight="1">
      <c r="A497" t="s">
        <v>1238</v>
      </c>
      <c r="B497">
        <v>747</v>
      </c>
      <c r="C497" t="s">
        <v>27</v>
      </c>
      <c r="D497" s="8">
        <v>45693</v>
      </c>
      <c r="E497" s="22">
        <v>45964</v>
      </c>
      <c r="F497" t="s">
        <v>533</v>
      </c>
      <c r="H497">
        <v>1</v>
      </c>
      <c r="I497">
        <v>76561182</v>
      </c>
      <c r="J497" t="s">
        <v>1919</v>
      </c>
      <c r="K497" s="8">
        <v>45693</v>
      </c>
      <c r="Q497">
        <v>18767</v>
      </c>
      <c r="R497">
        <v>977</v>
      </c>
      <c r="S497" t="s">
        <v>1245</v>
      </c>
      <c r="T497" t="s">
        <v>215</v>
      </c>
      <c r="U497">
        <v>1</v>
      </c>
      <c r="V497">
        <v>500</v>
      </c>
      <c r="W497">
        <v>590</v>
      </c>
      <c r="X497">
        <v>0</v>
      </c>
      <c r="Y497">
        <v>500</v>
      </c>
      <c r="Z497">
        <v>18</v>
      </c>
      <c r="AA497">
        <v>90</v>
      </c>
      <c r="AB497">
        <v>590</v>
      </c>
      <c r="AC497">
        <v>1</v>
      </c>
      <c r="AD497">
        <v>1</v>
      </c>
      <c r="AE497" t="s">
        <v>232</v>
      </c>
      <c r="AF497" t="s">
        <v>29</v>
      </c>
      <c r="AG497">
        <v>2</v>
      </c>
      <c r="AH497" t="s">
        <v>25</v>
      </c>
      <c r="AI497">
        <v>1106</v>
      </c>
      <c r="AJ497" t="s">
        <v>239</v>
      </c>
      <c r="AK497" t="s">
        <v>1243</v>
      </c>
      <c r="AP497">
        <v>1164</v>
      </c>
      <c r="AQ497" t="s">
        <v>533</v>
      </c>
      <c r="AR497" t="s">
        <v>1295</v>
      </c>
      <c r="AS497" t="str">
        <f>+CONCATENATE(A497,"-",B497)</f>
        <v>BB01-747</v>
      </c>
    </row>
    <row r="498" spans="1:45" ht="15" customHeight="1">
      <c r="A498" t="s">
        <v>1214</v>
      </c>
      <c r="B498" s="21" t="s">
        <v>1629</v>
      </c>
      <c r="C498" t="s">
        <v>27</v>
      </c>
      <c r="D498" s="8">
        <v>45959</v>
      </c>
      <c r="E498" s="22">
        <v>45964.71570601852</v>
      </c>
      <c r="F498" t="s">
        <v>742</v>
      </c>
      <c r="H498">
        <v>1</v>
      </c>
      <c r="I498">
        <v>74630652</v>
      </c>
      <c r="J498" t="s">
        <v>2639</v>
      </c>
      <c r="K498" s="8">
        <v>45959</v>
      </c>
      <c r="Q498">
        <v>33011</v>
      </c>
      <c r="R498">
        <v>216</v>
      </c>
      <c r="S498" t="s">
        <v>1300</v>
      </c>
      <c r="T498" t="s">
        <v>163</v>
      </c>
      <c r="U498">
        <v>1</v>
      </c>
      <c r="V498">
        <v>501.7</v>
      </c>
      <c r="W498">
        <v>592.01</v>
      </c>
      <c r="X498">
        <v>0</v>
      </c>
      <c r="Y498">
        <v>501.7</v>
      </c>
      <c r="Z498">
        <v>18</v>
      </c>
      <c r="AA498">
        <v>90.31</v>
      </c>
      <c r="AB498">
        <v>592.01</v>
      </c>
      <c r="AC498">
        <v>1</v>
      </c>
      <c r="AD498">
        <v>1</v>
      </c>
      <c r="AE498" t="s">
        <v>1411</v>
      </c>
      <c r="AF498" t="s">
        <v>1412</v>
      </c>
      <c r="AG498">
        <v>2</v>
      </c>
      <c r="AH498" t="s">
        <v>25</v>
      </c>
      <c r="AI498">
        <v>6936</v>
      </c>
      <c r="AJ498" t="s">
        <v>1437</v>
      </c>
      <c r="AK498" t="s">
        <v>1433</v>
      </c>
      <c r="AL498">
        <v>2856</v>
      </c>
      <c r="AM498" t="s">
        <v>1595</v>
      </c>
      <c r="AN498" s="8">
        <v>45948</v>
      </c>
      <c r="AO498" s="8">
        <v>45948</v>
      </c>
      <c r="AP498">
        <v>1168</v>
      </c>
      <c r="AQ498" t="s">
        <v>742</v>
      </c>
      <c r="AR498" t="s">
        <v>1295</v>
      </c>
      <c r="AS498" t="str">
        <f>+CONCATENATE(A498,"-",B498)</f>
        <v>(03) Boleta BOB1-00000127</v>
      </c>
    </row>
    <row r="499" spans="1:45" ht="15" customHeight="1">
      <c r="A499" t="s">
        <v>1238</v>
      </c>
      <c r="B499">
        <v>662</v>
      </c>
      <c r="C499" t="s">
        <v>27</v>
      </c>
      <c r="D499" s="8">
        <v>45672</v>
      </c>
      <c r="E499" s="22">
        <v>45964</v>
      </c>
      <c r="F499" t="s">
        <v>566</v>
      </c>
      <c r="H499">
        <v>1</v>
      </c>
      <c r="I499">
        <v>45273802</v>
      </c>
      <c r="J499" t="s">
        <v>2122</v>
      </c>
      <c r="K499" s="8">
        <v>45672</v>
      </c>
      <c r="Q499">
        <v>17767</v>
      </c>
      <c r="R499">
        <v>870</v>
      </c>
      <c r="S499" t="s">
        <v>1299</v>
      </c>
      <c r="T499" t="s">
        <v>215</v>
      </c>
      <c r="U499">
        <v>1</v>
      </c>
      <c r="V499">
        <v>511.53</v>
      </c>
      <c r="W499">
        <v>603.6</v>
      </c>
      <c r="X499">
        <v>0</v>
      </c>
      <c r="Y499">
        <v>511.53</v>
      </c>
      <c r="Z499">
        <v>18</v>
      </c>
      <c r="AA499">
        <v>92.07</v>
      </c>
      <c r="AB499">
        <v>603.6</v>
      </c>
      <c r="AC499">
        <v>1</v>
      </c>
      <c r="AD499">
        <v>1</v>
      </c>
      <c r="AE499" t="s">
        <v>232</v>
      </c>
      <c r="AF499" t="s">
        <v>29</v>
      </c>
      <c r="AG499">
        <v>2</v>
      </c>
      <c r="AH499" t="s">
        <v>25</v>
      </c>
      <c r="AI499">
        <v>1106</v>
      </c>
      <c r="AJ499" t="s">
        <v>239</v>
      </c>
      <c r="AK499" t="s">
        <v>1237</v>
      </c>
      <c r="AP499">
        <v>1174</v>
      </c>
      <c r="AQ499" t="s">
        <v>566</v>
      </c>
      <c r="AR499" t="s">
        <v>1295</v>
      </c>
      <c r="AS499" t="str">
        <f>+CONCATENATE(A499,"-",B499)</f>
        <v>BB01-662</v>
      </c>
    </row>
    <row r="500" spans="1:45" ht="15" customHeight="1">
      <c r="A500" t="s">
        <v>1238</v>
      </c>
      <c r="B500">
        <v>663</v>
      </c>
      <c r="C500" t="s">
        <v>27</v>
      </c>
      <c r="D500" s="8">
        <v>45672</v>
      </c>
      <c r="E500" s="22">
        <v>45964</v>
      </c>
      <c r="F500" t="s">
        <v>566</v>
      </c>
      <c r="H500">
        <v>1</v>
      </c>
      <c r="I500">
        <v>45273802</v>
      </c>
      <c r="J500" t="s">
        <v>2121</v>
      </c>
      <c r="K500" s="8">
        <v>45672</v>
      </c>
      <c r="Q500">
        <v>17768</v>
      </c>
      <c r="R500">
        <v>877</v>
      </c>
      <c r="S500" t="s">
        <v>1300</v>
      </c>
      <c r="T500" t="s">
        <v>215</v>
      </c>
      <c r="U500">
        <v>1</v>
      </c>
      <c r="V500">
        <v>518.80999999999995</v>
      </c>
      <c r="W500">
        <v>612.20000000000005</v>
      </c>
      <c r="X500">
        <v>0</v>
      </c>
      <c r="Y500">
        <v>518.80999999999995</v>
      </c>
      <c r="Z500">
        <v>18</v>
      </c>
      <c r="AA500">
        <v>93.39</v>
      </c>
      <c r="AB500">
        <v>612.20000000000005</v>
      </c>
      <c r="AC500">
        <v>1</v>
      </c>
      <c r="AD500">
        <v>1</v>
      </c>
      <c r="AE500" t="s">
        <v>232</v>
      </c>
      <c r="AF500" t="s">
        <v>29</v>
      </c>
      <c r="AG500">
        <v>2</v>
      </c>
      <c r="AH500" t="s">
        <v>25</v>
      </c>
      <c r="AI500">
        <v>1106</v>
      </c>
      <c r="AJ500" t="s">
        <v>239</v>
      </c>
      <c r="AK500" t="s">
        <v>1237</v>
      </c>
      <c r="AP500">
        <v>1174</v>
      </c>
      <c r="AQ500" t="s">
        <v>566</v>
      </c>
      <c r="AR500" t="s">
        <v>1295</v>
      </c>
      <c r="AS500" t="str">
        <f>+CONCATENATE(A500,"-",B500)</f>
        <v>BB01-663</v>
      </c>
    </row>
    <row r="501" spans="1:45" ht="15" customHeight="1">
      <c r="A501" t="s">
        <v>1214</v>
      </c>
      <c r="B501" s="21" t="s">
        <v>2454</v>
      </c>
      <c r="C501" t="s">
        <v>27</v>
      </c>
      <c r="D501" s="8">
        <v>45960</v>
      </c>
      <c r="E501" s="22">
        <v>45964.595358796294</v>
      </c>
      <c r="F501" t="s">
        <v>2444</v>
      </c>
      <c r="H501">
        <v>1</v>
      </c>
      <c r="I501">
        <v>70332314</v>
      </c>
      <c r="J501" t="s">
        <v>2621</v>
      </c>
      <c r="K501" s="8">
        <v>45960</v>
      </c>
      <c r="Q501">
        <v>33105</v>
      </c>
      <c r="R501">
        <v>216</v>
      </c>
      <c r="S501" t="s">
        <v>1300</v>
      </c>
      <c r="T501" t="s">
        <v>163</v>
      </c>
      <c r="U501">
        <v>1</v>
      </c>
      <c r="V501">
        <v>521.36</v>
      </c>
      <c r="W501">
        <v>615.20000000000005</v>
      </c>
      <c r="X501">
        <v>0</v>
      </c>
      <c r="Y501">
        <v>521.36</v>
      </c>
      <c r="Z501">
        <v>18</v>
      </c>
      <c r="AA501">
        <v>93.84</v>
      </c>
      <c r="AB501">
        <v>615.20000000000005</v>
      </c>
      <c r="AC501">
        <v>1</v>
      </c>
      <c r="AD501">
        <v>1</v>
      </c>
      <c r="AE501" t="s">
        <v>1411</v>
      </c>
      <c r="AF501" t="s">
        <v>1412</v>
      </c>
      <c r="AG501">
        <v>2</v>
      </c>
      <c r="AH501" t="s">
        <v>25</v>
      </c>
      <c r="AI501">
        <v>6936</v>
      </c>
      <c r="AJ501" t="s">
        <v>1437</v>
      </c>
      <c r="AK501" t="s">
        <v>1433</v>
      </c>
      <c r="AL501">
        <v>3175</v>
      </c>
      <c r="AM501" t="s">
        <v>2453</v>
      </c>
      <c r="AN501" s="8">
        <v>45955</v>
      </c>
      <c r="AO501" s="8">
        <v>45955</v>
      </c>
      <c r="AP501">
        <v>6074</v>
      </c>
      <c r="AQ501" t="s">
        <v>2444</v>
      </c>
      <c r="AR501" t="s">
        <v>1295</v>
      </c>
      <c r="AS501" t="str">
        <f>+CONCATENATE(A501,"-",B501)</f>
        <v>(03) Boleta BOB1-00000137</v>
      </c>
    </row>
    <row r="502" spans="1:45" ht="15" customHeight="1">
      <c r="A502" t="s">
        <v>1238</v>
      </c>
      <c r="B502">
        <v>695</v>
      </c>
      <c r="C502" t="s">
        <v>27</v>
      </c>
      <c r="D502" s="8">
        <v>45680</v>
      </c>
      <c r="E502" s="22">
        <v>45964</v>
      </c>
      <c r="F502" t="s">
        <v>526</v>
      </c>
      <c r="H502">
        <v>1</v>
      </c>
      <c r="I502">
        <v>19889371</v>
      </c>
      <c r="J502" t="s">
        <v>2046</v>
      </c>
      <c r="K502" s="8">
        <v>45680</v>
      </c>
      <c r="Q502">
        <v>18611</v>
      </c>
      <c r="R502">
        <v>937</v>
      </c>
      <c r="S502" t="s">
        <v>1313</v>
      </c>
      <c r="T502" t="s">
        <v>215</v>
      </c>
      <c r="U502">
        <v>1</v>
      </c>
      <c r="V502">
        <v>524.72</v>
      </c>
      <c r="W502">
        <v>619.16999999999996</v>
      </c>
      <c r="X502">
        <v>0</v>
      </c>
      <c r="Y502">
        <v>524.72</v>
      </c>
      <c r="Z502">
        <v>18</v>
      </c>
      <c r="AA502">
        <v>94.45</v>
      </c>
      <c r="AB502">
        <v>619.16999999999996</v>
      </c>
      <c r="AC502">
        <v>1</v>
      </c>
      <c r="AD502">
        <v>1</v>
      </c>
      <c r="AE502" t="s">
        <v>232</v>
      </c>
      <c r="AF502" t="s">
        <v>29</v>
      </c>
      <c r="AG502">
        <v>2</v>
      </c>
      <c r="AH502" t="s">
        <v>25</v>
      </c>
      <c r="AI502">
        <v>1106</v>
      </c>
      <c r="AJ502" t="s">
        <v>239</v>
      </c>
      <c r="AK502" t="s">
        <v>1237</v>
      </c>
      <c r="AP502">
        <v>1165</v>
      </c>
      <c r="AQ502" t="s">
        <v>526</v>
      </c>
      <c r="AR502" t="s">
        <v>1295</v>
      </c>
      <c r="AS502" t="str">
        <f>+CONCATENATE(A502,"-",B502)</f>
        <v>BB01-695</v>
      </c>
    </row>
    <row r="503" spans="1:45" ht="15" customHeight="1">
      <c r="A503" t="s">
        <v>1238</v>
      </c>
      <c r="B503">
        <v>693</v>
      </c>
      <c r="C503" t="s">
        <v>27</v>
      </c>
      <c r="D503" s="8">
        <v>45680</v>
      </c>
      <c r="E503" s="22">
        <v>45964</v>
      </c>
      <c r="F503" t="s">
        <v>533</v>
      </c>
      <c r="H503">
        <v>1</v>
      </c>
      <c r="I503">
        <v>76561182</v>
      </c>
      <c r="J503" t="s">
        <v>2048</v>
      </c>
      <c r="K503" s="8">
        <v>45680</v>
      </c>
      <c r="Q503">
        <v>18609</v>
      </c>
      <c r="R503">
        <v>935</v>
      </c>
      <c r="S503" t="s">
        <v>1315</v>
      </c>
      <c r="T503" t="s">
        <v>215</v>
      </c>
      <c r="U503">
        <v>1</v>
      </c>
      <c r="V503">
        <v>524.72</v>
      </c>
      <c r="W503">
        <v>619.16999999999996</v>
      </c>
      <c r="X503">
        <v>0</v>
      </c>
      <c r="Y503">
        <v>524.72</v>
      </c>
      <c r="Z503">
        <v>18</v>
      </c>
      <c r="AA503">
        <v>94.45</v>
      </c>
      <c r="AB503">
        <v>619.16999999999996</v>
      </c>
      <c r="AC503">
        <v>1</v>
      </c>
      <c r="AD503">
        <v>1</v>
      </c>
      <c r="AE503" t="s">
        <v>232</v>
      </c>
      <c r="AF503" t="s">
        <v>29</v>
      </c>
      <c r="AG503">
        <v>2</v>
      </c>
      <c r="AH503" t="s">
        <v>25</v>
      </c>
      <c r="AI503">
        <v>1106</v>
      </c>
      <c r="AJ503" t="s">
        <v>239</v>
      </c>
      <c r="AK503" t="s">
        <v>1237</v>
      </c>
      <c r="AP503">
        <v>1164</v>
      </c>
      <c r="AQ503" t="s">
        <v>533</v>
      </c>
      <c r="AR503" t="s">
        <v>1295</v>
      </c>
      <c r="AS503" t="str">
        <f>+CONCATENATE(A503,"-",B503)</f>
        <v>BB01-693</v>
      </c>
    </row>
    <row r="504" spans="1:45" ht="15" customHeight="1">
      <c r="A504" t="s">
        <v>1238</v>
      </c>
      <c r="B504">
        <v>688</v>
      </c>
      <c r="C504" t="s">
        <v>27</v>
      </c>
      <c r="D504" s="8">
        <v>45680</v>
      </c>
      <c r="E504" s="22">
        <v>45964</v>
      </c>
      <c r="F504" t="s">
        <v>526</v>
      </c>
      <c r="H504">
        <v>1</v>
      </c>
      <c r="I504">
        <v>19889371</v>
      </c>
      <c r="J504" t="s">
        <v>2052</v>
      </c>
      <c r="K504" s="8">
        <v>45680</v>
      </c>
      <c r="Q504">
        <v>18604</v>
      </c>
      <c r="R504">
        <v>942</v>
      </c>
      <c r="S504" t="s">
        <v>1347</v>
      </c>
      <c r="T504" t="s">
        <v>215</v>
      </c>
      <c r="U504">
        <v>1</v>
      </c>
      <c r="V504">
        <v>525.17999999999995</v>
      </c>
      <c r="W504">
        <v>619.71</v>
      </c>
      <c r="X504">
        <v>0</v>
      </c>
      <c r="Y504">
        <v>525.17999999999995</v>
      </c>
      <c r="Z504">
        <v>18</v>
      </c>
      <c r="AA504">
        <v>94.53</v>
      </c>
      <c r="AB504">
        <v>619.71</v>
      </c>
      <c r="AC504">
        <v>1</v>
      </c>
      <c r="AD504">
        <v>1</v>
      </c>
      <c r="AE504" t="s">
        <v>232</v>
      </c>
      <c r="AF504" t="s">
        <v>29</v>
      </c>
      <c r="AG504">
        <v>2</v>
      </c>
      <c r="AH504" t="s">
        <v>25</v>
      </c>
      <c r="AI504">
        <v>1106</v>
      </c>
      <c r="AJ504" t="s">
        <v>239</v>
      </c>
      <c r="AK504" t="s">
        <v>1237</v>
      </c>
      <c r="AP504">
        <v>1165</v>
      </c>
      <c r="AQ504" t="s">
        <v>526</v>
      </c>
      <c r="AR504" t="s">
        <v>1295</v>
      </c>
      <c r="AS504" t="str">
        <f>+CONCATENATE(A504,"-",B504)</f>
        <v>BB01-688</v>
      </c>
    </row>
    <row r="505" spans="1:45" ht="15" customHeight="1">
      <c r="A505" t="s">
        <v>1238</v>
      </c>
      <c r="B505">
        <v>686</v>
      </c>
      <c r="C505" t="s">
        <v>27</v>
      </c>
      <c r="D505" s="8">
        <v>45680</v>
      </c>
      <c r="E505" s="22">
        <v>45964</v>
      </c>
      <c r="F505" t="s">
        <v>533</v>
      </c>
      <c r="H505">
        <v>1</v>
      </c>
      <c r="I505">
        <v>76561182</v>
      </c>
      <c r="J505" t="s">
        <v>2054</v>
      </c>
      <c r="K505" s="8">
        <v>45680</v>
      </c>
      <c r="Q505">
        <v>18602</v>
      </c>
      <c r="R505">
        <v>941</v>
      </c>
      <c r="S505" t="s">
        <v>1349</v>
      </c>
      <c r="T505" t="s">
        <v>215</v>
      </c>
      <c r="U505">
        <v>1</v>
      </c>
      <c r="V505">
        <v>525.17999999999995</v>
      </c>
      <c r="W505">
        <v>619.71</v>
      </c>
      <c r="X505">
        <v>0</v>
      </c>
      <c r="Y505">
        <v>525.17999999999995</v>
      </c>
      <c r="Z505">
        <v>18</v>
      </c>
      <c r="AA505">
        <v>94.53</v>
      </c>
      <c r="AB505">
        <v>619.71</v>
      </c>
      <c r="AC505">
        <v>1</v>
      </c>
      <c r="AD505">
        <v>1</v>
      </c>
      <c r="AE505" t="s">
        <v>232</v>
      </c>
      <c r="AF505" t="s">
        <v>29</v>
      </c>
      <c r="AG505">
        <v>2</v>
      </c>
      <c r="AH505" t="s">
        <v>25</v>
      </c>
      <c r="AI505">
        <v>1106</v>
      </c>
      <c r="AJ505" t="s">
        <v>239</v>
      </c>
      <c r="AK505" t="s">
        <v>1237</v>
      </c>
      <c r="AP505">
        <v>1164</v>
      </c>
      <c r="AQ505" t="s">
        <v>533</v>
      </c>
      <c r="AR505" t="s">
        <v>1295</v>
      </c>
      <c r="AS505" t="str">
        <f>+CONCATENATE(A505,"-",B505)</f>
        <v>BB01-686</v>
      </c>
    </row>
    <row r="506" spans="1:45" ht="15" customHeight="1">
      <c r="A506" t="s">
        <v>216</v>
      </c>
      <c r="B506">
        <v>1341</v>
      </c>
      <c r="C506" t="s">
        <v>27</v>
      </c>
      <c r="D506" s="8">
        <v>45686</v>
      </c>
      <c r="E506" s="22">
        <v>45964</v>
      </c>
      <c r="F506" t="s">
        <v>627</v>
      </c>
      <c r="H506">
        <v>6</v>
      </c>
      <c r="I506">
        <v>20101214771</v>
      </c>
      <c r="J506" t="s">
        <v>2009</v>
      </c>
      <c r="K506" s="8">
        <v>45686</v>
      </c>
      <c r="Q506">
        <v>18654</v>
      </c>
      <c r="R506">
        <v>877</v>
      </c>
      <c r="S506" t="s">
        <v>1300</v>
      </c>
      <c r="T506" t="s">
        <v>215</v>
      </c>
      <c r="U506">
        <v>1</v>
      </c>
      <c r="V506">
        <v>526.1</v>
      </c>
      <c r="W506">
        <v>620.79999999999995</v>
      </c>
      <c r="X506">
        <v>0</v>
      </c>
      <c r="Y506">
        <v>526.1</v>
      </c>
      <c r="Z506">
        <v>18</v>
      </c>
      <c r="AA506">
        <v>94.7</v>
      </c>
      <c r="AB506">
        <v>620.79999999999995</v>
      </c>
      <c r="AC506">
        <v>1</v>
      </c>
      <c r="AD506">
        <v>1</v>
      </c>
      <c r="AE506" t="s">
        <v>232</v>
      </c>
      <c r="AF506" t="s">
        <v>29</v>
      </c>
      <c r="AG506">
        <v>2</v>
      </c>
      <c r="AH506" t="s">
        <v>25</v>
      </c>
      <c r="AI506">
        <v>1106</v>
      </c>
      <c r="AJ506" t="s">
        <v>239</v>
      </c>
      <c r="AK506" t="s">
        <v>1237</v>
      </c>
      <c r="AP506">
        <v>1137</v>
      </c>
      <c r="AQ506" t="s">
        <v>627</v>
      </c>
      <c r="AR506" t="s">
        <v>12</v>
      </c>
      <c r="AS506" t="str">
        <f>+CONCATENATE(A506,"-",B506)</f>
        <v>FB01-1341</v>
      </c>
    </row>
    <row r="507" spans="1:45" ht="15" customHeight="1">
      <c r="A507" t="s">
        <v>216</v>
      </c>
      <c r="B507">
        <v>1331</v>
      </c>
      <c r="C507" t="s">
        <v>27</v>
      </c>
      <c r="D507" s="8">
        <v>45685</v>
      </c>
      <c r="E507" s="22">
        <v>45964</v>
      </c>
      <c r="F507" t="s">
        <v>415</v>
      </c>
      <c r="H507">
        <v>6</v>
      </c>
      <c r="I507">
        <v>20611890746</v>
      </c>
      <c r="J507" t="s">
        <v>2019</v>
      </c>
      <c r="K507" s="8">
        <v>45685</v>
      </c>
      <c r="Q507">
        <v>18644</v>
      </c>
      <c r="R507">
        <v>870</v>
      </c>
      <c r="S507" t="s">
        <v>1299</v>
      </c>
      <c r="T507" t="s">
        <v>215</v>
      </c>
      <c r="U507">
        <v>1</v>
      </c>
      <c r="V507">
        <v>526.1</v>
      </c>
      <c r="W507">
        <v>620.79999999999995</v>
      </c>
      <c r="X507">
        <v>0</v>
      </c>
      <c r="Y507">
        <v>526.1</v>
      </c>
      <c r="Z507">
        <v>18</v>
      </c>
      <c r="AA507">
        <v>94.7</v>
      </c>
      <c r="AB507">
        <v>620.79999999999995</v>
      </c>
      <c r="AC507">
        <v>1</v>
      </c>
      <c r="AD507">
        <v>1</v>
      </c>
      <c r="AE507" t="s">
        <v>232</v>
      </c>
      <c r="AF507" t="s">
        <v>29</v>
      </c>
      <c r="AG507">
        <v>2</v>
      </c>
      <c r="AH507" t="s">
        <v>25</v>
      </c>
      <c r="AI507">
        <v>1106</v>
      </c>
      <c r="AJ507" t="s">
        <v>239</v>
      </c>
      <c r="AK507" t="s">
        <v>1237</v>
      </c>
      <c r="AP507">
        <v>1136</v>
      </c>
      <c r="AQ507" t="s">
        <v>415</v>
      </c>
      <c r="AR507" t="s">
        <v>12</v>
      </c>
      <c r="AS507" t="str">
        <f>+CONCATENATE(A507,"-",B507)</f>
        <v>FB01-1331</v>
      </c>
    </row>
    <row r="508" spans="1:45" ht="15" customHeight="1">
      <c r="A508" t="s">
        <v>216</v>
      </c>
      <c r="B508">
        <v>1415</v>
      </c>
      <c r="C508" t="s">
        <v>27</v>
      </c>
      <c r="D508" s="8">
        <v>45693</v>
      </c>
      <c r="E508" s="22">
        <v>45964</v>
      </c>
      <c r="F508" t="s">
        <v>1240</v>
      </c>
      <c r="G508" t="s">
        <v>158</v>
      </c>
      <c r="H508">
        <v>6</v>
      </c>
      <c r="I508">
        <v>20602855733</v>
      </c>
      <c r="J508" t="s">
        <v>1912</v>
      </c>
      <c r="K508" s="8">
        <v>45693</v>
      </c>
      <c r="Q508">
        <v>18774</v>
      </c>
      <c r="R508">
        <v>870</v>
      </c>
      <c r="S508" t="s">
        <v>1299</v>
      </c>
      <c r="T508" t="s">
        <v>215</v>
      </c>
      <c r="U508">
        <v>1</v>
      </c>
      <c r="V508">
        <v>527.39</v>
      </c>
      <c r="W508">
        <v>622.32000000000005</v>
      </c>
      <c r="X508">
        <v>0</v>
      </c>
      <c r="Y508">
        <v>527.39</v>
      </c>
      <c r="Z508">
        <v>18</v>
      </c>
      <c r="AA508">
        <v>94.93</v>
      </c>
      <c r="AB508">
        <v>622.32000000000005</v>
      </c>
      <c r="AC508">
        <v>1</v>
      </c>
      <c r="AD508">
        <v>1</v>
      </c>
      <c r="AE508" t="s">
        <v>232</v>
      </c>
      <c r="AF508" t="s">
        <v>29</v>
      </c>
      <c r="AG508">
        <v>2</v>
      </c>
      <c r="AH508" t="s">
        <v>25</v>
      </c>
      <c r="AI508">
        <v>1106</v>
      </c>
      <c r="AJ508" t="s">
        <v>239</v>
      </c>
      <c r="AK508" t="s">
        <v>1237</v>
      </c>
      <c r="AP508">
        <v>385</v>
      </c>
      <c r="AQ508" t="s">
        <v>1240</v>
      </c>
      <c r="AR508" t="s">
        <v>12</v>
      </c>
      <c r="AS508" t="str">
        <f>+CONCATENATE(A508,"-",B508)</f>
        <v>FB01-1415</v>
      </c>
    </row>
    <row r="509" spans="1:45" ht="15" customHeight="1">
      <c r="A509" t="s">
        <v>1238</v>
      </c>
      <c r="B509">
        <v>654</v>
      </c>
      <c r="C509" t="s">
        <v>27</v>
      </c>
      <c r="D509" s="8">
        <v>45665</v>
      </c>
      <c r="E509" s="22">
        <v>45964</v>
      </c>
      <c r="F509" t="s">
        <v>1036</v>
      </c>
      <c r="H509">
        <v>1</v>
      </c>
      <c r="I509">
        <v>43200314</v>
      </c>
      <c r="J509" t="s">
        <v>2137</v>
      </c>
      <c r="K509" s="8">
        <v>45665</v>
      </c>
      <c r="Q509">
        <v>17749</v>
      </c>
      <c r="R509">
        <v>877</v>
      </c>
      <c r="S509" t="s">
        <v>1300</v>
      </c>
      <c r="T509" t="s">
        <v>215</v>
      </c>
      <c r="U509">
        <v>1</v>
      </c>
      <c r="V509">
        <v>530.16999999999996</v>
      </c>
      <c r="W509">
        <v>625.6</v>
      </c>
      <c r="X509">
        <v>0</v>
      </c>
      <c r="Y509">
        <v>530.16999999999996</v>
      </c>
      <c r="Z509">
        <v>18</v>
      </c>
      <c r="AA509">
        <v>95.43</v>
      </c>
      <c r="AB509">
        <v>625.6</v>
      </c>
      <c r="AC509">
        <v>1</v>
      </c>
      <c r="AD509">
        <v>1</v>
      </c>
      <c r="AE509" t="s">
        <v>232</v>
      </c>
      <c r="AF509" t="s">
        <v>29</v>
      </c>
      <c r="AG509">
        <v>2</v>
      </c>
      <c r="AH509" t="s">
        <v>25</v>
      </c>
      <c r="AI509">
        <v>1106</v>
      </c>
      <c r="AJ509" t="s">
        <v>239</v>
      </c>
      <c r="AK509" t="s">
        <v>1237</v>
      </c>
      <c r="AP509">
        <v>1159</v>
      </c>
      <c r="AQ509" t="s">
        <v>1036</v>
      </c>
      <c r="AR509" t="s">
        <v>1295</v>
      </c>
      <c r="AS509" t="str">
        <f>+CONCATENATE(A509,"-",B509)</f>
        <v>BB01-654</v>
      </c>
    </row>
    <row r="510" spans="1:45" ht="15" customHeight="1">
      <c r="A510" t="s">
        <v>1214</v>
      </c>
      <c r="B510" s="21" t="s">
        <v>205</v>
      </c>
      <c r="C510" t="s">
        <v>27</v>
      </c>
      <c r="D510" s="8">
        <v>45946</v>
      </c>
      <c r="E510" s="22">
        <v>45964.691180555557</v>
      </c>
      <c r="F510" t="s">
        <v>1810</v>
      </c>
      <c r="H510">
        <v>1</v>
      </c>
      <c r="I510">
        <v>40632612</v>
      </c>
      <c r="J510" t="s">
        <v>1831</v>
      </c>
      <c r="K510" s="8">
        <v>45946</v>
      </c>
      <c r="Q510">
        <v>31301</v>
      </c>
      <c r="R510">
        <v>1786</v>
      </c>
      <c r="S510" t="s">
        <v>1299</v>
      </c>
      <c r="T510" t="s">
        <v>163</v>
      </c>
      <c r="U510">
        <v>1</v>
      </c>
      <c r="V510">
        <v>533.11</v>
      </c>
      <c r="W510">
        <v>629.07000000000005</v>
      </c>
      <c r="X510">
        <v>0</v>
      </c>
      <c r="Y510">
        <v>533.11</v>
      </c>
      <c r="Z510">
        <v>18</v>
      </c>
      <c r="AA510">
        <v>95.96</v>
      </c>
      <c r="AB510">
        <v>629.07000000000005</v>
      </c>
      <c r="AC510">
        <v>1</v>
      </c>
      <c r="AD510">
        <v>1</v>
      </c>
      <c r="AE510" t="s">
        <v>1411</v>
      </c>
      <c r="AF510" t="s">
        <v>1412</v>
      </c>
      <c r="AG510">
        <v>2</v>
      </c>
      <c r="AH510" t="s">
        <v>25</v>
      </c>
      <c r="AI510">
        <v>6937</v>
      </c>
      <c r="AJ510" t="s">
        <v>1414</v>
      </c>
      <c r="AK510" t="s">
        <v>1251</v>
      </c>
      <c r="AL510">
        <v>3141</v>
      </c>
      <c r="AM510" t="s">
        <v>1812</v>
      </c>
      <c r="AN510" s="8">
        <v>45934</v>
      </c>
      <c r="AO510" s="8">
        <v>45934</v>
      </c>
      <c r="AP510">
        <v>5933</v>
      </c>
      <c r="AQ510" t="s">
        <v>1810</v>
      </c>
      <c r="AR510" t="s">
        <v>1295</v>
      </c>
      <c r="AS510" t="str">
        <f>+CONCATENATE(A510,"-",B510)</f>
        <v>(03) Boleta BOB1-00000034</v>
      </c>
    </row>
    <row r="511" spans="1:45" ht="15" customHeight="1">
      <c r="A511" t="s">
        <v>1216</v>
      </c>
      <c r="B511" s="21" t="s">
        <v>2504</v>
      </c>
      <c r="C511" t="s">
        <v>27</v>
      </c>
      <c r="D511" s="8">
        <v>45959</v>
      </c>
      <c r="E511" s="22">
        <v>45964.627800925926</v>
      </c>
      <c r="F511" t="s">
        <v>34</v>
      </c>
      <c r="H511">
        <v>6</v>
      </c>
      <c r="I511">
        <v>20611018925</v>
      </c>
      <c r="J511" t="s">
        <v>2681</v>
      </c>
      <c r="K511" s="8">
        <v>45959</v>
      </c>
      <c r="Q511">
        <v>32861</v>
      </c>
      <c r="R511">
        <v>1786</v>
      </c>
      <c r="S511" t="s">
        <v>1299</v>
      </c>
      <c r="T511" t="s">
        <v>163</v>
      </c>
      <c r="U511">
        <v>1</v>
      </c>
      <c r="V511">
        <v>543.86</v>
      </c>
      <c r="W511">
        <v>641.75</v>
      </c>
      <c r="X511">
        <v>0</v>
      </c>
      <c r="Y511">
        <v>543.86</v>
      </c>
      <c r="Z511">
        <v>18</v>
      </c>
      <c r="AA511">
        <v>97.89</v>
      </c>
      <c r="AB511">
        <v>641.75</v>
      </c>
      <c r="AC511">
        <v>1</v>
      </c>
      <c r="AD511">
        <v>1</v>
      </c>
      <c r="AE511" t="s">
        <v>1411</v>
      </c>
      <c r="AF511" t="s">
        <v>1412</v>
      </c>
      <c r="AG511">
        <v>2</v>
      </c>
      <c r="AH511" t="s">
        <v>25</v>
      </c>
      <c r="AI511">
        <v>6937</v>
      </c>
      <c r="AJ511" t="s">
        <v>1414</v>
      </c>
      <c r="AK511" t="s">
        <v>1251</v>
      </c>
      <c r="AL511">
        <v>3278</v>
      </c>
      <c r="AM511" t="s">
        <v>2503</v>
      </c>
      <c r="AN511" s="8">
        <v>45956</v>
      </c>
      <c r="AO511" s="8">
        <v>45956</v>
      </c>
      <c r="AP511">
        <v>1128</v>
      </c>
      <c r="AQ511" t="s">
        <v>34</v>
      </c>
      <c r="AR511" t="s">
        <v>12</v>
      </c>
      <c r="AS511" t="str">
        <f>+CONCATENATE(A511,"-",B511)</f>
        <v>(01) Factura FOF1-00000198</v>
      </c>
    </row>
    <row r="512" spans="1:45" ht="15" customHeight="1">
      <c r="A512" t="s">
        <v>1238</v>
      </c>
      <c r="B512">
        <v>639</v>
      </c>
      <c r="C512" t="s">
        <v>27</v>
      </c>
      <c r="D512" s="8">
        <v>45663</v>
      </c>
      <c r="E512" s="22">
        <v>45964</v>
      </c>
      <c r="F512" t="s">
        <v>601</v>
      </c>
      <c r="G512" t="s">
        <v>158</v>
      </c>
      <c r="H512">
        <v>1</v>
      </c>
      <c r="I512">
        <v>47633477</v>
      </c>
      <c r="J512" t="s">
        <v>2202</v>
      </c>
      <c r="K512" s="8">
        <v>45663</v>
      </c>
      <c r="Q512">
        <v>17181</v>
      </c>
      <c r="R512">
        <v>870</v>
      </c>
      <c r="S512" t="s">
        <v>1299</v>
      </c>
      <c r="T512" t="s">
        <v>215</v>
      </c>
      <c r="U512">
        <v>1</v>
      </c>
      <c r="V512">
        <v>545.08000000000004</v>
      </c>
      <c r="W512">
        <v>643.20000000000005</v>
      </c>
      <c r="X512">
        <v>0</v>
      </c>
      <c r="Y512">
        <v>545.08000000000004</v>
      </c>
      <c r="Z512">
        <v>18</v>
      </c>
      <c r="AA512">
        <v>98.12</v>
      </c>
      <c r="AB512">
        <v>643.20000000000005</v>
      </c>
      <c r="AC512">
        <v>1</v>
      </c>
      <c r="AD512">
        <v>1</v>
      </c>
      <c r="AE512" t="s">
        <v>232</v>
      </c>
      <c r="AF512" t="s">
        <v>29</v>
      </c>
      <c r="AG512">
        <v>2</v>
      </c>
      <c r="AH512" t="s">
        <v>25</v>
      </c>
      <c r="AI512">
        <v>1106</v>
      </c>
      <c r="AJ512" t="s">
        <v>239</v>
      </c>
      <c r="AK512" t="s">
        <v>1237</v>
      </c>
      <c r="AP512">
        <v>421</v>
      </c>
      <c r="AQ512" t="s">
        <v>601</v>
      </c>
      <c r="AR512" t="s">
        <v>1295</v>
      </c>
      <c r="AS512" t="str">
        <f>+CONCATENATE(A512,"-",B512)</f>
        <v>BB01-639</v>
      </c>
    </row>
    <row r="513" spans="1:45" ht="15" customHeight="1">
      <c r="A513" t="s">
        <v>1216</v>
      </c>
      <c r="B513" s="21" t="s">
        <v>1451</v>
      </c>
      <c r="C513" t="s">
        <v>27</v>
      </c>
      <c r="D513" s="8">
        <v>45946</v>
      </c>
      <c r="E513" s="22">
        <v>45964.794004629628</v>
      </c>
      <c r="F513" t="s">
        <v>1768</v>
      </c>
      <c r="H513">
        <v>6</v>
      </c>
      <c r="I513">
        <v>15611515500</v>
      </c>
      <c r="J513" t="s">
        <v>1772</v>
      </c>
      <c r="K513" s="8">
        <v>45946</v>
      </c>
      <c r="Q513">
        <v>31458</v>
      </c>
      <c r="R513">
        <v>216</v>
      </c>
      <c r="S513" t="s">
        <v>1300</v>
      </c>
      <c r="T513" t="s">
        <v>163</v>
      </c>
      <c r="U513">
        <v>1</v>
      </c>
      <c r="V513">
        <v>545.16999999999996</v>
      </c>
      <c r="W513">
        <v>643.29999999999995</v>
      </c>
      <c r="X513">
        <v>0</v>
      </c>
      <c r="Y513">
        <v>545.16999999999996</v>
      </c>
      <c r="Z513">
        <v>18</v>
      </c>
      <c r="AA513">
        <v>98.13</v>
      </c>
      <c r="AB513">
        <v>643.29999999999995</v>
      </c>
      <c r="AC513">
        <v>1</v>
      </c>
      <c r="AD513">
        <v>1</v>
      </c>
      <c r="AE513" t="s">
        <v>1411</v>
      </c>
      <c r="AF513" t="s">
        <v>1412</v>
      </c>
      <c r="AG513">
        <v>2</v>
      </c>
      <c r="AH513" t="s">
        <v>25</v>
      </c>
      <c r="AI513">
        <v>6936</v>
      </c>
      <c r="AJ513" t="s">
        <v>1437</v>
      </c>
      <c r="AK513" t="s">
        <v>1433</v>
      </c>
      <c r="AL513">
        <v>3106</v>
      </c>
      <c r="AM513" t="s">
        <v>1770</v>
      </c>
      <c r="AN513" s="8">
        <v>45941</v>
      </c>
      <c r="AO513" s="8">
        <v>45941</v>
      </c>
      <c r="AP513">
        <v>5825</v>
      </c>
      <c r="AQ513" t="s">
        <v>1768</v>
      </c>
      <c r="AR513" t="s">
        <v>12</v>
      </c>
      <c r="AS513" t="str">
        <f>+CONCATENATE(A513,"-",B513)</f>
        <v>(01) Factura FOF1-00000089</v>
      </c>
    </row>
    <row r="514" spans="1:45" ht="15" customHeight="1">
      <c r="A514" t="s">
        <v>1216</v>
      </c>
      <c r="B514" s="21" t="s">
        <v>207</v>
      </c>
      <c r="C514" t="s">
        <v>27</v>
      </c>
      <c r="D514" s="8">
        <v>45944</v>
      </c>
      <c r="E514" s="22">
        <v>45964.630601851852</v>
      </c>
      <c r="F514" t="s">
        <v>338</v>
      </c>
      <c r="H514">
        <v>6</v>
      </c>
      <c r="I514">
        <v>10461667983</v>
      </c>
      <c r="J514" t="s">
        <v>1882</v>
      </c>
      <c r="K514" s="8">
        <v>45944</v>
      </c>
      <c r="Q514">
        <v>31126</v>
      </c>
      <c r="R514">
        <v>216</v>
      </c>
      <c r="S514" t="s">
        <v>1300</v>
      </c>
      <c r="T514" t="s">
        <v>163</v>
      </c>
      <c r="U514">
        <v>1</v>
      </c>
      <c r="V514">
        <v>556.44000000000005</v>
      </c>
      <c r="W514">
        <v>656.6</v>
      </c>
      <c r="X514">
        <v>0</v>
      </c>
      <c r="Y514">
        <v>556.44000000000005</v>
      </c>
      <c r="Z514">
        <v>18</v>
      </c>
      <c r="AA514">
        <v>100.16</v>
      </c>
      <c r="AB514">
        <v>656.6</v>
      </c>
      <c r="AC514">
        <v>1</v>
      </c>
      <c r="AD514">
        <v>1</v>
      </c>
      <c r="AE514" t="s">
        <v>1411</v>
      </c>
      <c r="AF514" t="s">
        <v>1412</v>
      </c>
      <c r="AG514">
        <v>2</v>
      </c>
      <c r="AH514" t="s">
        <v>25</v>
      </c>
      <c r="AI514">
        <v>1106</v>
      </c>
      <c r="AJ514" t="s">
        <v>239</v>
      </c>
      <c r="AK514" t="s">
        <v>169</v>
      </c>
      <c r="AL514">
        <v>3092</v>
      </c>
      <c r="AM514" t="s">
        <v>337</v>
      </c>
      <c r="AN514" s="8">
        <v>45937</v>
      </c>
      <c r="AO514" s="8">
        <v>45937</v>
      </c>
      <c r="AP514">
        <v>5804</v>
      </c>
      <c r="AQ514" t="s">
        <v>338</v>
      </c>
      <c r="AR514" t="s">
        <v>12</v>
      </c>
      <c r="AS514" t="str">
        <f>+CONCATENATE(A514,"-",B514)</f>
        <v>(01) Factura FOF1-00000020</v>
      </c>
    </row>
    <row r="515" spans="1:45" ht="15" customHeight="1">
      <c r="A515" t="s">
        <v>1216</v>
      </c>
      <c r="B515" s="21" t="s">
        <v>1453</v>
      </c>
      <c r="C515" t="s">
        <v>27</v>
      </c>
      <c r="D515" s="8">
        <v>45954</v>
      </c>
      <c r="E515" s="22">
        <v>45964.60465277778</v>
      </c>
      <c r="F515" t="s">
        <v>1454</v>
      </c>
      <c r="H515">
        <v>6</v>
      </c>
      <c r="I515">
        <v>20608574663</v>
      </c>
      <c r="J515" t="s">
        <v>1455</v>
      </c>
      <c r="K515" s="8">
        <v>45954</v>
      </c>
      <c r="Q515">
        <v>32584</v>
      </c>
      <c r="R515">
        <v>216</v>
      </c>
      <c r="S515" t="s">
        <v>1300</v>
      </c>
      <c r="T515" t="s">
        <v>163</v>
      </c>
      <c r="U515">
        <v>1</v>
      </c>
      <c r="V515">
        <v>563.73</v>
      </c>
      <c r="W515">
        <v>665.2</v>
      </c>
      <c r="X515">
        <v>0</v>
      </c>
      <c r="Y515">
        <v>563.73</v>
      </c>
      <c r="Z515">
        <v>18</v>
      </c>
      <c r="AA515">
        <v>101.47</v>
      </c>
      <c r="AB515">
        <v>665.2</v>
      </c>
      <c r="AC515">
        <v>1</v>
      </c>
      <c r="AD515">
        <v>1</v>
      </c>
      <c r="AE515" t="s">
        <v>1411</v>
      </c>
      <c r="AF515" t="s">
        <v>1412</v>
      </c>
      <c r="AG515">
        <v>2</v>
      </c>
      <c r="AH515" t="s">
        <v>25</v>
      </c>
      <c r="AI515">
        <v>6936</v>
      </c>
      <c r="AJ515" t="s">
        <v>1437</v>
      </c>
      <c r="AK515" t="s">
        <v>1433</v>
      </c>
      <c r="AL515">
        <v>3079</v>
      </c>
      <c r="AM515" t="s">
        <v>1456</v>
      </c>
      <c r="AN515" s="8">
        <v>45921</v>
      </c>
      <c r="AO515" s="8">
        <v>45921</v>
      </c>
      <c r="AP515">
        <v>5597</v>
      </c>
      <c r="AQ515" t="s">
        <v>1457</v>
      </c>
      <c r="AR515" t="s">
        <v>12</v>
      </c>
      <c r="AS515" t="str">
        <f>+CONCATENATE(A515,"-",B515)</f>
        <v>(01) Factura FOF1-00000182</v>
      </c>
    </row>
    <row r="516" spans="1:45" ht="15" customHeight="1">
      <c r="A516" t="s">
        <v>1214</v>
      </c>
      <c r="B516" s="21" t="s">
        <v>1706</v>
      </c>
      <c r="C516" t="s">
        <v>27</v>
      </c>
      <c r="D516" s="8">
        <v>45946</v>
      </c>
      <c r="E516" s="22">
        <v>45964.849780092591</v>
      </c>
      <c r="F516" t="s">
        <v>1703</v>
      </c>
      <c r="H516">
        <v>1</v>
      </c>
      <c r="I516">
        <v>40598854</v>
      </c>
      <c r="J516" t="s">
        <v>1707</v>
      </c>
      <c r="K516" s="8">
        <v>45946</v>
      </c>
      <c r="Q516">
        <v>31563</v>
      </c>
      <c r="R516">
        <v>1786</v>
      </c>
      <c r="S516" t="s">
        <v>1299</v>
      </c>
      <c r="T516" t="s">
        <v>163</v>
      </c>
      <c r="U516">
        <v>1</v>
      </c>
      <c r="V516">
        <v>564.83000000000004</v>
      </c>
      <c r="W516">
        <v>666.5</v>
      </c>
      <c r="X516">
        <v>0</v>
      </c>
      <c r="Y516">
        <v>564.83000000000004</v>
      </c>
      <c r="Z516">
        <v>18</v>
      </c>
      <c r="AA516">
        <v>101.67</v>
      </c>
      <c r="AB516">
        <v>666.5</v>
      </c>
      <c r="AC516">
        <v>1</v>
      </c>
      <c r="AD516">
        <v>1</v>
      </c>
      <c r="AE516" t="s">
        <v>1411</v>
      </c>
      <c r="AF516" t="s">
        <v>1412</v>
      </c>
      <c r="AG516">
        <v>2</v>
      </c>
      <c r="AH516" t="s">
        <v>25</v>
      </c>
      <c r="AI516">
        <v>6937</v>
      </c>
      <c r="AJ516" t="s">
        <v>1414</v>
      </c>
      <c r="AK516" t="s">
        <v>1251</v>
      </c>
      <c r="AL516">
        <v>3158</v>
      </c>
      <c r="AM516" t="s">
        <v>1705</v>
      </c>
      <c r="AN516" s="8">
        <v>45935</v>
      </c>
      <c r="AO516" s="8">
        <v>45935</v>
      </c>
      <c r="AP516">
        <v>5984</v>
      </c>
      <c r="AQ516" t="s">
        <v>1703</v>
      </c>
      <c r="AR516" t="s">
        <v>1295</v>
      </c>
      <c r="AS516" t="str">
        <f>+CONCATENATE(A516,"-",B516)</f>
        <v>(03) Boleta BOB1-00000052</v>
      </c>
    </row>
    <row r="517" spans="1:45" ht="15" customHeight="1">
      <c r="A517" t="s">
        <v>1214</v>
      </c>
      <c r="B517" s="21" t="s">
        <v>1679</v>
      </c>
      <c r="C517" t="s">
        <v>27</v>
      </c>
      <c r="D517" s="8">
        <v>45959</v>
      </c>
      <c r="E517" s="22">
        <v>45964.70821759259</v>
      </c>
      <c r="F517" t="s">
        <v>2444</v>
      </c>
      <c r="H517">
        <v>1</v>
      </c>
      <c r="I517">
        <v>70332314</v>
      </c>
      <c r="J517" t="s">
        <v>2647</v>
      </c>
      <c r="K517" s="8">
        <v>45959</v>
      </c>
      <c r="Q517">
        <v>32985</v>
      </c>
      <c r="R517">
        <v>216</v>
      </c>
      <c r="S517" t="s">
        <v>1300</v>
      </c>
      <c r="T517" t="s">
        <v>163</v>
      </c>
      <c r="U517">
        <v>1</v>
      </c>
      <c r="V517">
        <v>567.12</v>
      </c>
      <c r="W517">
        <v>669.2</v>
      </c>
      <c r="X517">
        <v>0</v>
      </c>
      <c r="Y517">
        <v>567.12</v>
      </c>
      <c r="Z517">
        <v>18</v>
      </c>
      <c r="AA517">
        <v>102.08</v>
      </c>
      <c r="AB517">
        <v>669.2</v>
      </c>
      <c r="AC517">
        <v>1</v>
      </c>
      <c r="AD517">
        <v>1</v>
      </c>
      <c r="AE517" t="s">
        <v>1411</v>
      </c>
      <c r="AF517" t="s">
        <v>1412</v>
      </c>
      <c r="AG517">
        <v>2</v>
      </c>
      <c r="AH517" t="s">
        <v>25</v>
      </c>
      <c r="AI517">
        <v>6936</v>
      </c>
      <c r="AJ517" t="s">
        <v>1437</v>
      </c>
      <c r="AK517" t="s">
        <v>1433</v>
      </c>
      <c r="AL517">
        <v>3174</v>
      </c>
      <c r="AM517" t="s">
        <v>2473</v>
      </c>
      <c r="AN517" s="8">
        <v>45954</v>
      </c>
      <c r="AO517" s="8">
        <v>45954</v>
      </c>
      <c r="AP517">
        <v>6074</v>
      </c>
      <c r="AQ517" t="s">
        <v>2444</v>
      </c>
      <c r="AR517" t="s">
        <v>1295</v>
      </c>
      <c r="AS517" t="str">
        <f>+CONCATENATE(A517,"-",B517)</f>
        <v>(03) Boleta BOB1-00000119</v>
      </c>
    </row>
    <row r="518" spans="1:45" ht="15" customHeight="1">
      <c r="A518" t="s">
        <v>1214</v>
      </c>
      <c r="B518" s="21" t="s">
        <v>180</v>
      </c>
      <c r="C518" t="s">
        <v>27</v>
      </c>
      <c r="D518" s="8">
        <v>45946</v>
      </c>
      <c r="E518" s="22">
        <v>45964.688773148147</v>
      </c>
      <c r="F518" t="s">
        <v>1810</v>
      </c>
      <c r="H518">
        <v>1</v>
      </c>
      <c r="I518">
        <v>40632612</v>
      </c>
      <c r="J518" t="s">
        <v>1832</v>
      </c>
      <c r="K518" s="8">
        <v>45946</v>
      </c>
      <c r="Q518">
        <v>31298</v>
      </c>
      <c r="R518">
        <v>216</v>
      </c>
      <c r="S518" t="s">
        <v>1300</v>
      </c>
      <c r="T518" t="s">
        <v>163</v>
      </c>
      <c r="U518">
        <v>1</v>
      </c>
      <c r="V518">
        <v>575.44000000000005</v>
      </c>
      <c r="W518">
        <v>679.02</v>
      </c>
      <c r="X518">
        <v>0</v>
      </c>
      <c r="Y518">
        <v>575.44000000000005</v>
      </c>
      <c r="Z518">
        <v>18</v>
      </c>
      <c r="AA518">
        <v>103.58</v>
      </c>
      <c r="AB518">
        <v>679.02</v>
      </c>
      <c r="AC518">
        <v>1</v>
      </c>
      <c r="AD518">
        <v>1</v>
      </c>
      <c r="AE518" t="s">
        <v>1411</v>
      </c>
      <c r="AF518" t="s">
        <v>1412</v>
      </c>
      <c r="AG518">
        <v>2</v>
      </c>
      <c r="AH518" t="s">
        <v>25</v>
      </c>
      <c r="AI518">
        <v>6936</v>
      </c>
      <c r="AJ518" t="s">
        <v>1437</v>
      </c>
      <c r="AK518" t="s">
        <v>1433</v>
      </c>
      <c r="AL518">
        <v>3141</v>
      </c>
      <c r="AM518" t="s">
        <v>1812</v>
      </c>
      <c r="AN518" s="8">
        <v>45934</v>
      </c>
      <c r="AO518" s="8">
        <v>45934</v>
      </c>
      <c r="AP518">
        <v>5933</v>
      </c>
      <c r="AQ518" t="s">
        <v>1810</v>
      </c>
      <c r="AR518" t="s">
        <v>1295</v>
      </c>
      <c r="AS518" t="str">
        <f>+CONCATENATE(A518,"-",B518)</f>
        <v>(03) Boleta BOB1-00000033</v>
      </c>
    </row>
    <row r="519" spans="1:45" ht="15" customHeight="1">
      <c r="A519" t="s">
        <v>216</v>
      </c>
      <c r="B519">
        <v>1244</v>
      </c>
      <c r="C519" t="s">
        <v>27</v>
      </c>
      <c r="D519" s="8">
        <v>45665</v>
      </c>
      <c r="E519" s="22">
        <v>45964</v>
      </c>
      <c r="F519" t="s">
        <v>1321</v>
      </c>
      <c r="G519" t="s">
        <v>158</v>
      </c>
      <c r="H519">
        <v>6</v>
      </c>
      <c r="I519">
        <v>20296011356</v>
      </c>
      <c r="J519" t="s">
        <v>2142</v>
      </c>
      <c r="K519" s="8">
        <v>45665</v>
      </c>
      <c r="Q519">
        <v>17247</v>
      </c>
      <c r="R519">
        <v>878</v>
      </c>
      <c r="S519" t="s">
        <v>1334</v>
      </c>
      <c r="T519" t="s">
        <v>215</v>
      </c>
      <c r="U519">
        <v>1</v>
      </c>
      <c r="V519">
        <v>586.36</v>
      </c>
      <c r="W519">
        <v>691.9</v>
      </c>
      <c r="X519">
        <v>0</v>
      </c>
      <c r="Y519">
        <v>586.36</v>
      </c>
      <c r="Z519">
        <v>18</v>
      </c>
      <c r="AA519">
        <v>105.54</v>
      </c>
      <c r="AB519">
        <v>691.9</v>
      </c>
      <c r="AC519">
        <v>1</v>
      </c>
      <c r="AD519">
        <v>1</v>
      </c>
      <c r="AE519" t="s">
        <v>232</v>
      </c>
      <c r="AF519" t="s">
        <v>29</v>
      </c>
      <c r="AG519">
        <v>2</v>
      </c>
      <c r="AH519" t="s">
        <v>25</v>
      </c>
      <c r="AI519">
        <v>1106</v>
      </c>
      <c r="AJ519" t="s">
        <v>239</v>
      </c>
      <c r="AK519" t="s">
        <v>1237</v>
      </c>
      <c r="AP519">
        <v>390</v>
      </c>
      <c r="AQ519" t="s">
        <v>1321</v>
      </c>
      <c r="AR519" t="s">
        <v>12</v>
      </c>
      <c r="AS519" t="str">
        <f>+CONCATENATE(A519,"-",B519)</f>
        <v>FB01-1244</v>
      </c>
    </row>
    <row r="520" spans="1:45" ht="15" customHeight="1">
      <c r="A520" t="s">
        <v>1216</v>
      </c>
      <c r="B520" s="21" t="s">
        <v>1719</v>
      </c>
      <c r="C520" t="s">
        <v>27</v>
      </c>
      <c r="D520" s="8">
        <v>45946</v>
      </c>
      <c r="E520" s="22">
        <v>45964.834293981483</v>
      </c>
      <c r="F520" t="s">
        <v>415</v>
      </c>
      <c r="H520">
        <v>6</v>
      </c>
      <c r="I520">
        <v>20611890746</v>
      </c>
      <c r="J520" t="s">
        <v>1720</v>
      </c>
      <c r="K520" s="8">
        <v>45946</v>
      </c>
      <c r="Q520">
        <v>31545</v>
      </c>
      <c r="R520">
        <v>1895</v>
      </c>
      <c r="S520" t="s">
        <v>1407</v>
      </c>
      <c r="T520" t="s">
        <v>215</v>
      </c>
      <c r="U520">
        <v>1</v>
      </c>
      <c r="V520">
        <v>590</v>
      </c>
      <c r="W520">
        <v>696.2</v>
      </c>
      <c r="X520">
        <v>0</v>
      </c>
      <c r="Y520">
        <v>590</v>
      </c>
      <c r="Z520">
        <v>18</v>
      </c>
      <c r="AA520">
        <v>106.2</v>
      </c>
      <c r="AB520">
        <v>696.2</v>
      </c>
      <c r="AC520">
        <v>1</v>
      </c>
      <c r="AD520">
        <v>1</v>
      </c>
      <c r="AE520" t="s">
        <v>1411</v>
      </c>
      <c r="AF520" t="s">
        <v>1412</v>
      </c>
      <c r="AG520">
        <v>2</v>
      </c>
      <c r="AH520" t="s">
        <v>25</v>
      </c>
      <c r="AI520">
        <v>1106</v>
      </c>
      <c r="AJ520" t="s">
        <v>239</v>
      </c>
      <c r="AK520" t="s">
        <v>1468</v>
      </c>
      <c r="AL520">
        <v>3134</v>
      </c>
      <c r="AM520" t="s">
        <v>1712</v>
      </c>
      <c r="AN520" s="8">
        <v>45935</v>
      </c>
      <c r="AO520" s="8">
        <v>45935</v>
      </c>
      <c r="AP520">
        <v>390</v>
      </c>
      <c r="AQ520" t="s">
        <v>1321</v>
      </c>
      <c r="AR520" t="s">
        <v>12</v>
      </c>
      <c r="AS520" t="str">
        <f>+CONCATENATE(A520,"-",B520)</f>
        <v>(01) Factura FOF1-00000111</v>
      </c>
    </row>
    <row r="521" spans="1:45" ht="15" customHeight="1">
      <c r="A521" t="s">
        <v>1216</v>
      </c>
      <c r="B521" s="21" t="s">
        <v>1729</v>
      </c>
      <c r="C521" t="s">
        <v>27</v>
      </c>
      <c r="D521" s="8">
        <v>45946</v>
      </c>
      <c r="E521" s="22">
        <v>45964.831435185188</v>
      </c>
      <c r="F521" t="s">
        <v>1321</v>
      </c>
      <c r="G521" t="s">
        <v>158</v>
      </c>
      <c r="H521">
        <v>6</v>
      </c>
      <c r="I521">
        <v>20296011356</v>
      </c>
      <c r="J521" t="s">
        <v>1730</v>
      </c>
      <c r="K521" s="8">
        <v>45946</v>
      </c>
      <c r="Q521">
        <v>31530</v>
      </c>
      <c r="R521">
        <v>2324</v>
      </c>
      <c r="S521" t="s">
        <v>1303</v>
      </c>
      <c r="T521" t="s">
        <v>215</v>
      </c>
      <c r="U521">
        <v>1</v>
      </c>
      <c r="V521">
        <v>590</v>
      </c>
      <c r="W521">
        <v>696.2</v>
      </c>
      <c r="X521">
        <v>0</v>
      </c>
      <c r="Y521">
        <v>590</v>
      </c>
      <c r="Z521">
        <v>18</v>
      </c>
      <c r="AA521">
        <v>106.2</v>
      </c>
      <c r="AB521">
        <v>696.2</v>
      </c>
      <c r="AC521">
        <v>1</v>
      </c>
      <c r="AD521">
        <v>1</v>
      </c>
      <c r="AE521" t="s">
        <v>1411</v>
      </c>
      <c r="AF521" t="s">
        <v>1412</v>
      </c>
      <c r="AG521">
        <v>2</v>
      </c>
      <c r="AH521" t="s">
        <v>25</v>
      </c>
      <c r="AI521">
        <v>1106</v>
      </c>
      <c r="AJ521" t="s">
        <v>239</v>
      </c>
      <c r="AK521" t="s">
        <v>1468</v>
      </c>
      <c r="AL521">
        <v>3134</v>
      </c>
      <c r="AM521" t="s">
        <v>1712</v>
      </c>
      <c r="AN521" s="8">
        <v>45935</v>
      </c>
      <c r="AO521" s="8">
        <v>45935</v>
      </c>
      <c r="AP521">
        <v>390</v>
      </c>
      <c r="AQ521" t="s">
        <v>1321</v>
      </c>
      <c r="AR521" t="s">
        <v>12</v>
      </c>
      <c r="AS521" t="str">
        <f>+CONCATENATE(A521,"-",B521)</f>
        <v>(01) Factura FOF1-00000106</v>
      </c>
    </row>
    <row r="522" spans="1:45" ht="15" customHeight="1">
      <c r="A522" t="s">
        <v>1238</v>
      </c>
      <c r="B522">
        <v>635</v>
      </c>
      <c r="C522" t="s">
        <v>27</v>
      </c>
      <c r="D522" s="8">
        <v>45660</v>
      </c>
      <c r="E522" s="22">
        <v>45964</v>
      </c>
      <c r="F522" t="s">
        <v>1191</v>
      </c>
      <c r="G522" t="s">
        <v>158</v>
      </c>
      <c r="H522">
        <v>1</v>
      </c>
      <c r="I522">
        <v>43852005</v>
      </c>
      <c r="J522" t="s">
        <v>2206</v>
      </c>
      <c r="K522" s="8">
        <v>45660</v>
      </c>
      <c r="Q522">
        <v>17173</v>
      </c>
      <c r="R522">
        <v>877</v>
      </c>
      <c r="S522" t="s">
        <v>1300</v>
      </c>
      <c r="T522" t="s">
        <v>215</v>
      </c>
      <c r="U522">
        <v>1</v>
      </c>
      <c r="V522">
        <v>598.73</v>
      </c>
      <c r="W522">
        <v>706.5</v>
      </c>
      <c r="X522">
        <v>0</v>
      </c>
      <c r="Y522">
        <v>598.73</v>
      </c>
      <c r="Z522">
        <v>18</v>
      </c>
      <c r="AA522">
        <v>107.77</v>
      </c>
      <c r="AB522">
        <v>706.5</v>
      </c>
      <c r="AC522">
        <v>1</v>
      </c>
      <c r="AD522">
        <v>1</v>
      </c>
      <c r="AE522" t="s">
        <v>232</v>
      </c>
      <c r="AF522" t="s">
        <v>29</v>
      </c>
      <c r="AG522">
        <v>2</v>
      </c>
      <c r="AH522" t="s">
        <v>25</v>
      </c>
      <c r="AI522">
        <v>1106</v>
      </c>
      <c r="AJ522" t="s">
        <v>239</v>
      </c>
      <c r="AK522" t="s">
        <v>1237</v>
      </c>
      <c r="AP522">
        <v>441</v>
      </c>
      <c r="AQ522" t="s">
        <v>1191</v>
      </c>
      <c r="AR522" t="s">
        <v>1295</v>
      </c>
      <c r="AS522" t="str">
        <f>+CONCATENATE(A522,"-",B522)</f>
        <v>BB01-635</v>
      </c>
    </row>
    <row r="523" spans="1:45" ht="15" customHeight="1">
      <c r="A523" t="s">
        <v>1214</v>
      </c>
      <c r="B523" s="21" t="s">
        <v>1719</v>
      </c>
      <c r="C523" t="s">
        <v>27</v>
      </c>
      <c r="D523" s="8">
        <v>45959</v>
      </c>
      <c r="E523" s="22">
        <v>45964.646319444444</v>
      </c>
      <c r="F523" t="s">
        <v>1151</v>
      </c>
      <c r="G523" t="s">
        <v>158</v>
      </c>
      <c r="H523">
        <v>1</v>
      </c>
      <c r="I523">
        <v>44413438</v>
      </c>
      <c r="J523" t="s">
        <v>2657</v>
      </c>
      <c r="K523" s="8">
        <v>45959</v>
      </c>
      <c r="Q523">
        <v>32938</v>
      </c>
      <c r="R523">
        <v>2314</v>
      </c>
      <c r="S523" t="s">
        <v>1302</v>
      </c>
      <c r="T523" t="s">
        <v>163</v>
      </c>
      <c r="U523">
        <v>1</v>
      </c>
      <c r="V523">
        <v>600</v>
      </c>
      <c r="W523">
        <v>708</v>
      </c>
      <c r="X523">
        <v>0</v>
      </c>
      <c r="Y523">
        <v>600</v>
      </c>
      <c r="Z523">
        <v>18</v>
      </c>
      <c r="AA523">
        <v>108</v>
      </c>
      <c r="AB523">
        <v>708</v>
      </c>
      <c r="AC523">
        <v>1</v>
      </c>
      <c r="AD523">
        <v>1</v>
      </c>
      <c r="AE523" t="s">
        <v>1411</v>
      </c>
      <c r="AF523" t="s">
        <v>1412</v>
      </c>
      <c r="AG523">
        <v>2</v>
      </c>
      <c r="AH523" t="s">
        <v>25</v>
      </c>
      <c r="AI523">
        <v>6959</v>
      </c>
      <c r="AJ523" t="s">
        <v>1401</v>
      </c>
      <c r="AK523" t="s">
        <v>1251</v>
      </c>
      <c r="AL523">
        <v>3074</v>
      </c>
      <c r="AM523" t="s">
        <v>2482</v>
      </c>
      <c r="AN523" s="8">
        <v>45955</v>
      </c>
      <c r="AO523" s="8">
        <v>45955</v>
      </c>
      <c r="AP523">
        <v>405</v>
      </c>
      <c r="AQ523" t="s">
        <v>1151</v>
      </c>
      <c r="AR523" t="s">
        <v>1295</v>
      </c>
      <c r="AS523" t="str">
        <f>+CONCATENATE(A523,"-",B523)</f>
        <v>(03) Boleta BOB1-00000111</v>
      </c>
    </row>
    <row r="524" spans="1:45" ht="15" customHeight="1">
      <c r="A524" t="s">
        <v>1216</v>
      </c>
      <c r="B524" s="21" t="s">
        <v>1418</v>
      </c>
      <c r="C524" t="s">
        <v>27</v>
      </c>
      <c r="D524" s="8">
        <v>45957</v>
      </c>
      <c r="E524" s="22">
        <v>45964.625</v>
      </c>
      <c r="F524" t="s">
        <v>1416</v>
      </c>
      <c r="H524">
        <v>6</v>
      </c>
      <c r="I524">
        <v>20609995433</v>
      </c>
      <c r="J524" t="s">
        <v>2692</v>
      </c>
      <c r="K524" s="8">
        <v>45957</v>
      </c>
      <c r="Q524">
        <v>32783</v>
      </c>
      <c r="R524">
        <v>1895</v>
      </c>
      <c r="S524" t="s">
        <v>1407</v>
      </c>
      <c r="T524" t="s">
        <v>215</v>
      </c>
      <c r="U524">
        <v>1000</v>
      </c>
      <c r="V524">
        <v>0.6</v>
      </c>
      <c r="W524">
        <v>0.71</v>
      </c>
      <c r="X524">
        <v>0</v>
      </c>
      <c r="Y524">
        <v>600</v>
      </c>
      <c r="Z524">
        <v>18</v>
      </c>
      <c r="AA524">
        <v>108</v>
      </c>
      <c r="AB524">
        <v>708</v>
      </c>
      <c r="AC524">
        <v>1</v>
      </c>
      <c r="AD524">
        <v>1</v>
      </c>
      <c r="AE524" t="s">
        <v>1411</v>
      </c>
      <c r="AF524" t="s">
        <v>1412</v>
      </c>
      <c r="AG524">
        <v>16</v>
      </c>
      <c r="AH524" t="s">
        <v>1400</v>
      </c>
      <c r="AI524">
        <v>1106</v>
      </c>
      <c r="AJ524" t="s">
        <v>239</v>
      </c>
      <c r="AK524" t="s">
        <v>1406</v>
      </c>
      <c r="AL524">
        <v>3324</v>
      </c>
      <c r="AM524" t="s">
        <v>1419</v>
      </c>
      <c r="AN524" s="8">
        <v>45961</v>
      </c>
      <c r="AO524" s="8">
        <v>45961</v>
      </c>
      <c r="AP524">
        <v>5354</v>
      </c>
      <c r="AQ524" t="s">
        <v>1420</v>
      </c>
      <c r="AR524" t="s">
        <v>1295</v>
      </c>
      <c r="AS524" t="str">
        <f>+CONCATENATE(A524,"-",B524)</f>
        <v>(01) Factura FOF1-00000187</v>
      </c>
    </row>
    <row r="525" spans="1:45" ht="15" customHeight="1">
      <c r="A525" t="s">
        <v>1214</v>
      </c>
      <c r="B525" s="21" t="s">
        <v>1423</v>
      </c>
      <c r="C525" t="s">
        <v>27</v>
      </c>
      <c r="D525" s="8">
        <v>45954</v>
      </c>
      <c r="E525" s="22">
        <v>45964.708333333336</v>
      </c>
      <c r="F525" t="s">
        <v>1424</v>
      </c>
      <c r="H525">
        <v>1</v>
      </c>
      <c r="I525">
        <v>46651175</v>
      </c>
      <c r="J525" t="s">
        <v>2694</v>
      </c>
      <c r="K525" s="8">
        <v>45954</v>
      </c>
      <c r="Q525">
        <v>32766</v>
      </c>
      <c r="R525">
        <v>1895</v>
      </c>
      <c r="S525" t="s">
        <v>1407</v>
      </c>
      <c r="T525" t="s">
        <v>215</v>
      </c>
      <c r="U525">
        <v>1000</v>
      </c>
      <c r="V525">
        <v>0.6</v>
      </c>
      <c r="W525">
        <v>0.71</v>
      </c>
      <c r="X525">
        <v>0</v>
      </c>
      <c r="Y525">
        <v>600</v>
      </c>
      <c r="Z525">
        <v>18</v>
      </c>
      <c r="AA525">
        <v>108</v>
      </c>
      <c r="AB525">
        <v>708</v>
      </c>
      <c r="AC525">
        <v>1</v>
      </c>
      <c r="AD525">
        <v>1</v>
      </c>
      <c r="AE525" t="s">
        <v>1411</v>
      </c>
      <c r="AF525" t="s">
        <v>1412</v>
      </c>
      <c r="AG525">
        <v>16</v>
      </c>
      <c r="AH525" t="s">
        <v>1400</v>
      </c>
      <c r="AI525">
        <v>1106</v>
      </c>
      <c r="AJ525" t="s">
        <v>239</v>
      </c>
      <c r="AK525" t="s">
        <v>1406</v>
      </c>
      <c r="AL525">
        <v>3288</v>
      </c>
      <c r="AM525" t="s">
        <v>1425</v>
      </c>
      <c r="AN525" s="8">
        <v>45985</v>
      </c>
      <c r="AO525" s="8">
        <v>45985</v>
      </c>
      <c r="AP525">
        <v>6660</v>
      </c>
      <c r="AQ525" t="s">
        <v>1424</v>
      </c>
      <c r="AR525" t="s">
        <v>1295</v>
      </c>
      <c r="AS525" t="str">
        <f>+CONCATENATE(A525,"-",B525)</f>
        <v>(03) Boleta BOB1-00000099</v>
      </c>
    </row>
    <row r="526" spans="1:45" ht="15" customHeight="1">
      <c r="A526" t="s">
        <v>1214</v>
      </c>
      <c r="B526" s="21" t="s">
        <v>1423</v>
      </c>
      <c r="C526" t="s">
        <v>27</v>
      </c>
      <c r="D526" s="8">
        <v>45954</v>
      </c>
      <c r="E526" s="22">
        <v>45964.708333333336</v>
      </c>
      <c r="F526" t="s">
        <v>1424</v>
      </c>
      <c r="H526">
        <v>1</v>
      </c>
      <c r="I526">
        <v>46651175</v>
      </c>
      <c r="J526" t="s">
        <v>2694</v>
      </c>
      <c r="K526" s="8">
        <v>45954</v>
      </c>
      <c r="Q526">
        <v>32769</v>
      </c>
      <c r="R526">
        <v>1895</v>
      </c>
      <c r="S526" t="s">
        <v>1407</v>
      </c>
      <c r="T526" t="s">
        <v>215</v>
      </c>
      <c r="U526">
        <v>1000</v>
      </c>
      <c r="V526">
        <v>0.6</v>
      </c>
      <c r="W526">
        <v>0.71</v>
      </c>
      <c r="X526">
        <v>0</v>
      </c>
      <c r="Y526">
        <v>600</v>
      </c>
      <c r="Z526">
        <v>18</v>
      </c>
      <c r="AA526">
        <v>108</v>
      </c>
      <c r="AB526">
        <v>708</v>
      </c>
      <c r="AC526">
        <v>1</v>
      </c>
      <c r="AD526">
        <v>1</v>
      </c>
      <c r="AE526" t="s">
        <v>1411</v>
      </c>
      <c r="AF526" t="s">
        <v>1412</v>
      </c>
      <c r="AG526">
        <v>16</v>
      </c>
      <c r="AH526" t="s">
        <v>1400</v>
      </c>
      <c r="AI526">
        <v>1106</v>
      </c>
      <c r="AJ526" t="s">
        <v>239</v>
      </c>
      <c r="AK526" t="s">
        <v>1406</v>
      </c>
      <c r="AL526">
        <v>3288</v>
      </c>
      <c r="AM526" t="s">
        <v>1425</v>
      </c>
      <c r="AN526" s="8">
        <v>45985</v>
      </c>
      <c r="AO526" s="8">
        <v>45985</v>
      </c>
      <c r="AP526">
        <v>6660</v>
      </c>
      <c r="AQ526" t="s">
        <v>1424</v>
      </c>
      <c r="AR526" t="s">
        <v>1295</v>
      </c>
      <c r="AS526" t="str">
        <f>+CONCATENATE(A526,"-",B526)</f>
        <v>(03) Boleta BOB1-00000099</v>
      </c>
    </row>
    <row r="527" spans="1:45" ht="15" customHeight="1">
      <c r="A527" t="s">
        <v>1216</v>
      </c>
      <c r="B527" s="21" t="s">
        <v>1429</v>
      </c>
      <c r="C527" t="s">
        <v>27</v>
      </c>
      <c r="D527" s="8">
        <v>45954</v>
      </c>
      <c r="E527" s="22">
        <v>45964.708333333336</v>
      </c>
      <c r="F527" t="s">
        <v>415</v>
      </c>
      <c r="H527">
        <v>6</v>
      </c>
      <c r="I527">
        <v>20611890746</v>
      </c>
      <c r="J527" t="s">
        <v>2697</v>
      </c>
      <c r="K527" s="8">
        <v>45954</v>
      </c>
      <c r="Q527">
        <v>32756</v>
      </c>
      <c r="R527">
        <v>1924</v>
      </c>
      <c r="S527" t="s">
        <v>1405</v>
      </c>
      <c r="T527" t="s">
        <v>215</v>
      </c>
      <c r="U527">
        <v>1500</v>
      </c>
      <c r="V527">
        <v>0.4</v>
      </c>
      <c r="W527">
        <v>0.47</v>
      </c>
      <c r="X527">
        <v>0</v>
      </c>
      <c r="Y527">
        <v>600</v>
      </c>
      <c r="Z527">
        <v>18</v>
      </c>
      <c r="AA527">
        <v>108</v>
      </c>
      <c r="AB527">
        <v>708</v>
      </c>
      <c r="AC527">
        <v>1</v>
      </c>
      <c r="AD527">
        <v>1</v>
      </c>
      <c r="AE527" t="s">
        <v>1411</v>
      </c>
      <c r="AF527" t="s">
        <v>1412</v>
      </c>
      <c r="AG527">
        <v>16</v>
      </c>
      <c r="AH527" t="s">
        <v>1400</v>
      </c>
      <c r="AI527">
        <v>1106</v>
      </c>
      <c r="AJ527" t="s">
        <v>239</v>
      </c>
      <c r="AK527" t="s">
        <v>1406</v>
      </c>
      <c r="AL527">
        <v>3316</v>
      </c>
      <c r="AM527" t="s">
        <v>1430</v>
      </c>
      <c r="AN527" s="8">
        <v>45962</v>
      </c>
      <c r="AO527" s="8">
        <v>45962</v>
      </c>
      <c r="AP527">
        <v>1136</v>
      </c>
      <c r="AQ527" t="s">
        <v>415</v>
      </c>
      <c r="AR527" t="s">
        <v>12</v>
      </c>
      <c r="AS527" t="str">
        <f>+CONCATENATE(A527,"-",B527)</f>
        <v>(01) Factura FOF1-00000183</v>
      </c>
    </row>
    <row r="528" spans="1:45" ht="15" customHeight="1">
      <c r="A528" t="s">
        <v>1216</v>
      </c>
      <c r="B528" s="21" t="s">
        <v>1532</v>
      </c>
      <c r="C528" t="s">
        <v>27</v>
      </c>
      <c r="D528" s="8">
        <v>45953</v>
      </c>
      <c r="E528" s="22">
        <v>45964.458333333336</v>
      </c>
      <c r="F528" t="s">
        <v>1530</v>
      </c>
      <c r="H528">
        <v>6</v>
      </c>
      <c r="I528">
        <v>10463513568</v>
      </c>
      <c r="J528" t="s">
        <v>1533</v>
      </c>
      <c r="K528" s="8">
        <v>45953</v>
      </c>
      <c r="Q528">
        <v>32399</v>
      </c>
      <c r="R528">
        <v>2264</v>
      </c>
      <c r="S528" t="s">
        <v>1526</v>
      </c>
      <c r="T528" t="s">
        <v>215</v>
      </c>
      <c r="U528">
        <v>2000</v>
      </c>
      <c r="V528">
        <v>0.3</v>
      </c>
      <c r="W528">
        <v>0.35</v>
      </c>
      <c r="X528">
        <v>0</v>
      </c>
      <c r="Y528">
        <v>600</v>
      </c>
      <c r="Z528">
        <v>18</v>
      </c>
      <c r="AA528">
        <v>108</v>
      </c>
      <c r="AB528">
        <v>708</v>
      </c>
      <c r="AC528">
        <v>1</v>
      </c>
      <c r="AD528">
        <v>1</v>
      </c>
      <c r="AE528" t="s">
        <v>1411</v>
      </c>
      <c r="AF528" t="s">
        <v>1412</v>
      </c>
      <c r="AG528">
        <v>16</v>
      </c>
      <c r="AH528" t="s">
        <v>1400</v>
      </c>
      <c r="AI528">
        <v>1106</v>
      </c>
      <c r="AJ528" t="s">
        <v>239</v>
      </c>
      <c r="AK528" t="s">
        <v>1406</v>
      </c>
      <c r="AP528">
        <v>6723</v>
      </c>
      <c r="AQ528" t="s">
        <v>1530</v>
      </c>
      <c r="AR528" t="s">
        <v>12</v>
      </c>
      <c r="AS528" t="str">
        <f>+CONCATENATE(A528,"-",B528)</f>
        <v>(01) Factura FOF1-00000160</v>
      </c>
    </row>
    <row r="529" spans="1:45" ht="15" customHeight="1">
      <c r="A529" t="s">
        <v>1214</v>
      </c>
      <c r="B529" s="21" t="s">
        <v>1576</v>
      </c>
      <c r="C529" t="s">
        <v>27</v>
      </c>
      <c r="D529" s="8">
        <v>45952</v>
      </c>
      <c r="E529" s="22">
        <v>45964.75</v>
      </c>
      <c r="F529" t="s">
        <v>1577</v>
      </c>
      <c r="H529">
        <v>1</v>
      </c>
      <c r="I529">
        <v>41057476</v>
      </c>
      <c r="J529" t="s">
        <v>1578</v>
      </c>
      <c r="K529" s="8">
        <v>45952</v>
      </c>
      <c r="Q529">
        <v>32332</v>
      </c>
      <c r="R529">
        <v>1895</v>
      </c>
      <c r="S529" t="s">
        <v>1407</v>
      </c>
      <c r="T529" t="s">
        <v>215</v>
      </c>
      <c r="U529">
        <v>1000</v>
      </c>
      <c r="V529">
        <v>0.6</v>
      </c>
      <c r="W529">
        <v>0.71</v>
      </c>
      <c r="X529">
        <v>0</v>
      </c>
      <c r="Y529">
        <v>600</v>
      </c>
      <c r="Z529">
        <v>18</v>
      </c>
      <c r="AA529">
        <v>108</v>
      </c>
      <c r="AB529">
        <v>708</v>
      </c>
      <c r="AC529">
        <v>1</v>
      </c>
      <c r="AD529">
        <v>1</v>
      </c>
      <c r="AE529" t="s">
        <v>1411</v>
      </c>
      <c r="AF529" t="s">
        <v>1412</v>
      </c>
      <c r="AG529">
        <v>16</v>
      </c>
      <c r="AH529" t="s">
        <v>1400</v>
      </c>
      <c r="AI529">
        <v>1106</v>
      </c>
      <c r="AJ529" t="s">
        <v>239</v>
      </c>
      <c r="AK529" t="s">
        <v>1406</v>
      </c>
      <c r="AP529">
        <v>5284</v>
      </c>
      <c r="AQ529" t="s">
        <v>1577</v>
      </c>
      <c r="AR529" t="s">
        <v>1295</v>
      </c>
      <c r="AS529" t="str">
        <f>+CONCATENATE(A529,"-",B529)</f>
        <v>(03) Boleta BOB1-00000074</v>
      </c>
    </row>
    <row r="530" spans="1:45" ht="15" customHeight="1">
      <c r="A530" t="s">
        <v>1214</v>
      </c>
      <c r="B530" s="21" t="s">
        <v>1576</v>
      </c>
      <c r="C530" t="s">
        <v>27</v>
      </c>
      <c r="D530" s="8">
        <v>45952</v>
      </c>
      <c r="E530" s="22">
        <v>45964.75</v>
      </c>
      <c r="F530" t="s">
        <v>1577</v>
      </c>
      <c r="H530">
        <v>1</v>
      </c>
      <c r="I530">
        <v>41057476</v>
      </c>
      <c r="J530" t="s">
        <v>1578</v>
      </c>
      <c r="K530" s="8">
        <v>45952</v>
      </c>
      <c r="Q530">
        <v>32333</v>
      </c>
      <c r="R530">
        <v>1895</v>
      </c>
      <c r="S530" t="s">
        <v>1407</v>
      </c>
      <c r="T530" t="s">
        <v>215</v>
      </c>
      <c r="U530">
        <v>1000</v>
      </c>
      <c r="V530">
        <v>0.6</v>
      </c>
      <c r="W530">
        <v>0.71</v>
      </c>
      <c r="X530">
        <v>0</v>
      </c>
      <c r="Y530">
        <v>600</v>
      </c>
      <c r="Z530">
        <v>18</v>
      </c>
      <c r="AA530">
        <v>108</v>
      </c>
      <c r="AB530">
        <v>708</v>
      </c>
      <c r="AC530">
        <v>1</v>
      </c>
      <c r="AD530">
        <v>1</v>
      </c>
      <c r="AE530" t="s">
        <v>1411</v>
      </c>
      <c r="AF530" t="s">
        <v>1412</v>
      </c>
      <c r="AG530">
        <v>16</v>
      </c>
      <c r="AH530" t="s">
        <v>1400</v>
      </c>
      <c r="AI530">
        <v>1106</v>
      </c>
      <c r="AJ530" t="s">
        <v>239</v>
      </c>
      <c r="AK530" t="s">
        <v>1406</v>
      </c>
      <c r="AP530">
        <v>5284</v>
      </c>
      <c r="AQ530" t="s">
        <v>1577</v>
      </c>
      <c r="AR530" t="s">
        <v>1295</v>
      </c>
      <c r="AS530" t="str">
        <f>+CONCATENATE(A530,"-",B530)</f>
        <v>(03) Boleta BOB1-00000074</v>
      </c>
    </row>
    <row r="531" spans="1:45" ht="15" customHeight="1">
      <c r="A531" t="s">
        <v>1216</v>
      </c>
      <c r="B531" s="21" t="s">
        <v>1596</v>
      </c>
      <c r="C531" t="s">
        <v>27</v>
      </c>
      <c r="D531" s="8">
        <v>45948</v>
      </c>
      <c r="E531" s="22">
        <v>45964.416666666664</v>
      </c>
      <c r="F531" t="s">
        <v>1597</v>
      </c>
      <c r="H531">
        <v>6</v>
      </c>
      <c r="I531">
        <v>20613375571</v>
      </c>
      <c r="J531" t="s">
        <v>1598</v>
      </c>
      <c r="K531" s="8">
        <v>45948</v>
      </c>
      <c r="Q531">
        <v>31742</v>
      </c>
      <c r="R531">
        <v>1895</v>
      </c>
      <c r="S531" t="s">
        <v>1407</v>
      </c>
      <c r="T531" t="s">
        <v>215</v>
      </c>
      <c r="U531">
        <v>1000</v>
      </c>
      <c r="V531">
        <v>0.6</v>
      </c>
      <c r="W531">
        <v>0.71</v>
      </c>
      <c r="X531">
        <v>0</v>
      </c>
      <c r="Y531">
        <v>600</v>
      </c>
      <c r="Z531">
        <v>18</v>
      </c>
      <c r="AA531">
        <v>108</v>
      </c>
      <c r="AB531">
        <v>708</v>
      </c>
      <c r="AC531">
        <v>1</v>
      </c>
      <c r="AD531">
        <v>1</v>
      </c>
      <c r="AE531" t="s">
        <v>1411</v>
      </c>
      <c r="AF531" t="s">
        <v>1412</v>
      </c>
      <c r="AG531">
        <v>16</v>
      </c>
      <c r="AH531" t="s">
        <v>1400</v>
      </c>
      <c r="AI531">
        <v>1106</v>
      </c>
      <c r="AJ531" t="s">
        <v>239</v>
      </c>
      <c r="AK531" t="s">
        <v>1406</v>
      </c>
      <c r="AL531">
        <v>3014</v>
      </c>
      <c r="AM531" t="s">
        <v>1599</v>
      </c>
      <c r="AN531" s="8">
        <v>45968</v>
      </c>
      <c r="AO531" s="8">
        <v>45968</v>
      </c>
      <c r="AP531">
        <v>5425</v>
      </c>
      <c r="AQ531" t="s">
        <v>1597</v>
      </c>
      <c r="AR531" t="s">
        <v>12</v>
      </c>
      <c r="AS531" t="str">
        <f>+CONCATENATE(A531,"-",B531)</f>
        <v>(01) Factura FOF1-00000136</v>
      </c>
    </row>
    <row r="532" spans="1:45" ht="15" customHeight="1">
      <c r="A532" t="s">
        <v>1216</v>
      </c>
      <c r="B532" s="21" t="s">
        <v>1596</v>
      </c>
      <c r="C532" t="s">
        <v>27</v>
      </c>
      <c r="D532" s="8">
        <v>45948</v>
      </c>
      <c r="E532" s="22">
        <v>45964.416666666664</v>
      </c>
      <c r="F532" t="s">
        <v>1597</v>
      </c>
      <c r="H532">
        <v>6</v>
      </c>
      <c r="I532">
        <v>20613375571</v>
      </c>
      <c r="J532" t="s">
        <v>1598</v>
      </c>
      <c r="K532" s="8">
        <v>45948</v>
      </c>
      <c r="Q532">
        <v>31743</v>
      </c>
      <c r="R532">
        <v>1895</v>
      </c>
      <c r="S532" t="s">
        <v>1407</v>
      </c>
      <c r="T532" t="s">
        <v>215</v>
      </c>
      <c r="U532">
        <v>1000</v>
      </c>
      <c r="V532">
        <v>0.6</v>
      </c>
      <c r="W532">
        <v>0.71</v>
      </c>
      <c r="X532">
        <v>0</v>
      </c>
      <c r="Y532">
        <v>600</v>
      </c>
      <c r="Z532">
        <v>18</v>
      </c>
      <c r="AA532">
        <v>108</v>
      </c>
      <c r="AB532">
        <v>708</v>
      </c>
      <c r="AC532">
        <v>1</v>
      </c>
      <c r="AD532">
        <v>1</v>
      </c>
      <c r="AE532" t="s">
        <v>1411</v>
      </c>
      <c r="AF532" t="s">
        <v>1412</v>
      </c>
      <c r="AG532">
        <v>16</v>
      </c>
      <c r="AH532" t="s">
        <v>1400</v>
      </c>
      <c r="AI532">
        <v>1106</v>
      </c>
      <c r="AJ532" t="s">
        <v>239</v>
      </c>
      <c r="AK532" t="s">
        <v>1406</v>
      </c>
      <c r="AL532">
        <v>3014</v>
      </c>
      <c r="AM532" t="s">
        <v>1599</v>
      </c>
      <c r="AN532" s="8">
        <v>45968</v>
      </c>
      <c r="AO532" s="8">
        <v>45968</v>
      </c>
      <c r="AP532">
        <v>5425</v>
      </c>
      <c r="AQ532" t="s">
        <v>1597</v>
      </c>
      <c r="AR532" t="s">
        <v>12</v>
      </c>
      <c r="AS532" t="str">
        <f>+CONCATENATE(A532,"-",B532)</f>
        <v>(01) Factura FOF1-00000136</v>
      </c>
    </row>
    <row r="533" spans="1:45" ht="15" customHeight="1">
      <c r="A533" t="s">
        <v>1216</v>
      </c>
      <c r="B533" s="21" t="s">
        <v>1607</v>
      </c>
      <c r="C533" t="s">
        <v>27</v>
      </c>
      <c r="D533" s="8">
        <v>45948</v>
      </c>
      <c r="E533" s="22">
        <v>45964.416666666664</v>
      </c>
      <c r="F533" t="s">
        <v>415</v>
      </c>
      <c r="H533">
        <v>6</v>
      </c>
      <c r="I533">
        <v>20611890746</v>
      </c>
      <c r="J533" t="s">
        <v>1608</v>
      </c>
      <c r="K533" s="8">
        <v>45948</v>
      </c>
      <c r="Q533">
        <v>31734</v>
      </c>
      <c r="R533">
        <v>1895</v>
      </c>
      <c r="S533" t="s">
        <v>1407</v>
      </c>
      <c r="T533" t="s">
        <v>215</v>
      </c>
      <c r="U533">
        <v>1000</v>
      </c>
      <c r="V533">
        <v>0.6</v>
      </c>
      <c r="W533">
        <v>0.71</v>
      </c>
      <c r="X533">
        <v>0</v>
      </c>
      <c r="Y533">
        <v>600</v>
      </c>
      <c r="Z533">
        <v>18</v>
      </c>
      <c r="AA533">
        <v>108</v>
      </c>
      <c r="AB533">
        <v>708</v>
      </c>
      <c r="AC533">
        <v>1</v>
      </c>
      <c r="AD533">
        <v>1</v>
      </c>
      <c r="AE533" t="s">
        <v>1411</v>
      </c>
      <c r="AF533" t="s">
        <v>1412</v>
      </c>
      <c r="AG533">
        <v>16</v>
      </c>
      <c r="AH533" t="s">
        <v>1400</v>
      </c>
      <c r="AI533">
        <v>1106</v>
      </c>
      <c r="AJ533" t="s">
        <v>239</v>
      </c>
      <c r="AK533" t="s">
        <v>1406</v>
      </c>
      <c r="AL533">
        <v>3198</v>
      </c>
      <c r="AM533" t="s">
        <v>1605</v>
      </c>
      <c r="AN533" s="8">
        <v>45940</v>
      </c>
      <c r="AO533" s="8">
        <v>45940</v>
      </c>
      <c r="AP533">
        <v>5519</v>
      </c>
      <c r="AQ533" t="s">
        <v>1606</v>
      </c>
      <c r="AR533" t="s">
        <v>12</v>
      </c>
      <c r="AS533" t="str">
        <f>+CONCATENATE(A533,"-",B533)</f>
        <v>(01) Factura FOF1-00000133</v>
      </c>
    </row>
    <row r="534" spans="1:45" ht="15" customHeight="1">
      <c r="A534" t="s">
        <v>1216</v>
      </c>
      <c r="B534" s="21" t="s">
        <v>1664</v>
      </c>
      <c r="C534" t="s">
        <v>27</v>
      </c>
      <c r="D534" s="8">
        <v>45946</v>
      </c>
      <c r="E534" s="22">
        <v>45964.880879629629</v>
      </c>
      <c r="F534" t="s">
        <v>1665</v>
      </c>
      <c r="H534">
        <v>6</v>
      </c>
      <c r="I534">
        <v>20606812290</v>
      </c>
      <c r="J534" t="s">
        <v>1666</v>
      </c>
      <c r="K534" s="8">
        <v>45946</v>
      </c>
      <c r="Q534">
        <v>31620</v>
      </c>
      <c r="R534">
        <v>2264</v>
      </c>
      <c r="S534" t="s">
        <v>1526</v>
      </c>
      <c r="T534" t="s">
        <v>215</v>
      </c>
      <c r="U534">
        <v>2000</v>
      </c>
      <c r="V534">
        <v>0.3</v>
      </c>
      <c r="W534">
        <v>0.35</v>
      </c>
      <c r="X534">
        <v>0</v>
      </c>
      <c r="Y534">
        <v>600</v>
      </c>
      <c r="Z534">
        <v>18</v>
      </c>
      <c r="AA534">
        <v>108</v>
      </c>
      <c r="AB534">
        <v>708</v>
      </c>
      <c r="AC534">
        <v>1</v>
      </c>
      <c r="AD534">
        <v>1</v>
      </c>
      <c r="AE534" t="s">
        <v>1411</v>
      </c>
      <c r="AF534" t="s">
        <v>1412</v>
      </c>
      <c r="AG534">
        <v>16</v>
      </c>
      <c r="AH534" t="s">
        <v>1400</v>
      </c>
      <c r="AI534">
        <v>1106</v>
      </c>
      <c r="AJ534" t="s">
        <v>239</v>
      </c>
      <c r="AK534" t="s">
        <v>169</v>
      </c>
      <c r="AL534">
        <v>3165</v>
      </c>
      <c r="AM534" t="s">
        <v>1667</v>
      </c>
      <c r="AN534" s="8">
        <v>45935</v>
      </c>
      <c r="AO534" s="8">
        <v>45935</v>
      </c>
      <c r="AP534">
        <v>5445</v>
      </c>
      <c r="AQ534" t="s">
        <v>1668</v>
      </c>
      <c r="AR534" t="s">
        <v>12</v>
      </c>
      <c r="AS534" t="str">
        <f>+CONCATENATE(A534,"-",B534)</f>
        <v>(01) Factura FOF1-00000124</v>
      </c>
    </row>
    <row r="535" spans="1:45" ht="15" customHeight="1">
      <c r="A535" t="s">
        <v>1216</v>
      </c>
      <c r="B535" s="21" t="s">
        <v>1664</v>
      </c>
      <c r="C535" t="s">
        <v>27</v>
      </c>
      <c r="D535" s="8">
        <v>45946</v>
      </c>
      <c r="E535" s="22">
        <v>45964.880879629629</v>
      </c>
      <c r="F535" t="s">
        <v>1665</v>
      </c>
      <c r="H535">
        <v>6</v>
      </c>
      <c r="I535">
        <v>20606812290</v>
      </c>
      <c r="J535" t="s">
        <v>1666</v>
      </c>
      <c r="K535" s="8">
        <v>45946</v>
      </c>
      <c r="Q535">
        <v>31621</v>
      </c>
      <c r="R535">
        <v>1895</v>
      </c>
      <c r="S535" t="s">
        <v>1407</v>
      </c>
      <c r="T535" t="s">
        <v>215</v>
      </c>
      <c r="U535">
        <v>1000</v>
      </c>
      <c r="V535">
        <v>0.6</v>
      </c>
      <c r="W535">
        <v>0.71</v>
      </c>
      <c r="X535">
        <v>0</v>
      </c>
      <c r="Y535">
        <v>600</v>
      </c>
      <c r="Z535">
        <v>18</v>
      </c>
      <c r="AA535">
        <v>108</v>
      </c>
      <c r="AB535">
        <v>708</v>
      </c>
      <c r="AC535">
        <v>1</v>
      </c>
      <c r="AD535">
        <v>1</v>
      </c>
      <c r="AE535" t="s">
        <v>1411</v>
      </c>
      <c r="AF535" t="s">
        <v>1412</v>
      </c>
      <c r="AG535">
        <v>16</v>
      </c>
      <c r="AH535" t="s">
        <v>1400</v>
      </c>
      <c r="AI535">
        <v>1106</v>
      </c>
      <c r="AJ535" t="s">
        <v>239</v>
      </c>
      <c r="AK535" t="s">
        <v>169</v>
      </c>
      <c r="AL535">
        <v>3165</v>
      </c>
      <c r="AM535" t="s">
        <v>1667</v>
      </c>
      <c r="AN535" s="8">
        <v>45935</v>
      </c>
      <c r="AO535" s="8">
        <v>45935</v>
      </c>
      <c r="AP535">
        <v>5445</v>
      </c>
      <c r="AQ535" t="s">
        <v>1668</v>
      </c>
      <c r="AR535" t="s">
        <v>12</v>
      </c>
      <c r="AS535" t="str">
        <f>+CONCATENATE(A535,"-",B535)</f>
        <v>(01) Factura FOF1-00000124</v>
      </c>
    </row>
    <row r="536" spans="1:45" ht="15" customHeight="1">
      <c r="A536" t="s">
        <v>1216</v>
      </c>
      <c r="B536" s="21" t="s">
        <v>1664</v>
      </c>
      <c r="C536" t="s">
        <v>27</v>
      </c>
      <c r="D536" s="8">
        <v>45946</v>
      </c>
      <c r="E536" s="22">
        <v>45964.880879629629</v>
      </c>
      <c r="F536" t="s">
        <v>1665</v>
      </c>
      <c r="H536">
        <v>6</v>
      </c>
      <c r="I536">
        <v>20606812290</v>
      </c>
      <c r="J536" t="s">
        <v>1666</v>
      </c>
      <c r="K536" s="8">
        <v>45946</v>
      </c>
      <c r="Q536">
        <v>31626</v>
      </c>
      <c r="R536">
        <v>1895</v>
      </c>
      <c r="S536" t="s">
        <v>1407</v>
      </c>
      <c r="T536" t="s">
        <v>215</v>
      </c>
      <c r="U536">
        <v>1000</v>
      </c>
      <c r="V536">
        <v>0.6</v>
      </c>
      <c r="W536">
        <v>0.71</v>
      </c>
      <c r="X536">
        <v>0</v>
      </c>
      <c r="Y536">
        <v>600</v>
      </c>
      <c r="Z536">
        <v>18</v>
      </c>
      <c r="AA536">
        <v>108</v>
      </c>
      <c r="AB536">
        <v>708</v>
      </c>
      <c r="AC536">
        <v>1</v>
      </c>
      <c r="AD536">
        <v>1</v>
      </c>
      <c r="AE536" t="s">
        <v>1411</v>
      </c>
      <c r="AF536" t="s">
        <v>1412</v>
      </c>
      <c r="AG536">
        <v>16</v>
      </c>
      <c r="AH536" t="s">
        <v>1400</v>
      </c>
      <c r="AI536">
        <v>1106</v>
      </c>
      <c r="AJ536" t="s">
        <v>239</v>
      </c>
      <c r="AK536" t="s">
        <v>169</v>
      </c>
      <c r="AL536">
        <v>3165</v>
      </c>
      <c r="AM536" t="s">
        <v>1667</v>
      </c>
      <c r="AN536" s="8">
        <v>45935</v>
      </c>
      <c r="AO536" s="8">
        <v>45935</v>
      </c>
      <c r="AP536">
        <v>5445</v>
      </c>
      <c r="AQ536" t="s">
        <v>1668</v>
      </c>
      <c r="AR536" t="s">
        <v>12</v>
      </c>
      <c r="AS536" t="str">
        <f>+CONCATENATE(A536,"-",B536)</f>
        <v>(01) Factura FOF1-00000124</v>
      </c>
    </row>
    <row r="537" spans="1:45" ht="15" customHeight="1">
      <c r="A537" t="s">
        <v>216</v>
      </c>
      <c r="B537">
        <v>1403</v>
      </c>
      <c r="C537" t="s">
        <v>27</v>
      </c>
      <c r="D537" s="8">
        <v>45693</v>
      </c>
      <c r="E537" s="22">
        <v>45964</v>
      </c>
      <c r="F537" t="s">
        <v>1321</v>
      </c>
      <c r="G537" t="s">
        <v>158</v>
      </c>
      <c r="H537">
        <v>6</v>
      </c>
      <c r="I537">
        <v>20296011356</v>
      </c>
      <c r="J537" t="s">
        <v>1932</v>
      </c>
      <c r="K537" s="8">
        <v>45693</v>
      </c>
      <c r="Q537">
        <v>18744</v>
      </c>
      <c r="R537">
        <v>921</v>
      </c>
      <c r="S537" t="s">
        <v>1322</v>
      </c>
      <c r="T537" t="s">
        <v>215</v>
      </c>
      <c r="U537">
        <v>1</v>
      </c>
      <c r="V537">
        <v>600</v>
      </c>
      <c r="W537">
        <v>708</v>
      </c>
      <c r="X537">
        <v>0</v>
      </c>
      <c r="Y537">
        <v>600</v>
      </c>
      <c r="Z537">
        <v>18</v>
      </c>
      <c r="AA537">
        <v>108</v>
      </c>
      <c r="AB537">
        <v>708</v>
      </c>
      <c r="AC537">
        <v>1</v>
      </c>
      <c r="AD537">
        <v>1</v>
      </c>
      <c r="AE537" t="s">
        <v>232</v>
      </c>
      <c r="AF537" t="s">
        <v>29</v>
      </c>
      <c r="AG537">
        <v>2</v>
      </c>
      <c r="AH537" t="s">
        <v>25</v>
      </c>
      <c r="AI537">
        <v>1106</v>
      </c>
      <c r="AJ537" t="s">
        <v>239</v>
      </c>
      <c r="AK537" t="s">
        <v>1251</v>
      </c>
      <c r="AP537">
        <v>390</v>
      </c>
      <c r="AQ537" t="s">
        <v>1321</v>
      </c>
      <c r="AR537" t="s">
        <v>12</v>
      </c>
      <c r="AS537" t="str">
        <f>+CONCATENATE(A537,"-",B537)</f>
        <v>FB01-1403</v>
      </c>
    </row>
    <row r="538" spans="1:45" ht="15" customHeight="1">
      <c r="A538" t="s">
        <v>216</v>
      </c>
      <c r="B538">
        <v>1382</v>
      </c>
      <c r="C538" t="s">
        <v>27</v>
      </c>
      <c r="D538" s="8">
        <v>45693</v>
      </c>
      <c r="E538" s="22">
        <v>45964</v>
      </c>
      <c r="F538" t="s">
        <v>415</v>
      </c>
      <c r="H538">
        <v>6</v>
      </c>
      <c r="I538">
        <v>20611890746</v>
      </c>
      <c r="J538" t="s">
        <v>1953</v>
      </c>
      <c r="K538" s="8">
        <v>45693</v>
      </c>
      <c r="Q538">
        <v>18717</v>
      </c>
      <c r="R538">
        <v>970</v>
      </c>
      <c r="S538" s="28" t="s">
        <v>1326</v>
      </c>
      <c r="T538" t="s">
        <v>215</v>
      </c>
      <c r="U538">
        <v>1</v>
      </c>
      <c r="V538">
        <v>600</v>
      </c>
      <c r="W538">
        <v>708</v>
      </c>
      <c r="X538">
        <v>0</v>
      </c>
      <c r="Y538">
        <v>600</v>
      </c>
      <c r="Z538">
        <v>18</v>
      </c>
      <c r="AA538">
        <v>108</v>
      </c>
      <c r="AB538">
        <v>708</v>
      </c>
      <c r="AC538">
        <v>1</v>
      </c>
      <c r="AD538">
        <v>1</v>
      </c>
      <c r="AE538" t="s">
        <v>232</v>
      </c>
      <c r="AF538" t="s">
        <v>29</v>
      </c>
      <c r="AG538">
        <v>2</v>
      </c>
      <c r="AH538" t="s">
        <v>25</v>
      </c>
      <c r="AI538">
        <v>1106</v>
      </c>
      <c r="AJ538" t="s">
        <v>239</v>
      </c>
      <c r="AK538" t="s">
        <v>1236</v>
      </c>
      <c r="AP538">
        <v>1136</v>
      </c>
      <c r="AQ538" t="s">
        <v>415</v>
      </c>
      <c r="AR538" t="s">
        <v>12</v>
      </c>
      <c r="AS538" t="str">
        <f>+CONCATENATE(A538,"-",B538)</f>
        <v>FB01-1382</v>
      </c>
    </row>
    <row r="539" spans="1:45" ht="15" customHeight="1">
      <c r="A539" t="s">
        <v>216</v>
      </c>
      <c r="B539">
        <v>1373</v>
      </c>
      <c r="C539" t="s">
        <v>27</v>
      </c>
      <c r="D539" s="8">
        <v>45693</v>
      </c>
      <c r="E539" s="22">
        <v>45964</v>
      </c>
      <c r="F539" t="s">
        <v>415</v>
      </c>
      <c r="H539">
        <v>6</v>
      </c>
      <c r="I539">
        <v>20611890746</v>
      </c>
      <c r="J539" t="s">
        <v>1964</v>
      </c>
      <c r="K539" s="8">
        <v>45693</v>
      </c>
      <c r="Q539">
        <v>18702</v>
      </c>
      <c r="R539">
        <v>964</v>
      </c>
      <c r="S539" s="28" t="s">
        <v>1332</v>
      </c>
      <c r="T539" t="s">
        <v>215</v>
      </c>
      <c r="U539">
        <v>1</v>
      </c>
      <c r="V539">
        <v>600</v>
      </c>
      <c r="W539">
        <v>708</v>
      </c>
      <c r="X539">
        <v>0</v>
      </c>
      <c r="Y539">
        <v>600</v>
      </c>
      <c r="Z539">
        <v>18</v>
      </c>
      <c r="AA539">
        <v>108</v>
      </c>
      <c r="AB539">
        <v>708</v>
      </c>
      <c r="AC539">
        <v>1</v>
      </c>
      <c r="AD539">
        <v>1</v>
      </c>
      <c r="AE539" t="s">
        <v>232</v>
      </c>
      <c r="AF539" t="s">
        <v>29</v>
      </c>
      <c r="AG539">
        <v>2</v>
      </c>
      <c r="AH539" t="s">
        <v>25</v>
      </c>
      <c r="AI539">
        <v>1106</v>
      </c>
      <c r="AJ539" t="s">
        <v>239</v>
      </c>
      <c r="AK539" t="s">
        <v>1236</v>
      </c>
      <c r="AP539">
        <v>1136</v>
      </c>
      <c r="AQ539" t="s">
        <v>415</v>
      </c>
      <c r="AR539" t="s">
        <v>12</v>
      </c>
      <c r="AS539" t="str">
        <f>+CONCATENATE(A539,"-",B539)</f>
        <v>FB01-1373</v>
      </c>
    </row>
    <row r="540" spans="1:45" ht="15" customHeight="1">
      <c r="A540" t="s">
        <v>216</v>
      </c>
      <c r="B540">
        <v>1367</v>
      </c>
      <c r="C540" t="s">
        <v>27</v>
      </c>
      <c r="D540" s="8">
        <v>45693</v>
      </c>
      <c r="E540" s="22">
        <v>45964</v>
      </c>
      <c r="F540" t="s">
        <v>415</v>
      </c>
      <c r="H540">
        <v>6</v>
      </c>
      <c r="I540">
        <v>20611890746</v>
      </c>
      <c r="J540" t="s">
        <v>1969</v>
      </c>
      <c r="K540" s="8">
        <v>45693</v>
      </c>
      <c r="Q540">
        <v>18696</v>
      </c>
      <c r="R540">
        <v>962</v>
      </c>
      <c r="S540" s="28" t="s">
        <v>1333</v>
      </c>
      <c r="T540" t="s">
        <v>215</v>
      </c>
      <c r="U540">
        <v>1</v>
      </c>
      <c r="V540">
        <v>600</v>
      </c>
      <c r="W540">
        <v>708</v>
      </c>
      <c r="X540">
        <v>0</v>
      </c>
      <c r="Y540">
        <v>600</v>
      </c>
      <c r="Z540">
        <v>18</v>
      </c>
      <c r="AA540">
        <v>108</v>
      </c>
      <c r="AB540">
        <v>708</v>
      </c>
      <c r="AC540">
        <v>1</v>
      </c>
      <c r="AD540">
        <v>1</v>
      </c>
      <c r="AE540" t="s">
        <v>232</v>
      </c>
      <c r="AF540" t="s">
        <v>29</v>
      </c>
      <c r="AG540">
        <v>2</v>
      </c>
      <c r="AH540" t="s">
        <v>25</v>
      </c>
      <c r="AI540">
        <v>1106</v>
      </c>
      <c r="AJ540" t="s">
        <v>239</v>
      </c>
      <c r="AK540" t="s">
        <v>1236</v>
      </c>
      <c r="AP540">
        <v>1136</v>
      </c>
      <c r="AQ540" t="s">
        <v>415</v>
      </c>
      <c r="AR540" t="s">
        <v>12</v>
      </c>
      <c r="AS540" t="str">
        <f>+CONCATENATE(A540,"-",B540)</f>
        <v>FB01-1367</v>
      </c>
    </row>
    <row r="541" spans="1:45" ht="15" customHeight="1">
      <c r="A541" t="s">
        <v>1238</v>
      </c>
      <c r="B541">
        <v>671</v>
      </c>
      <c r="C541" t="s">
        <v>27</v>
      </c>
      <c r="D541" s="8">
        <v>45680</v>
      </c>
      <c r="E541" s="22">
        <v>45964</v>
      </c>
      <c r="F541" t="s">
        <v>335</v>
      </c>
      <c r="G541" t="s">
        <v>158</v>
      </c>
      <c r="H541">
        <v>1</v>
      </c>
      <c r="I541">
        <v>43908595</v>
      </c>
      <c r="J541" t="s">
        <v>2092</v>
      </c>
      <c r="K541" s="8">
        <v>45680</v>
      </c>
      <c r="Q541">
        <v>17800</v>
      </c>
      <c r="R541">
        <v>923</v>
      </c>
      <c r="S541" s="28" t="s">
        <v>1359</v>
      </c>
      <c r="T541" t="s">
        <v>215</v>
      </c>
      <c r="U541">
        <v>1</v>
      </c>
      <c r="V541">
        <v>600</v>
      </c>
      <c r="W541">
        <v>708</v>
      </c>
      <c r="X541">
        <v>0</v>
      </c>
      <c r="Y541">
        <v>600</v>
      </c>
      <c r="Z541">
        <v>18</v>
      </c>
      <c r="AA541">
        <v>108</v>
      </c>
      <c r="AB541">
        <v>708</v>
      </c>
      <c r="AC541">
        <v>1</v>
      </c>
      <c r="AD541">
        <v>1</v>
      </c>
      <c r="AE541" t="s">
        <v>232</v>
      </c>
      <c r="AF541" t="s">
        <v>29</v>
      </c>
      <c r="AG541">
        <v>2</v>
      </c>
      <c r="AH541" t="s">
        <v>25</v>
      </c>
      <c r="AI541">
        <v>1106</v>
      </c>
      <c r="AJ541" t="s">
        <v>239</v>
      </c>
      <c r="AK541" t="s">
        <v>1236</v>
      </c>
      <c r="AP541">
        <v>393</v>
      </c>
      <c r="AQ541" t="s">
        <v>335</v>
      </c>
      <c r="AR541" t="s">
        <v>1295</v>
      </c>
      <c r="AS541" t="str">
        <f>+CONCATENATE(A541,"-",B541)</f>
        <v>BB01-671</v>
      </c>
    </row>
    <row r="542" spans="1:45" ht="15" customHeight="1">
      <c r="A542" t="s">
        <v>216</v>
      </c>
      <c r="B542">
        <v>1281</v>
      </c>
      <c r="C542" t="s">
        <v>27</v>
      </c>
      <c r="D542" s="8">
        <v>45680</v>
      </c>
      <c r="E542" s="22">
        <v>45964</v>
      </c>
      <c r="F542" t="s">
        <v>1321</v>
      </c>
      <c r="G542" t="s">
        <v>158</v>
      </c>
      <c r="H542">
        <v>6</v>
      </c>
      <c r="I542">
        <v>20296011356</v>
      </c>
      <c r="J542" t="s">
        <v>2096</v>
      </c>
      <c r="K542" s="8">
        <v>45680</v>
      </c>
      <c r="Q542">
        <v>17796</v>
      </c>
      <c r="R542">
        <v>921</v>
      </c>
      <c r="S542" t="s">
        <v>1322</v>
      </c>
      <c r="T542" t="s">
        <v>215</v>
      </c>
      <c r="U542">
        <v>1</v>
      </c>
      <c r="V542">
        <v>600</v>
      </c>
      <c r="W542">
        <v>708</v>
      </c>
      <c r="X542">
        <v>0</v>
      </c>
      <c r="Y542">
        <v>600</v>
      </c>
      <c r="Z542">
        <v>18</v>
      </c>
      <c r="AA542">
        <v>108</v>
      </c>
      <c r="AB542">
        <v>708</v>
      </c>
      <c r="AC542">
        <v>1</v>
      </c>
      <c r="AD542">
        <v>1</v>
      </c>
      <c r="AE542" t="s">
        <v>232</v>
      </c>
      <c r="AF542" t="s">
        <v>29</v>
      </c>
      <c r="AG542">
        <v>2</v>
      </c>
      <c r="AH542" t="s">
        <v>25</v>
      </c>
      <c r="AI542">
        <v>1106</v>
      </c>
      <c r="AJ542" t="s">
        <v>239</v>
      </c>
      <c r="AK542" t="s">
        <v>1251</v>
      </c>
      <c r="AP542">
        <v>390</v>
      </c>
      <c r="AQ542" t="s">
        <v>1321</v>
      </c>
      <c r="AR542" t="s">
        <v>12</v>
      </c>
      <c r="AS542" t="str">
        <f>+CONCATENATE(A542,"-",B542)</f>
        <v>FB01-1281</v>
      </c>
    </row>
    <row r="543" spans="1:45" ht="15" customHeight="1">
      <c r="A543" t="s">
        <v>1238</v>
      </c>
      <c r="B543">
        <v>696</v>
      </c>
      <c r="C543" t="s">
        <v>27</v>
      </c>
      <c r="D543" s="8">
        <v>45680</v>
      </c>
      <c r="E543" s="22">
        <v>45964</v>
      </c>
      <c r="F543" t="s">
        <v>526</v>
      </c>
      <c r="H543">
        <v>1</v>
      </c>
      <c r="I543">
        <v>19889371</v>
      </c>
      <c r="J543" t="s">
        <v>2045</v>
      </c>
      <c r="K543" s="8">
        <v>45680</v>
      </c>
      <c r="Q543">
        <v>18612</v>
      </c>
      <c r="R543">
        <v>942</v>
      </c>
      <c r="S543" t="s">
        <v>1347</v>
      </c>
      <c r="T543" t="s">
        <v>215</v>
      </c>
      <c r="U543">
        <v>1</v>
      </c>
      <c r="V543">
        <v>602.70000000000005</v>
      </c>
      <c r="W543">
        <v>711.19</v>
      </c>
      <c r="X543">
        <v>0</v>
      </c>
      <c r="Y543">
        <v>602.70000000000005</v>
      </c>
      <c r="Z543">
        <v>18</v>
      </c>
      <c r="AA543">
        <v>108.49</v>
      </c>
      <c r="AB543">
        <v>711.19</v>
      </c>
      <c r="AC543">
        <v>1</v>
      </c>
      <c r="AD543">
        <v>1</v>
      </c>
      <c r="AE543" t="s">
        <v>232</v>
      </c>
      <c r="AF543" t="s">
        <v>29</v>
      </c>
      <c r="AG543">
        <v>2</v>
      </c>
      <c r="AH543" t="s">
        <v>25</v>
      </c>
      <c r="AI543">
        <v>1106</v>
      </c>
      <c r="AJ543" t="s">
        <v>239</v>
      </c>
      <c r="AK543" t="s">
        <v>1237</v>
      </c>
      <c r="AP543">
        <v>1165</v>
      </c>
      <c r="AQ543" t="s">
        <v>526</v>
      </c>
      <c r="AR543" t="s">
        <v>1295</v>
      </c>
      <c r="AS543" t="str">
        <f>+CONCATENATE(A543,"-",B543)</f>
        <v>BB01-696</v>
      </c>
    </row>
    <row r="544" spans="1:45" ht="15" customHeight="1">
      <c r="A544" t="s">
        <v>1238</v>
      </c>
      <c r="B544">
        <v>694</v>
      </c>
      <c r="C544" t="s">
        <v>27</v>
      </c>
      <c r="D544" s="8">
        <v>45680</v>
      </c>
      <c r="E544" s="22">
        <v>45964</v>
      </c>
      <c r="F544" t="s">
        <v>533</v>
      </c>
      <c r="H544">
        <v>1</v>
      </c>
      <c r="I544">
        <v>76561182</v>
      </c>
      <c r="J544" t="s">
        <v>2047</v>
      </c>
      <c r="K544" s="8">
        <v>45680</v>
      </c>
      <c r="Q544">
        <v>18610</v>
      </c>
      <c r="R544">
        <v>936</v>
      </c>
      <c r="S544" t="s">
        <v>1314</v>
      </c>
      <c r="T544" t="s">
        <v>215</v>
      </c>
      <c r="U544">
        <v>1</v>
      </c>
      <c r="V544">
        <v>602.70000000000005</v>
      </c>
      <c r="W544">
        <v>711.19</v>
      </c>
      <c r="X544">
        <v>0</v>
      </c>
      <c r="Y544">
        <v>602.70000000000005</v>
      </c>
      <c r="Z544">
        <v>18</v>
      </c>
      <c r="AA544">
        <v>108.49</v>
      </c>
      <c r="AB544">
        <v>711.19</v>
      </c>
      <c r="AC544">
        <v>1</v>
      </c>
      <c r="AD544">
        <v>1</v>
      </c>
      <c r="AE544" t="s">
        <v>232</v>
      </c>
      <c r="AF544" t="s">
        <v>29</v>
      </c>
      <c r="AG544">
        <v>2</v>
      </c>
      <c r="AH544" t="s">
        <v>25</v>
      </c>
      <c r="AI544">
        <v>1106</v>
      </c>
      <c r="AJ544" t="s">
        <v>239</v>
      </c>
      <c r="AK544" t="s">
        <v>1237</v>
      </c>
      <c r="AP544">
        <v>1164</v>
      </c>
      <c r="AQ544" t="s">
        <v>533</v>
      </c>
      <c r="AR544" t="s">
        <v>1295</v>
      </c>
      <c r="AS544" t="str">
        <f>+CONCATENATE(A544,"-",B544)</f>
        <v>BB01-694</v>
      </c>
    </row>
    <row r="545" spans="1:45" ht="15" customHeight="1">
      <c r="A545" t="s">
        <v>1238</v>
      </c>
      <c r="B545">
        <v>732</v>
      </c>
      <c r="C545" t="s">
        <v>27</v>
      </c>
      <c r="D545" s="8">
        <v>45693</v>
      </c>
      <c r="E545" s="22">
        <v>45964</v>
      </c>
      <c r="F545" t="s">
        <v>566</v>
      </c>
      <c r="H545">
        <v>1</v>
      </c>
      <c r="I545">
        <v>45273802</v>
      </c>
      <c r="J545" t="s">
        <v>1949</v>
      </c>
      <c r="K545" s="8">
        <v>45693</v>
      </c>
      <c r="Q545">
        <v>18721</v>
      </c>
      <c r="R545">
        <v>870</v>
      </c>
      <c r="S545" t="s">
        <v>1299</v>
      </c>
      <c r="T545" t="s">
        <v>215</v>
      </c>
      <c r="U545">
        <v>1</v>
      </c>
      <c r="V545">
        <v>614.24</v>
      </c>
      <c r="W545">
        <v>724.8</v>
      </c>
      <c r="X545">
        <v>0</v>
      </c>
      <c r="Y545">
        <v>614.24</v>
      </c>
      <c r="Z545">
        <v>18</v>
      </c>
      <c r="AA545">
        <v>110.56</v>
      </c>
      <c r="AB545">
        <v>724.8</v>
      </c>
      <c r="AC545">
        <v>1</v>
      </c>
      <c r="AD545">
        <v>1</v>
      </c>
      <c r="AE545" t="s">
        <v>232</v>
      </c>
      <c r="AF545" t="s">
        <v>29</v>
      </c>
      <c r="AG545">
        <v>2</v>
      </c>
      <c r="AH545" t="s">
        <v>25</v>
      </c>
      <c r="AI545">
        <v>1106</v>
      </c>
      <c r="AJ545" t="s">
        <v>239</v>
      </c>
      <c r="AK545" t="s">
        <v>1237</v>
      </c>
      <c r="AP545">
        <v>1174</v>
      </c>
      <c r="AQ545" t="s">
        <v>566</v>
      </c>
      <c r="AR545" t="s">
        <v>1295</v>
      </c>
      <c r="AS545" t="str">
        <f>+CONCATENATE(A545,"-",B545)</f>
        <v>BB01-732</v>
      </c>
    </row>
    <row r="546" spans="1:45" ht="15" customHeight="1">
      <c r="A546" t="s">
        <v>1216</v>
      </c>
      <c r="B546" s="21" t="s">
        <v>1478</v>
      </c>
      <c r="C546" t="s">
        <v>27</v>
      </c>
      <c r="D546" s="8">
        <v>45954</v>
      </c>
      <c r="E546" s="22">
        <v>45964.597604166665</v>
      </c>
      <c r="F546" t="s">
        <v>1457</v>
      </c>
      <c r="H546">
        <v>6</v>
      </c>
      <c r="I546">
        <v>10737909609</v>
      </c>
      <c r="J546" t="s">
        <v>1479</v>
      </c>
      <c r="K546" s="8">
        <v>45954</v>
      </c>
      <c r="Q546">
        <v>32551</v>
      </c>
      <c r="R546">
        <v>2315</v>
      </c>
      <c r="S546" t="s">
        <v>1304</v>
      </c>
      <c r="T546" t="s">
        <v>163</v>
      </c>
      <c r="U546">
        <v>1</v>
      </c>
      <c r="V546">
        <v>635.59</v>
      </c>
      <c r="W546">
        <v>750</v>
      </c>
      <c r="X546">
        <v>0</v>
      </c>
      <c r="Y546">
        <v>635.59</v>
      </c>
      <c r="Z546">
        <v>18</v>
      </c>
      <c r="AA546">
        <v>114.41</v>
      </c>
      <c r="AB546">
        <v>750</v>
      </c>
      <c r="AC546">
        <v>1</v>
      </c>
      <c r="AD546">
        <v>1</v>
      </c>
      <c r="AE546" t="s">
        <v>1411</v>
      </c>
      <c r="AF546" t="s">
        <v>1412</v>
      </c>
      <c r="AG546">
        <v>2</v>
      </c>
      <c r="AH546" t="s">
        <v>25</v>
      </c>
      <c r="AI546">
        <v>6959</v>
      </c>
      <c r="AJ546" t="s">
        <v>1401</v>
      </c>
      <c r="AK546" t="s">
        <v>1243</v>
      </c>
      <c r="AL546">
        <v>3079</v>
      </c>
      <c r="AM546" t="s">
        <v>1456</v>
      </c>
      <c r="AN546" s="8">
        <v>45921</v>
      </c>
      <c r="AO546" s="8">
        <v>45921</v>
      </c>
      <c r="AP546">
        <v>5597</v>
      </c>
      <c r="AQ546" t="s">
        <v>1457</v>
      </c>
      <c r="AR546" t="s">
        <v>12</v>
      </c>
      <c r="AS546" t="str">
        <f>+CONCATENATE(A546,"-",B546)</f>
        <v>(01) Factura FOF1-00000171</v>
      </c>
    </row>
    <row r="547" spans="1:45" ht="15" customHeight="1">
      <c r="A547" t="s">
        <v>1214</v>
      </c>
      <c r="B547" s="21" t="s">
        <v>212</v>
      </c>
      <c r="C547" t="s">
        <v>27</v>
      </c>
      <c r="D547" s="8">
        <v>45943</v>
      </c>
      <c r="E547" s="22">
        <v>45964.771180555559</v>
      </c>
      <c r="F547" t="s">
        <v>335</v>
      </c>
      <c r="G547" t="s">
        <v>158</v>
      </c>
      <c r="H547">
        <v>1</v>
      </c>
      <c r="I547">
        <v>43908595</v>
      </c>
      <c r="J547" t="s">
        <v>1892</v>
      </c>
      <c r="K547" s="8">
        <v>45943</v>
      </c>
      <c r="Q547">
        <v>31082</v>
      </c>
      <c r="R547">
        <v>1786</v>
      </c>
      <c r="S547" t="s">
        <v>1299</v>
      </c>
      <c r="T547" t="s">
        <v>163</v>
      </c>
      <c r="U547">
        <v>1</v>
      </c>
      <c r="V547">
        <v>638.30999999999995</v>
      </c>
      <c r="W547">
        <v>753.21</v>
      </c>
      <c r="X547">
        <v>0</v>
      </c>
      <c r="Y547">
        <v>638.30999999999995</v>
      </c>
      <c r="Z547">
        <v>18</v>
      </c>
      <c r="AA547">
        <v>114.9</v>
      </c>
      <c r="AB547">
        <v>753.21</v>
      </c>
      <c r="AC547">
        <v>1</v>
      </c>
      <c r="AD547">
        <v>1</v>
      </c>
      <c r="AE547" t="s">
        <v>1411</v>
      </c>
      <c r="AF547" t="s">
        <v>1412</v>
      </c>
      <c r="AG547">
        <v>2</v>
      </c>
      <c r="AH547" t="s">
        <v>25</v>
      </c>
      <c r="AI547">
        <v>1106</v>
      </c>
      <c r="AJ547" t="s">
        <v>239</v>
      </c>
      <c r="AK547" t="s">
        <v>169</v>
      </c>
      <c r="AL547">
        <v>3123</v>
      </c>
      <c r="AM547" t="s">
        <v>334</v>
      </c>
      <c r="AN547" s="8">
        <v>45937</v>
      </c>
      <c r="AO547" s="8">
        <v>45937</v>
      </c>
      <c r="AP547">
        <v>393</v>
      </c>
      <c r="AQ547" t="s">
        <v>335</v>
      </c>
      <c r="AR547" t="s">
        <v>1295</v>
      </c>
      <c r="AS547" t="str">
        <f>+CONCATENATE(A547,"-",B547)</f>
        <v>(03) Boleta BOB1-00000005</v>
      </c>
    </row>
    <row r="548" spans="1:45" ht="15" customHeight="1">
      <c r="A548" t="s">
        <v>216</v>
      </c>
      <c r="B548">
        <v>1383</v>
      </c>
      <c r="C548" t="s">
        <v>27</v>
      </c>
      <c r="D548" s="8">
        <v>45693</v>
      </c>
      <c r="E548" s="22">
        <v>45964</v>
      </c>
      <c r="F548" t="s">
        <v>415</v>
      </c>
      <c r="H548">
        <v>6</v>
      </c>
      <c r="I548">
        <v>20611890746</v>
      </c>
      <c r="J548" t="s">
        <v>1952</v>
      </c>
      <c r="K548" s="8">
        <v>45693</v>
      </c>
      <c r="Q548">
        <v>18718</v>
      </c>
      <c r="R548">
        <v>971</v>
      </c>
      <c r="S548" t="s">
        <v>1253</v>
      </c>
      <c r="T548" t="s">
        <v>215</v>
      </c>
      <c r="U548">
        <v>1</v>
      </c>
      <c r="V548">
        <v>650</v>
      </c>
      <c r="W548">
        <v>767</v>
      </c>
      <c r="X548">
        <v>0</v>
      </c>
      <c r="Y548">
        <v>650</v>
      </c>
      <c r="Z548">
        <v>18</v>
      </c>
      <c r="AA548">
        <v>117</v>
      </c>
      <c r="AB548">
        <v>767</v>
      </c>
      <c r="AC548">
        <v>1</v>
      </c>
      <c r="AD548">
        <v>1</v>
      </c>
      <c r="AE548" t="s">
        <v>232</v>
      </c>
      <c r="AF548" t="s">
        <v>29</v>
      </c>
      <c r="AG548">
        <v>2</v>
      </c>
      <c r="AH548" t="s">
        <v>25</v>
      </c>
      <c r="AI548">
        <v>1106</v>
      </c>
      <c r="AJ548" t="s">
        <v>239</v>
      </c>
      <c r="AK548" t="s">
        <v>1243</v>
      </c>
      <c r="AP548">
        <v>1136</v>
      </c>
      <c r="AQ548" t="s">
        <v>415</v>
      </c>
      <c r="AR548" t="s">
        <v>12</v>
      </c>
      <c r="AS548" t="str">
        <f>+CONCATENATE(A548,"-",B548)</f>
        <v>FB01-1383</v>
      </c>
    </row>
    <row r="549" spans="1:45" ht="15" customHeight="1">
      <c r="A549" t="s">
        <v>1216</v>
      </c>
      <c r="B549" s="21" t="s">
        <v>191</v>
      </c>
      <c r="C549" t="s">
        <v>27</v>
      </c>
      <c r="D549" s="8">
        <v>45944</v>
      </c>
      <c r="E549" s="22">
        <v>45964.630833333336</v>
      </c>
      <c r="F549" t="s">
        <v>338</v>
      </c>
      <c r="H549">
        <v>6</v>
      </c>
      <c r="I549">
        <v>10461667983</v>
      </c>
      <c r="J549" t="s">
        <v>1881</v>
      </c>
      <c r="K549" s="8">
        <v>45944</v>
      </c>
      <c r="Q549">
        <v>31129</v>
      </c>
      <c r="R549">
        <v>1786</v>
      </c>
      <c r="S549" t="s">
        <v>1299</v>
      </c>
      <c r="T549" t="s">
        <v>163</v>
      </c>
      <c r="U549">
        <v>1</v>
      </c>
      <c r="V549">
        <v>651.53</v>
      </c>
      <c r="W549">
        <v>768.81</v>
      </c>
      <c r="X549">
        <v>0</v>
      </c>
      <c r="Y549">
        <v>651.53</v>
      </c>
      <c r="Z549">
        <v>18</v>
      </c>
      <c r="AA549">
        <v>117.28</v>
      </c>
      <c r="AB549">
        <v>768.81</v>
      </c>
      <c r="AC549">
        <v>1</v>
      </c>
      <c r="AD549">
        <v>1</v>
      </c>
      <c r="AE549" t="s">
        <v>1411</v>
      </c>
      <c r="AF549" t="s">
        <v>1412</v>
      </c>
      <c r="AG549">
        <v>2</v>
      </c>
      <c r="AH549" t="s">
        <v>25</v>
      </c>
      <c r="AI549">
        <v>1106</v>
      </c>
      <c r="AJ549" t="s">
        <v>239</v>
      </c>
      <c r="AK549" t="s">
        <v>169</v>
      </c>
      <c r="AL549">
        <v>3092</v>
      </c>
      <c r="AM549" t="s">
        <v>337</v>
      </c>
      <c r="AN549" s="8">
        <v>45937</v>
      </c>
      <c r="AO549" s="8">
        <v>45937</v>
      </c>
      <c r="AP549">
        <v>5804</v>
      </c>
      <c r="AQ549" t="s">
        <v>338</v>
      </c>
      <c r="AR549" t="s">
        <v>12</v>
      </c>
      <c r="AS549" t="str">
        <f>+CONCATENATE(A549,"-",B549)</f>
        <v>(01) Factura FOF1-00000021</v>
      </c>
    </row>
    <row r="550" spans="1:45" ht="15" customHeight="1">
      <c r="A550" t="s">
        <v>1214</v>
      </c>
      <c r="B550" s="21" t="s">
        <v>202</v>
      </c>
      <c r="C550" t="s">
        <v>27</v>
      </c>
      <c r="D550" s="8">
        <v>45943</v>
      </c>
      <c r="E550" s="22">
        <v>45964.770821759259</v>
      </c>
      <c r="F550" t="s">
        <v>335</v>
      </c>
      <c r="G550" t="s">
        <v>158</v>
      </c>
      <c r="H550">
        <v>1</v>
      </c>
      <c r="I550">
        <v>43908595</v>
      </c>
      <c r="J550" t="s">
        <v>1893</v>
      </c>
      <c r="K550" s="8">
        <v>45943</v>
      </c>
      <c r="Q550">
        <v>31079</v>
      </c>
      <c r="R550">
        <v>216</v>
      </c>
      <c r="S550" t="s">
        <v>1300</v>
      </c>
      <c r="T550" t="s">
        <v>163</v>
      </c>
      <c r="U550">
        <v>1</v>
      </c>
      <c r="V550">
        <v>652.20000000000005</v>
      </c>
      <c r="W550">
        <v>769.6</v>
      </c>
      <c r="X550">
        <v>0</v>
      </c>
      <c r="Y550">
        <v>652.20000000000005</v>
      </c>
      <c r="Z550">
        <v>18</v>
      </c>
      <c r="AA550">
        <v>117.4</v>
      </c>
      <c r="AB550">
        <v>769.6</v>
      </c>
      <c r="AC550">
        <v>1</v>
      </c>
      <c r="AD550">
        <v>1</v>
      </c>
      <c r="AE550" t="s">
        <v>1411</v>
      </c>
      <c r="AF550" t="s">
        <v>1412</v>
      </c>
      <c r="AG550">
        <v>2</v>
      </c>
      <c r="AH550" t="s">
        <v>25</v>
      </c>
      <c r="AI550">
        <v>1106</v>
      </c>
      <c r="AJ550" t="s">
        <v>239</v>
      </c>
      <c r="AK550" t="s">
        <v>169</v>
      </c>
      <c r="AL550">
        <v>3123</v>
      </c>
      <c r="AM550" t="s">
        <v>334</v>
      </c>
      <c r="AN550" s="8">
        <v>45937</v>
      </c>
      <c r="AO550" s="8">
        <v>45937</v>
      </c>
      <c r="AP550">
        <v>393</v>
      </c>
      <c r="AQ550" t="s">
        <v>335</v>
      </c>
      <c r="AR550" t="s">
        <v>1295</v>
      </c>
      <c r="AS550" t="str">
        <f>+CONCATENATE(A550,"-",B550)</f>
        <v>(03) Boleta BOB1-00000004</v>
      </c>
    </row>
    <row r="551" spans="1:45" ht="15" customHeight="1">
      <c r="A551" t="s">
        <v>216</v>
      </c>
      <c r="B551">
        <v>1400</v>
      </c>
      <c r="C551" t="s">
        <v>27</v>
      </c>
      <c r="D551" s="8">
        <v>45693</v>
      </c>
      <c r="E551" s="22">
        <v>45964</v>
      </c>
      <c r="F551" t="s">
        <v>1321</v>
      </c>
      <c r="G551" t="s">
        <v>158</v>
      </c>
      <c r="H551">
        <v>6</v>
      </c>
      <c r="I551">
        <v>20296011356</v>
      </c>
      <c r="J551" t="s">
        <v>1935</v>
      </c>
      <c r="K551" s="8">
        <v>45693</v>
      </c>
      <c r="Q551">
        <v>18741</v>
      </c>
      <c r="R551">
        <v>870</v>
      </c>
      <c r="S551" t="s">
        <v>1299</v>
      </c>
      <c r="T551" t="s">
        <v>215</v>
      </c>
      <c r="U551">
        <v>1</v>
      </c>
      <c r="V551">
        <v>660</v>
      </c>
      <c r="W551">
        <v>778.8</v>
      </c>
      <c r="X551">
        <v>0</v>
      </c>
      <c r="Y551">
        <v>660</v>
      </c>
      <c r="Z551">
        <v>18</v>
      </c>
      <c r="AA551">
        <v>118.8</v>
      </c>
      <c r="AB551">
        <v>778.8</v>
      </c>
      <c r="AC551">
        <v>1</v>
      </c>
      <c r="AD551">
        <v>1</v>
      </c>
      <c r="AE551" t="s">
        <v>232</v>
      </c>
      <c r="AF551" t="s">
        <v>29</v>
      </c>
      <c r="AG551">
        <v>2</v>
      </c>
      <c r="AH551" t="s">
        <v>25</v>
      </c>
      <c r="AI551">
        <v>1106</v>
      </c>
      <c r="AJ551" t="s">
        <v>239</v>
      </c>
      <c r="AK551" t="s">
        <v>1237</v>
      </c>
      <c r="AP551">
        <v>390</v>
      </c>
      <c r="AQ551" t="s">
        <v>1321</v>
      </c>
      <c r="AR551" t="s">
        <v>12</v>
      </c>
      <c r="AS551" t="str">
        <f>+CONCATENATE(A551,"-",B551)</f>
        <v>FB01-1400</v>
      </c>
    </row>
    <row r="552" spans="1:45" ht="15" customHeight="1">
      <c r="A552" t="s">
        <v>1238</v>
      </c>
      <c r="B552">
        <v>670</v>
      </c>
      <c r="C552" t="s">
        <v>27</v>
      </c>
      <c r="D552" s="8">
        <v>45680</v>
      </c>
      <c r="E552" s="22">
        <v>45964</v>
      </c>
      <c r="F552" t="s">
        <v>335</v>
      </c>
      <c r="G552" t="s">
        <v>158</v>
      </c>
      <c r="H552">
        <v>1</v>
      </c>
      <c r="I552">
        <v>43908595</v>
      </c>
      <c r="J552" t="s">
        <v>2093</v>
      </c>
      <c r="K552" s="8">
        <v>45680</v>
      </c>
      <c r="Q552">
        <v>17799</v>
      </c>
      <c r="R552">
        <v>922</v>
      </c>
      <c r="S552" s="28" t="s">
        <v>1360</v>
      </c>
      <c r="T552" t="s">
        <v>215</v>
      </c>
      <c r="U552">
        <v>1</v>
      </c>
      <c r="V552">
        <v>660</v>
      </c>
      <c r="W552">
        <v>778.8</v>
      </c>
      <c r="X552">
        <v>0</v>
      </c>
      <c r="Y552">
        <v>660</v>
      </c>
      <c r="Z552">
        <v>18</v>
      </c>
      <c r="AA552">
        <v>118.8</v>
      </c>
      <c r="AB552">
        <v>778.8</v>
      </c>
      <c r="AC552">
        <v>1</v>
      </c>
      <c r="AD552">
        <v>1</v>
      </c>
      <c r="AE552" t="s">
        <v>232</v>
      </c>
      <c r="AF552" t="s">
        <v>29</v>
      </c>
      <c r="AG552">
        <v>2</v>
      </c>
      <c r="AH552" t="s">
        <v>25</v>
      </c>
      <c r="AI552">
        <v>1106</v>
      </c>
      <c r="AJ552" t="s">
        <v>239</v>
      </c>
      <c r="AK552" t="s">
        <v>1236</v>
      </c>
      <c r="AP552">
        <v>393</v>
      </c>
      <c r="AQ552" t="s">
        <v>335</v>
      </c>
      <c r="AR552" t="s">
        <v>1295</v>
      </c>
      <c r="AS552" t="str">
        <f>+CONCATENATE(A552,"-",B552)</f>
        <v>BB01-670</v>
      </c>
    </row>
    <row r="553" spans="1:45" ht="15" customHeight="1">
      <c r="A553" t="s">
        <v>1216</v>
      </c>
      <c r="B553" s="21" t="s">
        <v>1541</v>
      </c>
      <c r="C553" t="s">
        <v>27</v>
      </c>
      <c r="D553" s="8">
        <v>45952</v>
      </c>
      <c r="E553" s="22">
        <v>45964.819571759261</v>
      </c>
      <c r="F553" t="s">
        <v>34</v>
      </c>
      <c r="H553">
        <v>6</v>
      </c>
      <c r="I553">
        <v>20611018925</v>
      </c>
      <c r="J553" t="s">
        <v>1542</v>
      </c>
      <c r="K553" s="8">
        <v>45952</v>
      </c>
      <c r="Q553">
        <v>32382</v>
      </c>
      <c r="R553">
        <v>216</v>
      </c>
      <c r="S553" t="s">
        <v>1300</v>
      </c>
      <c r="T553" t="s">
        <v>163</v>
      </c>
      <c r="U553">
        <v>1</v>
      </c>
      <c r="V553">
        <v>667.44</v>
      </c>
      <c r="W553">
        <v>787.58</v>
      </c>
      <c r="X553">
        <v>0</v>
      </c>
      <c r="Y553">
        <v>667.44</v>
      </c>
      <c r="Z553">
        <v>18</v>
      </c>
      <c r="AA553">
        <v>120.14</v>
      </c>
      <c r="AB553">
        <v>787.58</v>
      </c>
      <c r="AC553">
        <v>1</v>
      </c>
      <c r="AD553">
        <v>1</v>
      </c>
      <c r="AE553" t="s">
        <v>1411</v>
      </c>
      <c r="AF553" t="s">
        <v>1412</v>
      </c>
      <c r="AG553">
        <v>2</v>
      </c>
      <c r="AH553" t="s">
        <v>25</v>
      </c>
      <c r="AI553">
        <v>6936</v>
      </c>
      <c r="AJ553" t="s">
        <v>1437</v>
      </c>
      <c r="AK553" t="s">
        <v>1433</v>
      </c>
      <c r="AL553">
        <v>3206</v>
      </c>
      <c r="AM553" t="s">
        <v>1536</v>
      </c>
      <c r="AN553" s="8">
        <v>45949</v>
      </c>
      <c r="AO553" s="8">
        <v>45949</v>
      </c>
      <c r="AP553">
        <v>1128</v>
      </c>
      <c r="AQ553" t="s">
        <v>34</v>
      </c>
      <c r="AR553" t="s">
        <v>12</v>
      </c>
      <c r="AS553" t="str">
        <f>+CONCATENATE(A553,"-",B553)</f>
        <v>(01) Factura FOF1-00000156</v>
      </c>
    </row>
    <row r="554" spans="1:45" ht="15" customHeight="1">
      <c r="A554" t="s">
        <v>216</v>
      </c>
      <c r="B554">
        <v>1207</v>
      </c>
      <c r="C554" t="s">
        <v>27</v>
      </c>
      <c r="D554" s="8">
        <v>45663</v>
      </c>
      <c r="E554" s="22">
        <v>45964</v>
      </c>
      <c r="F554" t="s">
        <v>1388</v>
      </c>
      <c r="H554">
        <v>6</v>
      </c>
      <c r="I554">
        <v>20601149371</v>
      </c>
      <c r="J554" t="s">
        <v>2175</v>
      </c>
      <c r="K554" s="8">
        <v>45663</v>
      </c>
      <c r="Q554">
        <v>17210</v>
      </c>
      <c r="R554">
        <v>871</v>
      </c>
      <c r="S554" t="s">
        <v>1316</v>
      </c>
      <c r="T554" t="s">
        <v>215</v>
      </c>
      <c r="U554">
        <v>1</v>
      </c>
      <c r="V554">
        <v>678.25</v>
      </c>
      <c r="W554">
        <v>800.33</v>
      </c>
      <c r="X554">
        <v>0</v>
      </c>
      <c r="Y554">
        <v>678.25</v>
      </c>
      <c r="Z554">
        <v>18</v>
      </c>
      <c r="AA554">
        <v>122.08</v>
      </c>
      <c r="AB554">
        <v>800.33</v>
      </c>
      <c r="AC554">
        <v>1</v>
      </c>
      <c r="AD554">
        <v>1</v>
      </c>
      <c r="AE554" t="s">
        <v>232</v>
      </c>
      <c r="AF554" t="s">
        <v>29</v>
      </c>
      <c r="AG554">
        <v>2</v>
      </c>
      <c r="AH554" t="s">
        <v>25</v>
      </c>
      <c r="AI554">
        <v>1106</v>
      </c>
      <c r="AJ554" t="s">
        <v>239</v>
      </c>
      <c r="AK554" t="s">
        <v>1237</v>
      </c>
      <c r="AP554">
        <v>1120</v>
      </c>
      <c r="AQ554" t="s">
        <v>1388</v>
      </c>
      <c r="AR554" t="s">
        <v>12</v>
      </c>
      <c r="AS554" t="str">
        <f>+CONCATENATE(A554,"-",B554)</f>
        <v>FB01-1207</v>
      </c>
    </row>
    <row r="555" spans="1:45" ht="15" customHeight="1">
      <c r="A555" t="s">
        <v>1214</v>
      </c>
      <c r="B555" s="21" t="s">
        <v>1591</v>
      </c>
      <c r="C555" t="s">
        <v>27</v>
      </c>
      <c r="D555" s="8">
        <v>45960</v>
      </c>
      <c r="E555" s="22">
        <v>45964.596828703703</v>
      </c>
      <c r="F555" t="s">
        <v>2444</v>
      </c>
      <c r="H555">
        <v>1</v>
      </c>
      <c r="I555">
        <v>70332314</v>
      </c>
      <c r="J555" t="s">
        <v>2619</v>
      </c>
      <c r="K555" s="8">
        <v>45960</v>
      </c>
      <c r="Q555">
        <v>33111</v>
      </c>
      <c r="R555">
        <v>216</v>
      </c>
      <c r="S555" t="s">
        <v>1300</v>
      </c>
      <c r="T555" t="s">
        <v>163</v>
      </c>
      <c r="U555">
        <v>1</v>
      </c>
      <c r="V555">
        <v>698.31</v>
      </c>
      <c r="W555">
        <v>824.01</v>
      </c>
      <c r="X555">
        <v>0</v>
      </c>
      <c r="Y555">
        <v>698.31</v>
      </c>
      <c r="Z555">
        <v>18</v>
      </c>
      <c r="AA555">
        <v>125.7</v>
      </c>
      <c r="AB555">
        <v>824.01</v>
      </c>
      <c r="AC555">
        <v>1</v>
      </c>
      <c r="AD555">
        <v>1</v>
      </c>
      <c r="AE555" t="s">
        <v>1411</v>
      </c>
      <c r="AF555" t="s">
        <v>1412</v>
      </c>
      <c r="AG555">
        <v>2</v>
      </c>
      <c r="AH555" t="s">
        <v>25</v>
      </c>
      <c r="AI555">
        <v>6936</v>
      </c>
      <c r="AJ555" t="s">
        <v>1437</v>
      </c>
      <c r="AK555" t="s">
        <v>1433</v>
      </c>
      <c r="AL555">
        <v>3173</v>
      </c>
      <c r="AM555" t="s">
        <v>2451</v>
      </c>
      <c r="AN555" s="8">
        <v>45956</v>
      </c>
      <c r="AO555" s="8">
        <v>45956</v>
      </c>
      <c r="AP555">
        <v>6074</v>
      </c>
      <c r="AQ555" t="s">
        <v>2444</v>
      </c>
      <c r="AR555" t="s">
        <v>1295</v>
      </c>
      <c r="AS555" t="str">
        <f>+CONCATENATE(A555,"-",B555)</f>
        <v>(03) Boleta BOB1-00000139</v>
      </c>
    </row>
    <row r="556" spans="1:45" ht="15" customHeight="1">
      <c r="A556" t="s">
        <v>1216</v>
      </c>
      <c r="B556" s="21" t="s">
        <v>2460</v>
      </c>
      <c r="C556" t="s">
        <v>27</v>
      </c>
      <c r="D556" s="8">
        <v>45960</v>
      </c>
      <c r="E556" s="22">
        <v>45964.59238425926</v>
      </c>
      <c r="F556" t="s">
        <v>307</v>
      </c>
      <c r="H556">
        <v>6</v>
      </c>
      <c r="I556">
        <v>20509594903</v>
      </c>
      <c r="J556" t="s">
        <v>2626</v>
      </c>
      <c r="K556" s="8">
        <v>45960</v>
      </c>
      <c r="Q556">
        <v>33090</v>
      </c>
      <c r="R556">
        <v>216</v>
      </c>
      <c r="S556" t="s">
        <v>1300</v>
      </c>
      <c r="T556" t="s">
        <v>163</v>
      </c>
      <c r="U556">
        <v>1</v>
      </c>
      <c r="V556">
        <v>702.37</v>
      </c>
      <c r="W556">
        <v>828.8</v>
      </c>
      <c r="X556">
        <v>0</v>
      </c>
      <c r="Y556">
        <v>702.37</v>
      </c>
      <c r="Z556">
        <v>18</v>
      </c>
      <c r="AA556">
        <v>126.43</v>
      </c>
      <c r="AB556">
        <v>828.8</v>
      </c>
      <c r="AC556">
        <v>1</v>
      </c>
      <c r="AD556">
        <v>1</v>
      </c>
      <c r="AE556" t="s">
        <v>1411</v>
      </c>
      <c r="AF556" t="s">
        <v>1412</v>
      </c>
      <c r="AG556">
        <v>2</v>
      </c>
      <c r="AH556" t="s">
        <v>25</v>
      </c>
      <c r="AI556">
        <v>6936</v>
      </c>
      <c r="AJ556" t="s">
        <v>1437</v>
      </c>
      <c r="AK556" t="s">
        <v>1433</v>
      </c>
      <c r="AL556">
        <v>3155</v>
      </c>
      <c r="AM556" t="s">
        <v>2459</v>
      </c>
      <c r="AN556" s="8">
        <v>45950</v>
      </c>
      <c r="AO556" s="8">
        <v>45950</v>
      </c>
      <c r="AP556">
        <v>5251</v>
      </c>
      <c r="AQ556" t="s">
        <v>307</v>
      </c>
      <c r="AR556" t="s">
        <v>12</v>
      </c>
      <c r="AS556" t="str">
        <f>+CONCATENATE(A556,"-",B556)</f>
        <v>(01) Factura FOF1-00000216</v>
      </c>
    </row>
    <row r="557" spans="1:45" ht="15" customHeight="1">
      <c r="A557" t="s">
        <v>1216</v>
      </c>
      <c r="B557" s="21" t="s">
        <v>199</v>
      </c>
      <c r="C557" t="s">
        <v>27</v>
      </c>
      <c r="D557" s="8">
        <v>45943</v>
      </c>
      <c r="E557" s="22">
        <v>45964.755393518521</v>
      </c>
      <c r="F557" t="s">
        <v>307</v>
      </c>
      <c r="H557">
        <v>6</v>
      </c>
      <c r="I557">
        <v>20509594903</v>
      </c>
      <c r="J557" t="s">
        <v>1900</v>
      </c>
      <c r="K557" s="8">
        <v>45943</v>
      </c>
      <c r="Q557">
        <v>31058</v>
      </c>
      <c r="R557">
        <v>1786</v>
      </c>
      <c r="S557" t="s">
        <v>1299</v>
      </c>
      <c r="T557" t="s">
        <v>163</v>
      </c>
      <c r="U557">
        <v>1</v>
      </c>
      <c r="V557">
        <v>708.9</v>
      </c>
      <c r="W557">
        <v>836.5</v>
      </c>
      <c r="X557">
        <v>0</v>
      </c>
      <c r="Y557">
        <v>708.9</v>
      </c>
      <c r="Z557">
        <v>18</v>
      </c>
      <c r="AA557">
        <v>127.6</v>
      </c>
      <c r="AB557">
        <v>836.5</v>
      </c>
      <c r="AC557">
        <v>1</v>
      </c>
      <c r="AD557">
        <v>1</v>
      </c>
      <c r="AE557" t="s">
        <v>1411</v>
      </c>
      <c r="AF557" t="s">
        <v>1412</v>
      </c>
      <c r="AG557">
        <v>2</v>
      </c>
      <c r="AH557" t="s">
        <v>25</v>
      </c>
      <c r="AI557">
        <v>1106</v>
      </c>
      <c r="AJ557" t="s">
        <v>239</v>
      </c>
      <c r="AK557" t="s">
        <v>169</v>
      </c>
      <c r="AL557">
        <v>3190</v>
      </c>
      <c r="AM557" t="s">
        <v>362</v>
      </c>
      <c r="AN557" s="8">
        <v>45938</v>
      </c>
      <c r="AO557" s="8">
        <v>45938</v>
      </c>
      <c r="AP557">
        <v>5251</v>
      </c>
      <c r="AQ557" t="s">
        <v>307</v>
      </c>
      <c r="AR557" t="s">
        <v>12</v>
      </c>
      <c r="AS557" t="str">
        <f>+CONCATENATE(A557,"-",B557)</f>
        <v>(01) Factura FOF1-00000008</v>
      </c>
    </row>
    <row r="558" spans="1:45" ht="15" customHeight="1">
      <c r="A558" t="s">
        <v>1216</v>
      </c>
      <c r="B558" s="21" t="s">
        <v>1450</v>
      </c>
      <c r="C558" t="s">
        <v>27</v>
      </c>
      <c r="D558" s="8">
        <v>45946</v>
      </c>
      <c r="E558" s="22">
        <v>45964.794293981482</v>
      </c>
      <c r="F558" t="s">
        <v>1768</v>
      </c>
      <c r="H558">
        <v>6</v>
      </c>
      <c r="I558">
        <v>15611515500</v>
      </c>
      <c r="J558" t="s">
        <v>1771</v>
      </c>
      <c r="K558" s="8">
        <v>45946</v>
      </c>
      <c r="Q558">
        <v>31461</v>
      </c>
      <c r="R558">
        <v>1786</v>
      </c>
      <c r="S558" t="s">
        <v>1299</v>
      </c>
      <c r="T558" t="s">
        <v>163</v>
      </c>
      <c r="U558">
        <v>1</v>
      </c>
      <c r="V558">
        <v>713.05</v>
      </c>
      <c r="W558">
        <v>841.4</v>
      </c>
      <c r="X558">
        <v>0</v>
      </c>
      <c r="Y558">
        <v>713.05</v>
      </c>
      <c r="Z558">
        <v>18</v>
      </c>
      <c r="AA558">
        <v>128.35</v>
      </c>
      <c r="AB558">
        <v>841.4</v>
      </c>
      <c r="AC558">
        <v>1</v>
      </c>
      <c r="AD558">
        <v>1</v>
      </c>
      <c r="AE558" t="s">
        <v>1411</v>
      </c>
      <c r="AF558" t="s">
        <v>1412</v>
      </c>
      <c r="AG558">
        <v>2</v>
      </c>
      <c r="AH558" t="s">
        <v>25</v>
      </c>
      <c r="AI558">
        <v>6937</v>
      </c>
      <c r="AJ558" t="s">
        <v>1414</v>
      </c>
      <c r="AK558" t="s">
        <v>1251</v>
      </c>
      <c r="AL558">
        <v>3106</v>
      </c>
      <c r="AM558" t="s">
        <v>1770</v>
      </c>
      <c r="AN558" s="8">
        <v>45941</v>
      </c>
      <c r="AO558" s="8">
        <v>45941</v>
      </c>
      <c r="AP558">
        <v>5825</v>
      </c>
      <c r="AQ558" t="s">
        <v>1768</v>
      </c>
      <c r="AR558" t="s">
        <v>12</v>
      </c>
      <c r="AS558" t="str">
        <f>+CONCATENATE(A558,"-",B558)</f>
        <v>(01) Factura FOF1-00000090</v>
      </c>
    </row>
    <row r="559" spans="1:45" ht="15" customHeight="1">
      <c r="A559" t="s">
        <v>1216</v>
      </c>
      <c r="B559" s="21" t="s">
        <v>2598</v>
      </c>
      <c r="C559" t="s">
        <v>27</v>
      </c>
      <c r="D559" s="8">
        <v>45961</v>
      </c>
      <c r="E559" s="22">
        <v>45964.625</v>
      </c>
      <c r="F559" t="s">
        <v>34</v>
      </c>
      <c r="H559">
        <v>6</v>
      </c>
      <c r="I559">
        <v>20611018925</v>
      </c>
      <c r="J559" t="s">
        <v>2599</v>
      </c>
      <c r="K559" s="8">
        <v>45961</v>
      </c>
      <c r="Q559">
        <v>33414</v>
      </c>
      <c r="R559">
        <v>1924</v>
      </c>
      <c r="S559" t="s">
        <v>1405</v>
      </c>
      <c r="T559" t="s">
        <v>215</v>
      </c>
      <c r="U559">
        <v>2000</v>
      </c>
      <c r="V559">
        <v>0.36</v>
      </c>
      <c r="W559">
        <v>0.42</v>
      </c>
      <c r="X559">
        <v>0</v>
      </c>
      <c r="Y559">
        <v>720</v>
      </c>
      <c r="Z559">
        <v>18</v>
      </c>
      <c r="AA559">
        <v>129.6</v>
      </c>
      <c r="AB559">
        <v>849.6</v>
      </c>
      <c r="AC559">
        <v>1</v>
      </c>
      <c r="AD559">
        <v>1</v>
      </c>
      <c r="AE559" t="s">
        <v>1411</v>
      </c>
      <c r="AF559" t="s">
        <v>1412</v>
      </c>
      <c r="AG559">
        <v>16</v>
      </c>
      <c r="AH559" t="s">
        <v>1400</v>
      </c>
      <c r="AI559">
        <v>1106</v>
      </c>
      <c r="AJ559" t="s">
        <v>239</v>
      </c>
      <c r="AK559" t="s">
        <v>1406</v>
      </c>
      <c r="AL559">
        <v>3349</v>
      </c>
      <c r="AM559" t="s">
        <v>2600</v>
      </c>
      <c r="AN559" s="8">
        <v>45959</v>
      </c>
      <c r="AO559" s="8">
        <v>45959</v>
      </c>
      <c r="AP559">
        <v>1128</v>
      </c>
      <c r="AQ559" t="s">
        <v>34</v>
      </c>
      <c r="AR559" t="s">
        <v>12</v>
      </c>
      <c r="AS559" t="str">
        <f>+CONCATENATE(A559,"-",B559)</f>
        <v>(01) Factura FOF1-00000223</v>
      </c>
    </row>
    <row r="560" spans="1:45" ht="15" customHeight="1">
      <c r="A560" t="s">
        <v>214</v>
      </c>
      <c r="B560">
        <v>213</v>
      </c>
      <c r="C560" t="s">
        <v>27</v>
      </c>
      <c r="D560" s="8">
        <v>45673</v>
      </c>
      <c r="E560" s="22">
        <v>45964</v>
      </c>
      <c r="F560" t="s">
        <v>34</v>
      </c>
      <c r="H560">
        <v>6</v>
      </c>
      <c r="I560">
        <v>20611018925</v>
      </c>
      <c r="J560" t="s">
        <v>2112</v>
      </c>
      <c r="K560" s="8">
        <v>45673</v>
      </c>
      <c r="Q560">
        <v>17777</v>
      </c>
      <c r="R560">
        <v>916</v>
      </c>
      <c r="S560" t="s">
        <v>1364</v>
      </c>
      <c r="T560" t="s">
        <v>215</v>
      </c>
      <c r="U560">
        <v>1</v>
      </c>
      <c r="V560">
        <v>720</v>
      </c>
      <c r="W560">
        <v>849.6</v>
      </c>
      <c r="X560">
        <v>0</v>
      </c>
      <c r="Y560">
        <v>720</v>
      </c>
      <c r="Z560">
        <v>18</v>
      </c>
      <c r="AA560">
        <v>129.6</v>
      </c>
      <c r="AB560">
        <v>849.6</v>
      </c>
      <c r="AC560">
        <v>1</v>
      </c>
      <c r="AD560">
        <v>1</v>
      </c>
      <c r="AE560" t="s">
        <v>232</v>
      </c>
      <c r="AF560" t="s">
        <v>29</v>
      </c>
      <c r="AG560">
        <v>2</v>
      </c>
      <c r="AH560" t="s">
        <v>25</v>
      </c>
      <c r="AI560">
        <v>1106</v>
      </c>
      <c r="AJ560" t="s">
        <v>239</v>
      </c>
      <c r="AK560" t="s">
        <v>1236</v>
      </c>
      <c r="AP560">
        <v>1128</v>
      </c>
      <c r="AQ560" t="s">
        <v>34</v>
      </c>
      <c r="AR560" t="s">
        <v>12</v>
      </c>
      <c r="AS560" t="str">
        <f>+CONCATENATE(A560,"-",B560)</f>
        <v>FFF1-213</v>
      </c>
    </row>
    <row r="561" spans="1:45" ht="15" customHeight="1">
      <c r="A561" t="s">
        <v>214</v>
      </c>
      <c r="B561">
        <v>212</v>
      </c>
      <c r="C561" t="s">
        <v>27</v>
      </c>
      <c r="D561" s="8">
        <v>45673</v>
      </c>
      <c r="E561" s="22">
        <v>45964</v>
      </c>
      <c r="F561" t="s">
        <v>34</v>
      </c>
      <c r="H561">
        <v>6</v>
      </c>
      <c r="I561">
        <v>20611018925</v>
      </c>
      <c r="J561" t="s">
        <v>2113</v>
      </c>
      <c r="K561" s="8">
        <v>45673</v>
      </c>
      <c r="Q561">
        <v>17776</v>
      </c>
      <c r="R561">
        <v>915</v>
      </c>
      <c r="S561" t="s">
        <v>1365</v>
      </c>
      <c r="T561" t="s">
        <v>215</v>
      </c>
      <c r="U561">
        <v>1</v>
      </c>
      <c r="V561">
        <v>720</v>
      </c>
      <c r="W561">
        <v>849.6</v>
      </c>
      <c r="X561">
        <v>0</v>
      </c>
      <c r="Y561">
        <v>720</v>
      </c>
      <c r="Z561">
        <v>18</v>
      </c>
      <c r="AA561">
        <v>129.6</v>
      </c>
      <c r="AB561">
        <v>849.6</v>
      </c>
      <c r="AC561">
        <v>1</v>
      </c>
      <c r="AD561">
        <v>1</v>
      </c>
      <c r="AE561" t="s">
        <v>232</v>
      </c>
      <c r="AF561" t="s">
        <v>29</v>
      </c>
      <c r="AG561">
        <v>2</v>
      </c>
      <c r="AH561" t="s">
        <v>25</v>
      </c>
      <c r="AI561">
        <v>1106</v>
      </c>
      <c r="AJ561" t="s">
        <v>239</v>
      </c>
      <c r="AK561" t="s">
        <v>1236</v>
      </c>
      <c r="AP561">
        <v>1128</v>
      </c>
      <c r="AQ561" t="s">
        <v>34</v>
      </c>
      <c r="AR561" t="s">
        <v>12</v>
      </c>
      <c r="AS561" t="str">
        <f>+CONCATENATE(A561,"-",B561)</f>
        <v>FFF1-212</v>
      </c>
    </row>
    <row r="562" spans="1:45" ht="15" customHeight="1">
      <c r="A562" t="s">
        <v>1214</v>
      </c>
      <c r="B562" s="21" t="s">
        <v>1624</v>
      </c>
      <c r="C562" t="s">
        <v>27</v>
      </c>
      <c r="D562" s="8">
        <v>45959</v>
      </c>
      <c r="E562" s="22">
        <v>45964.715914351851</v>
      </c>
      <c r="F562" t="s">
        <v>742</v>
      </c>
      <c r="H562">
        <v>1</v>
      </c>
      <c r="I562">
        <v>74630652</v>
      </c>
      <c r="J562" t="s">
        <v>2638</v>
      </c>
      <c r="K562" s="8">
        <v>45959</v>
      </c>
      <c r="Q562">
        <v>33014</v>
      </c>
      <c r="R562">
        <v>1786</v>
      </c>
      <c r="S562" t="s">
        <v>1299</v>
      </c>
      <c r="T562" t="s">
        <v>163</v>
      </c>
      <c r="U562">
        <v>1</v>
      </c>
      <c r="V562">
        <v>727.91</v>
      </c>
      <c r="W562">
        <v>858.93</v>
      </c>
      <c r="X562">
        <v>0</v>
      </c>
      <c r="Y562">
        <v>727.91</v>
      </c>
      <c r="Z562">
        <v>18</v>
      </c>
      <c r="AA562">
        <v>131.02000000000001</v>
      </c>
      <c r="AB562">
        <v>858.93</v>
      </c>
      <c r="AC562">
        <v>1</v>
      </c>
      <c r="AD562">
        <v>1</v>
      </c>
      <c r="AE562" t="s">
        <v>1411</v>
      </c>
      <c r="AF562" t="s">
        <v>1412</v>
      </c>
      <c r="AG562">
        <v>2</v>
      </c>
      <c r="AH562" t="s">
        <v>25</v>
      </c>
      <c r="AI562">
        <v>6937</v>
      </c>
      <c r="AJ562" t="s">
        <v>1414</v>
      </c>
      <c r="AK562" t="s">
        <v>1251</v>
      </c>
      <c r="AL562">
        <v>2856</v>
      </c>
      <c r="AM562" t="s">
        <v>1595</v>
      </c>
      <c r="AN562" s="8">
        <v>45948</v>
      </c>
      <c r="AO562" s="8">
        <v>45948</v>
      </c>
      <c r="AP562">
        <v>1168</v>
      </c>
      <c r="AQ562" t="s">
        <v>742</v>
      </c>
      <c r="AR562" t="s">
        <v>1295</v>
      </c>
      <c r="AS562" t="str">
        <f>+CONCATENATE(A562,"-",B562)</f>
        <v>(03) Boleta BOB1-00000128</v>
      </c>
    </row>
    <row r="563" spans="1:45" ht="15" customHeight="1">
      <c r="A563" t="s">
        <v>1214</v>
      </c>
      <c r="B563" s="21" t="s">
        <v>2452</v>
      </c>
      <c r="C563" t="s">
        <v>27</v>
      </c>
      <c r="D563" s="8">
        <v>45960</v>
      </c>
      <c r="E563" s="22">
        <v>45964.595659722225</v>
      </c>
      <c r="F563" t="s">
        <v>2444</v>
      </c>
      <c r="H563">
        <v>1</v>
      </c>
      <c r="I563">
        <v>70332314</v>
      </c>
      <c r="J563" t="s">
        <v>2620</v>
      </c>
      <c r="K563" s="8">
        <v>45960</v>
      </c>
      <c r="Q563">
        <v>33108</v>
      </c>
      <c r="R563">
        <v>1786</v>
      </c>
      <c r="S563" t="s">
        <v>1299</v>
      </c>
      <c r="T563" t="s">
        <v>163</v>
      </c>
      <c r="U563">
        <v>1</v>
      </c>
      <c r="V563">
        <v>736.19</v>
      </c>
      <c r="W563">
        <v>868.7</v>
      </c>
      <c r="X563">
        <v>0</v>
      </c>
      <c r="Y563">
        <v>736.19</v>
      </c>
      <c r="Z563">
        <v>18</v>
      </c>
      <c r="AA563">
        <v>132.51</v>
      </c>
      <c r="AB563">
        <v>868.7</v>
      </c>
      <c r="AC563">
        <v>1</v>
      </c>
      <c r="AD563">
        <v>1</v>
      </c>
      <c r="AE563" t="s">
        <v>1411</v>
      </c>
      <c r="AF563" t="s">
        <v>1412</v>
      </c>
      <c r="AG563">
        <v>2</v>
      </c>
      <c r="AH563" t="s">
        <v>25</v>
      </c>
      <c r="AI563">
        <v>6937</v>
      </c>
      <c r="AJ563" t="s">
        <v>1414</v>
      </c>
      <c r="AK563" t="s">
        <v>1251</v>
      </c>
      <c r="AL563">
        <v>3175</v>
      </c>
      <c r="AM563" t="s">
        <v>2453</v>
      </c>
      <c r="AN563" s="8">
        <v>45955</v>
      </c>
      <c r="AO563" s="8">
        <v>45955</v>
      </c>
      <c r="AP563">
        <v>6074</v>
      </c>
      <c r="AQ563" t="s">
        <v>2444</v>
      </c>
      <c r="AR563" t="s">
        <v>1295</v>
      </c>
      <c r="AS563" t="str">
        <f>+CONCATENATE(A563,"-",B563)</f>
        <v>(03) Boleta BOB1-00000138</v>
      </c>
    </row>
    <row r="564" spans="1:45" ht="15" customHeight="1">
      <c r="A564" t="s">
        <v>1214</v>
      </c>
      <c r="B564" s="21" t="s">
        <v>1438</v>
      </c>
      <c r="C564" t="s">
        <v>27</v>
      </c>
      <c r="D564" s="8">
        <v>45954</v>
      </c>
      <c r="E564" s="22">
        <v>45964.622187499997</v>
      </c>
      <c r="F564" t="s">
        <v>526</v>
      </c>
      <c r="H564">
        <v>1</v>
      </c>
      <c r="I564">
        <v>19889371</v>
      </c>
      <c r="J564" t="s">
        <v>1439</v>
      </c>
      <c r="K564" s="8">
        <v>45954</v>
      </c>
      <c r="Q564">
        <v>32611</v>
      </c>
      <c r="R564">
        <v>1786</v>
      </c>
      <c r="S564" t="s">
        <v>1299</v>
      </c>
      <c r="T564" t="s">
        <v>163</v>
      </c>
      <c r="U564">
        <v>1</v>
      </c>
      <c r="V564">
        <v>739.86</v>
      </c>
      <c r="W564">
        <v>873.03</v>
      </c>
      <c r="X564">
        <v>0</v>
      </c>
      <c r="Y564">
        <v>739.86</v>
      </c>
      <c r="Z564">
        <v>18</v>
      </c>
      <c r="AA564">
        <v>133.16999999999999</v>
      </c>
      <c r="AB564">
        <v>873.03</v>
      </c>
      <c r="AC564">
        <v>1</v>
      </c>
      <c r="AD564">
        <v>1</v>
      </c>
      <c r="AE564" t="s">
        <v>1411</v>
      </c>
      <c r="AF564" t="s">
        <v>1412</v>
      </c>
      <c r="AG564">
        <v>2</v>
      </c>
      <c r="AH564" t="s">
        <v>25</v>
      </c>
      <c r="AI564">
        <v>6937</v>
      </c>
      <c r="AJ564" t="s">
        <v>1414</v>
      </c>
      <c r="AK564" t="s">
        <v>1251</v>
      </c>
      <c r="AL564">
        <v>3023</v>
      </c>
      <c r="AM564" t="s">
        <v>1434</v>
      </c>
      <c r="AN564" s="8">
        <v>45941</v>
      </c>
      <c r="AO564" s="8">
        <v>45941</v>
      </c>
      <c r="AP564">
        <v>418</v>
      </c>
      <c r="AQ564" t="s">
        <v>1318</v>
      </c>
      <c r="AR564" t="s">
        <v>1295</v>
      </c>
      <c r="AS564" t="str">
        <f>+CONCATENATE(A564,"-",B564)</f>
        <v>(03) Boleta BOB1-00000096</v>
      </c>
    </row>
    <row r="565" spans="1:45" ht="15" customHeight="1">
      <c r="A565" t="s">
        <v>1214</v>
      </c>
      <c r="B565" s="21" t="s">
        <v>1446</v>
      </c>
      <c r="C565" t="s">
        <v>27</v>
      </c>
      <c r="D565" s="8">
        <v>45954</v>
      </c>
      <c r="E565" s="22">
        <v>45964.620775462965</v>
      </c>
      <c r="F565" t="s">
        <v>519</v>
      </c>
      <c r="H565">
        <v>1</v>
      </c>
      <c r="I565">
        <v>19941551</v>
      </c>
      <c r="J565" t="s">
        <v>1447</v>
      </c>
      <c r="K565" s="8">
        <v>45954</v>
      </c>
      <c r="Q565">
        <v>32599</v>
      </c>
      <c r="R565">
        <v>1786</v>
      </c>
      <c r="S565" t="s">
        <v>1299</v>
      </c>
      <c r="T565" t="s">
        <v>163</v>
      </c>
      <c r="U565">
        <v>1</v>
      </c>
      <c r="V565">
        <v>739.86</v>
      </c>
      <c r="W565">
        <v>873.03</v>
      </c>
      <c r="X565">
        <v>0</v>
      </c>
      <c r="Y565">
        <v>739.86</v>
      </c>
      <c r="Z565">
        <v>18</v>
      </c>
      <c r="AA565">
        <v>133.16999999999999</v>
      </c>
      <c r="AB565">
        <v>873.03</v>
      </c>
      <c r="AC565">
        <v>1</v>
      </c>
      <c r="AD565">
        <v>1</v>
      </c>
      <c r="AE565" t="s">
        <v>1411</v>
      </c>
      <c r="AF565" t="s">
        <v>1412</v>
      </c>
      <c r="AG565">
        <v>2</v>
      </c>
      <c r="AH565" t="s">
        <v>25</v>
      </c>
      <c r="AI565">
        <v>6937</v>
      </c>
      <c r="AJ565" t="s">
        <v>1414</v>
      </c>
      <c r="AK565" t="s">
        <v>1251</v>
      </c>
      <c r="AL565">
        <v>3023</v>
      </c>
      <c r="AM565" t="s">
        <v>1434</v>
      </c>
      <c r="AN565" s="8">
        <v>45941</v>
      </c>
      <c r="AO565" s="8">
        <v>45941</v>
      </c>
      <c r="AP565">
        <v>418</v>
      </c>
      <c r="AQ565" t="s">
        <v>1318</v>
      </c>
      <c r="AR565" t="s">
        <v>1295</v>
      </c>
      <c r="AS565" t="str">
        <f>+CONCATENATE(A565,"-",B565)</f>
        <v>(03) Boleta BOB1-00000092</v>
      </c>
    </row>
    <row r="566" spans="1:45" ht="15" customHeight="1">
      <c r="A566" t="s">
        <v>1216</v>
      </c>
      <c r="B566" s="21" t="s">
        <v>1471</v>
      </c>
      <c r="C566" t="s">
        <v>27</v>
      </c>
      <c r="D566" s="8">
        <v>45954</v>
      </c>
      <c r="E566" s="22">
        <v>45964.600312499999</v>
      </c>
      <c r="F566" t="s">
        <v>1454</v>
      </c>
      <c r="H566">
        <v>6</v>
      </c>
      <c r="I566">
        <v>20608574663</v>
      </c>
      <c r="J566" t="s">
        <v>1472</v>
      </c>
      <c r="K566" s="8">
        <v>45954</v>
      </c>
      <c r="Q566">
        <v>32563</v>
      </c>
      <c r="R566">
        <v>1924</v>
      </c>
      <c r="S566" t="s">
        <v>1405</v>
      </c>
      <c r="T566" t="s">
        <v>215</v>
      </c>
      <c r="U566">
        <v>1</v>
      </c>
      <c r="V566">
        <v>740</v>
      </c>
      <c r="W566">
        <v>873.2</v>
      </c>
      <c r="X566">
        <v>0</v>
      </c>
      <c r="Y566">
        <v>740</v>
      </c>
      <c r="Z566">
        <v>18</v>
      </c>
      <c r="AA566">
        <v>133.19999999999999</v>
      </c>
      <c r="AB566">
        <v>873.2</v>
      </c>
      <c r="AC566">
        <v>1</v>
      </c>
      <c r="AD566">
        <v>1</v>
      </c>
      <c r="AE566" t="s">
        <v>1411</v>
      </c>
      <c r="AF566" t="s">
        <v>1412</v>
      </c>
      <c r="AG566">
        <v>2</v>
      </c>
      <c r="AH566" t="s">
        <v>25</v>
      </c>
      <c r="AI566">
        <v>1106</v>
      </c>
      <c r="AJ566" t="s">
        <v>239</v>
      </c>
      <c r="AK566" t="s">
        <v>1468</v>
      </c>
      <c r="AL566">
        <v>3079</v>
      </c>
      <c r="AM566" t="s">
        <v>1456</v>
      </c>
      <c r="AN566" s="8">
        <v>45921</v>
      </c>
      <c r="AO566" s="8">
        <v>45921</v>
      </c>
      <c r="AP566">
        <v>5597</v>
      </c>
      <c r="AQ566" t="s">
        <v>1457</v>
      </c>
      <c r="AR566" t="s">
        <v>12</v>
      </c>
      <c r="AS566" t="str">
        <f>+CONCATENATE(A566,"-",B566)</f>
        <v>(01) Factura FOF1-00000175</v>
      </c>
    </row>
    <row r="567" spans="1:45" ht="15" customHeight="1">
      <c r="A567" t="s">
        <v>1216</v>
      </c>
      <c r="B567" s="21" t="s">
        <v>2598</v>
      </c>
      <c r="C567" t="s">
        <v>27</v>
      </c>
      <c r="D567" s="8">
        <v>45961</v>
      </c>
      <c r="E567" s="22">
        <v>45964.625</v>
      </c>
      <c r="F567" t="s">
        <v>34</v>
      </c>
      <c r="H567">
        <v>6</v>
      </c>
      <c r="I567">
        <v>20611018925</v>
      </c>
      <c r="J567" t="s">
        <v>2599</v>
      </c>
      <c r="K567" s="8">
        <v>45961</v>
      </c>
      <c r="Q567">
        <v>33418</v>
      </c>
      <c r="R567">
        <v>1895</v>
      </c>
      <c r="S567" t="s">
        <v>1407</v>
      </c>
      <c r="T567" t="s">
        <v>215</v>
      </c>
      <c r="U567">
        <v>1500</v>
      </c>
      <c r="V567">
        <v>0.5</v>
      </c>
      <c r="W567">
        <v>0.59</v>
      </c>
      <c r="X567">
        <v>0</v>
      </c>
      <c r="Y567">
        <v>750</v>
      </c>
      <c r="Z567">
        <v>18</v>
      </c>
      <c r="AA567">
        <v>135</v>
      </c>
      <c r="AB567">
        <v>885</v>
      </c>
      <c r="AC567">
        <v>1</v>
      </c>
      <c r="AD567">
        <v>1</v>
      </c>
      <c r="AE567" t="s">
        <v>1411</v>
      </c>
      <c r="AF567" t="s">
        <v>1412</v>
      </c>
      <c r="AG567">
        <v>16</v>
      </c>
      <c r="AH567" t="s">
        <v>1400</v>
      </c>
      <c r="AI567">
        <v>1106</v>
      </c>
      <c r="AJ567" t="s">
        <v>239</v>
      </c>
      <c r="AK567" t="s">
        <v>1406</v>
      </c>
      <c r="AL567">
        <v>3349</v>
      </c>
      <c r="AM567" t="s">
        <v>2600</v>
      </c>
      <c r="AN567" s="8">
        <v>45959</v>
      </c>
      <c r="AO567" s="8">
        <v>45959</v>
      </c>
      <c r="AP567">
        <v>1128</v>
      </c>
      <c r="AQ567" t="s">
        <v>34</v>
      </c>
      <c r="AR567" t="s">
        <v>12</v>
      </c>
      <c r="AS567" t="str">
        <f>+CONCATENATE(A567,"-",B567)</f>
        <v>(01) Factura FOF1-00000223</v>
      </c>
    </row>
    <row r="568" spans="1:45" ht="15" customHeight="1">
      <c r="A568" t="s">
        <v>216</v>
      </c>
      <c r="B568">
        <v>1329</v>
      </c>
      <c r="C568" t="s">
        <v>27</v>
      </c>
      <c r="D568" s="8">
        <v>45685</v>
      </c>
      <c r="E568" s="22">
        <v>45964</v>
      </c>
      <c r="F568" t="s">
        <v>1321</v>
      </c>
      <c r="G568" t="s">
        <v>158</v>
      </c>
      <c r="H568">
        <v>6</v>
      </c>
      <c r="I568">
        <v>20296011356</v>
      </c>
      <c r="J568" t="s">
        <v>2021</v>
      </c>
      <c r="K568" s="8">
        <v>45685</v>
      </c>
      <c r="Q568">
        <v>18642</v>
      </c>
      <c r="R568">
        <v>882</v>
      </c>
      <c r="S568" t="s">
        <v>1340</v>
      </c>
      <c r="T568" t="s">
        <v>215</v>
      </c>
      <c r="U568">
        <v>1</v>
      </c>
      <c r="V568">
        <v>750</v>
      </c>
      <c r="W568">
        <v>885</v>
      </c>
      <c r="X568">
        <v>0</v>
      </c>
      <c r="Y568">
        <v>750</v>
      </c>
      <c r="Z568">
        <v>18</v>
      </c>
      <c r="AA568">
        <v>135</v>
      </c>
      <c r="AB568">
        <v>885</v>
      </c>
      <c r="AC568">
        <v>1</v>
      </c>
      <c r="AD568">
        <v>1</v>
      </c>
      <c r="AE568" t="s">
        <v>232</v>
      </c>
      <c r="AF568" t="s">
        <v>29</v>
      </c>
      <c r="AG568">
        <v>2</v>
      </c>
      <c r="AH568" t="s">
        <v>25</v>
      </c>
      <c r="AI568">
        <v>1106</v>
      </c>
      <c r="AJ568" t="s">
        <v>239</v>
      </c>
      <c r="AK568" t="s">
        <v>1251</v>
      </c>
      <c r="AP568">
        <v>390</v>
      </c>
      <c r="AQ568" t="s">
        <v>1321</v>
      </c>
      <c r="AR568" t="s">
        <v>12</v>
      </c>
      <c r="AS568" t="str">
        <f>+CONCATENATE(A568,"-",B568)</f>
        <v>FB01-1329</v>
      </c>
    </row>
    <row r="569" spans="1:45" ht="15" customHeight="1">
      <c r="A569" t="s">
        <v>216</v>
      </c>
      <c r="B569">
        <v>1195</v>
      </c>
      <c r="C569" t="s">
        <v>27</v>
      </c>
      <c r="D569" s="8">
        <v>45663</v>
      </c>
      <c r="E569" s="22">
        <v>45964</v>
      </c>
      <c r="F569" t="s">
        <v>1321</v>
      </c>
      <c r="G569" t="s">
        <v>158</v>
      </c>
      <c r="H569">
        <v>6</v>
      </c>
      <c r="I569">
        <v>20296011356</v>
      </c>
      <c r="J569" t="s">
        <v>2193</v>
      </c>
      <c r="K569" s="8">
        <v>45663</v>
      </c>
      <c r="Q569">
        <v>17190</v>
      </c>
      <c r="R569">
        <v>882</v>
      </c>
      <c r="S569" t="s">
        <v>1340</v>
      </c>
      <c r="T569" t="s">
        <v>215</v>
      </c>
      <c r="U569">
        <v>1</v>
      </c>
      <c r="V569">
        <v>750</v>
      </c>
      <c r="W569">
        <v>885</v>
      </c>
      <c r="X569">
        <v>0</v>
      </c>
      <c r="Y569">
        <v>750</v>
      </c>
      <c r="Z569">
        <v>18</v>
      </c>
      <c r="AA569">
        <v>135</v>
      </c>
      <c r="AB569">
        <v>885</v>
      </c>
      <c r="AC569">
        <v>1</v>
      </c>
      <c r="AD569">
        <v>1</v>
      </c>
      <c r="AE569" t="s">
        <v>232</v>
      </c>
      <c r="AF569" t="s">
        <v>29</v>
      </c>
      <c r="AG569">
        <v>2</v>
      </c>
      <c r="AH569" t="s">
        <v>25</v>
      </c>
      <c r="AI569">
        <v>1106</v>
      </c>
      <c r="AJ569" t="s">
        <v>239</v>
      </c>
      <c r="AK569" t="s">
        <v>1251</v>
      </c>
      <c r="AP569">
        <v>390</v>
      </c>
      <c r="AQ569" t="s">
        <v>1321</v>
      </c>
      <c r="AR569" t="s">
        <v>12</v>
      </c>
      <c r="AS569" t="str">
        <f>+CONCATENATE(A569,"-",B569)</f>
        <v>FB01-1195</v>
      </c>
    </row>
    <row r="570" spans="1:45" ht="15" customHeight="1">
      <c r="A570" t="s">
        <v>1238</v>
      </c>
      <c r="B570">
        <v>642</v>
      </c>
      <c r="C570" t="s">
        <v>27</v>
      </c>
      <c r="D570" s="8">
        <v>45663</v>
      </c>
      <c r="E570" s="22">
        <v>45964</v>
      </c>
      <c r="F570" t="s">
        <v>1151</v>
      </c>
      <c r="G570" t="s">
        <v>158</v>
      </c>
      <c r="H570">
        <v>1</v>
      </c>
      <c r="I570">
        <v>44413438</v>
      </c>
      <c r="J570" t="s">
        <v>2189</v>
      </c>
      <c r="K570" s="8">
        <v>45663</v>
      </c>
      <c r="Q570">
        <v>17194</v>
      </c>
      <c r="R570">
        <v>216</v>
      </c>
      <c r="S570" t="s">
        <v>1300</v>
      </c>
      <c r="T570" t="s">
        <v>163</v>
      </c>
      <c r="U570">
        <v>1</v>
      </c>
      <c r="V570">
        <v>757.54</v>
      </c>
      <c r="W570">
        <v>893.9</v>
      </c>
      <c r="X570">
        <v>0</v>
      </c>
      <c r="Y570">
        <v>757.54</v>
      </c>
      <c r="Z570">
        <v>18</v>
      </c>
      <c r="AA570">
        <v>136.36000000000001</v>
      </c>
      <c r="AB570">
        <v>893.9</v>
      </c>
      <c r="AC570">
        <v>1</v>
      </c>
      <c r="AD570">
        <v>1</v>
      </c>
      <c r="AE570" t="s">
        <v>232</v>
      </c>
      <c r="AF570" t="s">
        <v>29</v>
      </c>
      <c r="AG570">
        <v>2</v>
      </c>
      <c r="AH570" t="s">
        <v>25</v>
      </c>
      <c r="AI570">
        <v>1106</v>
      </c>
      <c r="AJ570" t="s">
        <v>239</v>
      </c>
      <c r="AK570" t="s">
        <v>1237</v>
      </c>
      <c r="AP570">
        <v>405</v>
      </c>
      <c r="AQ570" t="s">
        <v>1151</v>
      </c>
      <c r="AR570" t="s">
        <v>1295</v>
      </c>
      <c r="AS570" t="str">
        <f>+CONCATENATE(A570,"-",B570)</f>
        <v>BB01-642</v>
      </c>
    </row>
    <row r="571" spans="1:45" ht="15" customHeight="1">
      <c r="A571" t="s">
        <v>1216</v>
      </c>
      <c r="B571" s="21" t="s">
        <v>2500</v>
      </c>
      <c r="C571" t="s">
        <v>27</v>
      </c>
      <c r="D571" s="8">
        <v>45959</v>
      </c>
      <c r="E571" s="22">
        <v>45964.629733796297</v>
      </c>
      <c r="F571" t="s">
        <v>1321</v>
      </c>
      <c r="G571" t="s">
        <v>158</v>
      </c>
      <c r="H571">
        <v>6</v>
      </c>
      <c r="I571">
        <v>20296011356</v>
      </c>
      <c r="J571" t="s">
        <v>2678</v>
      </c>
      <c r="K571" s="8">
        <v>45959</v>
      </c>
      <c r="Q571">
        <v>32870</v>
      </c>
      <c r="R571">
        <v>1786</v>
      </c>
      <c r="S571" t="s">
        <v>1299</v>
      </c>
      <c r="T571" t="s">
        <v>163</v>
      </c>
      <c r="U571">
        <v>1</v>
      </c>
      <c r="V571">
        <v>761.36</v>
      </c>
      <c r="W571">
        <v>898.4</v>
      </c>
      <c r="X571">
        <v>0</v>
      </c>
      <c r="Y571">
        <v>761.36</v>
      </c>
      <c r="Z571">
        <v>18</v>
      </c>
      <c r="AA571">
        <v>137.04</v>
      </c>
      <c r="AB571">
        <v>898.4</v>
      </c>
      <c r="AC571">
        <v>1</v>
      </c>
      <c r="AD571">
        <v>1</v>
      </c>
      <c r="AE571" t="s">
        <v>1411</v>
      </c>
      <c r="AF571" t="s">
        <v>1412</v>
      </c>
      <c r="AG571">
        <v>2</v>
      </c>
      <c r="AH571" t="s">
        <v>25</v>
      </c>
      <c r="AI571">
        <v>6937</v>
      </c>
      <c r="AJ571" t="s">
        <v>1414</v>
      </c>
      <c r="AK571" t="s">
        <v>1251</v>
      </c>
      <c r="AL571">
        <v>3277</v>
      </c>
      <c r="AM571" t="s">
        <v>2498</v>
      </c>
      <c r="AN571" s="8">
        <v>45956</v>
      </c>
      <c r="AO571" s="8">
        <v>45956</v>
      </c>
      <c r="AP571">
        <v>390</v>
      </c>
      <c r="AQ571" t="s">
        <v>1321</v>
      </c>
      <c r="AR571" t="s">
        <v>12</v>
      </c>
      <c r="AS571" t="str">
        <f>+CONCATENATE(A571,"-",B571)</f>
        <v>(01) Factura FOF1-00000201</v>
      </c>
    </row>
    <row r="572" spans="1:45" ht="15" customHeight="1">
      <c r="A572" t="s">
        <v>216</v>
      </c>
      <c r="B572">
        <v>1316</v>
      </c>
      <c r="C572" t="s">
        <v>27</v>
      </c>
      <c r="D572" s="8">
        <v>45685</v>
      </c>
      <c r="E572" s="22">
        <v>45964</v>
      </c>
      <c r="F572" t="s">
        <v>720</v>
      </c>
      <c r="H572">
        <v>6</v>
      </c>
      <c r="I572">
        <v>20526252200</v>
      </c>
      <c r="J572" t="s">
        <v>2036</v>
      </c>
      <c r="K572" s="8">
        <v>45685</v>
      </c>
      <c r="Q572">
        <v>18621</v>
      </c>
      <c r="R572">
        <v>870</v>
      </c>
      <c r="S572" t="s">
        <v>1299</v>
      </c>
      <c r="T572" t="s">
        <v>215</v>
      </c>
      <c r="U572">
        <v>1</v>
      </c>
      <c r="V572">
        <v>777.2</v>
      </c>
      <c r="W572">
        <v>917.1</v>
      </c>
      <c r="X572">
        <v>0</v>
      </c>
      <c r="Y572">
        <v>777.2</v>
      </c>
      <c r="Z572">
        <v>18</v>
      </c>
      <c r="AA572">
        <v>139.9</v>
      </c>
      <c r="AB572">
        <v>917.1</v>
      </c>
      <c r="AC572">
        <v>1</v>
      </c>
      <c r="AD572">
        <v>1</v>
      </c>
      <c r="AE572" t="s">
        <v>232</v>
      </c>
      <c r="AF572" t="s">
        <v>29</v>
      </c>
      <c r="AG572">
        <v>2</v>
      </c>
      <c r="AH572" t="s">
        <v>25</v>
      </c>
      <c r="AI572">
        <v>1106</v>
      </c>
      <c r="AJ572" t="s">
        <v>239</v>
      </c>
      <c r="AK572" t="s">
        <v>1237</v>
      </c>
      <c r="AP572">
        <v>1134</v>
      </c>
      <c r="AQ572" t="s">
        <v>720</v>
      </c>
      <c r="AR572" t="s">
        <v>12</v>
      </c>
      <c r="AS572" t="str">
        <f>+CONCATENATE(A572,"-",B572)</f>
        <v>FB01-1316</v>
      </c>
    </row>
    <row r="573" spans="1:45" ht="15" customHeight="1">
      <c r="A573" t="s">
        <v>1214</v>
      </c>
      <c r="B573" s="21" t="s">
        <v>207</v>
      </c>
      <c r="C573" t="s">
        <v>27</v>
      </c>
      <c r="D573" s="8">
        <v>45945</v>
      </c>
      <c r="E573" s="22">
        <v>45964.757326388892</v>
      </c>
      <c r="F573" t="s">
        <v>281</v>
      </c>
      <c r="H573">
        <v>1</v>
      </c>
      <c r="I573">
        <v>73252959</v>
      </c>
      <c r="J573" t="s">
        <v>1858</v>
      </c>
      <c r="K573" s="8">
        <v>45945</v>
      </c>
      <c r="Q573">
        <v>31202</v>
      </c>
      <c r="R573">
        <v>1786</v>
      </c>
      <c r="S573" t="s">
        <v>1299</v>
      </c>
      <c r="T573" t="s">
        <v>163</v>
      </c>
      <c r="U573">
        <v>1</v>
      </c>
      <c r="V573">
        <v>785.59</v>
      </c>
      <c r="W573">
        <v>927</v>
      </c>
      <c r="X573">
        <v>0</v>
      </c>
      <c r="Y573">
        <v>785.59</v>
      </c>
      <c r="Z573">
        <v>18</v>
      </c>
      <c r="AA573">
        <v>141.41</v>
      </c>
      <c r="AB573">
        <v>927</v>
      </c>
      <c r="AC573">
        <v>1</v>
      </c>
      <c r="AD573">
        <v>1</v>
      </c>
      <c r="AE573" t="s">
        <v>1411</v>
      </c>
      <c r="AF573" t="s">
        <v>1412</v>
      </c>
      <c r="AG573">
        <v>2</v>
      </c>
      <c r="AH573" t="s">
        <v>25</v>
      </c>
      <c r="AI573">
        <v>1106</v>
      </c>
      <c r="AJ573" t="s">
        <v>239</v>
      </c>
      <c r="AK573" t="s">
        <v>169</v>
      </c>
      <c r="AL573">
        <v>3030</v>
      </c>
      <c r="AM573" t="s">
        <v>1225</v>
      </c>
      <c r="AN573" s="8">
        <v>45934</v>
      </c>
      <c r="AO573" s="8">
        <v>45934</v>
      </c>
      <c r="AP573">
        <v>5605</v>
      </c>
      <c r="AQ573" t="s">
        <v>281</v>
      </c>
      <c r="AR573" t="s">
        <v>1295</v>
      </c>
      <c r="AS573" t="str">
        <f>+CONCATENATE(A573,"-",B573)</f>
        <v>(03) Boleta BOB1-00000020</v>
      </c>
    </row>
    <row r="574" spans="1:45" ht="15" customHeight="1">
      <c r="A574" t="s">
        <v>216</v>
      </c>
      <c r="B574">
        <v>1251</v>
      </c>
      <c r="C574" t="s">
        <v>27</v>
      </c>
      <c r="D574" s="8">
        <v>45665</v>
      </c>
      <c r="E574" s="22">
        <v>45964</v>
      </c>
      <c r="F574" t="s">
        <v>971</v>
      </c>
      <c r="H574">
        <v>6</v>
      </c>
      <c r="I574">
        <v>20604570451</v>
      </c>
      <c r="J574" t="s">
        <v>2131</v>
      </c>
      <c r="K574" s="8">
        <v>45665</v>
      </c>
      <c r="Q574">
        <v>17756</v>
      </c>
      <c r="R574">
        <v>877</v>
      </c>
      <c r="S574" t="s">
        <v>1300</v>
      </c>
      <c r="T574" t="s">
        <v>215</v>
      </c>
      <c r="U574">
        <v>1</v>
      </c>
      <c r="V574">
        <v>788.9</v>
      </c>
      <c r="W574">
        <v>930.9</v>
      </c>
      <c r="X574">
        <v>0</v>
      </c>
      <c r="Y574">
        <v>788.9</v>
      </c>
      <c r="Z574">
        <v>18</v>
      </c>
      <c r="AA574">
        <v>142</v>
      </c>
      <c r="AB574">
        <v>930.9</v>
      </c>
      <c r="AC574">
        <v>1</v>
      </c>
      <c r="AD574">
        <v>1</v>
      </c>
      <c r="AE574" t="s">
        <v>232</v>
      </c>
      <c r="AF574" t="s">
        <v>29</v>
      </c>
      <c r="AG574">
        <v>2</v>
      </c>
      <c r="AH574" t="s">
        <v>25</v>
      </c>
      <c r="AI574">
        <v>1106</v>
      </c>
      <c r="AJ574" t="s">
        <v>239</v>
      </c>
      <c r="AK574" t="s">
        <v>1237</v>
      </c>
      <c r="AP574">
        <v>1127</v>
      </c>
      <c r="AQ574" t="s">
        <v>971</v>
      </c>
      <c r="AR574" t="s">
        <v>12</v>
      </c>
      <c r="AS574" t="str">
        <f>+CONCATENATE(A574,"-",B574)</f>
        <v>FB01-1251</v>
      </c>
    </row>
    <row r="575" spans="1:45" ht="15" customHeight="1">
      <c r="A575" t="s">
        <v>1216</v>
      </c>
      <c r="B575" s="21" t="s">
        <v>1706</v>
      </c>
      <c r="C575" t="s">
        <v>27</v>
      </c>
      <c r="D575" s="8">
        <v>45946</v>
      </c>
      <c r="E575" s="22">
        <v>45964.708761574075</v>
      </c>
      <c r="F575" t="s">
        <v>32</v>
      </c>
      <c r="G575" t="s">
        <v>158</v>
      </c>
      <c r="H575">
        <v>6</v>
      </c>
      <c r="I575">
        <v>20608361074</v>
      </c>
      <c r="J575" t="s">
        <v>1827</v>
      </c>
      <c r="K575" s="8">
        <v>45946</v>
      </c>
      <c r="Q575">
        <v>31310</v>
      </c>
      <c r="R575">
        <v>216</v>
      </c>
      <c r="S575" t="s">
        <v>1300</v>
      </c>
      <c r="T575" t="s">
        <v>163</v>
      </c>
      <c r="U575">
        <v>1</v>
      </c>
      <c r="V575">
        <v>789.66</v>
      </c>
      <c r="W575">
        <v>931.8</v>
      </c>
      <c r="X575">
        <v>0</v>
      </c>
      <c r="Y575">
        <v>789.66</v>
      </c>
      <c r="Z575">
        <v>18</v>
      </c>
      <c r="AA575">
        <v>142.13999999999999</v>
      </c>
      <c r="AB575">
        <v>931.8</v>
      </c>
      <c r="AC575">
        <v>1</v>
      </c>
      <c r="AD575">
        <v>1</v>
      </c>
      <c r="AE575" t="s">
        <v>1411</v>
      </c>
      <c r="AF575" t="s">
        <v>1412</v>
      </c>
      <c r="AG575">
        <v>2</v>
      </c>
      <c r="AH575" t="s">
        <v>25</v>
      </c>
      <c r="AI575">
        <v>6936</v>
      </c>
      <c r="AJ575" t="s">
        <v>1437</v>
      </c>
      <c r="AK575" t="s">
        <v>1433</v>
      </c>
      <c r="AL575">
        <v>3050</v>
      </c>
      <c r="AM575" t="s">
        <v>1818</v>
      </c>
      <c r="AN575" s="8">
        <v>45935</v>
      </c>
      <c r="AO575" s="8">
        <v>45935</v>
      </c>
      <c r="AP575">
        <v>397</v>
      </c>
      <c r="AQ575" t="s">
        <v>32</v>
      </c>
      <c r="AR575" t="s">
        <v>12</v>
      </c>
      <c r="AS575" t="str">
        <f>+CONCATENATE(A575,"-",B575)</f>
        <v>(01) Factura FOF1-00000052</v>
      </c>
    </row>
    <row r="576" spans="1:45" ht="15" customHeight="1">
      <c r="A576" t="s">
        <v>1214</v>
      </c>
      <c r="B576" s="21" t="s">
        <v>1735</v>
      </c>
      <c r="C576" t="s">
        <v>27</v>
      </c>
      <c r="D576" s="8">
        <v>45946</v>
      </c>
      <c r="E576" s="22">
        <v>45964.824108796296</v>
      </c>
      <c r="F576" t="s">
        <v>1732</v>
      </c>
      <c r="H576">
        <v>1</v>
      </c>
      <c r="I576">
        <v>71004910</v>
      </c>
      <c r="J576" t="s">
        <v>1736</v>
      </c>
      <c r="K576" s="8">
        <v>45946</v>
      </c>
      <c r="Q576">
        <v>31524</v>
      </c>
      <c r="R576">
        <v>1786</v>
      </c>
      <c r="S576" t="s">
        <v>1299</v>
      </c>
      <c r="T576" t="s">
        <v>163</v>
      </c>
      <c r="U576">
        <v>1</v>
      </c>
      <c r="V576">
        <v>799.53</v>
      </c>
      <c r="W576">
        <v>943.45</v>
      </c>
      <c r="X576">
        <v>0</v>
      </c>
      <c r="Y576">
        <v>799.53</v>
      </c>
      <c r="Z576">
        <v>18</v>
      </c>
      <c r="AA576">
        <v>143.91999999999999</v>
      </c>
      <c r="AB576">
        <v>943.45</v>
      </c>
      <c r="AC576">
        <v>1</v>
      </c>
      <c r="AD576">
        <v>1</v>
      </c>
      <c r="AE576" t="s">
        <v>1411</v>
      </c>
      <c r="AF576" t="s">
        <v>1412</v>
      </c>
      <c r="AG576">
        <v>2</v>
      </c>
      <c r="AH576" t="s">
        <v>25</v>
      </c>
      <c r="AI576">
        <v>6937</v>
      </c>
      <c r="AJ576" t="s">
        <v>1414</v>
      </c>
      <c r="AK576" t="s">
        <v>1251</v>
      </c>
      <c r="AL576">
        <v>3176</v>
      </c>
      <c r="AM576" t="s">
        <v>1734</v>
      </c>
      <c r="AN576" s="8">
        <v>45938</v>
      </c>
      <c r="AO576" s="8">
        <v>45938</v>
      </c>
      <c r="AP576">
        <v>6085</v>
      </c>
      <c r="AQ576" t="s">
        <v>1522</v>
      </c>
      <c r="AR576" t="s">
        <v>12</v>
      </c>
      <c r="AS576" t="str">
        <f>+CONCATENATE(A576,"-",B576)</f>
        <v>(03) Boleta BOB1-00000049</v>
      </c>
    </row>
    <row r="577" spans="1:45" ht="15" customHeight="1">
      <c r="A577" t="s">
        <v>1216</v>
      </c>
      <c r="B577" s="21" t="s">
        <v>160</v>
      </c>
      <c r="C577" t="s">
        <v>27</v>
      </c>
      <c r="D577" s="8">
        <v>45946</v>
      </c>
      <c r="E577" s="22">
        <v>45964.823240740741</v>
      </c>
      <c r="F577" t="s">
        <v>1522</v>
      </c>
      <c r="H577">
        <v>6</v>
      </c>
      <c r="I577">
        <v>20611536705</v>
      </c>
      <c r="J577" t="s">
        <v>1741</v>
      </c>
      <c r="K577" s="8">
        <v>45946</v>
      </c>
      <c r="Q577">
        <v>31515</v>
      </c>
      <c r="R577">
        <v>1786</v>
      </c>
      <c r="S577" t="s">
        <v>1299</v>
      </c>
      <c r="T577" t="s">
        <v>163</v>
      </c>
      <c r="U577">
        <v>1</v>
      </c>
      <c r="V577">
        <v>799.53</v>
      </c>
      <c r="W577">
        <v>943.45</v>
      </c>
      <c r="X577">
        <v>0</v>
      </c>
      <c r="Y577">
        <v>799.53</v>
      </c>
      <c r="Z577">
        <v>18</v>
      </c>
      <c r="AA577">
        <v>143.91999999999999</v>
      </c>
      <c r="AB577">
        <v>943.45</v>
      </c>
      <c r="AC577">
        <v>1</v>
      </c>
      <c r="AD577">
        <v>1</v>
      </c>
      <c r="AE577" t="s">
        <v>1411</v>
      </c>
      <c r="AF577" t="s">
        <v>1412</v>
      </c>
      <c r="AG577">
        <v>2</v>
      </c>
      <c r="AH577" t="s">
        <v>25</v>
      </c>
      <c r="AI577">
        <v>6937</v>
      </c>
      <c r="AJ577" t="s">
        <v>1414</v>
      </c>
      <c r="AK577" t="s">
        <v>1251</v>
      </c>
      <c r="AL577">
        <v>3176</v>
      </c>
      <c r="AM577" t="s">
        <v>1734</v>
      </c>
      <c r="AN577" s="8">
        <v>45938</v>
      </c>
      <c r="AO577" s="8">
        <v>45938</v>
      </c>
      <c r="AP577">
        <v>6085</v>
      </c>
      <c r="AQ577" t="s">
        <v>1522</v>
      </c>
      <c r="AR577" t="s">
        <v>12</v>
      </c>
      <c r="AS577" t="str">
        <f>+CONCATENATE(A577,"-",B577)</f>
        <v>(01) Factura FOF1-00000104</v>
      </c>
    </row>
    <row r="578" spans="1:45" ht="15" customHeight="1">
      <c r="A578" t="s">
        <v>1238</v>
      </c>
      <c r="B578">
        <v>733</v>
      </c>
      <c r="C578" t="s">
        <v>27</v>
      </c>
      <c r="D578" s="8">
        <v>45693</v>
      </c>
      <c r="E578" s="22">
        <v>45964</v>
      </c>
      <c r="F578" t="s">
        <v>566</v>
      </c>
      <c r="H578">
        <v>1</v>
      </c>
      <c r="I578">
        <v>45273802</v>
      </c>
      <c r="J578" t="s">
        <v>1948</v>
      </c>
      <c r="K578" s="8">
        <v>45693</v>
      </c>
      <c r="Q578">
        <v>18722</v>
      </c>
      <c r="R578">
        <v>877</v>
      </c>
      <c r="S578" t="s">
        <v>1300</v>
      </c>
      <c r="T578" t="s">
        <v>215</v>
      </c>
      <c r="U578">
        <v>1</v>
      </c>
      <c r="V578">
        <v>799.58</v>
      </c>
      <c r="W578">
        <v>943.5</v>
      </c>
      <c r="X578">
        <v>0</v>
      </c>
      <c r="Y578">
        <v>799.58</v>
      </c>
      <c r="Z578">
        <v>18</v>
      </c>
      <c r="AA578">
        <v>143.91999999999999</v>
      </c>
      <c r="AB578">
        <v>943.5</v>
      </c>
      <c r="AC578">
        <v>1</v>
      </c>
      <c r="AD578">
        <v>1</v>
      </c>
      <c r="AE578" t="s">
        <v>232</v>
      </c>
      <c r="AF578" t="s">
        <v>29</v>
      </c>
      <c r="AG578">
        <v>2</v>
      </c>
      <c r="AH578" t="s">
        <v>25</v>
      </c>
      <c r="AI578">
        <v>1106</v>
      </c>
      <c r="AJ578" t="s">
        <v>239</v>
      </c>
      <c r="AK578" t="s">
        <v>1237</v>
      </c>
      <c r="AP578">
        <v>1174</v>
      </c>
      <c r="AQ578" t="s">
        <v>566</v>
      </c>
      <c r="AR578" t="s">
        <v>1295</v>
      </c>
      <c r="AS578" t="str">
        <f>+CONCATENATE(A578,"-",B578)</f>
        <v>BB01-733</v>
      </c>
    </row>
    <row r="579" spans="1:45" ht="15" customHeight="1">
      <c r="A579" t="s">
        <v>1216</v>
      </c>
      <c r="B579" s="21" t="s">
        <v>1404</v>
      </c>
      <c r="C579" t="s">
        <v>27</v>
      </c>
      <c r="D579" s="8">
        <v>45958</v>
      </c>
      <c r="E579" s="22">
        <v>45964.708333333336</v>
      </c>
      <c r="F579" t="s">
        <v>971</v>
      </c>
      <c r="H579">
        <v>6</v>
      </c>
      <c r="I579">
        <v>20604570451</v>
      </c>
      <c r="J579" t="s">
        <v>2688</v>
      </c>
      <c r="K579" s="8">
        <v>45958</v>
      </c>
      <c r="Q579">
        <v>32822</v>
      </c>
      <c r="R579">
        <v>1924</v>
      </c>
      <c r="S579" t="s">
        <v>1405</v>
      </c>
      <c r="T579" t="s">
        <v>215</v>
      </c>
      <c r="U579">
        <v>2000</v>
      </c>
      <c r="V579">
        <v>0.4</v>
      </c>
      <c r="W579">
        <v>0.47</v>
      </c>
      <c r="X579">
        <v>0</v>
      </c>
      <c r="Y579">
        <v>800</v>
      </c>
      <c r="Z579">
        <v>18</v>
      </c>
      <c r="AA579">
        <v>144</v>
      </c>
      <c r="AB579">
        <v>944</v>
      </c>
      <c r="AC579">
        <v>1</v>
      </c>
      <c r="AD579">
        <v>1</v>
      </c>
      <c r="AE579" t="s">
        <v>1411</v>
      </c>
      <c r="AF579" t="s">
        <v>1412</v>
      </c>
      <c r="AG579">
        <v>16</v>
      </c>
      <c r="AH579" t="s">
        <v>1400</v>
      </c>
      <c r="AI579">
        <v>1106</v>
      </c>
      <c r="AJ579" t="s">
        <v>239</v>
      </c>
      <c r="AK579" t="s">
        <v>1406</v>
      </c>
      <c r="AL579">
        <v>3306</v>
      </c>
      <c r="AM579" t="s">
        <v>1403</v>
      </c>
      <c r="AN579" s="8">
        <v>45965</v>
      </c>
      <c r="AO579" s="8">
        <v>45965</v>
      </c>
      <c r="AP579">
        <v>1127</v>
      </c>
      <c r="AQ579" t="s">
        <v>971</v>
      </c>
      <c r="AR579" t="s">
        <v>12</v>
      </c>
      <c r="AS579" t="str">
        <f>+CONCATENATE(A579,"-",B579)</f>
        <v>(01) Factura FOF1-00000191</v>
      </c>
    </row>
    <row r="580" spans="1:45" ht="15" customHeight="1">
      <c r="A580" t="s">
        <v>214</v>
      </c>
      <c r="B580">
        <v>216</v>
      </c>
      <c r="C580" t="s">
        <v>27</v>
      </c>
      <c r="D580" s="8">
        <v>45684</v>
      </c>
      <c r="E580" s="22">
        <v>45964</v>
      </c>
      <c r="F580" t="s">
        <v>34</v>
      </c>
      <c r="H580">
        <v>6</v>
      </c>
      <c r="I580">
        <v>20611018925</v>
      </c>
      <c r="J580" t="s">
        <v>2041</v>
      </c>
      <c r="K580" s="8">
        <v>45684</v>
      </c>
      <c r="Q580">
        <v>18616</v>
      </c>
      <c r="R580">
        <v>945</v>
      </c>
      <c r="S580" t="s">
        <v>1344</v>
      </c>
      <c r="T580" t="s">
        <v>215</v>
      </c>
      <c r="U580">
        <v>1</v>
      </c>
      <c r="V580">
        <v>800</v>
      </c>
      <c r="W580">
        <v>944</v>
      </c>
      <c r="X580">
        <v>0</v>
      </c>
      <c r="Y580">
        <v>800</v>
      </c>
      <c r="Z580">
        <v>18</v>
      </c>
      <c r="AA580">
        <v>144</v>
      </c>
      <c r="AB580">
        <v>944</v>
      </c>
      <c r="AC580">
        <v>1</v>
      </c>
      <c r="AD580">
        <v>1</v>
      </c>
      <c r="AE580" t="s">
        <v>232</v>
      </c>
      <c r="AF580" t="s">
        <v>29</v>
      </c>
      <c r="AG580">
        <v>2</v>
      </c>
      <c r="AH580" t="s">
        <v>25</v>
      </c>
      <c r="AI580">
        <v>1106</v>
      </c>
      <c r="AJ580" t="s">
        <v>239</v>
      </c>
      <c r="AK580" t="s">
        <v>1236</v>
      </c>
      <c r="AP580">
        <v>1128</v>
      </c>
      <c r="AQ580" t="s">
        <v>34</v>
      </c>
      <c r="AR580" t="s">
        <v>12</v>
      </c>
      <c r="AS580" t="str">
        <f>+CONCATENATE(A580,"-",B580)</f>
        <v>FFF1-216</v>
      </c>
    </row>
    <row r="581" spans="1:45" ht="15" customHeight="1">
      <c r="A581" t="s">
        <v>216</v>
      </c>
      <c r="B581">
        <v>1289</v>
      </c>
      <c r="C581" t="s">
        <v>27</v>
      </c>
      <c r="D581" s="8">
        <v>45680</v>
      </c>
      <c r="E581" s="22">
        <v>45964</v>
      </c>
      <c r="F581" t="s">
        <v>415</v>
      </c>
      <c r="H581">
        <v>6</v>
      </c>
      <c r="I581">
        <v>20611890746</v>
      </c>
      <c r="J581" t="s">
        <v>2082</v>
      </c>
      <c r="K581" s="8">
        <v>45680</v>
      </c>
      <c r="Q581">
        <v>17811</v>
      </c>
      <c r="R581">
        <v>927</v>
      </c>
      <c r="S581" s="28" t="s">
        <v>1355</v>
      </c>
      <c r="T581" t="s">
        <v>215</v>
      </c>
      <c r="U581">
        <v>1</v>
      </c>
      <c r="V581">
        <v>800</v>
      </c>
      <c r="W581">
        <v>944</v>
      </c>
      <c r="X581">
        <v>0</v>
      </c>
      <c r="Y581">
        <v>800</v>
      </c>
      <c r="Z581">
        <v>18</v>
      </c>
      <c r="AA581">
        <v>144</v>
      </c>
      <c r="AB581">
        <v>944</v>
      </c>
      <c r="AC581">
        <v>1</v>
      </c>
      <c r="AD581">
        <v>1</v>
      </c>
      <c r="AE581" t="s">
        <v>232</v>
      </c>
      <c r="AF581" t="s">
        <v>29</v>
      </c>
      <c r="AG581">
        <v>2</v>
      </c>
      <c r="AH581" t="s">
        <v>25</v>
      </c>
      <c r="AI581">
        <v>1106</v>
      </c>
      <c r="AJ581" t="s">
        <v>239</v>
      </c>
      <c r="AK581" t="s">
        <v>1236</v>
      </c>
      <c r="AP581">
        <v>1136</v>
      </c>
      <c r="AQ581" t="s">
        <v>415</v>
      </c>
      <c r="AR581" t="s">
        <v>12</v>
      </c>
      <c r="AS581" t="str">
        <f>+CONCATENATE(A581,"-",B581)</f>
        <v>FB01-1289</v>
      </c>
    </row>
    <row r="582" spans="1:45" ht="15" customHeight="1">
      <c r="A582" t="s">
        <v>216</v>
      </c>
      <c r="B582">
        <v>1288</v>
      </c>
      <c r="C582" t="s">
        <v>27</v>
      </c>
      <c r="D582" s="8">
        <v>45680</v>
      </c>
      <c r="E582" s="22">
        <v>45964</v>
      </c>
      <c r="F582" t="s">
        <v>415</v>
      </c>
      <c r="H582">
        <v>6</v>
      </c>
      <c r="I582">
        <v>20611890746</v>
      </c>
      <c r="J582" t="s">
        <v>2083</v>
      </c>
      <c r="K582" s="8">
        <v>45680</v>
      </c>
      <c r="Q582">
        <v>17810</v>
      </c>
      <c r="R582">
        <v>926</v>
      </c>
      <c r="S582" s="28" t="s">
        <v>1356</v>
      </c>
      <c r="T582" t="s">
        <v>215</v>
      </c>
      <c r="U582">
        <v>1</v>
      </c>
      <c r="V582">
        <v>800</v>
      </c>
      <c r="W582">
        <v>944</v>
      </c>
      <c r="X582">
        <v>0</v>
      </c>
      <c r="Y582">
        <v>800</v>
      </c>
      <c r="Z582">
        <v>18</v>
      </c>
      <c r="AA582">
        <v>144</v>
      </c>
      <c r="AB582">
        <v>944</v>
      </c>
      <c r="AC582">
        <v>1</v>
      </c>
      <c r="AD582">
        <v>1</v>
      </c>
      <c r="AE582" t="s">
        <v>232</v>
      </c>
      <c r="AF582" t="s">
        <v>29</v>
      </c>
      <c r="AG582">
        <v>2</v>
      </c>
      <c r="AH582" t="s">
        <v>25</v>
      </c>
      <c r="AI582">
        <v>1106</v>
      </c>
      <c r="AJ582" t="s">
        <v>239</v>
      </c>
      <c r="AK582" t="s">
        <v>1236</v>
      </c>
      <c r="AP582">
        <v>1136</v>
      </c>
      <c r="AQ582" t="s">
        <v>415</v>
      </c>
      <c r="AR582" t="s">
        <v>12</v>
      </c>
      <c r="AS582" t="str">
        <f>+CONCATENATE(A582,"-",B582)</f>
        <v>FB01-1288</v>
      </c>
    </row>
    <row r="583" spans="1:45" ht="15" customHeight="1">
      <c r="A583" t="s">
        <v>216</v>
      </c>
      <c r="B583">
        <v>1287</v>
      </c>
      <c r="C583" t="s">
        <v>27</v>
      </c>
      <c r="D583" s="8">
        <v>45680</v>
      </c>
      <c r="E583" s="22">
        <v>45964</v>
      </c>
      <c r="F583" t="s">
        <v>415</v>
      </c>
      <c r="H583">
        <v>6</v>
      </c>
      <c r="I583">
        <v>20611890746</v>
      </c>
      <c r="J583" t="s">
        <v>2084</v>
      </c>
      <c r="K583" s="8">
        <v>45680</v>
      </c>
      <c r="Q583">
        <v>17809</v>
      </c>
      <c r="R583">
        <v>925</v>
      </c>
      <c r="S583" s="28" t="s">
        <v>1357</v>
      </c>
      <c r="T583" t="s">
        <v>215</v>
      </c>
      <c r="U583">
        <v>1</v>
      </c>
      <c r="V583">
        <v>800</v>
      </c>
      <c r="W583">
        <v>944</v>
      </c>
      <c r="X583">
        <v>0</v>
      </c>
      <c r="Y583">
        <v>800</v>
      </c>
      <c r="Z583">
        <v>18</v>
      </c>
      <c r="AA583">
        <v>144</v>
      </c>
      <c r="AB583">
        <v>944</v>
      </c>
      <c r="AC583">
        <v>1</v>
      </c>
      <c r="AD583">
        <v>1</v>
      </c>
      <c r="AE583" t="s">
        <v>232</v>
      </c>
      <c r="AF583" t="s">
        <v>29</v>
      </c>
      <c r="AG583">
        <v>2</v>
      </c>
      <c r="AH583" t="s">
        <v>25</v>
      </c>
      <c r="AI583">
        <v>1106</v>
      </c>
      <c r="AJ583" t="s">
        <v>239</v>
      </c>
      <c r="AK583" t="s">
        <v>1236</v>
      </c>
      <c r="AP583">
        <v>1136</v>
      </c>
      <c r="AQ583" t="s">
        <v>415</v>
      </c>
      <c r="AR583" t="s">
        <v>12</v>
      </c>
      <c r="AS583" t="str">
        <f>+CONCATENATE(A583,"-",B583)</f>
        <v>FB01-1287</v>
      </c>
    </row>
    <row r="584" spans="1:45" ht="15" customHeight="1">
      <c r="A584" t="s">
        <v>216</v>
      </c>
      <c r="B584">
        <v>1239</v>
      </c>
      <c r="C584" t="s">
        <v>27</v>
      </c>
      <c r="D584" s="8">
        <v>45665</v>
      </c>
      <c r="E584" s="22">
        <v>45964</v>
      </c>
      <c r="F584" t="s">
        <v>415</v>
      </c>
      <c r="H584">
        <v>6</v>
      </c>
      <c r="I584">
        <v>20611890746</v>
      </c>
      <c r="J584" t="s">
        <v>2146</v>
      </c>
      <c r="K584" s="8">
        <v>45665</v>
      </c>
      <c r="Q584">
        <v>17242</v>
      </c>
      <c r="R584">
        <v>898</v>
      </c>
      <c r="S584" s="28" t="s">
        <v>1377</v>
      </c>
      <c r="T584" t="s">
        <v>215</v>
      </c>
      <c r="U584">
        <v>1</v>
      </c>
      <c r="V584">
        <v>800</v>
      </c>
      <c r="W584">
        <v>944</v>
      </c>
      <c r="X584">
        <v>0</v>
      </c>
      <c r="Y584">
        <v>800</v>
      </c>
      <c r="Z584">
        <v>18</v>
      </c>
      <c r="AA584">
        <v>144</v>
      </c>
      <c r="AB584">
        <v>944</v>
      </c>
      <c r="AC584">
        <v>1</v>
      </c>
      <c r="AD584">
        <v>1</v>
      </c>
      <c r="AE584" t="s">
        <v>232</v>
      </c>
      <c r="AF584" t="s">
        <v>29</v>
      </c>
      <c r="AG584">
        <v>2</v>
      </c>
      <c r="AH584" t="s">
        <v>25</v>
      </c>
      <c r="AI584">
        <v>1106</v>
      </c>
      <c r="AJ584" t="s">
        <v>239</v>
      </c>
      <c r="AK584" t="s">
        <v>1236</v>
      </c>
      <c r="AP584">
        <v>1136</v>
      </c>
      <c r="AQ584" t="s">
        <v>415</v>
      </c>
      <c r="AR584" t="s">
        <v>12</v>
      </c>
      <c r="AS584" t="str">
        <f>+CONCATENATE(A584,"-",B584)</f>
        <v>FB01-1239</v>
      </c>
    </row>
    <row r="585" spans="1:45" ht="15" customHeight="1">
      <c r="A585" t="s">
        <v>216</v>
      </c>
      <c r="B585">
        <v>1238</v>
      </c>
      <c r="C585" t="s">
        <v>27</v>
      </c>
      <c r="D585" s="8">
        <v>45665</v>
      </c>
      <c r="E585" s="22">
        <v>45964</v>
      </c>
      <c r="F585" t="s">
        <v>415</v>
      </c>
      <c r="H585">
        <v>6</v>
      </c>
      <c r="I585">
        <v>20611890746</v>
      </c>
      <c r="J585" t="s">
        <v>2147</v>
      </c>
      <c r="K585" s="8">
        <v>45665</v>
      </c>
      <c r="Q585">
        <v>17241</v>
      </c>
      <c r="R585">
        <v>897</v>
      </c>
      <c r="S585" s="28" t="s">
        <v>1378</v>
      </c>
      <c r="T585" t="s">
        <v>215</v>
      </c>
      <c r="U585">
        <v>1</v>
      </c>
      <c r="V585">
        <v>800</v>
      </c>
      <c r="W585">
        <v>944</v>
      </c>
      <c r="X585">
        <v>0</v>
      </c>
      <c r="Y585">
        <v>800</v>
      </c>
      <c r="Z585">
        <v>18</v>
      </c>
      <c r="AA585">
        <v>144</v>
      </c>
      <c r="AB585">
        <v>944</v>
      </c>
      <c r="AC585">
        <v>1</v>
      </c>
      <c r="AD585">
        <v>1</v>
      </c>
      <c r="AE585" t="s">
        <v>232</v>
      </c>
      <c r="AF585" t="s">
        <v>29</v>
      </c>
      <c r="AG585">
        <v>2</v>
      </c>
      <c r="AH585" t="s">
        <v>25</v>
      </c>
      <c r="AI585">
        <v>1106</v>
      </c>
      <c r="AJ585" t="s">
        <v>239</v>
      </c>
      <c r="AK585" t="s">
        <v>1236</v>
      </c>
      <c r="AP585">
        <v>1136</v>
      </c>
      <c r="AQ585" t="s">
        <v>415</v>
      </c>
      <c r="AR585" t="s">
        <v>12</v>
      </c>
      <c r="AS585" t="str">
        <f>+CONCATENATE(A585,"-",B585)</f>
        <v>FB01-1238</v>
      </c>
    </row>
    <row r="586" spans="1:45" ht="15" customHeight="1">
      <c r="A586" t="s">
        <v>216</v>
      </c>
      <c r="B586">
        <v>1237</v>
      </c>
      <c r="C586" t="s">
        <v>27</v>
      </c>
      <c r="D586" s="8">
        <v>45665</v>
      </c>
      <c r="E586" s="22">
        <v>45964</v>
      </c>
      <c r="F586" t="s">
        <v>415</v>
      </c>
      <c r="H586">
        <v>6</v>
      </c>
      <c r="I586">
        <v>20611890746</v>
      </c>
      <c r="J586" t="s">
        <v>2148</v>
      </c>
      <c r="K586" s="8">
        <v>45665</v>
      </c>
      <c r="Q586">
        <v>17240</v>
      </c>
      <c r="R586">
        <v>896</v>
      </c>
      <c r="S586" s="28" t="s">
        <v>1379</v>
      </c>
      <c r="T586" t="s">
        <v>215</v>
      </c>
      <c r="U586">
        <v>1</v>
      </c>
      <c r="V586">
        <v>800</v>
      </c>
      <c r="W586">
        <v>944</v>
      </c>
      <c r="X586">
        <v>0</v>
      </c>
      <c r="Y586">
        <v>800</v>
      </c>
      <c r="Z586">
        <v>18</v>
      </c>
      <c r="AA586">
        <v>144</v>
      </c>
      <c r="AB586">
        <v>944</v>
      </c>
      <c r="AC586">
        <v>1</v>
      </c>
      <c r="AD586">
        <v>1</v>
      </c>
      <c r="AE586" t="s">
        <v>232</v>
      </c>
      <c r="AF586" t="s">
        <v>29</v>
      </c>
      <c r="AG586">
        <v>2</v>
      </c>
      <c r="AH586" t="s">
        <v>25</v>
      </c>
      <c r="AI586">
        <v>1106</v>
      </c>
      <c r="AJ586" t="s">
        <v>239</v>
      </c>
      <c r="AK586" t="s">
        <v>1236</v>
      </c>
      <c r="AP586">
        <v>1136</v>
      </c>
      <c r="AQ586" t="s">
        <v>415</v>
      </c>
      <c r="AR586" t="s">
        <v>12</v>
      </c>
      <c r="AS586" t="str">
        <f>+CONCATENATE(A586,"-",B586)</f>
        <v>FB01-1237</v>
      </c>
    </row>
    <row r="587" spans="1:45" ht="15" customHeight="1">
      <c r="A587" t="s">
        <v>1214</v>
      </c>
      <c r="B587" s="21" t="s">
        <v>1678</v>
      </c>
      <c r="C587" t="s">
        <v>27</v>
      </c>
      <c r="D587" s="8">
        <v>45959</v>
      </c>
      <c r="E587" s="22">
        <v>45964.708796296298</v>
      </c>
      <c r="F587" t="s">
        <v>2444</v>
      </c>
      <c r="H587">
        <v>1</v>
      </c>
      <c r="I587">
        <v>70332314</v>
      </c>
      <c r="J587" t="s">
        <v>2646</v>
      </c>
      <c r="K587" s="8">
        <v>45959</v>
      </c>
      <c r="Q587">
        <v>32988</v>
      </c>
      <c r="R587">
        <v>1786</v>
      </c>
      <c r="S587" t="s">
        <v>1299</v>
      </c>
      <c r="T587" t="s">
        <v>163</v>
      </c>
      <c r="U587">
        <v>1</v>
      </c>
      <c r="V587">
        <v>801.02</v>
      </c>
      <c r="W587">
        <v>945.2</v>
      </c>
      <c r="X587">
        <v>0</v>
      </c>
      <c r="Y587">
        <v>801.02</v>
      </c>
      <c r="Z587">
        <v>18</v>
      </c>
      <c r="AA587">
        <v>144.18</v>
      </c>
      <c r="AB587">
        <v>945.2</v>
      </c>
      <c r="AC587">
        <v>1</v>
      </c>
      <c r="AD587">
        <v>1</v>
      </c>
      <c r="AE587" t="s">
        <v>1411</v>
      </c>
      <c r="AF587" t="s">
        <v>1412</v>
      </c>
      <c r="AG587">
        <v>2</v>
      </c>
      <c r="AH587" t="s">
        <v>25</v>
      </c>
      <c r="AI587">
        <v>6937</v>
      </c>
      <c r="AJ587" t="s">
        <v>1414</v>
      </c>
      <c r="AK587" t="s">
        <v>1251</v>
      </c>
      <c r="AL587">
        <v>3174</v>
      </c>
      <c r="AM587" t="s">
        <v>2473</v>
      </c>
      <c r="AN587" s="8">
        <v>45954</v>
      </c>
      <c r="AO587" s="8">
        <v>45954</v>
      </c>
      <c r="AP587">
        <v>6074</v>
      </c>
      <c r="AQ587" t="s">
        <v>2444</v>
      </c>
      <c r="AR587" t="s">
        <v>1295</v>
      </c>
      <c r="AS587" t="str">
        <f>+CONCATENATE(A587,"-",B587)</f>
        <v>(03) Boleta BOB1-00000120</v>
      </c>
    </row>
    <row r="588" spans="1:45" ht="15" customHeight="1">
      <c r="A588" t="s">
        <v>1216</v>
      </c>
      <c r="B588" s="21" t="s">
        <v>1438</v>
      </c>
      <c r="C588" t="s">
        <v>27</v>
      </c>
      <c r="D588" s="8">
        <v>45946</v>
      </c>
      <c r="E588" s="22">
        <v>45964.799571759257</v>
      </c>
      <c r="F588" t="s">
        <v>307</v>
      </c>
      <c r="H588">
        <v>6</v>
      </c>
      <c r="I588">
        <v>20509594903</v>
      </c>
      <c r="J588" t="s">
        <v>1763</v>
      </c>
      <c r="K588" s="8">
        <v>45946</v>
      </c>
      <c r="Q588">
        <v>31479</v>
      </c>
      <c r="R588">
        <v>216</v>
      </c>
      <c r="S588" t="s">
        <v>1300</v>
      </c>
      <c r="T588" t="s">
        <v>163</v>
      </c>
      <c r="U588">
        <v>1</v>
      </c>
      <c r="V588">
        <v>820.51</v>
      </c>
      <c r="W588">
        <v>968.2</v>
      </c>
      <c r="X588">
        <v>0</v>
      </c>
      <c r="Y588">
        <v>820.51</v>
      </c>
      <c r="Z588">
        <v>18</v>
      </c>
      <c r="AA588">
        <v>147.69</v>
      </c>
      <c r="AB588">
        <v>968.2</v>
      </c>
      <c r="AC588">
        <v>1</v>
      </c>
      <c r="AD588">
        <v>1</v>
      </c>
      <c r="AE588" t="s">
        <v>1411</v>
      </c>
      <c r="AF588" t="s">
        <v>1412</v>
      </c>
      <c r="AG588">
        <v>2</v>
      </c>
      <c r="AH588" t="s">
        <v>25</v>
      </c>
      <c r="AI588">
        <v>6936</v>
      </c>
      <c r="AJ588" t="s">
        <v>1437</v>
      </c>
      <c r="AK588" t="s">
        <v>1433</v>
      </c>
      <c r="AL588">
        <v>3182</v>
      </c>
      <c r="AM588" t="s">
        <v>1762</v>
      </c>
      <c r="AN588" s="8">
        <v>45939</v>
      </c>
      <c r="AO588" s="8">
        <v>45939</v>
      </c>
      <c r="AP588">
        <v>5251</v>
      </c>
      <c r="AQ588" t="s">
        <v>307</v>
      </c>
      <c r="AR588" t="s">
        <v>12</v>
      </c>
      <c r="AS588" t="str">
        <f>+CONCATENATE(A588,"-",B588)</f>
        <v>(01) Factura FOF1-00000096</v>
      </c>
    </row>
    <row r="589" spans="1:45" ht="15" customHeight="1">
      <c r="A589" t="s">
        <v>1238</v>
      </c>
      <c r="B589">
        <v>701</v>
      </c>
      <c r="C589" t="s">
        <v>27</v>
      </c>
      <c r="D589" s="8">
        <v>45685</v>
      </c>
      <c r="E589" s="22">
        <v>45964</v>
      </c>
      <c r="F589" t="s">
        <v>742</v>
      </c>
      <c r="H589">
        <v>1</v>
      </c>
      <c r="I589">
        <v>74630652</v>
      </c>
      <c r="J589" t="s">
        <v>2030</v>
      </c>
      <c r="K589" s="8">
        <v>45685</v>
      </c>
      <c r="Q589">
        <v>18627</v>
      </c>
      <c r="R589">
        <v>870</v>
      </c>
      <c r="S589" t="s">
        <v>1299</v>
      </c>
      <c r="T589" t="s">
        <v>215</v>
      </c>
      <c r="U589">
        <v>1</v>
      </c>
      <c r="V589">
        <v>824.87</v>
      </c>
      <c r="W589">
        <v>973.35</v>
      </c>
      <c r="X589">
        <v>0</v>
      </c>
      <c r="Y589">
        <v>824.87</v>
      </c>
      <c r="Z589">
        <v>18</v>
      </c>
      <c r="AA589">
        <v>148.47999999999999</v>
      </c>
      <c r="AB589">
        <v>973.35</v>
      </c>
      <c r="AC589">
        <v>1</v>
      </c>
      <c r="AD589">
        <v>1</v>
      </c>
      <c r="AE589" t="s">
        <v>232</v>
      </c>
      <c r="AF589" t="s">
        <v>29</v>
      </c>
      <c r="AG589">
        <v>2</v>
      </c>
      <c r="AH589" t="s">
        <v>25</v>
      </c>
      <c r="AI589">
        <v>1106</v>
      </c>
      <c r="AJ589" t="s">
        <v>239</v>
      </c>
      <c r="AK589" t="s">
        <v>1237</v>
      </c>
      <c r="AP589">
        <v>1168</v>
      </c>
      <c r="AQ589" t="s">
        <v>742</v>
      </c>
      <c r="AR589" t="s">
        <v>1295</v>
      </c>
      <c r="AS589" t="str">
        <f>+CONCATENATE(A589,"-",B589)</f>
        <v>BB01-701</v>
      </c>
    </row>
    <row r="590" spans="1:45" ht="15" customHeight="1">
      <c r="A590" t="s">
        <v>214</v>
      </c>
      <c r="B590">
        <v>218</v>
      </c>
      <c r="C590" t="s">
        <v>27</v>
      </c>
      <c r="D590" s="8">
        <v>45691</v>
      </c>
      <c r="E590" s="22">
        <v>45964</v>
      </c>
      <c r="F590" t="s">
        <v>376</v>
      </c>
      <c r="H590">
        <v>6</v>
      </c>
      <c r="I590">
        <v>20611066971</v>
      </c>
      <c r="J590" t="s">
        <v>1975</v>
      </c>
      <c r="K590" s="8">
        <v>45691</v>
      </c>
      <c r="Q590">
        <v>18690</v>
      </c>
      <c r="R590">
        <v>960</v>
      </c>
      <c r="S590" t="s">
        <v>1258</v>
      </c>
      <c r="T590" t="s">
        <v>215</v>
      </c>
      <c r="U590">
        <v>1</v>
      </c>
      <c r="V590">
        <v>830</v>
      </c>
      <c r="W590">
        <v>979.4</v>
      </c>
      <c r="X590">
        <v>0</v>
      </c>
      <c r="Y590">
        <v>830</v>
      </c>
      <c r="Z590">
        <v>18</v>
      </c>
      <c r="AA590">
        <v>149.4</v>
      </c>
      <c r="AB590">
        <v>979.4</v>
      </c>
      <c r="AC590">
        <v>1</v>
      </c>
      <c r="AD590">
        <v>1</v>
      </c>
      <c r="AE590" t="s">
        <v>232</v>
      </c>
      <c r="AF590" t="s">
        <v>29</v>
      </c>
      <c r="AG590">
        <v>2</v>
      </c>
      <c r="AH590" t="s">
        <v>25</v>
      </c>
      <c r="AI590">
        <v>1106</v>
      </c>
      <c r="AJ590" t="s">
        <v>239</v>
      </c>
      <c r="AK590" t="s">
        <v>1236</v>
      </c>
      <c r="AP590">
        <v>1151</v>
      </c>
      <c r="AQ590" t="s">
        <v>376</v>
      </c>
      <c r="AR590" t="s">
        <v>12</v>
      </c>
      <c r="AS590" t="str">
        <f>+CONCATENATE(A590,"-",B590)</f>
        <v>FFF1-218</v>
      </c>
    </row>
    <row r="591" spans="1:45" ht="15" customHeight="1">
      <c r="A591" t="s">
        <v>1214</v>
      </c>
      <c r="B591" s="21" t="s">
        <v>1495</v>
      </c>
      <c r="C591" t="s">
        <v>27</v>
      </c>
      <c r="D591" s="8">
        <v>45954</v>
      </c>
      <c r="E591" s="22">
        <v>45964.57707175926</v>
      </c>
      <c r="F591" t="s">
        <v>1496</v>
      </c>
      <c r="H591">
        <v>1</v>
      </c>
      <c r="I591">
        <v>46029487</v>
      </c>
      <c r="J591" t="s">
        <v>1497</v>
      </c>
      <c r="K591" s="8">
        <v>45954</v>
      </c>
      <c r="Q591">
        <v>32527</v>
      </c>
      <c r="R591">
        <v>1786</v>
      </c>
      <c r="S591" t="s">
        <v>1299</v>
      </c>
      <c r="T591" t="s">
        <v>163</v>
      </c>
      <c r="U591">
        <v>1</v>
      </c>
      <c r="V591">
        <v>836.27</v>
      </c>
      <c r="W591">
        <v>986.8</v>
      </c>
      <c r="X591">
        <v>0</v>
      </c>
      <c r="Y591">
        <v>836.27</v>
      </c>
      <c r="Z591">
        <v>18</v>
      </c>
      <c r="AA591">
        <v>150.53</v>
      </c>
      <c r="AB591">
        <v>986.8</v>
      </c>
      <c r="AC591">
        <v>1</v>
      </c>
      <c r="AD591">
        <v>1</v>
      </c>
      <c r="AE591" t="s">
        <v>1411</v>
      </c>
      <c r="AF591" t="s">
        <v>1412</v>
      </c>
      <c r="AG591">
        <v>2</v>
      </c>
      <c r="AH591" t="s">
        <v>25</v>
      </c>
      <c r="AI591">
        <v>6937</v>
      </c>
      <c r="AJ591" t="s">
        <v>1414</v>
      </c>
      <c r="AK591" t="s">
        <v>1251</v>
      </c>
      <c r="AL591">
        <v>2912</v>
      </c>
      <c r="AM591" t="s">
        <v>1498</v>
      </c>
      <c r="AN591" s="8">
        <v>45947</v>
      </c>
      <c r="AO591" s="8">
        <v>45947</v>
      </c>
      <c r="AP591">
        <v>5088</v>
      </c>
      <c r="AQ591" t="s">
        <v>1496</v>
      </c>
      <c r="AR591" t="s">
        <v>1295</v>
      </c>
      <c r="AS591" t="str">
        <f>+CONCATENATE(A591,"-",B591)</f>
        <v>(03) Boleta BOB1-00000085</v>
      </c>
    </row>
    <row r="592" spans="1:45" ht="15" customHeight="1">
      <c r="A592" t="s">
        <v>1214</v>
      </c>
      <c r="B592" s="21" t="s">
        <v>1546</v>
      </c>
      <c r="C592" t="s">
        <v>27</v>
      </c>
      <c r="D592" s="8">
        <v>45961</v>
      </c>
      <c r="E592" s="22">
        <v>45964.423090277778</v>
      </c>
      <c r="F592" t="s">
        <v>1031</v>
      </c>
      <c r="H592">
        <v>1</v>
      </c>
      <c r="I592" s="21" t="s">
        <v>2438</v>
      </c>
      <c r="J592" t="s">
        <v>2602</v>
      </c>
      <c r="K592" s="8">
        <v>45961</v>
      </c>
      <c r="Q592">
        <v>33172</v>
      </c>
      <c r="R592">
        <v>2315</v>
      </c>
      <c r="S592" t="s">
        <v>1304</v>
      </c>
      <c r="T592" t="s">
        <v>163</v>
      </c>
      <c r="U592">
        <v>1</v>
      </c>
      <c r="V592">
        <v>847.46</v>
      </c>
      <c r="W592">
        <v>1000</v>
      </c>
      <c r="X592">
        <v>0</v>
      </c>
      <c r="Y592">
        <v>847.46</v>
      </c>
      <c r="Z592">
        <v>18</v>
      </c>
      <c r="AA592">
        <v>152.54</v>
      </c>
      <c r="AB592">
        <v>1000</v>
      </c>
      <c r="AC592">
        <v>1</v>
      </c>
      <c r="AD592">
        <v>1</v>
      </c>
      <c r="AE592" t="s">
        <v>1411</v>
      </c>
      <c r="AF592" t="s">
        <v>1412</v>
      </c>
      <c r="AG592">
        <v>2</v>
      </c>
      <c r="AH592" t="s">
        <v>25</v>
      </c>
      <c r="AI592">
        <v>6959</v>
      </c>
      <c r="AJ592" t="s">
        <v>1401</v>
      </c>
      <c r="AK592" t="s">
        <v>1243</v>
      </c>
      <c r="AL592">
        <v>3319</v>
      </c>
      <c r="AM592" t="s">
        <v>2439</v>
      </c>
      <c r="AN592" s="8">
        <v>45957</v>
      </c>
      <c r="AO592" s="8">
        <v>45957</v>
      </c>
      <c r="AP592">
        <v>5710</v>
      </c>
      <c r="AQ592" t="s">
        <v>1031</v>
      </c>
      <c r="AR592" t="s">
        <v>1295</v>
      </c>
      <c r="AS592" t="str">
        <f>+CONCATENATE(A592,"-",B592)</f>
        <v>(03) Boleta BOB1-00000154</v>
      </c>
    </row>
    <row r="593" spans="1:45" ht="15" customHeight="1">
      <c r="A593" t="s">
        <v>1214</v>
      </c>
      <c r="B593" s="21" t="s">
        <v>1721</v>
      </c>
      <c r="C593" t="s">
        <v>27</v>
      </c>
      <c r="D593" s="8">
        <v>45959</v>
      </c>
      <c r="E593" s="22">
        <v>45964.646122685182</v>
      </c>
      <c r="F593" t="s">
        <v>1151</v>
      </c>
      <c r="G593" t="s">
        <v>158</v>
      </c>
      <c r="H593">
        <v>1</v>
      </c>
      <c r="I593">
        <v>44413438</v>
      </c>
      <c r="J593" t="s">
        <v>2658</v>
      </c>
      <c r="K593" s="8">
        <v>45959</v>
      </c>
      <c r="Q593">
        <v>32935</v>
      </c>
      <c r="R593">
        <v>2315</v>
      </c>
      <c r="S593" t="s">
        <v>1304</v>
      </c>
      <c r="T593" t="s">
        <v>163</v>
      </c>
      <c r="U593">
        <v>1</v>
      </c>
      <c r="V593">
        <v>847.46</v>
      </c>
      <c r="W593">
        <v>1000</v>
      </c>
      <c r="X593">
        <v>0</v>
      </c>
      <c r="Y593">
        <v>847.46</v>
      </c>
      <c r="Z593">
        <v>18</v>
      </c>
      <c r="AA593">
        <v>152.54</v>
      </c>
      <c r="AB593">
        <v>1000</v>
      </c>
      <c r="AC593">
        <v>1</v>
      </c>
      <c r="AD593">
        <v>1</v>
      </c>
      <c r="AE593" t="s">
        <v>1411</v>
      </c>
      <c r="AF593" t="s">
        <v>1412</v>
      </c>
      <c r="AG593">
        <v>2</v>
      </c>
      <c r="AH593" t="s">
        <v>25</v>
      </c>
      <c r="AI593">
        <v>6959</v>
      </c>
      <c r="AJ593" t="s">
        <v>1401</v>
      </c>
      <c r="AK593" t="s">
        <v>1243</v>
      </c>
      <c r="AL593">
        <v>3074</v>
      </c>
      <c r="AM593" t="s">
        <v>2482</v>
      </c>
      <c r="AN593" s="8">
        <v>45955</v>
      </c>
      <c r="AO593" s="8">
        <v>45955</v>
      </c>
      <c r="AP593">
        <v>405</v>
      </c>
      <c r="AQ593" t="s">
        <v>1151</v>
      </c>
      <c r="AR593" t="s">
        <v>1295</v>
      </c>
      <c r="AS593" t="str">
        <f>+CONCATENATE(A593,"-",B593)</f>
        <v>(03) Boleta BOB1-00000110</v>
      </c>
    </row>
    <row r="594" spans="1:45" ht="15" customHeight="1">
      <c r="A594" t="s">
        <v>1214</v>
      </c>
      <c r="B594" s="21" t="s">
        <v>1579</v>
      </c>
      <c r="C594" t="s">
        <v>27</v>
      </c>
      <c r="D594" s="8">
        <v>45960</v>
      </c>
      <c r="E594" s="22">
        <v>45964.600185185183</v>
      </c>
      <c r="F594" t="s">
        <v>2444</v>
      </c>
      <c r="H594">
        <v>1</v>
      </c>
      <c r="I594">
        <v>70332314</v>
      </c>
      <c r="J594" t="s">
        <v>2614</v>
      </c>
      <c r="K594" s="8">
        <v>45960</v>
      </c>
      <c r="Q594">
        <v>33126</v>
      </c>
      <c r="R594">
        <v>216</v>
      </c>
      <c r="S594" t="s">
        <v>1300</v>
      </c>
      <c r="T594" t="s">
        <v>163</v>
      </c>
      <c r="U594">
        <v>1</v>
      </c>
      <c r="V594">
        <v>862.54</v>
      </c>
      <c r="W594">
        <v>1017.8</v>
      </c>
      <c r="X594">
        <v>0</v>
      </c>
      <c r="Y594">
        <v>862.54</v>
      </c>
      <c r="Z594">
        <v>18</v>
      </c>
      <c r="AA594">
        <v>155.26</v>
      </c>
      <c r="AB594">
        <v>1017.8</v>
      </c>
      <c r="AC594">
        <v>1</v>
      </c>
      <c r="AD594">
        <v>1</v>
      </c>
      <c r="AE594" t="s">
        <v>1411</v>
      </c>
      <c r="AF594" t="s">
        <v>1412</v>
      </c>
      <c r="AG594">
        <v>2</v>
      </c>
      <c r="AH594" t="s">
        <v>25</v>
      </c>
      <c r="AI594">
        <v>6936</v>
      </c>
      <c r="AJ594" t="s">
        <v>1437</v>
      </c>
      <c r="AK594" t="s">
        <v>1433</v>
      </c>
      <c r="AL594">
        <v>3260</v>
      </c>
      <c r="AM594" t="s">
        <v>2445</v>
      </c>
      <c r="AN594" s="8">
        <v>45956</v>
      </c>
      <c r="AO594" s="8">
        <v>45956</v>
      </c>
      <c r="AP594">
        <v>6074</v>
      </c>
      <c r="AQ594" t="s">
        <v>2444</v>
      </c>
      <c r="AR594" t="s">
        <v>1295</v>
      </c>
      <c r="AS594" t="str">
        <f>+CONCATENATE(A594,"-",B594)</f>
        <v>(03) Boleta BOB1-00000142</v>
      </c>
    </row>
    <row r="595" spans="1:45" ht="15" customHeight="1">
      <c r="A595" t="s">
        <v>216</v>
      </c>
      <c r="B595">
        <v>1332</v>
      </c>
      <c r="C595" t="s">
        <v>27</v>
      </c>
      <c r="D595" s="8">
        <v>45685</v>
      </c>
      <c r="E595" s="22">
        <v>45964</v>
      </c>
      <c r="F595" t="s">
        <v>415</v>
      </c>
      <c r="H595">
        <v>6</v>
      </c>
      <c r="I595">
        <v>20611890746</v>
      </c>
      <c r="J595" t="s">
        <v>2018</v>
      </c>
      <c r="K595" s="8">
        <v>45685</v>
      </c>
      <c r="Q595">
        <v>18645</v>
      </c>
      <c r="R595">
        <v>877</v>
      </c>
      <c r="S595" t="s">
        <v>1300</v>
      </c>
      <c r="T595" t="s">
        <v>215</v>
      </c>
      <c r="U595">
        <v>1</v>
      </c>
      <c r="V595">
        <v>872.71</v>
      </c>
      <c r="W595">
        <v>1029.8</v>
      </c>
      <c r="X595">
        <v>0</v>
      </c>
      <c r="Y595">
        <v>872.71</v>
      </c>
      <c r="Z595">
        <v>18</v>
      </c>
      <c r="AA595">
        <v>157.09</v>
      </c>
      <c r="AB595">
        <v>1029.8</v>
      </c>
      <c r="AC595">
        <v>1</v>
      </c>
      <c r="AD595">
        <v>1</v>
      </c>
      <c r="AE595" t="s">
        <v>232</v>
      </c>
      <c r="AF595" t="s">
        <v>29</v>
      </c>
      <c r="AG595">
        <v>2</v>
      </c>
      <c r="AH595" t="s">
        <v>25</v>
      </c>
      <c r="AI595">
        <v>1106</v>
      </c>
      <c r="AJ595" t="s">
        <v>239</v>
      </c>
      <c r="AK595" t="s">
        <v>1237</v>
      </c>
      <c r="AP595">
        <v>1136</v>
      </c>
      <c r="AQ595" t="s">
        <v>415</v>
      </c>
      <c r="AR595" t="s">
        <v>12</v>
      </c>
      <c r="AS595" t="str">
        <f>+CONCATENATE(A595,"-",B595)</f>
        <v>FB01-1332</v>
      </c>
    </row>
    <row r="596" spans="1:45" ht="15" customHeight="1">
      <c r="A596" t="s">
        <v>1214</v>
      </c>
      <c r="B596" s="21" t="s">
        <v>1435</v>
      </c>
      <c r="C596" t="s">
        <v>27</v>
      </c>
      <c r="D596" s="8">
        <v>45954</v>
      </c>
      <c r="E596" s="22">
        <v>45964.622557870367</v>
      </c>
      <c r="F596" t="s">
        <v>526</v>
      </c>
      <c r="H596">
        <v>1</v>
      </c>
      <c r="I596">
        <v>19889371</v>
      </c>
      <c r="J596" t="s">
        <v>1436</v>
      </c>
      <c r="K596" s="8">
        <v>45954</v>
      </c>
      <c r="Q596">
        <v>32614</v>
      </c>
      <c r="R596">
        <v>216</v>
      </c>
      <c r="S596" t="s">
        <v>1300</v>
      </c>
      <c r="T596" t="s">
        <v>163</v>
      </c>
      <c r="U596">
        <v>1</v>
      </c>
      <c r="V596">
        <v>873.19</v>
      </c>
      <c r="W596">
        <v>1030.3599999999999</v>
      </c>
      <c r="X596">
        <v>0</v>
      </c>
      <c r="Y596">
        <v>873.19</v>
      </c>
      <c r="Z596">
        <v>18</v>
      </c>
      <c r="AA596">
        <v>157.16999999999999</v>
      </c>
      <c r="AB596">
        <v>1030.3599999999999</v>
      </c>
      <c r="AC596">
        <v>1</v>
      </c>
      <c r="AD596">
        <v>1</v>
      </c>
      <c r="AE596" t="s">
        <v>1411</v>
      </c>
      <c r="AF596" t="s">
        <v>1412</v>
      </c>
      <c r="AG596">
        <v>2</v>
      </c>
      <c r="AH596" t="s">
        <v>25</v>
      </c>
      <c r="AI596">
        <v>6936</v>
      </c>
      <c r="AJ596" t="s">
        <v>1437</v>
      </c>
      <c r="AK596" t="s">
        <v>1433</v>
      </c>
      <c r="AL596">
        <v>3023</v>
      </c>
      <c r="AM596" t="s">
        <v>1434</v>
      </c>
      <c r="AN596" s="8">
        <v>45941</v>
      </c>
      <c r="AO596" s="8">
        <v>45941</v>
      </c>
      <c r="AP596">
        <v>418</v>
      </c>
      <c r="AQ596" t="s">
        <v>1318</v>
      </c>
      <c r="AR596" t="s">
        <v>1295</v>
      </c>
      <c r="AS596" t="str">
        <f>+CONCATENATE(A596,"-",B596)</f>
        <v>(03) Boleta BOB1-00000097</v>
      </c>
    </row>
    <row r="597" spans="1:45" ht="15" customHeight="1">
      <c r="A597" t="s">
        <v>1214</v>
      </c>
      <c r="B597" s="21" t="s">
        <v>1444</v>
      </c>
      <c r="C597" t="s">
        <v>27</v>
      </c>
      <c r="D597" s="8">
        <v>45954</v>
      </c>
      <c r="E597" s="22">
        <v>45964.621122685188</v>
      </c>
      <c r="F597" t="s">
        <v>519</v>
      </c>
      <c r="H597">
        <v>1</v>
      </c>
      <c r="I597">
        <v>19941551</v>
      </c>
      <c r="J597" t="s">
        <v>1445</v>
      </c>
      <c r="K597" s="8">
        <v>45954</v>
      </c>
      <c r="Q597">
        <v>32602</v>
      </c>
      <c r="R597">
        <v>216</v>
      </c>
      <c r="S597" t="s">
        <v>1300</v>
      </c>
      <c r="T597" t="s">
        <v>163</v>
      </c>
      <c r="U597">
        <v>1</v>
      </c>
      <c r="V597">
        <v>873.19</v>
      </c>
      <c r="W597">
        <v>1030.3599999999999</v>
      </c>
      <c r="X597">
        <v>0</v>
      </c>
      <c r="Y597">
        <v>873.19</v>
      </c>
      <c r="Z597">
        <v>18</v>
      </c>
      <c r="AA597">
        <v>157.16999999999999</v>
      </c>
      <c r="AB597">
        <v>1030.3599999999999</v>
      </c>
      <c r="AC597">
        <v>1</v>
      </c>
      <c r="AD597">
        <v>1</v>
      </c>
      <c r="AE597" t="s">
        <v>1411</v>
      </c>
      <c r="AF597" t="s">
        <v>1412</v>
      </c>
      <c r="AG597">
        <v>2</v>
      </c>
      <c r="AH597" t="s">
        <v>25</v>
      </c>
      <c r="AI597">
        <v>6936</v>
      </c>
      <c r="AJ597" t="s">
        <v>1437</v>
      </c>
      <c r="AK597" t="s">
        <v>1433</v>
      </c>
      <c r="AL597">
        <v>3023</v>
      </c>
      <c r="AM597" t="s">
        <v>1434</v>
      </c>
      <c r="AN597" s="8">
        <v>45941</v>
      </c>
      <c r="AO597" s="8">
        <v>45941</v>
      </c>
      <c r="AP597">
        <v>418</v>
      </c>
      <c r="AQ597" t="s">
        <v>1318</v>
      </c>
      <c r="AR597" t="s">
        <v>1295</v>
      </c>
      <c r="AS597" t="str">
        <f>+CONCATENATE(A597,"-",B597)</f>
        <v>(03) Boleta BOB1-00000093</v>
      </c>
    </row>
    <row r="598" spans="1:45" ht="15" customHeight="1">
      <c r="A598" t="s">
        <v>1214</v>
      </c>
      <c r="B598" s="21" t="s">
        <v>1499</v>
      </c>
      <c r="C598" t="s">
        <v>27</v>
      </c>
      <c r="D598" s="8">
        <v>45954</v>
      </c>
      <c r="E598" s="22">
        <v>45964.576863425929</v>
      </c>
      <c r="F598" t="s">
        <v>1496</v>
      </c>
      <c r="H598">
        <v>1</v>
      </c>
      <c r="I598">
        <v>46029487</v>
      </c>
      <c r="J598" t="s">
        <v>1500</v>
      </c>
      <c r="K598" s="8">
        <v>45954</v>
      </c>
      <c r="Q598">
        <v>32524</v>
      </c>
      <c r="R598">
        <v>216</v>
      </c>
      <c r="S598" t="s">
        <v>1300</v>
      </c>
      <c r="T598" t="s">
        <v>163</v>
      </c>
      <c r="U598">
        <v>1</v>
      </c>
      <c r="V598">
        <v>881.36</v>
      </c>
      <c r="W598">
        <v>1040</v>
      </c>
      <c r="X598">
        <v>0</v>
      </c>
      <c r="Y598">
        <v>881.36</v>
      </c>
      <c r="Z598">
        <v>18</v>
      </c>
      <c r="AA598">
        <v>158.63999999999999</v>
      </c>
      <c r="AB598">
        <v>1040</v>
      </c>
      <c r="AC598">
        <v>1</v>
      </c>
      <c r="AD598">
        <v>1</v>
      </c>
      <c r="AE598" t="s">
        <v>1411</v>
      </c>
      <c r="AF598" t="s">
        <v>1412</v>
      </c>
      <c r="AG598">
        <v>2</v>
      </c>
      <c r="AH598" t="s">
        <v>25</v>
      </c>
      <c r="AI598">
        <v>6936</v>
      </c>
      <c r="AJ598" t="s">
        <v>1437</v>
      </c>
      <c r="AK598" t="s">
        <v>1433</v>
      </c>
      <c r="AL598">
        <v>2912</v>
      </c>
      <c r="AM598" t="s">
        <v>1498</v>
      </c>
      <c r="AN598" s="8">
        <v>45947</v>
      </c>
      <c r="AO598" s="8">
        <v>45947</v>
      </c>
      <c r="AP598">
        <v>5088</v>
      </c>
      <c r="AQ598" t="s">
        <v>1496</v>
      </c>
      <c r="AR598" t="s">
        <v>1295</v>
      </c>
      <c r="AS598" t="str">
        <f>+CONCATENATE(A598,"-",B598)</f>
        <v>(03) Boleta BOB1-00000084</v>
      </c>
    </row>
    <row r="599" spans="1:45" ht="15" customHeight="1">
      <c r="A599" t="s">
        <v>1238</v>
      </c>
      <c r="B599">
        <v>689</v>
      </c>
      <c r="C599" t="s">
        <v>27</v>
      </c>
      <c r="D599" s="8">
        <v>45680</v>
      </c>
      <c r="E599" s="22">
        <v>45964</v>
      </c>
      <c r="F599" t="s">
        <v>519</v>
      </c>
      <c r="H599">
        <v>1</v>
      </c>
      <c r="I599">
        <v>19941551</v>
      </c>
      <c r="J599" t="s">
        <v>2051</v>
      </c>
      <c r="K599" s="8">
        <v>45680</v>
      </c>
      <c r="Q599">
        <v>18605</v>
      </c>
      <c r="R599">
        <v>939</v>
      </c>
      <c r="S599" t="s">
        <v>1346</v>
      </c>
      <c r="T599" t="s">
        <v>215</v>
      </c>
      <c r="U599">
        <v>1</v>
      </c>
      <c r="V599">
        <v>886.52</v>
      </c>
      <c r="W599">
        <v>1046.0899999999999</v>
      </c>
      <c r="X599">
        <v>0</v>
      </c>
      <c r="Y599">
        <v>886.52</v>
      </c>
      <c r="Z599">
        <v>18</v>
      </c>
      <c r="AA599">
        <v>159.57</v>
      </c>
      <c r="AB599">
        <v>1046.0899999999999</v>
      </c>
      <c r="AC599">
        <v>1</v>
      </c>
      <c r="AD599">
        <v>1</v>
      </c>
      <c r="AE599" t="s">
        <v>232</v>
      </c>
      <c r="AF599" t="s">
        <v>29</v>
      </c>
      <c r="AG599">
        <v>2</v>
      </c>
      <c r="AH599" t="s">
        <v>25</v>
      </c>
      <c r="AI599">
        <v>1106</v>
      </c>
      <c r="AJ599" t="s">
        <v>239</v>
      </c>
      <c r="AK599" t="s">
        <v>1237</v>
      </c>
      <c r="AP599">
        <v>1166</v>
      </c>
      <c r="AQ599" t="s">
        <v>519</v>
      </c>
      <c r="AR599" t="s">
        <v>1295</v>
      </c>
      <c r="AS599" t="str">
        <f>+CONCATENATE(A599,"-",B599)</f>
        <v>BB01-689</v>
      </c>
    </row>
    <row r="600" spans="1:45" ht="15" customHeight="1">
      <c r="A600" t="s">
        <v>1216</v>
      </c>
      <c r="B600" s="21" t="s">
        <v>1539</v>
      </c>
      <c r="C600" t="s">
        <v>27</v>
      </c>
      <c r="D600" s="8">
        <v>45952</v>
      </c>
      <c r="E600" s="22">
        <v>45964.81994212963</v>
      </c>
      <c r="F600" t="s">
        <v>34</v>
      </c>
      <c r="H600">
        <v>6</v>
      </c>
      <c r="I600">
        <v>20611018925</v>
      </c>
      <c r="J600" t="s">
        <v>1540</v>
      </c>
      <c r="K600" s="8">
        <v>45952</v>
      </c>
      <c r="Q600">
        <v>32385</v>
      </c>
      <c r="R600">
        <v>1786</v>
      </c>
      <c r="S600" t="s">
        <v>1299</v>
      </c>
      <c r="T600" t="s">
        <v>163</v>
      </c>
      <c r="U600">
        <v>1</v>
      </c>
      <c r="V600">
        <v>888.09</v>
      </c>
      <c r="W600">
        <v>1047.95</v>
      </c>
      <c r="X600">
        <v>0</v>
      </c>
      <c r="Y600">
        <v>888.09</v>
      </c>
      <c r="Z600">
        <v>18</v>
      </c>
      <c r="AA600">
        <v>159.86000000000001</v>
      </c>
      <c r="AB600">
        <v>1047.95</v>
      </c>
      <c r="AC600">
        <v>1</v>
      </c>
      <c r="AD600">
        <v>1</v>
      </c>
      <c r="AE600" t="s">
        <v>1411</v>
      </c>
      <c r="AF600" t="s">
        <v>1412</v>
      </c>
      <c r="AG600">
        <v>2</v>
      </c>
      <c r="AH600" t="s">
        <v>25</v>
      </c>
      <c r="AI600">
        <v>6937</v>
      </c>
      <c r="AJ600" t="s">
        <v>1414</v>
      </c>
      <c r="AK600" t="s">
        <v>1251</v>
      </c>
      <c r="AL600">
        <v>3206</v>
      </c>
      <c r="AM600" t="s">
        <v>1536</v>
      </c>
      <c r="AN600" s="8">
        <v>45949</v>
      </c>
      <c r="AO600" s="8">
        <v>45949</v>
      </c>
      <c r="AP600">
        <v>1128</v>
      </c>
      <c r="AQ600" t="s">
        <v>34</v>
      </c>
      <c r="AR600" t="s">
        <v>12</v>
      </c>
      <c r="AS600" t="str">
        <f>+CONCATENATE(A600,"-",B600)</f>
        <v>(01) Factura FOF1-00000157</v>
      </c>
    </row>
    <row r="601" spans="1:45" ht="15" customHeight="1">
      <c r="A601" t="s">
        <v>1238</v>
      </c>
      <c r="B601">
        <v>640</v>
      </c>
      <c r="C601" t="s">
        <v>27</v>
      </c>
      <c r="D601" s="8">
        <v>45663</v>
      </c>
      <c r="E601" s="22">
        <v>45964</v>
      </c>
      <c r="F601" t="s">
        <v>601</v>
      </c>
      <c r="G601" t="s">
        <v>158</v>
      </c>
      <c r="H601">
        <v>1</v>
      </c>
      <c r="I601">
        <v>47633477</v>
      </c>
      <c r="J601" t="s">
        <v>2201</v>
      </c>
      <c r="K601" s="8">
        <v>45663</v>
      </c>
      <c r="Q601">
        <v>17182</v>
      </c>
      <c r="R601">
        <v>877</v>
      </c>
      <c r="S601" t="s">
        <v>1300</v>
      </c>
      <c r="T601" t="s">
        <v>215</v>
      </c>
      <c r="U601">
        <v>1</v>
      </c>
      <c r="V601">
        <v>889.65</v>
      </c>
      <c r="W601">
        <v>1049.79</v>
      </c>
      <c r="X601">
        <v>0</v>
      </c>
      <c r="Y601">
        <v>889.65</v>
      </c>
      <c r="Z601">
        <v>18</v>
      </c>
      <c r="AA601">
        <v>160.13999999999999</v>
      </c>
      <c r="AB601">
        <v>1049.79</v>
      </c>
      <c r="AC601">
        <v>1</v>
      </c>
      <c r="AD601">
        <v>1</v>
      </c>
      <c r="AE601" t="s">
        <v>232</v>
      </c>
      <c r="AF601" t="s">
        <v>29</v>
      </c>
      <c r="AG601">
        <v>2</v>
      </c>
      <c r="AH601" t="s">
        <v>25</v>
      </c>
      <c r="AI601">
        <v>1106</v>
      </c>
      <c r="AJ601" t="s">
        <v>239</v>
      </c>
      <c r="AK601" t="s">
        <v>1237</v>
      </c>
      <c r="AP601">
        <v>421</v>
      </c>
      <c r="AQ601" t="s">
        <v>601</v>
      </c>
      <c r="AR601" t="s">
        <v>1295</v>
      </c>
      <c r="AS601" t="str">
        <f>+CONCATENATE(A601,"-",B601)</f>
        <v>BB01-640</v>
      </c>
    </row>
    <row r="602" spans="1:45" ht="15" customHeight="1">
      <c r="A602" t="s">
        <v>216</v>
      </c>
      <c r="B602">
        <v>1371</v>
      </c>
      <c r="C602" t="s">
        <v>27</v>
      </c>
      <c r="D602" s="8">
        <v>45693</v>
      </c>
      <c r="E602" s="22">
        <v>45964</v>
      </c>
      <c r="F602" t="s">
        <v>415</v>
      </c>
      <c r="H602">
        <v>6</v>
      </c>
      <c r="I602">
        <v>20611890746</v>
      </c>
      <c r="J602" t="s">
        <v>1966</v>
      </c>
      <c r="K602" s="8">
        <v>45693</v>
      </c>
      <c r="Q602">
        <v>18700</v>
      </c>
      <c r="R602">
        <v>870</v>
      </c>
      <c r="S602" t="s">
        <v>1299</v>
      </c>
      <c r="T602" t="s">
        <v>215</v>
      </c>
      <c r="U602">
        <v>1</v>
      </c>
      <c r="V602">
        <v>896.27</v>
      </c>
      <c r="W602">
        <v>1057.5999999999999</v>
      </c>
      <c r="X602">
        <v>0</v>
      </c>
      <c r="Y602">
        <v>896.27</v>
      </c>
      <c r="Z602">
        <v>18</v>
      </c>
      <c r="AA602">
        <v>161.33000000000001</v>
      </c>
      <c r="AB602">
        <v>1057.5999999999999</v>
      </c>
      <c r="AC602">
        <v>1</v>
      </c>
      <c r="AD602">
        <v>1</v>
      </c>
      <c r="AE602" t="s">
        <v>232</v>
      </c>
      <c r="AF602" t="s">
        <v>29</v>
      </c>
      <c r="AG602">
        <v>2</v>
      </c>
      <c r="AH602" t="s">
        <v>25</v>
      </c>
      <c r="AI602">
        <v>1106</v>
      </c>
      <c r="AJ602" t="s">
        <v>239</v>
      </c>
      <c r="AK602" t="s">
        <v>1237</v>
      </c>
      <c r="AP602">
        <v>1136</v>
      </c>
      <c r="AQ602" t="s">
        <v>415</v>
      </c>
      <c r="AR602" t="s">
        <v>12</v>
      </c>
      <c r="AS602" t="str">
        <f>+CONCATENATE(A602,"-",B602)</f>
        <v>FB01-1371</v>
      </c>
    </row>
    <row r="603" spans="1:45" ht="15" customHeight="1">
      <c r="A603" t="s">
        <v>1216</v>
      </c>
      <c r="B603" s="21" t="s">
        <v>1523</v>
      </c>
      <c r="C603" t="s">
        <v>27</v>
      </c>
      <c r="D603" s="8">
        <v>45953</v>
      </c>
      <c r="E603" s="22">
        <v>45964.583333333336</v>
      </c>
      <c r="F603" t="s">
        <v>1524</v>
      </c>
      <c r="H603">
        <v>6</v>
      </c>
      <c r="I603">
        <v>20480416555</v>
      </c>
      <c r="J603" t="s">
        <v>1525</v>
      </c>
      <c r="K603" s="8">
        <v>45953</v>
      </c>
      <c r="Q603">
        <v>32420</v>
      </c>
      <c r="R603">
        <v>2264</v>
      </c>
      <c r="S603" t="s">
        <v>1526</v>
      </c>
      <c r="T603" t="s">
        <v>215</v>
      </c>
      <c r="U603">
        <v>3000</v>
      </c>
      <c r="V603">
        <v>0.3</v>
      </c>
      <c r="W603">
        <v>0.35</v>
      </c>
      <c r="X603">
        <v>0</v>
      </c>
      <c r="Y603">
        <v>900</v>
      </c>
      <c r="Z603">
        <v>18</v>
      </c>
      <c r="AA603">
        <v>162</v>
      </c>
      <c r="AB603">
        <v>1062</v>
      </c>
      <c r="AC603">
        <v>1</v>
      </c>
      <c r="AD603">
        <v>1</v>
      </c>
      <c r="AE603" t="s">
        <v>1411</v>
      </c>
      <c r="AF603" t="s">
        <v>1412</v>
      </c>
      <c r="AG603">
        <v>16</v>
      </c>
      <c r="AH603" t="s">
        <v>1400</v>
      </c>
      <c r="AI603">
        <v>1106</v>
      </c>
      <c r="AJ603" t="s">
        <v>239</v>
      </c>
      <c r="AK603" t="s">
        <v>1406</v>
      </c>
      <c r="AL603">
        <v>3297</v>
      </c>
      <c r="AM603" t="s">
        <v>1527</v>
      </c>
      <c r="AN603" s="8">
        <v>45956</v>
      </c>
      <c r="AO603" s="8">
        <v>45956</v>
      </c>
      <c r="AP603">
        <v>6695</v>
      </c>
      <c r="AQ603" t="s">
        <v>1528</v>
      </c>
      <c r="AR603" t="s">
        <v>1295</v>
      </c>
      <c r="AS603" t="str">
        <f>+CONCATENATE(A603,"-",B603)</f>
        <v>(01) Factura FOF1-00000162</v>
      </c>
    </row>
    <row r="604" spans="1:45" ht="15" customHeight="1">
      <c r="A604" t="s">
        <v>1216</v>
      </c>
      <c r="B604" s="21" t="s">
        <v>195</v>
      </c>
      <c r="C604" t="s">
        <v>27</v>
      </c>
      <c r="D604" s="8">
        <v>45944</v>
      </c>
      <c r="E604" s="22">
        <v>45964.392962962964</v>
      </c>
      <c r="F604" t="s">
        <v>342</v>
      </c>
      <c r="H604">
        <v>6</v>
      </c>
      <c r="I604">
        <v>20480413700</v>
      </c>
      <c r="J604" t="s">
        <v>1888</v>
      </c>
      <c r="K604" s="8">
        <v>45944</v>
      </c>
      <c r="Q604">
        <v>31099</v>
      </c>
      <c r="R604">
        <v>2324</v>
      </c>
      <c r="S604" t="s">
        <v>1303</v>
      </c>
      <c r="T604" t="s">
        <v>215</v>
      </c>
      <c r="U604">
        <v>1</v>
      </c>
      <c r="V604">
        <v>900</v>
      </c>
      <c r="W604">
        <v>1062</v>
      </c>
      <c r="X604">
        <v>0</v>
      </c>
      <c r="Y604">
        <v>900</v>
      </c>
      <c r="Z604">
        <v>18</v>
      </c>
      <c r="AA604">
        <v>162</v>
      </c>
      <c r="AB604">
        <v>1062</v>
      </c>
      <c r="AC604">
        <v>1</v>
      </c>
      <c r="AD604">
        <v>1</v>
      </c>
      <c r="AE604" t="s">
        <v>1411</v>
      </c>
      <c r="AF604" t="s">
        <v>1412</v>
      </c>
      <c r="AG604">
        <v>2</v>
      </c>
      <c r="AH604" t="s">
        <v>25</v>
      </c>
      <c r="AI604">
        <v>1106</v>
      </c>
      <c r="AJ604" t="s">
        <v>239</v>
      </c>
      <c r="AK604" t="s">
        <v>169</v>
      </c>
      <c r="AL604">
        <v>3065</v>
      </c>
      <c r="AM604" t="s">
        <v>1228</v>
      </c>
      <c r="AN604" s="8">
        <v>45927</v>
      </c>
      <c r="AO604" s="8">
        <v>45927</v>
      </c>
      <c r="AP604">
        <v>5118</v>
      </c>
      <c r="AQ604" t="s">
        <v>342</v>
      </c>
      <c r="AR604" t="s">
        <v>12</v>
      </c>
      <c r="AS604" t="str">
        <f>+CONCATENATE(A604,"-",B604)</f>
        <v>(01) Factura FOF1-00000015</v>
      </c>
    </row>
    <row r="605" spans="1:45" ht="15" customHeight="1">
      <c r="A605" t="s">
        <v>1214</v>
      </c>
      <c r="B605" s="21" t="s">
        <v>197</v>
      </c>
      <c r="C605" t="s">
        <v>27</v>
      </c>
      <c r="D605" s="8">
        <v>45945</v>
      </c>
      <c r="E605" s="22">
        <v>45964.742569444446</v>
      </c>
      <c r="F605" t="s">
        <v>287</v>
      </c>
      <c r="H605">
        <v>1</v>
      </c>
      <c r="I605">
        <v>46168918</v>
      </c>
      <c r="J605" t="s">
        <v>1876</v>
      </c>
      <c r="K605" s="8">
        <v>45945</v>
      </c>
      <c r="Q605">
        <v>31148</v>
      </c>
      <c r="R605">
        <v>216</v>
      </c>
      <c r="S605" t="s">
        <v>1300</v>
      </c>
      <c r="T605" t="s">
        <v>163</v>
      </c>
      <c r="U605">
        <v>1</v>
      </c>
      <c r="V605">
        <v>904.65</v>
      </c>
      <c r="W605">
        <v>1067.49</v>
      </c>
      <c r="X605">
        <v>0</v>
      </c>
      <c r="Y605">
        <v>904.65</v>
      </c>
      <c r="Z605">
        <v>18</v>
      </c>
      <c r="AA605">
        <v>162.84</v>
      </c>
      <c r="AB605">
        <v>1067.49</v>
      </c>
      <c r="AC605">
        <v>1</v>
      </c>
      <c r="AD605">
        <v>1</v>
      </c>
      <c r="AE605" t="s">
        <v>1411</v>
      </c>
      <c r="AF605" t="s">
        <v>1412</v>
      </c>
      <c r="AG605">
        <v>2</v>
      </c>
      <c r="AH605" t="s">
        <v>25</v>
      </c>
      <c r="AI605">
        <v>1106</v>
      </c>
      <c r="AJ605" t="s">
        <v>239</v>
      </c>
      <c r="AK605" t="s">
        <v>169</v>
      </c>
      <c r="AL605">
        <v>2953</v>
      </c>
      <c r="AM605" t="s">
        <v>1226</v>
      </c>
      <c r="AN605" s="8">
        <v>45934</v>
      </c>
      <c r="AO605" s="8">
        <v>45934</v>
      </c>
      <c r="AP605">
        <v>5592</v>
      </c>
      <c r="AQ605" t="s">
        <v>287</v>
      </c>
      <c r="AR605" t="s">
        <v>1295</v>
      </c>
      <c r="AS605" t="str">
        <f>+CONCATENATE(A605,"-",B605)</f>
        <v>(03) Boleta BOB1-00000010</v>
      </c>
    </row>
    <row r="606" spans="1:45" ht="15" customHeight="1">
      <c r="A606" t="s">
        <v>214</v>
      </c>
      <c r="B606">
        <v>215</v>
      </c>
      <c r="C606" t="s">
        <v>27</v>
      </c>
      <c r="D606" s="8">
        <v>45680</v>
      </c>
      <c r="E606" s="22">
        <v>45964</v>
      </c>
      <c r="F606" t="s">
        <v>34</v>
      </c>
      <c r="H606">
        <v>6</v>
      </c>
      <c r="I606">
        <v>20611018925</v>
      </c>
      <c r="J606" t="s">
        <v>2042</v>
      </c>
      <c r="K606" s="8">
        <v>45680</v>
      </c>
      <c r="Q606">
        <v>18615</v>
      </c>
      <c r="R606">
        <v>944</v>
      </c>
      <c r="S606" t="s">
        <v>1345</v>
      </c>
      <c r="T606" t="s">
        <v>215</v>
      </c>
      <c r="U606">
        <v>1</v>
      </c>
      <c r="V606">
        <v>910</v>
      </c>
      <c r="W606">
        <v>1073.8</v>
      </c>
      <c r="X606">
        <v>0</v>
      </c>
      <c r="Y606">
        <v>910</v>
      </c>
      <c r="Z606">
        <v>18</v>
      </c>
      <c r="AA606">
        <v>163.80000000000001</v>
      </c>
      <c r="AB606">
        <v>1073.8</v>
      </c>
      <c r="AC606">
        <v>1</v>
      </c>
      <c r="AD606">
        <v>1</v>
      </c>
      <c r="AE606" t="s">
        <v>232</v>
      </c>
      <c r="AF606" t="s">
        <v>29</v>
      </c>
      <c r="AG606">
        <v>2</v>
      </c>
      <c r="AH606" t="s">
        <v>25</v>
      </c>
      <c r="AI606">
        <v>1106</v>
      </c>
      <c r="AJ606" t="s">
        <v>239</v>
      </c>
      <c r="AK606" t="s">
        <v>1236</v>
      </c>
      <c r="AP606">
        <v>1128</v>
      </c>
      <c r="AQ606" t="s">
        <v>34</v>
      </c>
      <c r="AR606" t="s">
        <v>12</v>
      </c>
      <c r="AS606" t="str">
        <f>+CONCATENATE(A606,"-",B606)</f>
        <v>FFF1-215</v>
      </c>
    </row>
    <row r="607" spans="1:45" ht="15" customHeight="1">
      <c r="A607" t="s">
        <v>216</v>
      </c>
      <c r="B607">
        <v>1246</v>
      </c>
      <c r="C607" t="s">
        <v>27</v>
      </c>
      <c r="D607" s="8">
        <v>45665</v>
      </c>
      <c r="E607" s="22">
        <v>45964</v>
      </c>
      <c r="F607" t="s">
        <v>1321</v>
      </c>
      <c r="G607" t="s">
        <v>158</v>
      </c>
      <c r="H607">
        <v>6</v>
      </c>
      <c r="I607">
        <v>20296011356</v>
      </c>
      <c r="J607" t="s">
        <v>2140</v>
      </c>
      <c r="K607" s="8">
        <v>45665</v>
      </c>
      <c r="Q607">
        <v>17249</v>
      </c>
      <c r="R607">
        <v>901</v>
      </c>
      <c r="S607" t="s">
        <v>1375</v>
      </c>
      <c r="T607" t="s">
        <v>215</v>
      </c>
      <c r="U607">
        <v>1</v>
      </c>
      <c r="V607">
        <v>920</v>
      </c>
      <c r="W607">
        <v>1085.5999999999999</v>
      </c>
      <c r="X607">
        <v>0</v>
      </c>
      <c r="Y607">
        <v>920</v>
      </c>
      <c r="Z607">
        <v>18</v>
      </c>
      <c r="AA607">
        <v>165.6</v>
      </c>
      <c r="AB607">
        <v>1085.5999999999999</v>
      </c>
      <c r="AC607">
        <v>1</v>
      </c>
      <c r="AD607">
        <v>1</v>
      </c>
      <c r="AE607" t="s">
        <v>232</v>
      </c>
      <c r="AF607" t="s">
        <v>29</v>
      </c>
      <c r="AG607">
        <v>2</v>
      </c>
      <c r="AH607" t="s">
        <v>25</v>
      </c>
      <c r="AI607">
        <v>1106</v>
      </c>
      <c r="AJ607" t="s">
        <v>239</v>
      </c>
      <c r="AK607" t="s">
        <v>1236</v>
      </c>
      <c r="AP607">
        <v>390</v>
      </c>
      <c r="AQ607" t="s">
        <v>1321</v>
      </c>
      <c r="AR607" t="s">
        <v>12</v>
      </c>
      <c r="AS607" t="str">
        <f>+CONCATENATE(A607,"-",B607)</f>
        <v>FB01-1246</v>
      </c>
    </row>
    <row r="608" spans="1:45" ht="15" customHeight="1">
      <c r="A608" t="s">
        <v>1238</v>
      </c>
      <c r="B608">
        <v>724</v>
      </c>
      <c r="C608" t="s">
        <v>27</v>
      </c>
      <c r="D608" s="8">
        <v>45693</v>
      </c>
      <c r="E608" s="22">
        <v>45964</v>
      </c>
      <c r="F608" t="s">
        <v>335</v>
      </c>
      <c r="G608" t="s">
        <v>158</v>
      </c>
      <c r="H608">
        <v>1</v>
      </c>
      <c r="I608">
        <v>43908595</v>
      </c>
      <c r="J608" t="s">
        <v>1963</v>
      </c>
      <c r="K608" s="8">
        <v>45693</v>
      </c>
      <c r="Q608">
        <v>18707</v>
      </c>
      <c r="R608">
        <v>965</v>
      </c>
      <c r="S608" s="28" t="s">
        <v>1331</v>
      </c>
      <c r="T608" t="s">
        <v>215</v>
      </c>
      <c r="U608">
        <v>1</v>
      </c>
      <c r="V608">
        <v>930</v>
      </c>
      <c r="W608">
        <v>1097.4000000000001</v>
      </c>
      <c r="X608">
        <v>0</v>
      </c>
      <c r="Y608">
        <v>930</v>
      </c>
      <c r="Z608">
        <v>18</v>
      </c>
      <c r="AA608">
        <v>167.4</v>
      </c>
      <c r="AB608">
        <v>1097.4000000000001</v>
      </c>
      <c r="AC608">
        <v>1</v>
      </c>
      <c r="AD608">
        <v>1</v>
      </c>
      <c r="AE608" t="s">
        <v>232</v>
      </c>
      <c r="AF608" t="s">
        <v>29</v>
      </c>
      <c r="AG608">
        <v>2</v>
      </c>
      <c r="AH608" t="s">
        <v>25</v>
      </c>
      <c r="AI608">
        <v>1106</v>
      </c>
      <c r="AJ608" t="s">
        <v>239</v>
      </c>
      <c r="AK608" t="s">
        <v>1236</v>
      </c>
      <c r="AP608">
        <v>393</v>
      </c>
      <c r="AQ608" t="s">
        <v>335</v>
      </c>
      <c r="AR608" t="s">
        <v>1295</v>
      </c>
      <c r="AS608" t="str">
        <f>+CONCATENATE(A608,"-",B608)</f>
        <v>BB01-724</v>
      </c>
    </row>
    <row r="609" spans="1:45" ht="15" customHeight="1">
      <c r="A609" t="s">
        <v>216</v>
      </c>
      <c r="B609">
        <v>1264</v>
      </c>
      <c r="C609" t="s">
        <v>27</v>
      </c>
      <c r="D609" s="8">
        <v>45672</v>
      </c>
      <c r="E609" s="22">
        <v>45964</v>
      </c>
      <c r="F609" t="s">
        <v>1321</v>
      </c>
      <c r="G609" t="s">
        <v>158</v>
      </c>
      <c r="H609">
        <v>6</v>
      </c>
      <c r="I609">
        <v>20296011356</v>
      </c>
      <c r="J609" t="s">
        <v>2117</v>
      </c>
      <c r="K609" s="8">
        <v>45672</v>
      </c>
      <c r="Q609">
        <v>17773</v>
      </c>
      <c r="R609">
        <v>877</v>
      </c>
      <c r="S609" t="s">
        <v>1300</v>
      </c>
      <c r="T609" t="s">
        <v>215</v>
      </c>
      <c r="U609">
        <v>1</v>
      </c>
      <c r="V609">
        <v>933.64</v>
      </c>
      <c r="W609">
        <v>1101.7</v>
      </c>
      <c r="X609">
        <v>0</v>
      </c>
      <c r="Y609">
        <v>933.64</v>
      </c>
      <c r="Z609">
        <v>18</v>
      </c>
      <c r="AA609">
        <v>168.06</v>
      </c>
      <c r="AB609">
        <v>1101.7</v>
      </c>
      <c r="AC609">
        <v>1</v>
      </c>
      <c r="AD609">
        <v>1</v>
      </c>
      <c r="AE609" t="s">
        <v>232</v>
      </c>
      <c r="AF609" t="s">
        <v>29</v>
      </c>
      <c r="AG609">
        <v>2</v>
      </c>
      <c r="AH609" t="s">
        <v>25</v>
      </c>
      <c r="AI609">
        <v>1106</v>
      </c>
      <c r="AJ609" t="s">
        <v>239</v>
      </c>
      <c r="AK609" t="s">
        <v>1237</v>
      </c>
      <c r="AP609">
        <v>390</v>
      </c>
      <c r="AQ609" t="s">
        <v>1321</v>
      </c>
      <c r="AR609" t="s">
        <v>12</v>
      </c>
      <c r="AS609" t="str">
        <f>+CONCATENATE(A609,"-",B609)</f>
        <v>FB01-1264</v>
      </c>
    </row>
    <row r="610" spans="1:45" ht="15" customHeight="1">
      <c r="A610" t="s">
        <v>1214</v>
      </c>
      <c r="B610" s="21" t="s">
        <v>208</v>
      </c>
      <c r="C610" t="s">
        <v>27</v>
      </c>
      <c r="D610" s="8">
        <v>45945</v>
      </c>
      <c r="E610" s="22">
        <v>45964.75712962963</v>
      </c>
      <c r="F610" t="s">
        <v>281</v>
      </c>
      <c r="H610">
        <v>1</v>
      </c>
      <c r="I610">
        <v>73252959</v>
      </c>
      <c r="J610" t="s">
        <v>1859</v>
      </c>
      <c r="K610" s="8">
        <v>45945</v>
      </c>
      <c r="Q610">
        <v>31199</v>
      </c>
      <c r="R610">
        <v>216</v>
      </c>
      <c r="S610" t="s">
        <v>1300</v>
      </c>
      <c r="T610" t="s">
        <v>163</v>
      </c>
      <c r="U610">
        <v>1</v>
      </c>
      <c r="V610">
        <v>943.14</v>
      </c>
      <c r="W610">
        <v>1112.9100000000001</v>
      </c>
      <c r="X610">
        <v>0</v>
      </c>
      <c r="Y610">
        <v>943.14</v>
      </c>
      <c r="Z610">
        <v>18</v>
      </c>
      <c r="AA610">
        <v>169.77</v>
      </c>
      <c r="AB610">
        <v>1112.9100000000001</v>
      </c>
      <c r="AC610">
        <v>1</v>
      </c>
      <c r="AD610">
        <v>1</v>
      </c>
      <c r="AE610" t="s">
        <v>1411</v>
      </c>
      <c r="AF610" t="s">
        <v>1412</v>
      </c>
      <c r="AG610">
        <v>2</v>
      </c>
      <c r="AH610" t="s">
        <v>25</v>
      </c>
      <c r="AI610">
        <v>1106</v>
      </c>
      <c r="AJ610" t="s">
        <v>239</v>
      </c>
      <c r="AK610" t="s">
        <v>169</v>
      </c>
      <c r="AL610">
        <v>3030</v>
      </c>
      <c r="AM610" t="s">
        <v>1225</v>
      </c>
      <c r="AN610" s="8">
        <v>45934</v>
      </c>
      <c r="AO610" s="8">
        <v>45934</v>
      </c>
      <c r="AP610">
        <v>5605</v>
      </c>
      <c r="AQ610" t="s">
        <v>281</v>
      </c>
      <c r="AR610" t="s">
        <v>1295</v>
      </c>
      <c r="AS610" t="str">
        <f>+CONCATENATE(A610,"-",B610)</f>
        <v>(03) Boleta BOB1-00000019</v>
      </c>
    </row>
    <row r="611" spans="1:45" ht="15" customHeight="1">
      <c r="A611" t="s">
        <v>1238</v>
      </c>
      <c r="B611">
        <v>656</v>
      </c>
      <c r="C611" t="s">
        <v>27</v>
      </c>
      <c r="D611" s="8">
        <v>45665</v>
      </c>
      <c r="E611" s="22">
        <v>45964</v>
      </c>
      <c r="F611" t="s">
        <v>1031</v>
      </c>
      <c r="G611" t="s">
        <v>158</v>
      </c>
      <c r="H611">
        <v>1</v>
      </c>
      <c r="I611">
        <v>9059888</v>
      </c>
      <c r="J611" t="s">
        <v>2134</v>
      </c>
      <c r="K611" s="8">
        <v>45665</v>
      </c>
      <c r="Q611">
        <v>17753</v>
      </c>
      <c r="R611">
        <v>870</v>
      </c>
      <c r="S611" t="s">
        <v>1299</v>
      </c>
      <c r="T611" t="s">
        <v>215</v>
      </c>
      <c r="U611">
        <v>1</v>
      </c>
      <c r="V611">
        <v>947.12</v>
      </c>
      <c r="W611">
        <v>1117.5999999999999</v>
      </c>
      <c r="X611">
        <v>0</v>
      </c>
      <c r="Y611">
        <v>947.12</v>
      </c>
      <c r="Z611">
        <v>18</v>
      </c>
      <c r="AA611">
        <v>170.48</v>
      </c>
      <c r="AB611">
        <v>1117.5999999999999</v>
      </c>
      <c r="AC611">
        <v>1</v>
      </c>
      <c r="AD611">
        <v>1</v>
      </c>
      <c r="AE611" t="s">
        <v>232</v>
      </c>
      <c r="AF611" t="s">
        <v>29</v>
      </c>
      <c r="AG611">
        <v>2</v>
      </c>
      <c r="AH611" t="s">
        <v>25</v>
      </c>
      <c r="AI611">
        <v>1106</v>
      </c>
      <c r="AJ611" t="s">
        <v>239</v>
      </c>
      <c r="AK611" t="s">
        <v>1237</v>
      </c>
      <c r="AP611">
        <v>449</v>
      </c>
      <c r="AQ611" t="s">
        <v>1031</v>
      </c>
      <c r="AR611" t="s">
        <v>1295</v>
      </c>
      <c r="AS611" t="str">
        <f>+CONCATENATE(A611,"-",B611)</f>
        <v>BB01-656</v>
      </c>
    </row>
    <row r="612" spans="1:45" ht="15" customHeight="1">
      <c r="A612" t="s">
        <v>216</v>
      </c>
      <c r="B612">
        <v>1317</v>
      </c>
      <c r="C612" t="s">
        <v>27</v>
      </c>
      <c r="D612" s="8">
        <v>45685</v>
      </c>
      <c r="E612" s="22">
        <v>45964</v>
      </c>
      <c r="F612" t="s">
        <v>720</v>
      </c>
      <c r="H612">
        <v>6</v>
      </c>
      <c r="I612">
        <v>20526252200</v>
      </c>
      <c r="J612" t="s">
        <v>2035</v>
      </c>
      <c r="K612" s="8">
        <v>45685</v>
      </c>
      <c r="Q612">
        <v>18622</v>
      </c>
      <c r="R612">
        <v>877</v>
      </c>
      <c r="S612" t="s">
        <v>1300</v>
      </c>
      <c r="T612" t="s">
        <v>215</v>
      </c>
      <c r="U612">
        <v>1</v>
      </c>
      <c r="V612">
        <v>967.12</v>
      </c>
      <c r="W612">
        <v>1141.2</v>
      </c>
      <c r="X612">
        <v>0</v>
      </c>
      <c r="Y612">
        <v>967.12</v>
      </c>
      <c r="Z612">
        <v>18</v>
      </c>
      <c r="AA612">
        <v>174.08</v>
      </c>
      <c r="AB612">
        <v>1141.2</v>
      </c>
      <c r="AC612">
        <v>1</v>
      </c>
      <c r="AD612">
        <v>1</v>
      </c>
      <c r="AE612" t="s">
        <v>232</v>
      </c>
      <c r="AF612" t="s">
        <v>29</v>
      </c>
      <c r="AG612">
        <v>2</v>
      </c>
      <c r="AH612" t="s">
        <v>25</v>
      </c>
      <c r="AI612">
        <v>1106</v>
      </c>
      <c r="AJ612" t="s">
        <v>239</v>
      </c>
      <c r="AK612" t="s">
        <v>1237</v>
      </c>
      <c r="AP612">
        <v>1134</v>
      </c>
      <c r="AQ612" t="s">
        <v>720</v>
      </c>
      <c r="AR612" t="s">
        <v>12</v>
      </c>
      <c r="AS612" t="str">
        <f>+CONCATENATE(A612,"-",B612)</f>
        <v>FB01-1317</v>
      </c>
    </row>
    <row r="613" spans="1:45" ht="15" customHeight="1">
      <c r="A613" t="s">
        <v>214</v>
      </c>
      <c r="B613">
        <v>209</v>
      </c>
      <c r="C613" t="s">
        <v>27</v>
      </c>
      <c r="D613" s="8">
        <v>45666</v>
      </c>
      <c r="E613" s="22">
        <v>45964</v>
      </c>
      <c r="F613" t="s">
        <v>34</v>
      </c>
      <c r="H613">
        <v>6</v>
      </c>
      <c r="I613">
        <v>20611018925</v>
      </c>
      <c r="J613" t="s">
        <v>2124</v>
      </c>
      <c r="K613" s="8">
        <v>45666</v>
      </c>
      <c r="Q613">
        <v>17765</v>
      </c>
      <c r="R613">
        <v>911</v>
      </c>
      <c r="S613" t="s">
        <v>1368</v>
      </c>
      <c r="T613" t="s">
        <v>215</v>
      </c>
      <c r="U613">
        <v>1</v>
      </c>
      <c r="V613">
        <v>970</v>
      </c>
      <c r="W613">
        <v>1144.5999999999999</v>
      </c>
      <c r="X613">
        <v>0</v>
      </c>
      <c r="Y613">
        <v>970</v>
      </c>
      <c r="Z613">
        <v>18</v>
      </c>
      <c r="AA613">
        <v>174.6</v>
      </c>
      <c r="AB613">
        <v>1144.5999999999999</v>
      </c>
      <c r="AC613">
        <v>1</v>
      </c>
      <c r="AD613">
        <v>1</v>
      </c>
      <c r="AE613" t="s">
        <v>232</v>
      </c>
      <c r="AF613" t="s">
        <v>29</v>
      </c>
      <c r="AG613">
        <v>2</v>
      </c>
      <c r="AH613" t="s">
        <v>25</v>
      </c>
      <c r="AI613">
        <v>1106</v>
      </c>
      <c r="AJ613" t="s">
        <v>239</v>
      </c>
      <c r="AK613" t="s">
        <v>1236</v>
      </c>
      <c r="AP613">
        <v>1128</v>
      </c>
      <c r="AQ613" t="s">
        <v>34</v>
      </c>
      <c r="AR613" t="s">
        <v>12</v>
      </c>
      <c r="AS613" t="str">
        <f>+CONCATENATE(A613,"-",B613)</f>
        <v>FFF1-209</v>
      </c>
    </row>
    <row r="614" spans="1:45" ht="15" customHeight="1">
      <c r="A614" t="s">
        <v>214</v>
      </c>
      <c r="B614">
        <v>210</v>
      </c>
      <c r="C614" t="s">
        <v>27</v>
      </c>
      <c r="D614" s="8">
        <v>45666</v>
      </c>
      <c r="E614" s="22">
        <v>45964</v>
      </c>
      <c r="F614" t="s">
        <v>34</v>
      </c>
      <c r="H614">
        <v>6</v>
      </c>
      <c r="I614">
        <v>20611018925</v>
      </c>
      <c r="J614" t="s">
        <v>2123</v>
      </c>
      <c r="K614" s="8">
        <v>45666</v>
      </c>
      <c r="Q614">
        <v>17766</v>
      </c>
      <c r="R614">
        <v>912</v>
      </c>
      <c r="S614" t="s">
        <v>1367</v>
      </c>
      <c r="T614" t="s">
        <v>215</v>
      </c>
      <c r="U614">
        <v>1</v>
      </c>
      <c r="V614">
        <v>976.5</v>
      </c>
      <c r="W614">
        <v>1152.27</v>
      </c>
      <c r="X614">
        <v>0</v>
      </c>
      <c r="Y614">
        <v>976.5</v>
      </c>
      <c r="Z614">
        <v>18</v>
      </c>
      <c r="AA614">
        <v>175.77</v>
      </c>
      <c r="AB614">
        <v>1152.27</v>
      </c>
      <c r="AC614">
        <v>1</v>
      </c>
      <c r="AD614">
        <v>1</v>
      </c>
      <c r="AE614" t="s">
        <v>232</v>
      </c>
      <c r="AF614" t="s">
        <v>29</v>
      </c>
      <c r="AG614">
        <v>2</v>
      </c>
      <c r="AH614" t="s">
        <v>25</v>
      </c>
      <c r="AI614">
        <v>1106</v>
      </c>
      <c r="AJ614" t="s">
        <v>239</v>
      </c>
      <c r="AK614" t="s">
        <v>1236</v>
      </c>
      <c r="AP614">
        <v>1128</v>
      </c>
      <c r="AQ614" t="s">
        <v>34</v>
      </c>
      <c r="AR614" t="s">
        <v>12</v>
      </c>
      <c r="AS614" t="str">
        <f>+CONCATENATE(A614,"-",B614)</f>
        <v>FFF1-210</v>
      </c>
    </row>
    <row r="615" spans="1:45" ht="15" customHeight="1">
      <c r="A615" t="s">
        <v>1216</v>
      </c>
      <c r="B615" s="21" t="s">
        <v>190</v>
      </c>
      <c r="C615" t="s">
        <v>27</v>
      </c>
      <c r="D615" s="8">
        <v>45945</v>
      </c>
      <c r="E615" s="22">
        <v>45964.73777777778</v>
      </c>
      <c r="F615" t="s">
        <v>307</v>
      </c>
      <c r="H615">
        <v>6</v>
      </c>
      <c r="I615">
        <v>20509594903</v>
      </c>
      <c r="J615" t="s">
        <v>1880</v>
      </c>
      <c r="K615" s="8">
        <v>45945</v>
      </c>
      <c r="Q615">
        <v>31136</v>
      </c>
      <c r="R615">
        <v>216</v>
      </c>
      <c r="S615" t="s">
        <v>1300</v>
      </c>
      <c r="T615" t="s">
        <v>163</v>
      </c>
      <c r="U615">
        <v>1</v>
      </c>
      <c r="V615">
        <v>976.78</v>
      </c>
      <c r="W615">
        <v>1152.5999999999999</v>
      </c>
      <c r="X615">
        <v>0</v>
      </c>
      <c r="Y615">
        <v>976.78</v>
      </c>
      <c r="Z615">
        <v>18</v>
      </c>
      <c r="AA615">
        <v>175.82</v>
      </c>
      <c r="AB615">
        <v>1152.5999999999999</v>
      </c>
      <c r="AC615">
        <v>1</v>
      </c>
      <c r="AD615">
        <v>1</v>
      </c>
      <c r="AE615" t="s">
        <v>1411</v>
      </c>
      <c r="AF615" t="s">
        <v>1412</v>
      </c>
      <c r="AG615">
        <v>2</v>
      </c>
      <c r="AH615" t="s">
        <v>25</v>
      </c>
      <c r="AI615">
        <v>1106</v>
      </c>
      <c r="AJ615" t="s">
        <v>239</v>
      </c>
      <c r="AK615" t="s">
        <v>169</v>
      </c>
      <c r="AL615">
        <v>3172</v>
      </c>
      <c r="AM615" t="s">
        <v>331</v>
      </c>
      <c r="AN615" s="8">
        <v>45936</v>
      </c>
      <c r="AO615" s="8">
        <v>45936</v>
      </c>
      <c r="AP615">
        <v>5251</v>
      </c>
      <c r="AQ615" t="s">
        <v>307</v>
      </c>
      <c r="AR615" t="s">
        <v>12</v>
      </c>
      <c r="AS615" t="str">
        <f>+CONCATENATE(A615,"-",B615)</f>
        <v>(01) Factura FOF1-00000022</v>
      </c>
    </row>
    <row r="616" spans="1:45" ht="15" customHeight="1">
      <c r="A616" t="s">
        <v>1238</v>
      </c>
      <c r="B616">
        <v>753</v>
      </c>
      <c r="C616" t="s">
        <v>27</v>
      </c>
      <c r="D616" s="8">
        <v>45693</v>
      </c>
      <c r="E616" s="22">
        <v>45964</v>
      </c>
      <c r="F616" t="s">
        <v>519</v>
      </c>
      <c r="H616">
        <v>1</v>
      </c>
      <c r="I616">
        <v>19941551</v>
      </c>
      <c r="J616" t="s">
        <v>1913</v>
      </c>
      <c r="K616" s="8">
        <v>45693</v>
      </c>
      <c r="Q616">
        <v>18773</v>
      </c>
      <c r="R616">
        <v>980</v>
      </c>
      <c r="S616" t="s">
        <v>1242</v>
      </c>
      <c r="T616" t="s">
        <v>215</v>
      </c>
      <c r="U616">
        <v>1</v>
      </c>
      <c r="V616">
        <v>980</v>
      </c>
      <c r="W616">
        <v>1156.4000000000001</v>
      </c>
      <c r="X616">
        <v>0</v>
      </c>
      <c r="Y616">
        <v>980</v>
      </c>
      <c r="Z616">
        <v>18</v>
      </c>
      <c r="AA616">
        <v>176.4</v>
      </c>
      <c r="AB616">
        <v>1156.4000000000001</v>
      </c>
      <c r="AC616">
        <v>1</v>
      </c>
      <c r="AD616">
        <v>1</v>
      </c>
      <c r="AE616" t="s">
        <v>232</v>
      </c>
      <c r="AF616" t="s">
        <v>29</v>
      </c>
      <c r="AG616">
        <v>2</v>
      </c>
      <c r="AH616" t="s">
        <v>25</v>
      </c>
      <c r="AI616">
        <v>1106</v>
      </c>
      <c r="AJ616" t="s">
        <v>239</v>
      </c>
      <c r="AK616" t="s">
        <v>1243</v>
      </c>
      <c r="AP616">
        <v>1166</v>
      </c>
      <c r="AQ616" t="s">
        <v>519</v>
      </c>
      <c r="AR616" t="s">
        <v>1295</v>
      </c>
      <c r="AS616" t="str">
        <f>+CONCATENATE(A616,"-",B616)</f>
        <v>BB01-753</v>
      </c>
    </row>
    <row r="617" spans="1:45" ht="15" customHeight="1">
      <c r="A617" t="s">
        <v>1216</v>
      </c>
      <c r="B617" s="21" t="s">
        <v>1710</v>
      </c>
      <c r="C617" t="s">
        <v>27</v>
      </c>
      <c r="D617" s="8">
        <v>45946</v>
      </c>
      <c r="E617" s="22">
        <v>45964.835648148146</v>
      </c>
      <c r="F617" t="s">
        <v>415</v>
      </c>
      <c r="H617">
        <v>6</v>
      </c>
      <c r="I617">
        <v>20611890746</v>
      </c>
      <c r="J617" t="s">
        <v>1711</v>
      </c>
      <c r="K617" s="8">
        <v>45946</v>
      </c>
      <c r="Q617">
        <v>31557</v>
      </c>
      <c r="R617">
        <v>1786</v>
      </c>
      <c r="S617" t="s">
        <v>1299</v>
      </c>
      <c r="T617" t="s">
        <v>163</v>
      </c>
      <c r="U617">
        <v>1</v>
      </c>
      <c r="V617">
        <v>982.08</v>
      </c>
      <c r="W617">
        <v>1158.8499999999999</v>
      </c>
      <c r="X617">
        <v>0</v>
      </c>
      <c r="Y617">
        <v>982.08</v>
      </c>
      <c r="Z617">
        <v>18</v>
      </c>
      <c r="AA617">
        <v>176.77</v>
      </c>
      <c r="AB617">
        <v>1158.8499999999999</v>
      </c>
      <c r="AC617">
        <v>1</v>
      </c>
      <c r="AD617">
        <v>1</v>
      </c>
      <c r="AE617" t="s">
        <v>1411</v>
      </c>
      <c r="AF617" t="s">
        <v>1412</v>
      </c>
      <c r="AG617">
        <v>2</v>
      </c>
      <c r="AH617" t="s">
        <v>25</v>
      </c>
      <c r="AI617">
        <v>6937</v>
      </c>
      <c r="AJ617" t="s">
        <v>1414</v>
      </c>
      <c r="AK617" t="s">
        <v>1251</v>
      </c>
      <c r="AL617">
        <v>3134</v>
      </c>
      <c r="AM617" t="s">
        <v>1712</v>
      </c>
      <c r="AN617" s="8">
        <v>45935</v>
      </c>
      <c r="AO617" s="8">
        <v>45935</v>
      </c>
      <c r="AP617">
        <v>390</v>
      </c>
      <c r="AQ617" t="s">
        <v>1321</v>
      </c>
      <c r="AR617" t="s">
        <v>12</v>
      </c>
      <c r="AS617" t="str">
        <f>+CONCATENATE(A617,"-",B617)</f>
        <v>(01) Factura FOF1-00000115</v>
      </c>
    </row>
    <row r="618" spans="1:45" ht="15" customHeight="1">
      <c r="A618" t="s">
        <v>1216</v>
      </c>
      <c r="B618" s="21" t="s">
        <v>1721</v>
      </c>
      <c r="C618" t="s">
        <v>27</v>
      </c>
      <c r="D618" s="8">
        <v>45946</v>
      </c>
      <c r="E618" s="22">
        <v>45964.832476851851</v>
      </c>
      <c r="F618" t="s">
        <v>1321</v>
      </c>
      <c r="G618" t="s">
        <v>158</v>
      </c>
      <c r="H618">
        <v>6</v>
      </c>
      <c r="I618">
        <v>20296011356</v>
      </c>
      <c r="J618" t="s">
        <v>1722</v>
      </c>
      <c r="K618" s="8">
        <v>45946</v>
      </c>
      <c r="Q618">
        <v>31542</v>
      </c>
      <c r="R618">
        <v>1786</v>
      </c>
      <c r="S618" t="s">
        <v>1299</v>
      </c>
      <c r="T618" t="s">
        <v>163</v>
      </c>
      <c r="U618">
        <v>1</v>
      </c>
      <c r="V618">
        <v>982.08</v>
      </c>
      <c r="W618">
        <v>1158.8499999999999</v>
      </c>
      <c r="X618">
        <v>0</v>
      </c>
      <c r="Y618">
        <v>982.08</v>
      </c>
      <c r="Z618">
        <v>18</v>
      </c>
      <c r="AA618">
        <v>176.77</v>
      </c>
      <c r="AB618">
        <v>1158.8499999999999</v>
      </c>
      <c r="AC618">
        <v>1</v>
      </c>
      <c r="AD618">
        <v>1</v>
      </c>
      <c r="AE618" t="s">
        <v>1411</v>
      </c>
      <c r="AF618" t="s">
        <v>1412</v>
      </c>
      <c r="AG618">
        <v>2</v>
      </c>
      <c r="AH618" t="s">
        <v>25</v>
      </c>
      <c r="AI618">
        <v>6937</v>
      </c>
      <c r="AJ618" t="s">
        <v>1414</v>
      </c>
      <c r="AK618" t="s">
        <v>1251</v>
      </c>
      <c r="AL618">
        <v>3134</v>
      </c>
      <c r="AM618" t="s">
        <v>1712</v>
      </c>
      <c r="AN618" s="8">
        <v>45935</v>
      </c>
      <c r="AO618" s="8">
        <v>45935</v>
      </c>
      <c r="AP618">
        <v>390</v>
      </c>
      <c r="AQ618" t="s">
        <v>1321</v>
      </c>
      <c r="AR618" t="s">
        <v>12</v>
      </c>
      <c r="AS618" t="str">
        <f>+CONCATENATE(A618,"-",B618)</f>
        <v>(01) Factura FOF1-00000110</v>
      </c>
    </row>
    <row r="619" spans="1:45" ht="15" customHeight="1">
      <c r="A619" t="s">
        <v>1214</v>
      </c>
      <c r="B619" s="21" t="s">
        <v>1585</v>
      </c>
      <c r="C619" t="s">
        <v>27</v>
      </c>
      <c r="D619" s="8">
        <v>45960</v>
      </c>
      <c r="E619" s="22">
        <v>45964.597037037034</v>
      </c>
      <c r="F619" t="s">
        <v>2444</v>
      </c>
      <c r="H619">
        <v>1</v>
      </c>
      <c r="I619">
        <v>70332314</v>
      </c>
      <c r="J619" t="s">
        <v>2618</v>
      </c>
      <c r="K619" s="8">
        <v>45960</v>
      </c>
      <c r="Q619">
        <v>33114</v>
      </c>
      <c r="R619">
        <v>1786</v>
      </c>
      <c r="S619" t="s">
        <v>1299</v>
      </c>
      <c r="T619" t="s">
        <v>163</v>
      </c>
      <c r="U619">
        <v>1</v>
      </c>
      <c r="V619">
        <v>986.86</v>
      </c>
      <c r="W619">
        <v>1164.49</v>
      </c>
      <c r="X619">
        <v>0</v>
      </c>
      <c r="Y619">
        <v>986.86</v>
      </c>
      <c r="Z619">
        <v>18</v>
      </c>
      <c r="AA619">
        <v>177.63</v>
      </c>
      <c r="AB619">
        <v>1164.49</v>
      </c>
      <c r="AC619">
        <v>1</v>
      </c>
      <c r="AD619">
        <v>1</v>
      </c>
      <c r="AE619" t="s">
        <v>1411</v>
      </c>
      <c r="AF619" t="s">
        <v>1412</v>
      </c>
      <c r="AG619">
        <v>2</v>
      </c>
      <c r="AH619" t="s">
        <v>25</v>
      </c>
      <c r="AI619">
        <v>6937</v>
      </c>
      <c r="AJ619" t="s">
        <v>1414</v>
      </c>
      <c r="AK619" t="s">
        <v>1251</v>
      </c>
      <c r="AL619">
        <v>3173</v>
      </c>
      <c r="AM619" t="s">
        <v>2451</v>
      </c>
      <c r="AN619" s="8">
        <v>45956</v>
      </c>
      <c r="AO619" s="8">
        <v>45956</v>
      </c>
      <c r="AP619">
        <v>6074</v>
      </c>
      <c r="AQ619" t="s">
        <v>2444</v>
      </c>
      <c r="AR619" t="s">
        <v>1295</v>
      </c>
      <c r="AS619" t="str">
        <f>+CONCATENATE(A619,"-",B619)</f>
        <v>(03) Boleta BOB1-00000140</v>
      </c>
    </row>
    <row r="620" spans="1:45" ht="15" customHeight="1">
      <c r="A620" t="s">
        <v>1216</v>
      </c>
      <c r="B620" s="21" t="s">
        <v>2458</v>
      </c>
      <c r="C620" t="s">
        <v>27</v>
      </c>
      <c r="D620" s="8">
        <v>45960</v>
      </c>
      <c r="E620" s="22">
        <v>45964.592627314814</v>
      </c>
      <c r="F620" t="s">
        <v>307</v>
      </c>
      <c r="H620">
        <v>6</v>
      </c>
      <c r="I620">
        <v>20509594903</v>
      </c>
      <c r="J620" t="s">
        <v>2625</v>
      </c>
      <c r="K620" s="8">
        <v>45960</v>
      </c>
      <c r="Q620">
        <v>33093</v>
      </c>
      <c r="R620">
        <v>1786</v>
      </c>
      <c r="S620" t="s">
        <v>1299</v>
      </c>
      <c r="T620" t="s">
        <v>163</v>
      </c>
      <c r="U620">
        <v>1</v>
      </c>
      <c r="V620">
        <v>988.14</v>
      </c>
      <c r="W620">
        <v>1166.01</v>
      </c>
      <c r="X620">
        <v>0</v>
      </c>
      <c r="Y620">
        <v>988.14</v>
      </c>
      <c r="Z620">
        <v>18</v>
      </c>
      <c r="AA620">
        <v>177.87</v>
      </c>
      <c r="AB620">
        <v>1166.01</v>
      </c>
      <c r="AC620">
        <v>1</v>
      </c>
      <c r="AD620">
        <v>1</v>
      </c>
      <c r="AE620" t="s">
        <v>1411</v>
      </c>
      <c r="AF620" t="s">
        <v>1412</v>
      </c>
      <c r="AG620">
        <v>2</v>
      </c>
      <c r="AH620" t="s">
        <v>25</v>
      </c>
      <c r="AI620">
        <v>6937</v>
      </c>
      <c r="AJ620" t="s">
        <v>1414</v>
      </c>
      <c r="AK620" t="s">
        <v>1251</v>
      </c>
      <c r="AL620">
        <v>3155</v>
      </c>
      <c r="AM620" t="s">
        <v>2459</v>
      </c>
      <c r="AN620" s="8">
        <v>45950</v>
      </c>
      <c r="AO620" s="8">
        <v>45950</v>
      </c>
      <c r="AP620">
        <v>5251</v>
      </c>
      <c r="AQ620" t="s">
        <v>307</v>
      </c>
      <c r="AR620" t="s">
        <v>12</v>
      </c>
      <c r="AS620" t="str">
        <f>+CONCATENATE(A620,"-",B620)</f>
        <v>(01) Factura FOF1-00000217</v>
      </c>
    </row>
    <row r="621" spans="1:45" ht="15" customHeight="1">
      <c r="A621" t="s">
        <v>1214</v>
      </c>
      <c r="B621" s="21" t="s">
        <v>194</v>
      </c>
      <c r="C621" t="s">
        <v>27</v>
      </c>
      <c r="D621" s="8">
        <v>45945</v>
      </c>
      <c r="E621" s="22">
        <v>45964.742928240739</v>
      </c>
      <c r="F621" t="s">
        <v>287</v>
      </c>
      <c r="H621">
        <v>1</v>
      </c>
      <c r="I621">
        <v>46168918</v>
      </c>
      <c r="J621" t="s">
        <v>1875</v>
      </c>
      <c r="K621" s="8">
        <v>45945</v>
      </c>
      <c r="Q621">
        <v>31151</v>
      </c>
      <c r="R621">
        <v>1786</v>
      </c>
      <c r="S621" t="s">
        <v>1299</v>
      </c>
      <c r="T621" t="s">
        <v>163</v>
      </c>
      <c r="U621">
        <v>1</v>
      </c>
      <c r="V621">
        <v>988.4</v>
      </c>
      <c r="W621">
        <v>1166.31</v>
      </c>
      <c r="X621">
        <v>0</v>
      </c>
      <c r="Y621">
        <v>988.4</v>
      </c>
      <c r="Z621">
        <v>18</v>
      </c>
      <c r="AA621">
        <v>177.91</v>
      </c>
      <c r="AB621">
        <v>1166.31</v>
      </c>
      <c r="AC621">
        <v>1</v>
      </c>
      <c r="AD621">
        <v>1</v>
      </c>
      <c r="AE621" t="s">
        <v>1411</v>
      </c>
      <c r="AF621" t="s">
        <v>1412</v>
      </c>
      <c r="AG621">
        <v>2</v>
      </c>
      <c r="AH621" t="s">
        <v>25</v>
      </c>
      <c r="AI621">
        <v>1106</v>
      </c>
      <c r="AJ621" t="s">
        <v>239</v>
      </c>
      <c r="AK621" t="s">
        <v>169</v>
      </c>
      <c r="AL621">
        <v>2953</v>
      </c>
      <c r="AM621" t="s">
        <v>1226</v>
      </c>
      <c r="AN621" s="8">
        <v>45934</v>
      </c>
      <c r="AO621" s="8">
        <v>45934</v>
      </c>
      <c r="AP621">
        <v>5592</v>
      </c>
      <c r="AQ621" t="s">
        <v>287</v>
      </c>
      <c r="AR621" t="s">
        <v>1295</v>
      </c>
      <c r="AS621" t="str">
        <f>+CONCATENATE(A621,"-",B621)</f>
        <v>(03) Boleta BOB1-00000011</v>
      </c>
    </row>
    <row r="622" spans="1:45" ht="15" customHeight="1">
      <c r="A622" t="s">
        <v>216</v>
      </c>
      <c r="B622">
        <v>1353</v>
      </c>
      <c r="C622" t="s">
        <v>27</v>
      </c>
      <c r="D622" s="8">
        <v>45686</v>
      </c>
      <c r="E622" s="22">
        <v>45964</v>
      </c>
      <c r="F622" t="s">
        <v>627</v>
      </c>
      <c r="H622">
        <v>6</v>
      </c>
      <c r="I622">
        <v>20101214771</v>
      </c>
      <c r="J622" t="s">
        <v>1997</v>
      </c>
      <c r="K622" s="8">
        <v>45686</v>
      </c>
      <c r="Q622">
        <v>18666</v>
      </c>
      <c r="R622">
        <v>870</v>
      </c>
      <c r="S622" t="s">
        <v>1299</v>
      </c>
      <c r="T622" t="s">
        <v>215</v>
      </c>
      <c r="U622">
        <v>1</v>
      </c>
      <c r="V622">
        <v>991.19</v>
      </c>
      <c r="W622">
        <v>1169.5999999999999</v>
      </c>
      <c r="X622">
        <v>0</v>
      </c>
      <c r="Y622">
        <v>991.19</v>
      </c>
      <c r="Z622">
        <v>18</v>
      </c>
      <c r="AA622">
        <v>178.41</v>
      </c>
      <c r="AB622">
        <v>1169.5999999999999</v>
      </c>
      <c r="AC622">
        <v>1</v>
      </c>
      <c r="AD622">
        <v>1</v>
      </c>
      <c r="AE622" t="s">
        <v>232</v>
      </c>
      <c r="AF622" t="s">
        <v>29</v>
      </c>
      <c r="AG622">
        <v>2</v>
      </c>
      <c r="AH622" t="s">
        <v>25</v>
      </c>
      <c r="AI622">
        <v>1106</v>
      </c>
      <c r="AJ622" t="s">
        <v>239</v>
      </c>
      <c r="AK622" t="s">
        <v>1237</v>
      </c>
      <c r="AP622">
        <v>1137</v>
      </c>
      <c r="AQ622" t="s">
        <v>627</v>
      </c>
      <c r="AR622" t="s">
        <v>12</v>
      </c>
      <c r="AS622" t="str">
        <f>+CONCATENATE(A622,"-",B622)</f>
        <v>FB01-1353</v>
      </c>
    </row>
    <row r="623" spans="1:45" ht="15" customHeight="1">
      <c r="A623" t="s">
        <v>1216</v>
      </c>
      <c r="B623" s="21" t="s">
        <v>1616</v>
      </c>
      <c r="C623" t="s">
        <v>27</v>
      </c>
      <c r="D623" s="8">
        <v>45946</v>
      </c>
      <c r="E623" s="22">
        <v>45964.772210648145</v>
      </c>
      <c r="F623" t="s">
        <v>1794</v>
      </c>
      <c r="H623">
        <v>6</v>
      </c>
      <c r="I623">
        <v>10207250991</v>
      </c>
      <c r="J623" t="s">
        <v>1801</v>
      </c>
      <c r="K623" s="8">
        <v>45946</v>
      </c>
      <c r="Q623">
        <v>31388</v>
      </c>
      <c r="R623">
        <v>2324</v>
      </c>
      <c r="S623" t="s">
        <v>1303</v>
      </c>
      <c r="T623" t="s">
        <v>215</v>
      </c>
      <c r="U623">
        <v>1</v>
      </c>
      <c r="V623">
        <v>1000</v>
      </c>
      <c r="W623">
        <v>1180</v>
      </c>
      <c r="X623">
        <v>0</v>
      </c>
      <c r="Y623">
        <v>1000</v>
      </c>
      <c r="Z623">
        <v>18</v>
      </c>
      <c r="AA623">
        <v>180</v>
      </c>
      <c r="AB623">
        <v>1180</v>
      </c>
      <c r="AC623">
        <v>1</v>
      </c>
      <c r="AD623">
        <v>1</v>
      </c>
      <c r="AE623" t="s">
        <v>1411</v>
      </c>
      <c r="AF623" t="s">
        <v>1412</v>
      </c>
      <c r="AG623">
        <v>2</v>
      </c>
      <c r="AH623" t="s">
        <v>25</v>
      </c>
      <c r="AI623">
        <v>1106</v>
      </c>
      <c r="AJ623" t="s">
        <v>239</v>
      </c>
      <c r="AK623" t="s">
        <v>1468</v>
      </c>
      <c r="AL623">
        <v>2471</v>
      </c>
      <c r="AM623" t="s">
        <v>1796</v>
      </c>
      <c r="AN623" s="8">
        <v>45928</v>
      </c>
      <c r="AO623" s="8">
        <v>45928</v>
      </c>
      <c r="AP623">
        <v>5507</v>
      </c>
      <c r="AQ623" t="s">
        <v>1794</v>
      </c>
      <c r="AR623" t="s">
        <v>12</v>
      </c>
      <c r="AS623" t="str">
        <f>+CONCATENATE(A623,"-",B623)</f>
        <v>(01) Factura FOF1-00000072</v>
      </c>
    </row>
    <row r="624" spans="1:45" ht="15" customHeight="1">
      <c r="A624" t="s">
        <v>1216</v>
      </c>
      <c r="B624" s="21" t="s">
        <v>173</v>
      </c>
      <c r="C624" t="s">
        <v>27</v>
      </c>
      <c r="D624" s="8">
        <v>45945</v>
      </c>
      <c r="E624" s="22">
        <v>45964.780960648146</v>
      </c>
      <c r="F624" t="s">
        <v>32</v>
      </c>
      <c r="G624" t="s">
        <v>158</v>
      </c>
      <c r="H624">
        <v>6</v>
      </c>
      <c r="I624">
        <v>20608361074</v>
      </c>
      <c r="J624" t="s">
        <v>1844</v>
      </c>
      <c r="K624" s="8">
        <v>45945</v>
      </c>
      <c r="Q624">
        <v>31253</v>
      </c>
      <c r="R624">
        <v>2324</v>
      </c>
      <c r="S624" t="s">
        <v>1303</v>
      </c>
      <c r="T624" t="s">
        <v>215</v>
      </c>
      <c r="U624">
        <v>1</v>
      </c>
      <c r="V624">
        <v>1000</v>
      </c>
      <c r="W624">
        <v>1180</v>
      </c>
      <c r="X624">
        <v>0</v>
      </c>
      <c r="Y624">
        <v>1000</v>
      </c>
      <c r="Z624">
        <v>18</v>
      </c>
      <c r="AA624">
        <v>180</v>
      </c>
      <c r="AB624">
        <v>1180</v>
      </c>
      <c r="AC624">
        <v>1</v>
      </c>
      <c r="AD624">
        <v>1</v>
      </c>
      <c r="AE624" t="s">
        <v>1411</v>
      </c>
      <c r="AF624" t="s">
        <v>1412</v>
      </c>
      <c r="AG624">
        <v>2</v>
      </c>
      <c r="AH624" t="s">
        <v>25</v>
      </c>
      <c r="AI624">
        <v>1106</v>
      </c>
      <c r="AJ624" t="s">
        <v>239</v>
      </c>
      <c r="AK624" t="s">
        <v>169</v>
      </c>
      <c r="AL624">
        <v>3081</v>
      </c>
      <c r="AM624" t="s">
        <v>1217</v>
      </c>
      <c r="AN624" s="8">
        <v>45934</v>
      </c>
      <c r="AO624" s="8">
        <v>45934</v>
      </c>
      <c r="AP624">
        <v>397</v>
      </c>
      <c r="AQ624" t="s">
        <v>32</v>
      </c>
      <c r="AR624" t="s">
        <v>12</v>
      </c>
      <c r="AS624" t="str">
        <f>+CONCATENATE(A624,"-",B624)</f>
        <v>(01) Factura FOF1-00000042</v>
      </c>
    </row>
    <row r="625" spans="1:45" ht="15" customHeight="1">
      <c r="A625" t="s">
        <v>1214</v>
      </c>
      <c r="B625" s="21" t="s">
        <v>200</v>
      </c>
      <c r="C625" t="s">
        <v>27</v>
      </c>
      <c r="D625" s="8">
        <v>45943</v>
      </c>
      <c r="E625" s="22">
        <v>45964.775671296295</v>
      </c>
      <c r="F625" t="s">
        <v>335</v>
      </c>
      <c r="G625" t="s">
        <v>158</v>
      </c>
      <c r="H625">
        <v>1</v>
      </c>
      <c r="I625">
        <v>43908595</v>
      </c>
      <c r="J625" t="s">
        <v>1890</v>
      </c>
      <c r="K625" s="8">
        <v>45943</v>
      </c>
      <c r="Q625">
        <v>31088</v>
      </c>
      <c r="R625">
        <v>2324</v>
      </c>
      <c r="S625" t="s">
        <v>1303</v>
      </c>
      <c r="T625" t="s">
        <v>215</v>
      </c>
      <c r="U625">
        <v>1</v>
      </c>
      <c r="V625">
        <v>1000</v>
      </c>
      <c r="W625">
        <v>1180</v>
      </c>
      <c r="X625">
        <v>0</v>
      </c>
      <c r="Y625">
        <v>1000</v>
      </c>
      <c r="Z625">
        <v>18</v>
      </c>
      <c r="AA625">
        <v>180</v>
      </c>
      <c r="AB625">
        <v>1180</v>
      </c>
      <c r="AC625">
        <v>1</v>
      </c>
      <c r="AD625">
        <v>1</v>
      </c>
      <c r="AE625" t="s">
        <v>1411</v>
      </c>
      <c r="AF625" t="s">
        <v>1412</v>
      </c>
      <c r="AG625">
        <v>2</v>
      </c>
      <c r="AH625" t="s">
        <v>25</v>
      </c>
      <c r="AI625">
        <v>1106</v>
      </c>
      <c r="AJ625" t="s">
        <v>239</v>
      </c>
      <c r="AK625" t="s">
        <v>1229</v>
      </c>
      <c r="AL625">
        <v>3123</v>
      </c>
      <c r="AM625" t="s">
        <v>334</v>
      </c>
      <c r="AN625" s="8">
        <v>45937</v>
      </c>
      <c r="AO625" s="8">
        <v>45937</v>
      </c>
      <c r="AP625">
        <v>393</v>
      </c>
      <c r="AQ625" t="s">
        <v>335</v>
      </c>
      <c r="AR625" t="s">
        <v>1295</v>
      </c>
      <c r="AS625" t="str">
        <f>+CONCATENATE(A625,"-",B625)</f>
        <v>(03) Boleta BOB1-00000007</v>
      </c>
    </row>
    <row r="626" spans="1:45" ht="15" customHeight="1">
      <c r="A626" t="s">
        <v>216</v>
      </c>
      <c r="B626">
        <v>1280</v>
      </c>
      <c r="C626" t="s">
        <v>27</v>
      </c>
      <c r="D626" s="8">
        <v>45680</v>
      </c>
      <c r="E626" s="22">
        <v>45964</v>
      </c>
      <c r="F626" t="s">
        <v>1321</v>
      </c>
      <c r="G626" t="s">
        <v>158</v>
      </c>
      <c r="H626">
        <v>6</v>
      </c>
      <c r="I626">
        <v>20296011356</v>
      </c>
      <c r="J626" t="s">
        <v>2097</v>
      </c>
      <c r="K626" s="8">
        <v>45680</v>
      </c>
      <c r="Q626">
        <v>17795</v>
      </c>
      <c r="R626">
        <v>920</v>
      </c>
      <c r="S626" t="s">
        <v>1361</v>
      </c>
      <c r="T626" t="s">
        <v>215</v>
      </c>
      <c r="U626">
        <v>1</v>
      </c>
      <c r="V626">
        <v>1000</v>
      </c>
      <c r="W626">
        <v>1180</v>
      </c>
      <c r="X626">
        <v>0</v>
      </c>
      <c r="Y626">
        <v>1000</v>
      </c>
      <c r="Z626">
        <v>18</v>
      </c>
      <c r="AA626">
        <v>180</v>
      </c>
      <c r="AB626">
        <v>1180</v>
      </c>
      <c r="AC626">
        <v>1</v>
      </c>
      <c r="AD626">
        <v>1</v>
      </c>
      <c r="AE626" t="s">
        <v>232</v>
      </c>
      <c r="AF626" t="s">
        <v>29</v>
      </c>
      <c r="AG626">
        <v>2</v>
      </c>
      <c r="AH626" t="s">
        <v>25</v>
      </c>
      <c r="AI626">
        <v>1106</v>
      </c>
      <c r="AJ626" t="s">
        <v>239</v>
      </c>
      <c r="AK626" t="s">
        <v>1236</v>
      </c>
      <c r="AP626">
        <v>390</v>
      </c>
      <c r="AQ626" t="s">
        <v>1321</v>
      </c>
      <c r="AR626" t="s">
        <v>12</v>
      </c>
      <c r="AS626" t="str">
        <f>+CONCATENATE(A626,"-",B626)</f>
        <v>FB01-1280</v>
      </c>
    </row>
    <row r="627" spans="1:45" ht="15" customHeight="1">
      <c r="A627" t="s">
        <v>216</v>
      </c>
      <c r="B627">
        <v>1196</v>
      </c>
      <c r="C627" t="s">
        <v>27</v>
      </c>
      <c r="D627" s="8">
        <v>45663</v>
      </c>
      <c r="E627" s="22">
        <v>45964</v>
      </c>
      <c r="F627" t="s">
        <v>1321</v>
      </c>
      <c r="G627" t="s">
        <v>158</v>
      </c>
      <c r="H627">
        <v>6</v>
      </c>
      <c r="I627">
        <v>20296011356</v>
      </c>
      <c r="J627" t="s">
        <v>2192</v>
      </c>
      <c r="K627" s="8">
        <v>45663</v>
      </c>
      <c r="Q627">
        <v>17191</v>
      </c>
      <c r="R627">
        <v>883</v>
      </c>
      <c r="S627" t="s">
        <v>1278</v>
      </c>
      <c r="T627" t="s">
        <v>215</v>
      </c>
      <c r="U627">
        <v>1</v>
      </c>
      <c r="V627">
        <v>1000</v>
      </c>
      <c r="W627">
        <v>1180</v>
      </c>
      <c r="X627">
        <v>0</v>
      </c>
      <c r="Y627">
        <v>1000</v>
      </c>
      <c r="Z627">
        <v>18</v>
      </c>
      <c r="AA627">
        <v>180</v>
      </c>
      <c r="AB627">
        <v>1180</v>
      </c>
      <c r="AC627">
        <v>1</v>
      </c>
      <c r="AD627">
        <v>1</v>
      </c>
      <c r="AE627" t="s">
        <v>232</v>
      </c>
      <c r="AF627" t="s">
        <v>29</v>
      </c>
      <c r="AG627">
        <v>2</v>
      </c>
      <c r="AH627" t="s">
        <v>25</v>
      </c>
      <c r="AI627">
        <v>1106</v>
      </c>
      <c r="AJ627" t="s">
        <v>239</v>
      </c>
      <c r="AK627" t="s">
        <v>1279</v>
      </c>
      <c r="AP627">
        <v>390</v>
      </c>
      <c r="AQ627" t="s">
        <v>1321</v>
      </c>
      <c r="AR627" t="s">
        <v>12</v>
      </c>
      <c r="AS627" t="str">
        <f>+CONCATENATE(A627,"-",B627)</f>
        <v>FB01-1196</v>
      </c>
    </row>
    <row r="628" spans="1:45" ht="15" customHeight="1">
      <c r="A628" t="s">
        <v>1214</v>
      </c>
      <c r="B628" s="21" t="s">
        <v>1548</v>
      </c>
      <c r="C628" t="s">
        <v>27</v>
      </c>
      <c r="D628" s="8">
        <v>45961</v>
      </c>
      <c r="E628" s="22">
        <v>45964.422118055554</v>
      </c>
      <c r="F628" t="s">
        <v>1031</v>
      </c>
      <c r="H628">
        <v>1</v>
      </c>
      <c r="I628" s="21" t="s">
        <v>2438</v>
      </c>
      <c r="J628" t="s">
        <v>2603</v>
      </c>
      <c r="K628" s="8">
        <v>45961</v>
      </c>
      <c r="Q628">
        <v>33169</v>
      </c>
      <c r="R628">
        <v>1895</v>
      </c>
      <c r="S628" t="s">
        <v>1407</v>
      </c>
      <c r="T628" t="s">
        <v>215</v>
      </c>
      <c r="U628">
        <v>1</v>
      </c>
      <c r="V628">
        <v>1016.95</v>
      </c>
      <c r="W628">
        <v>1200</v>
      </c>
      <c r="X628">
        <v>0</v>
      </c>
      <c r="Y628">
        <v>1016.95</v>
      </c>
      <c r="Z628">
        <v>18</v>
      </c>
      <c r="AA628">
        <v>183.05</v>
      </c>
      <c r="AB628">
        <v>1200</v>
      </c>
      <c r="AC628">
        <v>1</v>
      </c>
      <c r="AD628">
        <v>1</v>
      </c>
      <c r="AE628" t="s">
        <v>1411</v>
      </c>
      <c r="AF628" t="s">
        <v>1412</v>
      </c>
      <c r="AG628">
        <v>2</v>
      </c>
      <c r="AH628" t="s">
        <v>25</v>
      </c>
      <c r="AI628">
        <v>1106</v>
      </c>
      <c r="AJ628" t="s">
        <v>239</v>
      </c>
      <c r="AK628" t="s">
        <v>1468</v>
      </c>
      <c r="AL628">
        <v>3319</v>
      </c>
      <c r="AM628" t="s">
        <v>2439</v>
      </c>
      <c r="AN628" s="8">
        <v>45957</v>
      </c>
      <c r="AO628" s="8">
        <v>45957</v>
      </c>
      <c r="AP628">
        <v>5710</v>
      </c>
      <c r="AQ628" t="s">
        <v>1031</v>
      </c>
      <c r="AR628" t="s">
        <v>1295</v>
      </c>
      <c r="AS628" t="str">
        <f>+CONCATENATE(A628,"-",B628)</f>
        <v>(03) Boleta BOB1-00000153</v>
      </c>
    </row>
    <row r="629" spans="1:45" ht="15" customHeight="1">
      <c r="A629" t="s">
        <v>1238</v>
      </c>
      <c r="B629">
        <v>697</v>
      </c>
      <c r="C629" t="s">
        <v>27</v>
      </c>
      <c r="D629" s="8">
        <v>45680</v>
      </c>
      <c r="E629" s="22">
        <v>45964</v>
      </c>
      <c r="F629" t="s">
        <v>519</v>
      </c>
      <c r="H629">
        <v>1</v>
      </c>
      <c r="I629">
        <v>19941551</v>
      </c>
      <c r="J629" t="s">
        <v>2044</v>
      </c>
      <c r="K629" s="8">
        <v>45680</v>
      </c>
      <c r="Q629">
        <v>18613</v>
      </c>
      <c r="R629">
        <v>939</v>
      </c>
      <c r="S629" t="s">
        <v>1346</v>
      </c>
      <c r="T629" t="s">
        <v>215</v>
      </c>
      <c r="U629">
        <v>1</v>
      </c>
      <c r="V629">
        <v>1028.46</v>
      </c>
      <c r="W629">
        <v>1213.58</v>
      </c>
      <c r="X629">
        <v>0</v>
      </c>
      <c r="Y629">
        <v>1028.46</v>
      </c>
      <c r="Z629">
        <v>18</v>
      </c>
      <c r="AA629">
        <v>185.12</v>
      </c>
      <c r="AB629">
        <v>1213.58</v>
      </c>
      <c r="AC629">
        <v>1</v>
      </c>
      <c r="AD629">
        <v>1</v>
      </c>
      <c r="AE629" t="s">
        <v>232</v>
      </c>
      <c r="AF629" t="s">
        <v>29</v>
      </c>
      <c r="AG629">
        <v>2</v>
      </c>
      <c r="AH629" t="s">
        <v>25</v>
      </c>
      <c r="AI629">
        <v>1106</v>
      </c>
      <c r="AJ629" t="s">
        <v>239</v>
      </c>
      <c r="AK629" t="s">
        <v>1237</v>
      </c>
      <c r="AP629">
        <v>1166</v>
      </c>
      <c r="AQ629" t="s">
        <v>519</v>
      </c>
      <c r="AR629" t="s">
        <v>1295</v>
      </c>
      <c r="AS629" t="str">
        <f>+CONCATENATE(A629,"-",B629)</f>
        <v>BB01-697</v>
      </c>
    </row>
    <row r="630" spans="1:45" ht="15" customHeight="1">
      <c r="A630" t="s">
        <v>1238</v>
      </c>
      <c r="B630">
        <v>690</v>
      </c>
      <c r="C630" t="s">
        <v>27</v>
      </c>
      <c r="D630" s="8">
        <v>45680</v>
      </c>
      <c r="E630" s="22">
        <v>45964</v>
      </c>
      <c r="F630" t="s">
        <v>519</v>
      </c>
      <c r="H630">
        <v>1</v>
      </c>
      <c r="I630">
        <v>19941551</v>
      </c>
      <c r="J630" t="s">
        <v>2050</v>
      </c>
      <c r="K630" s="8">
        <v>45680</v>
      </c>
      <c r="Q630">
        <v>18606</v>
      </c>
      <c r="R630">
        <v>940</v>
      </c>
      <c r="S630" t="s">
        <v>1310</v>
      </c>
      <c r="T630" t="s">
        <v>215</v>
      </c>
      <c r="U630">
        <v>1</v>
      </c>
      <c r="V630">
        <v>1029.3599999999999</v>
      </c>
      <c r="W630">
        <v>1214.6400000000001</v>
      </c>
      <c r="X630">
        <v>0</v>
      </c>
      <c r="Y630">
        <v>1029.3599999999999</v>
      </c>
      <c r="Z630">
        <v>18</v>
      </c>
      <c r="AA630">
        <v>185.28</v>
      </c>
      <c r="AB630">
        <v>1214.6400000000001</v>
      </c>
      <c r="AC630">
        <v>1</v>
      </c>
      <c r="AD630">
        <v>1</v>
      </c>
      <c r="AE630" t="s">
        <v>232</v>
      </c>
      <c r="AF630" t="s">
        <v>29</v>
      </c>
      <c r="AG630">
        <v>2</v>
      </c>
      <c r="AH630" t="s">
        <v>25</v>
      </c>
      <c r="AI630">
        <v>1106</v>
      </c>
      <c r="AJ630" t="s">
        <v>239</v>
      </c>
      <c r="AK630" t="s">
        <v>1237</v>
      </c>
      <c r="AP630">
        <v>1166</v>
      </c>
      <c r="AQ630" t="s">
        <v>519</v>
      </c>
      <c r="AR630" t="s">
        <v>1295</v>
      </c>
      <c r="AS630" t="str">
        <f>+CONCATENATE(A630,"-",B630)</f>
        <v>BB01-690</v>
      </c>
    </row>
    <row r="631" spans="1:45" ht="15" customHeight="1">
      <c r="A631" t="s">
        <v>1214</v>
      </c>
      <c r="B631" s="21" t="s">
        <v>2446</v>
      </c>
      <c r="C631" t="s">
        <v>27</v>
      </c>
      <c r="D631" s="8">
        <v>45960</v>
      </c>
      <c r="E631" s="22">
        <v>45964.600405092591</v>
      </c>
      <c r="F631" t="s">
        <v>2444</v>
      </c>
      <c r="H631">
        <v>1</v>
      </c>
      <c r="I631">
        <v>70332314</v>
      </c>
      <c r="J631" t="s">
        <v>2613</v>
      </c>
      <c r="K631" s="8">
        <v>45960</v>
      </c>
      <c r="Q631">
        <v>33129</v>
      </c>
      <c r="R631">
        <v>1786</v>
      </c>
      <c r="S631" t="s">
        <v>1299</v>
      </c>
      <c r="T631" t="s">
        <v>163</v>
      </c>
      <c r="U631">
        <v>1</v>
      </c>
      <c r="V631">
        <v>1050.72</v>
      </c>
      <c r="W631">
        <v>1239.8499999999999</v>
      </c>
      <c r="X631">
        <v>0</v>
      </c>
      <c r="Y631">
        <v>1050.72</v>
      </c>
      <c r="Z631">
        <v>18</v>
      </c>
      <c r="AA631">
        <v>189.13</v>
      </c>
      <c r="AB631">
        <v>1239.8499999999999</v>
      </c>
      <c r="AC631">
        <v>1</v>
      </c>
      <c r="AD631">
        <v>1</v>
      </c>
      <c r="AE631" t="s">
        <v>1411</v>
      </c>
      <c r="AF631" t="s">
        <v>1412</v>
      </c>
      <c r="AG631">
        <v>2</v>
      </c>
      <c r="AH631" t="s">
        <v>25</v>
      </c>
      <c r="AI631">
        <v>6937</v>
      </c>
      <c r="AJ631" t="s">
        <v>1414</v>
      </c>
      <c r="AK631" t="s">
        <v>1251</v>
      </c>
      <c r="AL631">
        <v>3260</v>
      </c>
      <c r="AM631" t="s">
        <v>2445</v>
      </c>
      <c r="AN631" s="8">
        <v>45956</v>
      </c>
      <c r="AO631" s="8">
        <v>45956</v>
      </c>
      <c r="AP631">
        <v>6074</v>
      </c>
      <c r="AQ631" t="s">
        <v>2444</v>
      </c>
      <c r="AR631" t="s">
        <v>1295</v>
      </c>
      <c r="AS631" t="str">
        <f>+CONCATENATE(A631,"-",B631)</f>
        <v>(03) Boleta BOB1-00000143</v>
      </c>
    </row>
    <row r="632" spans="1:45" ht="15" customHeight="1">
      <c r="A632" t="s">
        <v>1214</v>
      </c>
      <c r="B632" s="21" t="s">
        <v>1737</v>
      </c>
      <c r="C632" t="s">
        <v>27</v>
      </c>
      <c r="D632" s="8">
        <v>45946</v>
      </c>
      <c r="E632" s="22">
        <v>45964.823831018519</v>
      </c>
      <c r="F632" t="s">
        <v>1732</v>
      </c>
      <c r="H632">
        <v>1</v>
      </c>
      <c r="I632">
        <v>71004910</v>
      </c>
      <c r="J632" t="s">
        <v>1738</v>
      </c>
      <c r="K632" s="8">
        <v>45946</v>
      </c>
      <c r="Q632">
        <v>31521</v>
      </c>
      <c r="R632">
        <v>216</v>
      </c>
      <c r="S632" t="s">
        <v>1300</v>
      </c>
      <c r="T632" t="s">
        <v>163</v>
      </c>
      <c r="U632">
        <v>1</v>
      </c>
      <c r="V632">
        <v>1057.33</v>
      </c>
      <c r="W632">
        <v>1247.6500000000001</v>
      </c>
      <c r="X632">
        <v>0</v>
      </c>
      <c r="Y632">
        <v>1057.33</v>
      </c>
      <c r="Z632">
        <v>18</v>
      </c>
      <c r="AA632">
        <v>190.32</v>
      </c>
      <c r="AB632">
        <v>1247.6500000000001</v>
      </c>
      <c r="AC632">
        <v>1</v>
      </c>
      <c r="AD632">
        <v>1</v>
      </c>
      <c r="AE632" t="s">
        <v>1411</v>
      </c>
      <c r="AF632" t="s">
        <v>1412</v>
      </c>
      <c r="AG632">
        <v>2</v>
      </c>
      <c r="AH632" t="s">
        <v>25</v>
      </c>
      <c r="AI632">
        <v>6936</v>
      </c>
      <c r="AJ632" t="s">
        <v>1437</v>
      </c>
      <c r="AK632" t="s">
        <v>1433</v>
      </c>
      <c r="AL632">
        <v>3176</v>
      </c>
      <c r="AM632" t="s">
        <v>1734</v>
      </c>
      <c r="AN632" s="8">
        <v>45938</v>
      </c>
      <c r="AO632" s="8">
        <v>45938</v>
      </c>
      <c r="AP632">
        <v>6085</v>
      </c>
      <c r="AQ632" t="s">
        <v>1522</v>
      </c>
      <c r="AR632" t="s">
        <v>12</v>
      </c>
      <c r="AS632" t="str">
        <f>+CONCATENATE(A632,"-",B632)</f>
        <v>(03) Boleta BOB1-00000048</v>
      </c>
    </row>
    <row r="633" spans="1:45" ht="15" customHeight="1">
      <c r="A633" t="s">
        <v>1216</v>
      </c>
      <c r="B633" s="21" t="s">
        <v>1742</v>
      </c>
      <c r="C633" t="s">
        <v>27</v>
      </c>
      <c r="D633" s="8">
        <v>45946</v>
      </c>
      <c r="E633" s="22">
        <v>45964.822974537034</v>
      </c>
      <c r="F633" t="s">
        <v>1522</v>
      </c>
      <c r="H633">
        <v>6</v>
      </c>
      <c r="I633">
        <v>20611536705</v>
      </c>
      <c r="J633" t="s">
        <v>1743</v>
      </c>
      <c r="K633" s="8">
        <v>45946</v>
      </c>
      <c r="Q633">
        <v>31512</v>
      </c>
      <c r="R633">
        <v>216</v>
      </c>
      <c r="S633" t="s">
        <v>1300</v>
      </c>
      <c r="T633" t="s">
        <v>163</v>
      </c>
      <c r="U633">
        <v>1</v>
      </c>
      <c r="V633">
        <v>1057.33</v>
      </c>
      <c r="W633">
        <v>1247.6500000000001</v>
      </c>
      <c r="X633">
        <v>0</v>
      </c>
      <c r="Y633">
        <v>1057.33</v>
      </c>
      <c r="Z633">
        <v>18</v>
      </c>
      <c r="AA633">
        <v>190.32</v>
      </c>
      <c r="AB633">
        <v>1247.6500000000001</v>
      </c>
      <c r="AC633">
        <v>1</v>
      </c>
      <c r="AD633">
        <v>1</v>
      </c>
      <c r="AE633" t="s">
        <v>1411</v>
      </c>
      <c r="AF633" t="s">
        <v>1412</v>
      </c>
      <c r="AG633">
        <v>2</v>
      </c>
      <c r="AH633" t="s">
        <v>25</v>
      </c>
      <c r="AI633">
        <v>6936</v>
      </c>
      <c r="AJ633" t="s">
        <v>1437</v>
      </c>
      <c r="AK633" t="s">
        <v>1433</v>
      </c>
      <c r="AL633">
        <v>3176</v>
      </c>
      <c r="AM633" t="s">
        <v>1734</v>
      </c>
      <c r="AN633" s="8">
        <v>45938</v>
      </c>
      <c r="AO633" s="8">
        <v>45938</v>
      </c>
      <c r="AP633">
        <v>6085</v>
      </c>
      <c r="AQ633" t="s">
        <v>1522</v>
      </c>
      <c r="AR633" t="s">
        <v>12</v>
      </c>
      <c r="AS633" t="str">
        <f>+CONCATENATE(A633,"-",B633)</f>
        <v>(01) Factura FOF1-00000103</v>
      </c>
    </row>
    <row r="634" spans="1:45" ht="15" customHeight="1">
      <c r="A634" t="s">
        <v>216</v>
      </c>
      <c r="B634">
        <v>1218</v>
      </c>
      <c r="C634" t="s">
        <v>27</v>
      </c>
      <c r="D634" s="8">
        <v>45663</v>
      </c>
      <c r="E634" s="22">
        <v>45964</v>
      </c>
      <c r="F634" t="s">
        <v>1386</v>
      </c>
      <c r="H634">
        <v>6</v>
      </c>
      <c r="I634">
        <v>20541708406</v>
      </c>
      <c r="J634" t="s">
        <v>2163</v>
      </c>
      <c r="K634" s="8">
        <v>45663</v>
      </c>
      <c r="Q634">
        <v>17223</v>
      </c>
      <c r="R634">
        <v>878</v>
      </c>
      <c r="S634" t="s">
        <v>1334</v>
      </c>
      <c r="T634" t="s">
        <v>215</v>
      </c>
      <c r="U634">
        <v>1</v>
      </c>
      <c r="V634">
        <v>1085.76</v>
      </c>
      <c r="W634">
        <v>1281.2</v>
      </c>
      <c r="X634">
        <v>0</v>
      </c>
      <c r="Y634">
        <v>1085.76</v>
      </c>
      <c r="Z634">
        <v>18</v>
      </c>
      <c r="AA634">
        <v>195.44</v>
      </c>
      <c r="AB634">
        <v>1281.2</v>
      </c>
      <c r="AC634">
        <v>1</v>
      </c>
      <c r="AD634">
        <v>1</v>
      </c>
      <c r="AE634" t="s">
        <v>232</v>
      </c>
      <c r="AF634" t="s">
        <v>29</v>
      </c>
      <c r="AG634">
        <v>2</v>
      </c>
      <c r="AH634" t="s">
        <v>25</v>
      </c>
      <c r="AI634">
        <v>1106</v>
      </c>
      <c r="AJ634" t="s">
        <v>239</v>
      </c>
      <c r="AK634" t="s">
        <v>1237</v>
      </c>
      <c r="AP634">
        <v>1125</v>
      </c>
      <c r="AQ634" t="s">
        <v>1386</v>
      </c>
      <c r="AR634" t="s">
        <v>12</v>
      </c>
      <c r="AS634" t="str">
        <f>+CONCATENATE(A634,"-",B634)</f>
        <v>FB01-1218</v>
      </c>
    </row>
    <row r="635" spans="1:45" ht="15" customHeight="1">
      <c r="A635" t="s">
        <v>1214</v>
      </c>
      <c r="B635" s="21" t="s">
        <v>1725</v>
      </c>
      <c r="C635" t="s">
        <v>27</v>
      </c>
      <c r="D635" s="8">
        <v>45959</v>
      </c>
      <c r="E635" s="22">
        <v>45964.645624999997</v>
      </c>
      <c r="F635" t="s">
        <v>1151</v>
      </c>
      <c r="G635" t="s">
        <v>158</v>
      </c>
      <c r="H635">
        <v>1</v>
      </c>
      <c r="I635">
        <v>44413438</v>
      </c>
      <c r="J635" t="s">
        <v>2660</v>
      </c>
      <c r="K635" s="8">
        <v>45959</v>
      </c>
      <c r="Q635">
        <v>32929</v>
      </c>
      <c r="R635">
        <v>1924</v>
      </c>
      <c r="S635" t="s">
        <v>1405</v>
      </c>
      <c r="T635" t="s">
        <v>215</v>
      </c>
      <c r="U635">
        <v>1</v>
      </c>
      <c r="V635">
        <v>1140</v>
      </c>
      <c r="W635">
        <v>1345.2</v>
      </c>
      <c r="X635">
        <v>0</v>
      </c>
      <c r="Y635">
        <v>1140</v>
      </c>
      <c r="Z635">
        <v>18</v>
      </c>
      <c r="AA635">
        <v>205.2</v>
      </c>
      <c r="AB635">
        <v>1345.2</v>
      </c>
      <c r="AC635">
        <v>1</v>
      </c>
      <c r="AD635">
        <v>1</v>
      </c>
      <c r="AE635" t="s">
        <v>1411</v>
      </c>
      <c r="AF635" t="s">
        <v>1412</v>
      </c>
      <c r="AG635">
        <v>2</v>
      </c>
      <c r="AH635" t="s">
        <v>25</v>
      </c>
      <c r="AI635">
        <v>1106</v>
      </c>
      <c r="AJ635" t="s">
        <v>239</v>
      </c>
      <c r="AK635" t="s">
        <v>1468</v>
      </c>
      <c r="AL635">
        <v>3074</v>
      </c>
      <c r="AM635" t="s">
        <v>2482</v>
      </c>
      <c r="AN635" s="8">
        <v>45955</v>
      </c>
      <c r="AO635" s="8">
        <v>45955</v>
      </c>
      <c r="AP635">
        <v>405</v>
      </c>
      <c r="AQ635" t="s">
        <v>1151</v>
      </c>
      <c r="AR635" t="s">
        <v>1295</v>
      </c>
      <c r="AS635" t="str">
        <f>+CONCATENATE(A635,"-",B635)</f>
        <v>(03) Boleta BOB1-00000108</v>
      </c>
    </row>
    <row r="636" spans="1:45" ht="15" customHeight="1">
      <c r="A636" t="s">
        <v>1216</v>
      </c>
      <c r="B636" s="21" t="s">
        <v>194</v>
      </c>
      <c r="C636" t="s">
        <v>27</v>
      </c>
      <c r="D636" s="8">
        <v>45943</v>
      </c>
      <c r="E636" s="22">
        <v>45964.767974537041</v>
      </c>
      <c r="F636" t="s">
        <v>307</v>
      </c>
      <c r="H636">
        <v>6</v>
      </c>
      <c r="I636">
        <v>20509594903</v>
      </c>
      <c r="J636" t="s">
        <v>1897</v>
      </c>
      <c r="K636" s="8">
        <v>45943</v>
      </c>
      <c r="Q636">
        <v>31067</v>
      </c>
      <c r="R636">
        <v>216</v>
      </c>
      <c r="S636" t="s">
        <v>1300</v>
      </c>
      <c r="T636" t="s">
        <v>163</v>
      </c>
      <c r="U636">
        <v>1</v>
      </c>
      <c r="V636">
        <v>1163.56</v>
      </c>
      <c r="W636">
        <v>1373</v>
      </c>
      <c r="X636">
        <v>0</v>
      </c>
      <c r="Y636">
        <v>1163.56</v>
      </c>
      <c r="Z636">
        <v>18</v>
      </c>
      <c r="AA636">
        <v>209.44</v>
      </c>
      <c r="AB636">
        <v>1373</v>
      </c>
      <c r="AC636">
        <v>1</v>
      </c>
      <c r="AD636">
        <v>1</v>
      </c>
      <c r="AE636" t="s">
        <v>1411</v>
      </c>
      <c r="AF636" t="s">
        <v>1412</v>
      </c>
      <c r="AG636">
        <v>2</v>
      </c>
      <c r="AH636" t="s">
        <v>25</v>
      </c>
      <c r="AI636">
        <v>1106</v>
      </c>
      <c r="AJ636" t="s">
        <v>239</v>
      </c>
      <c r="AK636" t="s">
        <v>169</v>
      </c>
      <c r="AL636">
        <v>3168</v>
      </c>
      <c r="AM636" t="s">
        <v>1230</v>
      </c>
      <c r="AN636" s="8">
        <v>45937</v>
      </c>
      <c r="AO636" s="8">
        <v>45937</v>
      </c>
      <c r="AP636">
        <v>5251</v>
      </c>
      <c r="AQ636" t="s">
        <v>307</v>
      </c>
      <c r="AR636" t="s">
        <v>12</v>
      </c>
      <c r="AS636" t="str">
        <f>+CONCATENATE(A636,"-",B636)</f>
        <v>(01) Factura FOF1-00000011</v>
      </c>
    </row>
    <row r="637" spans="1:45" ht="15" customHeight="1">
      <c r="A637" t="s">
        <v>216</v>
      </c>
      <c r="B637">
        <v>1365</v>
      </c>
      <c r="C637" t="s">
        <v>27</v>
      </c>
      <c r="D637" s="8">
        <v>45693</v>
      </c>
      <c r="E637" s="22">
        <v>45964</v>
      </c>
      <c r="F637" t="s">
        <v>415</v>
      </c>
      <c r="H637">
        <v>6</v>
      </c>
      <c r="I637">
        <v>20611890746</v>
      </c>
      <c r="J637" t="s">
        <v>1971</v>
      </c>
      <c r="K637" s="8">
        <v>45693</v>
      </c>
      <c r="Q637">
        <v>18694</v>
      </c>
      <c r="R637">
        <v>870</v>
      </c>
      <c r="S637" t="s">
        <v>1299</v>
      </c>
      <c r="T637" t="s">
        <v>215</v>
      </c>
      <c r="U637">
        <v>1</v>
      </c>
      <c r="V637">
        <v>1170.3900000000001</v>
      </c>
      <c r="W637">
        <v>1381.06</v>
      </c>
      <c r="X637">
        <v>0</v>
      </c>
      <c r="Y637">
        <v>1170.3900000000001</v>
      </c>
      <c r="Z637">
        <v>18</v>
      </c>
      <c r="AA637">
        <v>210.67</v>
      </c>
      <c r="AB637">
        <v>1381.06</v>
      </c>
      <c r="AC637">
        <v>1</v>
      </c>
      <c r="AD637">
        <v>1</v>
      </c>
      <c r="AE637" t="s">
        <v>232</v>
      </c>
      <c r="AF637" t="s">
        <v>29</v>
      </c>
      <c r="AG637">
        <v>2</v>
      </c>
      <c r="AH637" t="s">
        <v>25</v>
      </c>
      <c r="AI637">
        <v>1106</v>
      </c>
      <c r="AJ637" t="s">
        <v>239</v>
      </c>
      <c r="AK637" t="s">
        <v>1237</v>
      </c>
      <c r="AP637">
        <v>1136</v>
      </c>
      <c r="AQ637" t="s">
        <v>415</v>
      </c>
      <c r="AR637" t="s">
        <v>12</v>
      </c>
      <c r="AS637" t="str">
        <f>+CONCATENATE(A637,"-",B637)</f>
        <v>FB01-1365</v>
      </c>
    </row>
    <row r="638" spans="1:45" ht="15" customHeight="1">
      <c r="A638" t="s">
        <v>1216</v>
      </c>
      <c r="B638" s="21" t="s">
        <v>1435</v>
      </c>
      <c r="C638" t="s">
        <v>27</v>
      </c>
      <c r="D638" s="8">
        <v>45946</v>
      </c>
      <c r="E638" s="22">
        <v>45964.799861111111</v>
      </c>
      <c r="F638" t="s">
        <v>307</v>
      </c>
      <c r="H638">
        <v>6</v>
      </c>
      <c r="I638">
        <v>20509594903</v>
      </c>
      <c r="J638" t="s">
        <v>1761</v>
      </c>
      <c r="K638" s="8">
        <v>45946</v>
      </c>
      <c r="Q638">
        <v>31482</v>
      </c>
      <c r="R638">
        <v>1786</v>
      </c>
      <c r="S638" t="s">
        <v>1299</v>
      </c>
      <c r="T638" t="s">
        <v>163</v>
      </c>
      <c r="U638">
        <v>1</v>
      </c>
      <c r="V638">
        <v>1172.3699999999999</v>
      </c>
      <c r="W638">
        <v>1383.4</v>
      </c>
      <c r="X638">
        <v>0</v>
      </c>
      <c r="Y638">
        <v>1172.3699999999999</v>
      </c>
      <c r="Z638">
        <v>18</v>
      </c>
      <c r="AA638">
        <v>211.03</v>
      </c>
      <c r="AB638">
        <v>1383.4</v>
      </c>
      <c r="AC638">
        <v>1</v>
      </c>
      <c r="AD638">
        <v>1</v>
      </c>
      <c r="AE638" t="s">
        <v>1411</v>
      </c>
      <c r="AF638" t="s">
        <v>1412</v>
      </c>
      <c r="AG638">
        <v>2</v>
      </c>
      <c r="AH638" t="s">
        <v>25</v>
      </c>
      <c r="AI638">
        <v>6937</v>
      </c>
      <c r="AJ638" t="s">
        <v>1414</v>
      </c>
      <c r="AK638" t="s">
        <v>1251</v>
      </c>
      <c r="AL638">
        <v>3182</v>
      </c>
      <c r="AM638" t="s">
        <v>1762</v>
      </c>
      <c r="AN638" s="8">
        <v>45939</v>
      </c>
      <c r="AO638" s="8">
        <v>45939</v>
      </c>
      <c r="AP638">
        <v>5251</v>
      </c>
      <c r="AQ638" t="s">
        <v>307</v>
      </c>
      <c r="AR638" t="s">
        <v>12</v>
      </c>
      <c r="AS638" t="str">
        <f>+CONCATENATE(A638,"-",B638)</f>
        <v>(01) Factura FOF1-00000097</v>
      </c>
    </row>
    <row r="639" spans="1:45" ht="15" customHeight="1">
      <c r="A639" t="s">
        <v>1216</v>
      </c>
      <c r="B639" s="21" t="s">
        <v>182</v>
      </c>
      <c r="C639" t="s">
        <v>27</v>
      </c>
      <c r="D639" s="8">
        <v>45945</v>
      </c>
      <c r="E639" s="22">
        <v>45964.753819444442</v>
      </c>
      <c r="F639" t="s">
        <v>316</v>
      </c>
      <c r="H639">
        <v>6</v>
      </c>
      <c r="I639">
        <v>20610320261</v>
      </c>
      <c r="J639" t="s">
        <v>1863</v>
      </c>
      <c r="K639" s="8">
        <v>45945</v>
      </c>
      <c r="Q639">
        <v>31187</v>
      </c>
      <c r="R639">
        <v>1786</v>
      </c>
      <c r="S639" t="s">
        <v>1299</v>
      </c>
      <c r="T639" t="s">
        <v>163</v>
      </c>
      <c r="U639">
        <v>1</v>
      </c>
      <c r="V639">
        <v>1174.24</v>
      </c>
      <c r="W639">
        <v>1385.6</v>
      </c>
      <c r="X639">
        <v>0</v>
      </c>
      <c r="Y639">
        <v>1174.24</v>
      </c>
      <c r="Z639">
        <v>18</v>
      </c>
      <c r="AA639">
        <v>211.36</v>
      </c>
      <c r="AB639">
        <v>1385.6</v>
      </c>
      <c r="AC639">
        <v>1</v>
      </c>
      <c r="AD639">
        <v>1</v>
      </c>
      <c r="AE639" t="s">
        <v>1411</v>
      </c>
      <c r="AF639" t="s">
        <v>1412</v>
      </c>
      <c r="AG639">
        <v>2</v>
      </c>
      <c r="AH639" t="s">
        <v>25</v>
      </c>
      <c r="AI639">
        <v>1106</v>
      </c>
      <c r="AJ639" t="s">
        <v>239</v>
      </c>
      <c r="AK639" t="s">
        <v>169</v>
      </c>
      <c r="AL639">
        <v>2899</v>
      </c>
      <c r="AM639" t="s">
        <v>319</v>
      </c>
      <c r="AN639" s="8">
        <v>45933</v>
      </c>
      <c r="AO639" s="8">
        <v>45933</v>
      </c>
      <c r="AP639">
        <v>5586</v>
      </c>
      <c r="AQ639" t="s">
        <v>316</v>
      </c>
      <c r="AR639" t="s">
        <v>12</v>
      </c>
      <c r="AS639" t="str">
        <f>+CONCATENATE(A639,"-",B639)</f>
        <v>(01) Factura FOF1-00000030</v>
      </c>
    </row>
    <row r="640" spans="1:45" ht="15" customHeight="1">
      <c r="A640" t="s">
        <v>216</v>
      </c>
      <c r="B640">
        <v>1387</v>
      </c>
      <c r="C640" t="s">
        <v>27</v>
      </c>
      <c r="D640" s="8">
        <v>45693</v>
      </c>
      <c r="E640" s="22">
        <v>45964</v>
      </c>
      <c r="F640" t="s">
        <v>462</v>
      </c>
      <c r="G640" t="s">
        <v>158</v>
      </c>
      <c r="H640">
        <v>6</v>
      </c>
      <c r="I640">
        <v>20608627422</v>
      </c>
      <c r="J640" t="s">
        <v>1944</v>
      </c>
      <c r="K640" s="8">
        <v>45693</v>
      </c>
      <c r="Q640">
        <v>18726</v>
      </c>
      <c r="R640">
        <v>870</v>
      </c>
      <c r="S640" t="s">
        <v>1299</v>
      </c>
      <c r="T640" t="s">
        <v>215</v>
      </c>
      <c r="U640">
        <v>1</v>
      </c>
      <c r="V640">
        <v>1180.25</v>
      </c>
      <c r="W640">
        <v>1392.7</v>
      </c>
      <c r="X640">
        <v>0</v>
      </c>
      <c r="Y640">
        <v>1180.25</v>
      </c>
      <c r="Z640">
        <v>18</v>
      </c>
      <c r="AA640">
        <v>212.45</v>
      </c>
      <c r="AB640">
        <v>1392.7</v>
      </c>
      <c r="AC640">
        <v>1</v>
      </c>
      <c r="AD640">
        <v>1</v>
      </c>
      <c r="AE640" t="s">
        <v>232</v>
      </c>
      <c r="AF640" t="s">
        <v>29</v>
      </c>
      <c r="AG640">
        <v>2</v>
      </c>
      <c r="AH640" t="s">
        <v>25</v>
      </c>
      <c r="AI640">
        <v>1106</v>
      </c>
      <c r="AJ640" t="s">
        <v>239</v>
      </c>
      <c r="AK640" t="s">
        <v>1237</v>
      </c>
      <c r="AP640">
        <v>396</v>
      </c>
      <c r="AQ640" t="s">
        <v>462</v>
      </c>
      <c r="AR640" t="s">
        <v>12</v>
      </c>
      <c r="AS640" t="str">
        <f>+CONCATENATE(A640,"-",B640)</f>
        <v>FB01-1387</v>
      </c>
    </row>
    <row r="641" spans="1:45" ht="15" customHeight="1">
      <c r="A641" t="s">
        <v>1238</v>
      </c>
      <c r="B641">
        <v>698</v>
      </c>
      <c r="C641" t="s">
        <v>27</v>
      </c>
      <c r="D641" s="8">
        <v>45680</v>
      </c>
      <c r="E641" s="22">
        <v>45964</v>
      </c>
      <c r="F641" t="s">
        <v>519</v>
      </c>
      <c r="H641">
        <v>1</v>
      </c>
      <c r="I641">
        <v>19941551</v>
      </c>
      <c r="J641" t="s">
        <v>2043</v>
      </c>
      <c r="K641" s="8">
        <v>45680</v>
      </c>
      <c r="Q641">
        <v>18614</v>
      </c>
      <c r="R641">
        <v>940</v>
      </c>
      <c r="S641" t="s">
        <v>1310</v>
      </c>
      <c r="T641" t="s">
        <v>215</v>
      </c>
      <c r="U641">
        <v>1</v>
      </c>
      <c r="V641">
        <v>1181.29</v>
      </c>
      <c r="W641">
        <v>1393.92</v>
      </c>
      <c r="X641">
        <v>0</v>
      </c>
      <c r="Y641">
        <v>1181.29</v>
      </c>
      <c r="Z641">
        <v>18</v>
      </c>
      <c r="AA641">
        <v>212.63</v>
      </c>
      <c r="AB641">
        <v>1393.92</v>
      </c>
      <c r="AC641">
        <v>1</v>
      </c>
      <c r="AD641">
        <v>1</v>
      </c>
      <c r="AE641" t="s">
        <v>232</v>
      </c>
      <c r="AF641" t="s">
        <v>29</v>
      </c>
      <c r="AG641">
        <v>2</v>
      </c>
      <c r="AH641" t="s">
        <v>25</v>
      </c>
      <c r="AI641">
        <v>1106</v>
      </c>
      <c r="AJ641" t="s">
        <v>239</v>
      </c>
      <c r="AK641" t="s">
        <v>1237</v>
      </c>
      <c r="AP641">
        <v>1166</v>
      </c>
      <c r="AQ641" t="s">
        <v>519</v>
      </c>
      <c r="AR641" t="s">
        <v>1295</v>
      </c>
      <c r="AS641" t="str">
        <f>+CONCATENATE(A641,"-",B641)</f>
        <v>BB01-698</v>
      </c>
    </row>
    <row r="642" spans="1:45" ht="15" customHeight="1">
      <c r="A642" t="s">
        <v>1214</v>
      </c>
      <c r="B642" s="21" t="s">
        <v>1557</v>
      </c>
      <c r="C642" t="s">
        <v>27</v>
      </c>
      <c r="D642" s="8">
        <v>45960</v>
      </c>
      <c r="E642" s="22">
        <v>45964.651562500003</v>
      </c>
      <c r="F642" t="s">
        <v>1528</v>
      </c>
      <c r="H642">
        <v>1</v>
      </c>
      <c r="I642" s="21" t="s">
        <v>2440</v>
      </c>
      <c r="J642" t="s">
        <v>2607</v>
      </c>
      <c r="K642" s="8">
        <v>45960</v>
      </c>
      <c r="Q642">
        <v>33155</v>
      </c>
      <c r="R642">
        <v>2264</v>
      </c>
      <c r="S642" t="s">
        <v>1526</v>
      </c>
      <c r="T642" t="s">
        <v>215</v>
      </c>
      <c r="U642">
        <v>1</v>
      </c>
      <c r="V642">
        <v>1200</v>
      </c>
      <c r="W642">
        <v>1416</v>
      </c>
      <c r="X642">
        <v>0</v>
      </c>
      <c r="Y642">
        <v>1200</v>
      </c>
      <c r="Z642">
        <v>18</v>
      </c>
      <c r="AA642">
        <v>216</v>
      </c>
      <c r="AB642">
        <v>1416</v>
      </c>
      <c r="AC642">
        <v>1</v>
      </c>
      <c r="AD642">
        <v>1</v>
      </c>
      <c r="AE642" t="s">
        <v>1411</v>
      </c>
      <c r="AF642" t="s">
        <v>1412</v>
      </c>
      <c r="AG642">
        <v>2</v>
      </c>
      <c r="AH642" t="s">
        <v>25</v>
      </c>
      <c r="AI642">
        <v>1106</v>
      </c>
      <c r="AJ642" t="s">
        <v>239</v>
      </c>
      <c r="AK642" t="s">
        <v>1468</v>
      </c>
      <c r="AL642">
        <v>3301</v>
      </c>
      <c r="AM642" t="s">
        <v>2441</v>
      </c>
      <c r="AN642" s="8">
        <v>45956</v>
      </c>
      <c r="AO642" s="8">
        <v>45956</v>
      </c>
      <c r="AP642">
        <v>6695</v>
      </c>
      <c r="AQ642" t="s">
        <v>1528</v>
      </c>
      <c r="AR642" t="s">
        <v>1295</v>
      </c>
      <c r="AS642" t="str">
        <f>+CONCATENATE(A642,"-",B642)</f>
        <v>(03) Boleta BOB1-00000149</v>
      </c>
    </row>
    <row r="643" spans="1:45" ht="15" customHeight="1">
      <c r="A643" t="s">
        <v>216</v>
      </c>
      <c r="B643">
        <v>1402</v>
      </c>
      <c r="C643" t="s">
        <v>27</v>
      </c>
      <c r="D643" s="8">
        <v>45693</v>
      </c>
      <c r="E643" s="22">
        <v>45964</v>
      </c>
      <c r="F643" t="s">
        <v>1321</v>
      </c>
      <c r="G643" t="s">
        <v>158</v>
      </c>
      <c r="H643">
        <v>6</v>
      </c>
      <c r="I643">
        <v>20296011356</v>
      </c>
      <c r="J643" t="s">
        <v>1933</v>
      </c>
      <c r="K643" s="8">
        <v>45693</v>
      </c>
      <c r="Q643">
        <v>18743</v>
      </c>
      <c r="R643">
        <v>973</v>
      </c>
      <c r="S643" s="28" t="s">
        <v>1323</v>
      </c>
      <c r="T643" t="s">
        <v>215</v>
      </c>
      <c r="U643">
        <v>1</v>
      </c>
      <c r="V643">
        <v>1200</v>
      </c>
      <c r="W643">
        <v>1416</v>
      </c>
      <c r="X643">
        <v>0</v>
      </c>
      <c r="Y643">
        <v>1200</v>
      </c>
      <c r="Z643">
        <v>18</v>
      </c>
      <c r="AA643">
        <v>216</v>
      </c>
      <c r="AB643">
        <v>1416</v>
      </c>
      <c r="AC643">
        <v>1</v>
      </c>
      <c r="AD643">
        <v>1</v>
      </c>
      <c r="AE643" t="s">
        <v>232</v>
      </c>
      <c r="AF643" t="s">
        <v>29</v>
      </c>
      <c r="AG643">
        <v>2</v>
      </c>
      <c r="AH643" t="s">
        <v>25</v>
      </c>
      <c r="AI643">
        <v>1106</v>
      </c>
      <c r="AJ643" t="s">
        <v>239</v>
      </c>
      <c r="AK643" t="s">
        <v>1236</v>
      </c>
      <c r="AP643">
        <v>390</v>
      </c>
      <c r="AQ643" t="s">
        <v>1321</v>
      </c>
      <c r="AR643" t="s">
        <v>12</v>
      </c>
      <c r="AS643" t="str">
        <f>+CONCATENATE(A643,"-",B643)</f>
        <v>FB01-1402</v>
      </c>
    </row>
    <row r="644" spans="1:45" ht="15" customHeight="1">
      <c r="A644" t="s">
        <v>216</v>
      </c>
      <c r="B644">
        <v>1381</v>
      </c>
      <c r="C644" t="s">
        <v>27</v>
      </c>
      <c r="D644" s="8">
        <v>45693</v>
      </c>
      <c r="E644" s="22">
        <v>45964</v>
      </c>
      <c r="F644" t="s">
        <v>415</v>
      </c>
      <c r="H644">
        <v>6</v>
      </c>
      <c r="I644">
        <v>20611890746</v>
      </c>
      <c r="J644" t="s">
        <v>1954</v>
      </c>
      <c r="K644" s="8">
        <v>45693</v>
      </c>
      <c r="Q644">
        <v>18716</v>
      </c>
      <c r="R644">
        <v>969</v>
      </c>
      <c r="S644" s="28" t="s">
        <v>1327</v>
      </c>
      <c r="T644" t="s">
        <v>215</v>
      </c>
      <c r="U644">
        <v>1</v>
      </c>
      <c r="V644">
        <v>1200</v>
      </c>
      <c r="W644">
        <v>1416</v>
      </c>
      <c r="X644">
        <v>0</v>
      </c>
      <c r="Y644">
        <v>1200</v>
      </c>
      <c r="Z644">
        <v>18</v>
      </c>
      <c r="AA644">
        <v>216</v>
      </c>
      <c r="AB644">
        <v>1416</v>
      </c>
      <c r="AC644">
        <v>1</v>
      </c>
      <c r="AD644">
        <v>1</v>
      </c>
      <c r="AE644" t="s">
        <v>232</v>
      </c>
      <c r="AF644" t="s">
        <v>29</v>
      </c>
      <c r="AG644">
        <v>2</v>
      </c>
      <c r="AH644" t="s">
        <v>25</v>
      </c>
      <c r="AI644">
        <v>1106</v>
      </c>
      <c r="AJ644" t="s">
        <v>239</v>
      </c>
      <c r="AK644" t="s">
        <v>1236</v>
      </c>
      <c r="AP644">
        <v>1136</v>
      </c>
      <c r="AQ644" t="s">
        <v>415</v>
      </c>
      <c r="AR644" t="s">
        <v>12</v>
      </c>
      <c r="AS644" t="str">
        <f>+CONCATENATE(A644,"-",B644)</f>
        <v>FB01-1381</v>
      </c>
    </row>
    <row r="645" spans="1:45" ht="15" customHeight="1">
      <c r="A645" t="s">
        <v>216</v>
      </c>
      <c r="B645">
        <v>1380</v>
      </c>
      <c r="C645" t="s">
        <v>27</v>
      </c>
      <c r="D645" s="8">
        <v>45693</v>
      </c>
      <c r="E645" s="22">
        <v>45964</v>
      </c>
      <c r="F645" t="s">
        <v>415</v>
      </c>
      <c r="H645">
        <v>6</v>
      </c>
      <c r="I645">
        <v>20611890746</v>
      </c>
      <c r="J645" t="s">
        <v>1955</v>
      </c>
      <c r="K645" s="8">
        <v>45693</v>
      </c>
      <c r="Q645">
        <v>18715</v>
      </c>
      <c r="R645">
        <v>968</v>
      </c>
      <c r="S645" s="28" t="s">
        <v>1328</v>
      </c>
      <c r="T645" t="s">
        <v>215</v>
      </c>
      <c r="U645">
        <v>1</v>
      </c>
      <c r="V645">
        <v>1200</v>
      </c>
      <c r="W645">
        <v>1416</v>
      </c>
      <c r="X645">
        <v>0</v>
      </c>
      <c r="Y645">
        <v>1200</v>
      </c>
      <c r="Z645">
        <v>18</v>
      </c>
      <c r="AA645">
        <v>216</v>
      </c>
      <c r="AB645">
        <v>1416</v>
      </c>
      <c r="AC645">
        <v>1</v>
      </c>
      <c r="AD645">
        <v>1</v>
      </c>
      <c r="AE645" t="s">
        <v>232</v>
      </c>
      <c r="AF645" t="s">
        <v>29</v>
      </c>
      <c r="AG645">
        <v>2</v>
      </c>
      <c r="AH645" t="s">
        <v>25</v>
      </c>
      <c r="AI645">
        <v>1106</v>
      </c>
      <c r="AJ645" t="s">
        <v>239</v>
      </c>
      <c r="AK645" t="s">
        <v>1236</v>
      </c>
      <c r="AP645">
        <v>1136</v>
      </c>
      <c r="AQ645" t="s">
        <v>415</v>
      </c>
      <c r="AR645" t="s">
        <v>12</v>
      </c>
      <c r="AS645" t="str">
        <f>+CONCATENATE(A645,"-",B645)</f>
        <v>FB01-1380</v>
      </c>
    </row>
    <row r="646" spans="1:45" ht="15" customHeight="1">
      <c r="A646" t="s">
        <v>216</v>
      </c>
      <c r="B646">
        <v>1333</v>
      </c>
      <c r="C646" t="s">
        <v>27</v>
      </c>
      <c r="D646" s="8">
        <v>45685</v>
      </c>
      <c r="E646" s="22">
        <v>45964</v>
      </c>
      <c r="F646" t="s">
        <v>415</v>
      </c>
      <c r="H646">
        <v>6</v>
      </c>
      <c r="I646">
        <v>20611890746</v>
      </c>
      <c r="J646" t="s">
        <v>2017</v>
      </c>
      <c r="K646" s="8">
        <v>45685</v>
      </c>
      <c r="Q646">
        <v>18646</v>
      </c>
      <c r="R646">
        <v>948</v>
      </c>
      <c r="S646" s="28" t="s">
        <v>1339</v>
      </c>
      <c r="T646" t="s">
        <v>215</v>
      </c>
      <c r="U646">
        <v>1</v>
      </c>
      <c r="V646">
        <v>1200</v>
      </c>
      <c r="W646">
        <v>1416</v>
      </c>
      <c r="X646">
        <v>0</v>
      </c>
      <c r="Y646">
        <v>1200</v>
      </c>
      <c r="Z646">
        <v>18</v>
      </c>
      <c r="AA646">
        <v>216</v>
      </c>
      <c r="AB646">
        <v>1416</v>
      </c>
      <c r="AC646">
        <v>1</v>
      </c>
      <c r="AD646">
        <v>1</v>
      </c>
      <c r="AE646" t="s">
        <v>232</v>
      </c>
      <c r="AF646" t="s">
        <v>29</v>
      </c>
      <c r="AG646">
        <v>2</v>
      </c>
      <c r="AH646" t="s">
        <v>25</v>
      </c>
      <c r="AI646">
        <v>1106</v>
      </c>
      <c r="AJ646" t="s">
        <v>239</v>
      </c>
      <c r="AK646" t="s">
        <v>1236</v>
      </c>
      <c r="AP646">
        <v>1136</v>
      </c>
      <c r="AQ646" t="s">
        <v>415</v>
      </c>
      <c r="AR646" t="s">
        <v>12</v>
      </c>
      <c r="AS646" t="str">
        <f>+CONCATENATE(A646,"-",B646)</f>
        <v>FB01-1333</v>
      </c>
    </row>
    <row r="647" spans="1:45" ht="15" customHeight="1">
      <c r="A647" t="s">
        <v>216</v>
      </c>
      <c r="B647">
        <v>1235</v>
      </c>
      <c r="C647" t="s">
        <v>27</v>
      </c>
      <c r="D647" s="8">
        <v>45665</v>
      </c>
      <c r="E647" s="22">
        <v>45964</v>
      </c>
      <c r="F647" t="s">
        <v>415</v>
      </c>
      <c r="H647">
        <v>6</v>
      </c>
      <c r="I647">
        <v>20611890746</v>
      </c>
      <c r="J647" t="s">
        <v>2150</v>
      </c>
      <c r="K647" s="8">
        <v>45665</v>
      </c>
      <c r="Q647">
        <v>17238</v>
      </c>
      <c r="R647">
        <v>894</v>
      </c>
      <c r="S647" s="28" t="s">
        <v>1381</v>
      </c>
      <c r="T647" t="s">
        <v>215</v>
      </c>
      <c r="U647">
        <v>1</v>
      </c>
      <c r="V647">
        <v>1200</v>
      </c>
      <c r="W647">
        <v>1416</v>
      </c>
      <c r="X647">
        <v>0</v>
      </c>
      <c r="Y647">
        <v>1200</v>
      </c>
      <c r="Z647">
        <v>18</v>
      </c>
      <c r="AA647">
        <v>216</v>
      </c>
      <c r="AB647">
        <v>1416</v>
      </c>
      <c r="AC647">
        <v>1</v>
      </c>
      <c r="AD647">
        <v>1</v>
      </c>
      <c r="AE647" t="s">
        <v>232</v>
      </c>
      <c r="AF647" t="s">
        <v>29</v>
      </c>
      <c r="AG647">
        <v>2</v>
      </c>
      <c r="AH647" t="s">
        <v>25</v>
      </c>
      <c r="AI647">
        <v>1106</v>
      </c>
      <c r="AJ647" t="s">
        <v>239</v>
      </c>
      <c r="AK647" t="s">
        <v>1236</v>
      </c>
      <c r="AP647">
        <v>1136</v>
      </c>
      <c r="AQ647" t="s">
        <v>415</v>
      </c>
      <c r="AR647" t="s">
        <v>12</v>
      </c>
      <c r="AS647" t="str">
        <f>+CONCATENATE(A647,"-",B647)</f>
        <v>FB01-1235</v>
      </c>
    </row>
    <row r="648" spans="1:45" ht="15" customHeight="1">
      <c r="A648" t="s">
        <v>216</v>
      </c>
      <c r="B648">
        <v>1245</v>
      </c>
      <c r="C648" t="s">
        <v>27</v>
      </c>
      <c r="D648" s="8">
        <v>45665</v>
      </c>
      <c r="E648" s="22">
        <v>45964</v>
      </c>
      <c r="F648" t="s">
        <v>1321</v>
      </c>
      <c r="G648" t="s">
        <v>158</v>
      </c>
      <c r="H648">
        <v>6</v>
      </c>
      <c r="I648">
        <v>20296011356</v>
      </c>
      <c r="J648" t="s">
        <v>2141</v>
      </c>
      <c r="K648" s="8">
        <v>45665</v>
      </c>
      <c r="Q648">
        <v>17248</v>
      </c>
      <c r="R648">
        <v>877</v>
      </c>
      <c r="S648" t="s">
        <v>1300</v>
      </c>
      <c r="T648" t="s">
        <v>215</v>
      </c>
      <c r="U648">
        <v>1</v>
      </c>
      <c r="V648">
        <v>1200.42</v>
      </c>
      <c r="W648">
        <v>1416.5</v>
      </c>
      <c r="X648">
        <v>0</v>
      </c>
      <c r="Y648">
        <v>1200.42</v>
      </c>
      <c r="Z648">
        <v>18</v>
      </c>
      <c r="AA648">
        <v>216.08</v>
      </c>
      <c r="AB648">
        <v>1416.5</v>
      </c>
      <c r="AC648">
        <v>1</v>
      </c>
      <c r="AD648">
        <v>1</v>
      </c>
      <c r="AE648" t="s">
        <v>232</v>
      </c>
      <c r="AF648" t="s">
        <v>29</v>
      </c>
      <c r="AG648">
        <v>2</v>
      </c>
      <c r="AH648" t="s">
        <v>25</v>
      </c>
      <c r="AI648">
        <v>1106</v>
      </c>
      <c r="AJ648" t="s">
        <v>239</v>
      </c>
      <c r="AK648" t="s">
        <v>1237</v>
      </c>
      <c r="AP648">
        <v>390</v>
      </c>
      <c r="AQ648" t="s">
        <v>1321</v>
      </c>
      <c r="AR648" t="s">
        <v>12</v>
      </c>
      <c r="AS648" t="str">
        <f>+CONCATENATE(A648,"-",B648)</f>
        <v>FB01-1245</v>
      </c>
    </row>
    <row r="649" spans="1:45" ht="15" customHeight="1">
      <c r="A649" t="s">
        <v>214</v>
      </c>
      <c r="B649">
        <v>221</v>
      </c>
      <c r="C649" t="s">
        <v>27</v>
      </c>
      <c r="D649" s="8">
        <v>45698</v>
      </c>
      <c r="E649" s="22">
        <v>45964</v>
      </c>
      <c r="F649" t="s">
        <v>376</v>
      </c>
      <c r="H649">
        <v>6</v>
      </c>
      <c r="I649">
        <v>20611066971</v>
      </c>
      <c r="J649" t="s">
        <v>1906</v>
      </c>
      <c r="K649" s="8">
        <v>45698</v>
      </c>
      <c r="Q649">
        <v>18784</v>
      </c>
      <c r="R649">
        <v>985</v>
      </c>
      <c r="S649" t="s">
        <v>1307</v>
      </c>
      <c r="T649" t="s">
        <v>215</v>
      </c>
      <c r="U649">
        <v>1</v>
      </c>
      <c r="V649">
        <v>1230</v>
      </c>
      <c r="W649">
        <v>1451.4</v>
      </c>
      <c r="X649">
        <v>0</v>
      </c>
      <c r="Y649">
        <v>1230</v>
      </c>
      <c r="Z649">
        <v>18</v>
      </c>
      <c r="AA649">
        <v>221.4</v>
      </c>
      <c r="AB649">
        <v>1451.4</v>
      </c>
      <c r="AC649">
        <v>1</v>
      </c>
      <c r="AD649">
        <v>1</v>
      </c>
      <c r="AE649" t="s">
        <v>232</v>
      </c>
      <c r="AF649" t="s">
        <v>29</v>
      </c>
      <c r="AG649">
        <v>2</v>
      </c>
      <c r="AH649" t="s">
        <v>25</v>
      </c>
      <c r="AI649">
        <v>1106</v>
      </c>
      <c r="AJ649" t="s">
        <v>239</v>
      </c>
      <c r="AK649" t="s">
        <v>1236</v>
      </c>
      <c r="AP649">
        <v>1151</v>
      </c>
      <c r="AQ649" t="s">
        <v>376</v>
      </c>
      <c r="AR649" t="s">
        <v>12</v>
      </c>
      <c r="AS649" t="str">
        <f>+CONCATENATE(A649,"-",B649)</f>
        <v>FFF1-221</v>
      </c>
    </row>
    <row r="650" spans="1:45" ht="15" customHeight="1">
      <c r="A650" t="s">
        <v>214</v>
      </c>
      <c r="B650">
        <v>214</v>
      </c>
      <c r="C650" t="s">
        <v>27</v>
      </c>
      <c r="D650" s="8">
        <v>45673</v>
      </c>
      <c r="E650" s="22">
        <v>45964</v>
      </c>
      <c r="F650" t="s">
        <v>921</v>
      </c>
      <c r="H650">
        <v>6</v>
      </c>
      <c r="I650">
        <v>20609670518</v>
      </c>
      <c r="J650" t="s">
        <v>2111</v>
      </c>
      <c r="K650" s="8">
        <v>45673</v>
      </c>
      <c r="Q650">
        <v>17778</v>
      </c>
      <c r="R650">
        <v>917</v>
      </c>
      <c r="S650" t="s">
        <v>1268</v>
      </c>
      <c r="T650" t="s">
        <v>215</v>
      </c>
      <c r="U650">
        <v>1</v>
      </c>
      <c r="V650">
        <v>1230</v>
      </c>
      <c r="W650">
        <v>1451.4</v>
      </c>
      <c r="X650">
        <v>0</v>
      </c>
      <c r="Y650">
        <v>1230</v>
      </c>
      <c r="Z650">
        <v>18</v>
      </c>
      <c r="AA650">
        <v>221.4</v>
      </c>
      <c r="AB650">
        <v>1451.4</v>
      </c>
      <c r="AC650">
        <v>1</v>
      </c>
      <c r="AD650">
        <v>1</v>
      </c>
      <c r="AE650" t="s">
        <v>232</v>
      </c>
      <c r="AF650" t="s">
        <v>29</v>
      </c>
      <c r="AG650">
        <v>2</v>
      </c>
      <c r="AH650" t="s">
        <v>25</v>
      </c>
      <c r="AI650">
        <v>1106</v>
      </c>
      <c r="AJ650" t="s">
        <v>239</v>
      </c>
      <c r="AK650" t="s">
        <v>1236</v>
      </c>
      <c r="AP650">
        <v>1123</v>
      </c>
      <c r="AQ650" t="s">
        <v>921</v>
      </c>
      <c r="AR650" t="s">
        <v>12</v>
      </c>
      <c r="AS650" t="str">
        <f>+CONCATENATE(A650,"-",B650)</f>
        <v>FFF1-214</v>
      </c>
    </row>
    <row r="651" spans="1:45" ht="15" customHeight="1">
      <c r="A651" t="s">
        <v>214</v>
      </c>
      <c r="B651">
        <v>220</v>
      </c>
      <c r="C651" t="s">
        <v>27</v>
      </c>
      <c r="D651" s="8">
        <v>45698</v>
      </c>
      <c r="E651" s="22">
        <v>45964</v>
      </c>
      <c r="F651" t="s">
        <v>34</v>
      </c>
      <c r="H651">
        <v>6</v>
      </c>
      <c r="I651">
        <v>20611018925</v>
      </c>
      <c r="J651" t="s">
        <v>1907</v>
      </c>
      <c r="K651" s="8">
        <v>45698</v>
      </c>
      <c r="Q651">
        <v>18783</v>
      </c>
      <c r="R651">
        <v>984</v>
      </c>
      <c r="S651" t="s">
        <v>1308</v>
      </c>
      <c r="T651" t="s">
        <v>215</v>
      </c>
      <c r="U651">
        <v>1</v>
      </c>
      <c r="V651">
        <v>1241</v>
      </c>
      <c r="W651">
        <v>1464.38</v>
      </c>
      <c r="X651">
        <v>0</v>
      </c>
      <c r="Y651">
        <v>1241</v>
      </c>
      <c r="Z651">
        <v>18</v>
      </c>
      <c r="AA651">
        <v>223.38</v>
      </c>
      <c r="AB651">
        <v>1464.38</v>
      </c>
      <c r="AC651">
        <v>1</v>
      </c>
      <c r="AD651">
        <v>1</v>
      </c>
      <c r="AE651" t="s">
        <v>232</v>
      </c>
      <c r="AF651" t="s">
        <v>29</v>
      </c>
      <c r="AG651">
        <v>2</v>
      </c>
      <c r="AH651" t="s">
        <v>25</v>
      </c>
      <c r="AI651">
        <v>1106</v>
      </c>
      <c r="AJ651" t="s">
        <v>239</v>
      </c>
      <c r="AK651" t="s">
        <v>1236</v>
      </c>
      <c r="AP651">
        <v>1128</v>
      </c>
      <c r="AQ651" t="s">
        <v>34</v>
      </c>
      <c r="AR651" t="s">
        <v>12</v>
      </c>
      <c r="AS651" t="str">
        <f>+CONCATENATE(A651,"-",B651)</f>
        <v>FFF1-220</v>
      </c>
    </row>
    <row r="652" spans="1:45" ht="15" customHeight="1">
      <c r="A652" t="s">
        <v>216</v>
      </c>
      <c r="B652">
        <v>1372</v>
      </c>
      <c r="C652" t="s">
        <v>27</v>
      </c>
      <c r="D652" s="8">
        <v>45693</v>
      </c>
      <c r="E652" s="22">
        <v>45964</v>
      </c>
      <c r="F652" t="s">
        <v>415</v>
      </c>
      <c r="H652">
        <v>6</v>
      </c>
      <c r="I652">
        <v>20611890746</v>
      </c>
      <c r="J652" t="s">
        <v>1965</v>
      </c>
      <c r="K652" s="8">
        <v>45693</v>
      </c>
      <c r="Q652">
        <v>18701</v>
      </c>
      <c r="R652">
        <v>877</v>
      </c>
      <c r="S652" t="s">
        <v>1300</v>
      </c>
      <c r="T652" t="s">
        <v>215</v>
      </c>
      <c r="U652">
        <v>1</v>
      </c>
      <c r="V652">
        <v>1264.92</v>
      </c>
      <c r="W652">
        <v>1492.6</v>
      </c>
      <c r="X652">
        <v>0</v>
      </c>
      <c r="Y652">
        <v>1264.92</v>
      </c>
      <c r="Z652">
        <v>18</v>
      </c>
      <c r="AA652">
        <v>227.68</v>
      </c>
      <c r="AB652">
        <v>1492.6</v>
      </c>
      <c r="AC652">
        <v>1</v>
      </c>
      <c r="AD652">
        <v>1</v>
      </c>
      <c r="AE652" t="s">
        <v>232</v>
      </c>
      <c r="AF652" t="s">
        <v>29</v>
      </c>
      <c r="AG652">
        <v>2</v>
      </c>
      <c r="AH652" t="s">
        <v>25</v>
      </c>
      <c r="AI652">
        <v>1106</v>
      </c>
      <c r="AJ652" t="s">
        <v>239</v>
      </c>
      <c r="AK652" t="s">
        <v>1237</v>
      </c>
      <c r="AP652">
        <v>1136</v>
      </c>
      <c r="AQ652" t="s">
        <v>415</v>
      </c>
      <c r="AR652" t="s">
        <v>12</v>
      </c>
      <c r="AS652" t="str">
        <f>+CONCATENATE(A652,"-",B652)</f>
        <v>FB01-1372</v>
      </c>
    </row>
    <row r="653" spans="1:45" ht="15" customHeight="1">
      <c r="A653" t="s">
        <v>1216</v>
      </c>
      <c r="B653" s="21" t="s">
        <v>1576</v>
      </c>
      <c r="C653" t="s">
        <v>27</v>
      </c>
      <c r="D653" s="8">
        <v>45946</v>
      </c>
      <c r="E653" s="22">
        <v>45964.772916666669</v>
      </c>
      <c r="F653" t="s">
        <v>1794</v>
      </c>
      <c r="H653">
        <v>6</v>
      </c>
      <c r="I653">
        <v>10207250991</v>
      </c>
      <c r="J653" t="s">
        <v>1799</v>
      </c>
      <c r="K653" s="8">
        <v>45946</v>
      </c>
      <c r="Q653">
        <v>31394</v>
      </c>
      <c r="R653">
        <v>2315</v>
      </c>
      <c r="S653" t="s">
        <v>1304</v>
      </c>
      <c r="T653" t="s">
        <v>163</v>
      </c>
      <c r="U653">
        <v>1</v>
      </c>
      <c r="V653">
        <v>1271.19</v>
      </c>
      <c r="W653">
        <v>1500</v>
      </c>
      <c r="X653">
        <v>0</v>
      </c>
      <c r="Y653">
        <v>1271.19</v>
      </c>
      <c r="Z653">
        <v>18</v>
      </c>
      <c r="AA653">
        <v>228.81</v>
      </c>
      <c r="AB653">
        <v>1500</v>
      </c>
      <c r="AC653">
        <v>1</v>
      </c>
      <c r="AD653">
        <v>1</v>
      </c>
      <c r="AE653" t="s">
        <v>1411</v>
      </c>
      <c r="AF653" t="s">
        <v>1412</v>
      </c>
      <c r="AG653">
        <v>2</v>
      </c>
      <c r="AH653" t="s">
        <v>25</v>
      </c>
      <c r="AI653">
        <v>6959</v>
      </c>
      <c r="AJ653" t="s">
        <v>1401</v>
      </c>
      <c r="AK653" t="s">
        <v>1243</v>
      </c>
      <c r="AL653">
        <v>2471</v>
      </c>
      <c r="AM653" t="s">
        <v>1796</v>
      </c>
      <c r="AN653" s="8">
        <v>45928</v>
      </c>
      <c r="AO653" s="8">
        <v>45928</v>
      </c>
      <c r="AP653">
        <v>5507</v>
      </c>
      <c r="AQ653" t="s">
        <v>1794</v>
      </c>
      <c r="AR653" t="s">
        <v>12</v>
      </c>
      <c r="AS653" t="str">
        <f>+CONCATENATE(A653,"-",B653)</f>
        <v>(01) Factura FOF1-00000074</v>
      </c>
    </row>
    <row r="654" spans="1:45" ht="15" customHeight="1">
      <c r="A654" t="s">
        <v>1216</v>
      </c>
      <c r="B654" s="21" t="s">
        <v>209</v>
      </c>
      <c r="C654" t="s">
        <v>27</v>
      </c>
      <c r="D654" s="8">
        <v>45944</v>
      </c>
      <c r="E654" s="22">
        <v>45964.400092592594</v>
      </c>
      <c r="F654" t="s">
        <v>342</v>
      </c>
      <c r="H654">
        <v>6</v>
      </c>
      <c r="I654">
        <v>20480413700</v>
      </c>
      <c r="J654" t="s">
        <v>1885</v>
      </c>
      <c r="K654" s="8">
        <v>45944</v>
      </c>
      <c r="Q654">
        <v>31108</v>
      </c>
      <c r="R654">
        <v>2315</v>
      </c>
      <c r="S654" t="s">
        <v>1304</v>
      </c>
      <c r="T654" t="s">
        <v>163</v>
      </c>
      <c r="U654">
        <v>1</v>
      </c>
      <c r="V654">
        <v>1271.19</v>
      </c>
      <c r="W654">
        <v>1500</v>
      </c>
      <c r="X654">
        <v>0</v>
      </c>
      <c r="Y654">
        <v>1271.19</v>
      </c>
      <c r="Z654">
        <v>18</v>
      </c>
      <c r="AA654">
        <v>228.81</v>
      </c>
      <c r="AB654">
        <v>1500</v>
      </c>
      <c r="AC654">
        <v>1</v>
      </c>
      <c r="AD654">
        <v>1</v>
      </c>
      <c r="AE654" t="s">
        <v>1411</v>
      </c>
      <c r="AF654" t="s">
        <v>1412</v>
      </c>
      <c r="AG654">
        <v>2</v>
      </c>
      <c r="AH654" t="s">
        <v>25</v>
      </c>
      <c r="AI654">
        <v>1106</v>
      </c>
      <c r="AJ654" t="s">
        <v>239</v>
      </c>
      <c r="AK654" t="s">
        <v>169</v>
      </c>
      <c r="AL654">
        <v>3065</v>
      </c>
      <c r="AM654" t="s">
        <v>1228</v>
      </c>
      <c r="AN654" s="8">
        <v>45927</v>
      </c>
      <c r="AO654" s="8">
        <v>45927</v>
      </c>
      <c r="AP654">
        <v>5118</v>
      </c>
      <c r="AQ654" t="s">
        <v>342</v>
      </c>
      <c r="AR654" t="s">
        <v>12</v>
      </c>
      <c r="AS654" t="str">
        <f>+CONCATENATE(A654,"-",B654)</f>
        <v>(01) Factura FOF1-00000018</v>
      </c>
    </row>
    <row r="655" spans="1:45" ht="15" customHeight="1">
      <c r="A655" t="s">
        <v>1216</v>
      </c>
      <c r="B655" s="21" t="s">
        <v>1475</v>
      </c>
      <c r="C655" t="s">
        <v>27</v>
      </c>
      <c r="D655" s="8">
        <v>45954</v>
      </c>
      <c r="E655" s="22">
        <v>45964.598599537036</v>
      </c>
      <c r="F655" t="s">
        <v>1457</v>
      </c>
      <c r="H655">
        <v>6</v>
      </c>
      <c r="I655">
        <v>10737909609</v>
      </c>
      <c r="J655" t="s">
        <v>1476</v>
      </c>
      <c r="K655" s="8">
        <v>45954</v>
      </c>
      <c r="Q655">
        <v>32557</v>
      </c>
      <c r="R655">
        <v>1786</v>
      </c>
      <c r="S655" t="s">
        <v>1299</v>
      </c>
      <c r="T655" t="s">
        <v>163</v>
      </c>
      <c r="U655">
        <v>1</v>
      </c>
      <c r="V655">
        <v>1334.56</v>
      </c>
      <c r="W655">
        <v>1574.78</v>
      </c>
      <c r="X655">
        <v>0</v>
      </c>
      <c r="Y655">
        <v>1334.56</v>
      </c>
      <c r="Z655">
        <v>18</v>
      </c>
      <c r="AA655">
        <v>240.22</v>
      </c>
      <c r="AB655">
        <v>1574.78</v>
      </c>
      <c r="AC655">
        <v>1</v>
      </c>
      <c r="AD655">
        <v>1</v>
      </c>
      <c r="AE655" t="s">
        <v>1411</v>
      </c>
      <c r="AF655" t="s">
        <v>1412</v>
      </c>
      <c r="AG655">
        <v>2</v>
      </c>
      <c r="AH655" t="s">
        <v>25</v>
      </c>
      <c r="AI655">
        <v>6937</v>
      </c>
      <c r="AJ655" t="s">
        <v>1414</v>
      </c>
      <c r="AK655" t="s">
        <v>1251</v>
      </c>
      <c r="AL655">
        <v>3079</v>
      </c>
      <c r="AM655" t="s">
        <v>1456</v>
      </c>
      <c r="AN655" s="8">
        <v>45921</v>
      </c>
      <c r="AO655" s="8">
        <v>45921</v>
      </c>
      <c r="AP655">
        <v>5597</v>
      </c>
      <c r="AQ655" t="s">
        <v>1457</v>
      </c>
      <c r="AR655" t="s">
        <v>12</v>
      </c>
      <c r="AS655" t="str">
        <f>+CONCATENATE(A655,"-",B655)</f>
        <v>(01) Factura FOF1-00000173</v>
      </c>
    </row>
    <row r="656" spans="1:45" ht="15" customHeight="1">
      <c r="A656" t="s">
        <v>1214</v>
      </c>
      <c r="B656" s="21" t="s">
        <v>187</v>
      </c>
      <c r="C656" t="s">
        <v>27</v>
      </c>
      <c r="D656" s="8">
        <v>45945</v>
      </c>
      <c r="E656" s="22">
        <v>45964.76771990741</v>
      </c>
      <c r="F656" t="s">
        <v>271</v>
      </c>
      <c r="G656" t="s">
        <v>158</v>
      </c>
      <c r="H656">
        <v>1</v>
      </c>
      <c r="I656">
        <v>48595560</v>
      </c>
      <c r="J656" t="s">
        <v>1850</v>
      </c>
      <c r="K656" s="8">
        <v>45945</v>
      </c>
      <c r="Q656">
        <v>31235</v>
      </c>
      <c r="R656">
        <v>216</v>
      </c>
      <c r="S656" t="s">
        <v>1300</v>
      </c>
      <c r="T656" t="s">
        <v>163</v>
      </c>
      <c r="U656">
        <v>1</v>
      </c>
      <c r="V656">
        <v>1340.25</v>
      </c>
      <c r="W656">
        <v>1581.5</v>
      </c>
      <c r="X656">
        <v>0</v>
      </c>
      <c r="Y656">
        <v>1340.25</v>
      </c>
      <c r="Z656">
        <v>18</v>
      </c>
      <c r="AA656">
        <v>241.25</v>
      </c>
      <c r="AB656">
        <v>1581.5</v>
      </c>
      <c r="AC656">
        <v>1</v>
      </c>
      <c r="AD656">
        <v>1</v>
      </c>
      <c r="AE656" t="s">
        <v>1411</v>
      </c>
      <c r="AF656" t="s">
        <v>1412</v>
      </c>
      <c r="AG656">
        <v>2</v>
      </c>
      <c r="AH656" t="s">
        <v>25</v>
      </c>
      <c r="AI656">
        <v>1106</v>
      </c>
      <c r="AJ656" t="s">
        <v>239</v>
      </c>
      <c r="AK656" t="s">
        <v>169</v>
      </c>
      <c r="AL656">
        <v>3066</v>
      </c>
      <c r="AM656" t="s">
        <v>1218</v>
      </c>
      <c r="AN656" s="8">
        <v>45934</v>
      </c>
      <c r="AO656" s="8">
        <v>45934</v>
      </c>
      <c r="AP656">
        <v>387</v>
      </c>
      <c r="AQ656" t="s">
        <v>271</v>
      </c>
      <c r="AR656" t="s">
        <v>1295</v>
      </c>
      <c r="AS656" t="str">
        <f>+CONCATENATE(A656,"-",B656)</f>
        <v>(03) Boleta BOB1-00000025</v>
      </c>
    </row>
    <row r="657" spans="1:45" ht="15" customHeight="1">
      <c r="A657" t="s">
        <v>1238</v>
      </c>
      <c r="B657">
        <v>702</v>
      </c>
      <c r="C657" t="s">
        <v>27</v>
      </c>
      <c r="D657" s="8">
        <v>45685</v>
      </c>
      <c r="E657" s="22">
        <v>45964</v>
      </c>
      <c r="F657" t="s">
        <v>742</v>
      </c>
      <c r="H657">
        <v>1</v>
      </c>
      <c r="I657">
        <v>74630652</v>
      </c>
      <c r="J657" t="s">
        <v>2029</v>
      </c>
      <c r="K657" s="8">
        <v>45685</v>
      </c>
      <c r="Q657">
        <v>18628</v>
      </c>
      <c r="R657">
        <v>877</v>
      </c>
      <c r="S657" t="s">
        <v>1300</v>
      </c>
      <c r="T657" t="s">
        <v>215</v>
      </c>
      <c r="U657">
        <v>1</v>
      </c>
      <c r="V657">
        <v>1346.2</v>
      </c>
      <c r="W657">
        <v>1588.52</v>
      </c>
      <c r="X657">
        <v>0</v>
      </c>
      <c r="Y657">
        <v>1346.2</v>
      </c>
      <c r="Z657">
        <v>18</v>
      </c>
      <c r="AA657">
        <v>242.32</v>
      </c>
      <c r="AB657">
        <v>1588.52</v>
      </c>
      <c r="AC657">
        <v>1</v>
      </c>
      <c r="AD657">
        <v>1</v>
      </c>
      <c r="AE657" t="s">
        <v>232</v>
      </c>
      <c r="AF657" t="s">
        <v>29</v>
      </c>
      <c r="AG657">
        <v>2</v>
      </c>
      <c r="AH657" t="s">
        <v>25</v>
      </c>
      <c r="AI657">
        <v>1106</v>
      </c>
      <c r="AJ657" t="s">
        <v>239</v>
      </c>
      <c r="AK657" t="s">
        <v>1237</v>
      </c>
      <c r="AP657">
        <v>1168</v>
      </c>
      <c r="AQ657" t="s">
        <v>742</v>
      </c>
      <c r="AR657" t="s">
        <v>1295</v>
      </c>
      <c r="AS657" t="str">
        <f>+CONCATENATE(A657,"-",B657)</f>
        <v>BB01-702</v>
      </c>
    </row>
    <row r="658" spans="1:45" ht="15" customHeight="1">
      <c r="A658" t="s">
        <v>1214</v>
      </c>
      <c r="B658" s="21" t="s">
        <v>1744</v>
      </c>
      <c r="C658" t="s">
        <v>27</v>
      </c>
      <c r="D658" s="8">
        <v>45946</v>
      </c>
      <c r="E658" s="22">
        <v>45964.804768518516</v>
      </c>
      <c r="F658" t="s">
        <v>373</v>
      </c>
      <c r="H658">
        <v>1</v>
      </c>
      <c r="I658" s="21" t="s">
        <v>1234</v>
      </c>
      <c r="J658" t="s">
        <v>1745</v>
      </c>
      <c r="K658" s="8">
        <v>45946</v>
      </c>
      <c r="Q658">
        <v>31509</v>
      </c>
      <c r="R658">
        <v>2314</v>
      </c>
      <c r="S658" t="s">
        <v>1302</v>
      </c>
      <c r="T658" t="s">
        <v>163</v>
      </c>
      <c r="U658">
        <v>1</v>
      </c>
      <c r="V658">
        <v>1350</v>
      </c>
      <c r="W658">
        <v>1593</v>
      </c>
      <c r="X658">
        <v>0</v>
      </c>
      <c r="Y658">
        <v>1350</v>
      </c>
      <c r="Z658">
        <v>18</v>
      </c>
      <c r="AA658">
        <v>243</v>
      </c>
      <c r="AB658">
        <v>1593</v>
      </c>
      <c r="AC658">
        <v>1</v>
      </c>
      <c r="AD658">
        <v>1</v>
      </c>
      <c r="AE658" t="s">
        <v>1411</v>
      </c>
      <c r="AF658" t="s">
        <v>1412</v>
      </c>
      <c r="AG658">
        <v>2</v>
      </c>
      <c r="AH658" t="s">
        <v>25</v>
      </c>
      <c r="AI658">
        <v>6959</v>
      </c>
      <c r="AJ658" t="s">
        <v>1401</v>
      </c>
      <c r="AK658" t="s">
        <v>1251</v>
      </c>
      <c r="AL658">
        <v>3230</v>
      </c>
      <c r="AM658" t="s">
        <v>1746</v>
      </c>
      <c r="AN658" s="8">
        <v>45942</v>
      </c>
      <c r="AO658" s="8">
        <v>45942</v>
      </c>
      <c r="AP658">
        <v>6249</v>
      </c>
      <c r="AQ658" t="s">
        <v>373</v>
      </c>
      <c r="AR658" t="s">
        <v>1295</v>
      </c>
      <c r="AS658" t="str">
        <f>+CONCATENATE(A658,"-",B658)</f>
        <v>(03) Boleta BOB1-00000047</v>
      </c>
    </row>
    <row r="659" spans="1:45" ht="15" customHeight="1">
      <c r="A659" t="s">
        <v>1214</v>
      </c>
      <c r="B659" s="21" t="s">
        <v>1702</v>
      </c>
      <c r="C659" t="s">
        <v>27</v>
      </c>
      <c r="D659" s="8">
        <v>45946</v>
      </c>
      <c r="E659" s="22">
        <v>45964.849988425929</v>
      </c>
      <c r="F659" t="s">
        <v>1703</v>
      </c>
      <c r="H659">
        <v>1</v>
      </c>
      <c r="I659">
        <v>40598854</v>
      </c>
      <c r="J659" t="s">
        <v>1704</v>
      </c>
      <c r="K659" s="8">
        <v>45946</v>
      </c>
      <c r="Q659">
        <v>31566</v>
      </c>
      <c r="R659">
        <v>2324</v>
      </c>
      <c r="S659" t="s">
        <v>1303</v>
      </c>
      <c r="T659" t="s">
        <v>215</v>
      </c>
      <c r="U659">
        <v>1</v>
      </c>
      <c r="V659">
        <v>1400</v>
      </c>
      <c r="W659">
        <v>1652</v>
      </c>
      <c r="X659">
        <v>0</v>
      </c>
      <c r="Y659">
        <v>1400</v>
      </c>
      <c r="Z659">
        <v>18</v>
      </c>
      <c r="AA659">
        <v>252</v>
      </c>
      <c r="AB659">
        <v>1652</v>
      </c>
      <c r="AC659">
        <v>1</v>
      </c>
      <c r="AD659">
        <v>1</v>
      </c>
      <c r="AE659" t="s">
        <v>1411</v>
      </c>
      <c r="AF659" t="s">
        <v>1412</v>
      </c>
      <c r="AG659">
        <v>2</v>
      </c>
      <c r="AH659" t="s">
        <v>25</v>
      </c>
      <c r="AI659">
        <v>1106</v>
      </c>
      <c r="AJ659" t="s">
        <v>239</v>
      </c>
      <c r="AK659" t="s">
        <v>1468</v>
      </c>
      <c r="AL659">
        <v>3158</v>
      </c>
      <c r="AM659" t="s">
        <v>1705</v>
      </c>
      <c r="AN659" s="8">
        <v>45935</v>
      </c>
      <c r="AO659" s="8">
        <v>45935</v>
      </c>
      <c r="AP659">
        <v>5984</v>
      </c>
      <c r="AQ659" t="s">
        <v>1703</v>
      </c>
      <c r="AR659" t="s">
        <v>1295</v>
      </c>
      <c r="AS659" t="str">
        <f>+CONCATENATE(A659,"-",B659)</f>
        <v>(03) Boleta BOB1-00000053</v>
      </c>
    </row>
    <row r="660" spans="1:45" ht="15" customHeight="1">
      <c r="A660" t="s">
        <v>1216</v>
      </c>
      <c r="B660" s="21" t="s">
        <v>1691</v>
      </c>
      <c r="C660" t="s">
        <v>27</v>
      </c>
      <c r="D660" s="8">
        <v>45946</v>
      </c>
      <c r="E660" s="22">
        <v>45964.736435185187</v>
      </c>
      <c r="F660" t="s">
        <v>32</v>
      </c>
      <c r="G660" t="s">
        <v>158</v>
      </c>
      <c r="H660">
        <v>6</v>
      </c>
      <c r="I660">
        <v>20608361074</v>
      </c>
      <c r="J660" t="s">
        <v>1819</v>
      </c>
      <c r="K660" s="8">
        <v>45946</v>
      </c>
      <c r="Q660">
        <v>31334</v>
      </c>
      <c r="R660">
        <v>2324</v>
      </c>
      <c r="S660" t="s">
        <v>1303</v>
      </c>
      <c r="T660" t="s">
        <v>215</v>
      </c>
      <c r="U660">
        <v>1</v>
      </c>
      <c r="V660">
        <v>1400</v>
      </c>
      <c r="W660">
        <v>1652</v>
      </c>
      <c r="X660">
        <v>0</v>
      </c>
      <c r="Y660">
        <v>1400</v>
      </c>
      <c r="Z660">
        <v>18</v>
      </c>
      <c r="AA660">
        <v>252</v>
      </c>
      <c r="AB660">
        <v>1652</v>
      </c>
      <c r="AC660">
        <v>1</v>
      </c>
      <c r="AD660">
        <v>1</v>
      </c>
      <c r="AE660" t="s">
        <v>1411</v>
      </c>
      <c r="AF660" t="s">
        <v>1412</v>
      </c>
      <c r="AG660">
        <v>2</v>
      </c>
      <c r="AH660" t="s">
        <v>25</v>
      </c>
      <c r="AI660">
        <v>1106</v>
      </c>
      <c r="AJ660" t="s">
        <v>239</v>
      </c>
      <c r="AK660" t="s">
        <v>1468</v>
      </c>
      <c r="AL660">
        <v>3050</v>
      </c>
      <c r="AM660" t="s">
        <v>1818</v>
      </c>
      <c r="AN660" s="8">
        <v>45935</v>
      </c>
      <c r="AO660" s="8">
        <v>45935</v>
      </c>
      <c r="AP660">
        <v>397</v>
      </c>
      <c r="AQ660" t="s">
        <v>32</v>
      </c>
      <c r="AR660" t="s">
        <v>12</v>
      </c>
      <c r="AS660" t="str">
        <f>+CONCATENATE(A660,"-",B660)</f>
        <v>(01) Factura FOF1-00000058</v>
      </c>
    </row>
    <row r="661" spans="1:45" ht="15" customHeight="1">
      <c r="A661" t="s">
        <v>1216</v>
      </c>
      <c r="B661" s="21" t="s">
        <v>178</v>
      </c>
      <c r="C661" t="s">
        <v>27</v>
      </c>
      <c r="D661" s="8">
        <v>45945</v>
      </c>
      <c r="E661" s="22">
        <v>45964.760555555556</v>
      </c>
      <c r="F661" t="s">
        <v>32</v>
      </c>
      <c r="G661" t="s">
        <v>158</v>
      </c>
      <c r="H661">
        <v>6</v>
      </c>
      <c r="I661">
        <v>20608361074</v>
      </c>
      <c r="J661" t="s">
        <v>1853</v>
      </c>
      <c r="K661" s="8">
        <v>45945</v>
      </c>
      <c r="Q661">
        <v>31217</v>
      </c>
      <c r="R661">
        <v>2324</v>
      </c>
      <c r="S661" t="s">
        <v>1303</v>
      </c>
      <c r="T661" t="s">
        <v>215</v>
      </c>
      <c r="U661">
        <v>1</v>
      </c>
      <c r="V661">
        <v>1400</v>
      </c>
      <c r="W661">
        <v>1652</v>
      </c>
      <c r="X661">
        <v>0</v>
      </c>
      <c r="Y661">
        <v>1400</v>
      </c>
      <c r="Z661">
        <v>18</v>
      </c>
      <c r="AA661">
        <v>252</v>
      </c>
      <c r="AB661">
        <v>1652</v>
      </c>
      <c r="AC661">
        <v>1</v>
      </c>
      <c r="AD661">
        <v>1</v>
      </c>
      <c r="AE661" t="s">
        <v>1411</v>
      </c>
      <c r="AF661" t="s">
        <v>1412</v>
      </c>
      <c r="AG661">
        <v>2</v>
      </c>
      <c r="AH661" t="s">
        <v>25</v>
      </c>
      <c r="AI661">
        <v>1106</v>
      </c>
      <c r="AJ661" t="s">
        <v>239</v>
      </c>
      <c r="AK661" t="s">
        <v>169</v>
      </c>
      <c r="AL661">
        <v>3051</v>
      </c>
      <c r="AM661" t="s">
        <v>310</v>
      </c>
      <c r="AN661" s="8">
        <v>45933</v>
      </c>
      <c r="AO661" s="8">
        <v>45933</v>
      </c>
      <c r="AP661">
        <v>397</v>
      </c>
      <c r="AQ661" t="s">
        <v>32</v>
      </c>
      <c r="AR661" t="s">
        <v>12</v>
      </c>
      <c r="AS661" t="str">
        <f>+CONCATENATE(A661,"-",B661)</f>
        <v>(01) Factura FOF1-00000036</v>
      </c>
    </row>
    <row r="662" spans="1:45" ht="15" customHeight="1">
      <c r="A662" t="s">
        <v>216</v>
      </c>
      <c r="B662">
        <v>1295</v>
      </c>
      <c r="C662" t="s">
        <v>27</v>
      </c>
      <c r="D662" s="8">
        <v>45680</v>
      </c>
      <c r="E662" s="22">
        <v>45964</v>
      </c>
      <c r="F662" t="s">
        <v>415</v>
      </c>
      <c r="H662">
        <v>6</v>
      </c>
      <c r="I662">
        <v>20611890746</v>
      </c>
      <c r="J662" t="s">
        <v>2076</v>
      </c>
      <c r="K662" s="8">
        <v>45680</v>
      </c>
      <c r="Q662">
        <v>17817</v>
      </c>
      <c r="R662">
        <v>930</v>
      </c>
      <c r="S662" s="28" t="s">
        <v>1352</v>
      </c>
      <c r="T662" t="s">
        <v>215</v>
      </c>
      <c r="U662">
        <v>1</v>
      </c>
      <c r="V662">
        <v>1400</v>
      </c>
      <c r="W662">
        <v>1652</v>
      </c>
      <c r="X662">
        <v>0</v>
      </c>
      <c r="Y662">
        <v>1400</v>
      </c>
      <c r="Z662">
        <v>18</v>
      </c>
      <c r="AA662">
        <v>252</v>
      </c>
      <c r="AB662">
        <v>1652</v>
      </c>
      <c r="AC662">
        <v>1</v>
      </c>
      <c r="AD662">
        <v>1</v>
      </c>
      <c r="AE662" t="s">
        <v>232</v>
      </c>
      <c r="AF662" t="s">
        <v>29</v>
      </c>
      <c r="AG662">
        <v>2</v>
      </c>
      <c r="AH662" t="s">
        <v>25</v>
      </c>
      <c r="AI662">
        <v>1106</v>
      </c>
      <c r="AJ662" t="s">
        <v>239</v>
      </c>
      <c r="AK662" t="s">
        <v>1236</v>
      </c>
      <c r="AP662">
        <v>1136</v>
      </c>
      <c r="AQ662" t="s">
        <v>415</v>
      </c>
      <c r="AR662" t="s">
        <v>12</v>
      </c>
      <c r="AS662" t="str">
        <f>+CONCATENATE(A662,"-",B662)</f>
        <v>FB01-1295</v>
      </c>
    </row>
    <row r="663" spans="1:45" ht="15" customHeight="1">
      <c r="A663" t="s">
        <v>216</v>
      </c>
      <c r="B663">
        <v>1294</v>
      </c>
      <c r="C663" t="s">
        <v>27</v>
      </c>
      <c r="D663" s="8">
        <v>45680</v>
      </c>
      <c r="E663" s="22">
        <v>45964</v>
      </c>
      <c r="F663" t="s">
        <v>415</v>
      </c>
      <c r="H663">
        <v>6</v>
      </c>
      <c r="I663">
        <v>20611890746</v>
      </c>
      <c r="J663" t="s">
        <v>2077</v>
      </c>
      <c r="K663" s="8">
        <v>45680</v>
      </c>
      <c r="Q663">
        <v>17816</v>
      </c>
      <c r="R663">
        <v>929</v>
      </c>
      <c r="S663" s="28" t="s">
        <v>1353</v>
      </c>
      <c r="T663" t="s">
        <v>215</v>
      </c>
      <c r="U663">
        <v>1</v>
      </c>
      <c r="V663">
        <v>1400</v>
      </c>
      <c r="W663">
        <v>1652</v>
      </c>
      <c r="X663">
        <v>0</v>
      </c>
      <c r="Y663">
        <v>1400</v>
      </c>
      <c r="Z663">
        <v>18</v>
      </c>
      <c r="AA663">
        <v>252</v>
      </c>
      <c r="AB663">
        <v>1652</v>
      </c>
      <c r="AC663">
        <v>1</v>
      </c>
      <c r="AD663">
        <v>1</v>
      </c>
      <c r="AE663" t="s">
        <v>232</v>
      </c>
      <c r="AF663" t="s">
        <v>29</v>
      </c>
      <c r="AG663">
        <v>2</v>
      </c>
      <c r="AH663" t="s">
        <v>25</v>
      </c>
      <c r="AI663">
        <v>1106</v>
      </c>
      <c r="AJ663" t="s">
        <v>239</v>
      </c>
      <c r="AK663" t="s">
        <v>1236</v>
      </c>
      <c r="AP663">
        <v>1136</v>
      </c>
      <c r="AQ663" t="s">
        <v>415</v>
      </c>
      <c r="AR663" t="s">
        <v>12</v>
      </c>
      <c r="AS663" t="str">
        <f>+CONCATENATE(A663,"-",B663)</f>
        <v>FB01-1294</v>
      </c>
    </row>
    <row r="664" spans="1:45" ht="15" customHeight="1">
      <c r="A664" t="s">
        <v>216</v>
      </c>
      <c r="B664">
        <v>1276</v>
      </c>
      <c r="C664" t="s">
        <v>27</v>
      </c>
      <c r="D664" s="8">
        <v>45680</v>
      </c>
      <c r="E664" s="22">
        <v>45964</v>
      </c>
      <c r="F664" t="s">
        <v>415</v>
      </c>
      <c r="H664">
        <v>6</v>
      </c>
      <c r="I664">
        <v>20611890746</v>
      </c>
      <c r="J664" t="s">
        <v>2101</v>
      </c>
      <c r="K664" s="8">
        <v>45680</v>
      </c>
      <c r="Q664">
        <v>17789</v>
      </c>
      <c r="R664">
        <v>919</v>
      </c>
      <c r="S664" s="28" t="s">
        <v>1362</v>
      </c>
      <c r="T664" t="s">
        <v>215</v>
      </c>
      <c r="U664">
        <v>1</v>
      </c>
      <c r="V664">
        <v>1400</v>
      </c>
      <c r="W664">
        <v>1652</v>
      </c>
      <c r="X664">
        <v>0</v>
      </c>
      <c r="Y664">
        <v>1400</v>
      </c>
      <c r="Z664">
        <v>18</v>
      </c>
      <c r="AA664">
        <v>252</v>
      </c>
      <c r="AB664">
        <v>1652</v>
      </c>
      <c r="AC664">
        <v>1</v>
      </c>
      <c r="AD664">
        <v>1</v>
      </c>
      <c r="AE664" t="s">
        <v>232</v>
      </c>
      <c r="AF664" t="s">
        <v>29</v>
      </c>
      <c r="AG664">
        <v>2</v>
      </c>
      <c r="AH664" t="s">
        <v>25</v>
      </c>
      <c r="AI664">
        <v>1106</v>
      </c>
      <c r="AJ664" t="s">
        <v>239</v>
      </c>
      <c r="AK664" t="s">
        <v>1236</v>
      </c>
      <c r="AP664">
        <v>1136</v>
      </c>
      <c r="AQ664" t="s">
        <v>415</v>
      </c>
      <c r="AR664" t="s">
        <v>12</v>
      </c>
      <c r="AS664" t="str">
        <f>+CONCATENATE(A664,"-",B664)</f>
        <v>FB01-1276</v>
      </c>
    </row>
    <row r="665" spans="1:45" ht="15" customHeight="1">
      <c r="A665" t="s">
        <v>216</v>
      </c>
      <c r="B665">
        <v>1272</v>
      </c>
      <c r="C665" t="s">
        <v>27</v>
      </c>
      <c r="D665" s="8">
        <v>45680</v>
      </c>
      <c r="E665" s="22">
        <v>45964</v>
      </c>
      <c r="F665" t="s">
        <v>415</v>
      </c>
      <c r="H665">
        <v>6</v>
      </c>
      <c r="I665">
        <v>20611890746</v>
      </c>
      <c r="J665" t="s">
        <v>2105</v>
      </c>
      <c r="K665" s="8">
        <v>45680</v>
      </c>
      <c r="Q665">
        <v>17785</v>
      </c>
      <c r="R665">
        <v>918</v>
      </c>
      <c r="S665" s="28" t="s">
        <v>1363</v>
      </c>
      <c r="T665" t="s">
        <v>215</v>
      </c>
      <c r="U665">
        <v>1</v>
      </c>
      <c r="V665">
        <v>1400</v>
      </c>
      <c r="W665">
        <v>1652</v>
      </c>
      <c r="X665">
        <v>0</v>
      </c>
      <c r="Y665">
        <v>1400</v>
      </c>
      <c r="Z665">
        <v>18</v>
      </c>
      <c r="AA665">
        <v>252</v>
      </c>
      <c r="AB665">
        <v>1652</v>
      </c>
      <c r="AC665">
        <v>1</v>
      </c>
      <c r="AD665">
        <v>1</v>
      </c>
      <c r="AE665" t="s">
        <v>232</v>
      </c>
      <c r="AF665" t="s">
        <v>29</v>
      </c>
      <c r="AG665">
        <v>2</v>
      </c>
      <c r="AH665" t="s">
        <v>25</v>
      </c>
      <c r="AI665">
        <v>1106</v>
      </c>
      <c r="AJ665" t="s">
        <v>239</v>
      </c>
      <c r="AK665" t="s">
        <v>1236</v>
      </c>
      <c r="AP665">
        <v>1136</v>
      </c>
      <c r="AQ665" t="s">
        <v>415</v>
      </c>
      <c r="AR665" t="s">
        <v>12</v>
      </c>
      <c r="AS665" t="str">
        <f>+CONCATENATE(A665,"-",B665)</f>
        <v>FB01-1272</v>
      </c>
    </row>
    <row r="666" spans="1:45" ht="15" customHeight="1">
      <c r="A666" t="s">
        <v>1216</v>
      </c>
      <c r="B666" s="21" t="s">
        <v>189</v>
      </c>
      <c r="C666" t="s">
        <v>27</v>
      </c>
      <c r="D666" s="8">
        <v>45945</v>
      </c>
      <c r="E666" s="22">
        <v>45964.738043981481</v>
      </c>
      <c r="F666" t="s">
        <v>307</v>
      </c>
      <c r="H666">
        <v>6</v>
      </c>
      <c r="I666">
        <v>20509594903</v>
      </c>
      <c r="J666" t="s">
        <v>1879</v>
      </c>
      <c r="K666" s="8">
        <v>45945</v>
      </c>
      <c r="Q666">
        <v>31139</v>
      </c>
      <c r="R666">
        <v>1786</v>
      </c>
      <c r="S666" t="s">
        <v>1299</v>
      </c>
      <c r="T666" t="s">
        <v>163</v>
      </c>
      <c r="U666">
        <v>1</v>
      </c>
      <c r="V666">
        <v>1427.8</v>
      </c>
      <c r="W666">
        <v>1684.8</v>
      </c>
      <c r="X666">
        <v>0</v>
      </c>
      <c r="Y666">
        <v>1427.8</v>
      </c>
      <c r="Z666">
        <v>18</v>
      </c>
      <c r="AA666">
        <v>257</v>
      </c>
      <c r="AB666">
        <v>1684.8</v>
      </c>
      <c r="AC666">
        <v>1</v>
      </c>
      <c r="AD666">
        <v>1</v>
      </c>
      <c r="AE666" t="s">
        <v>1411</v>
      </c>
      <c r="AF666" t="s">
        <v>1412</v>
      </c>
      <c r="AG666">
        <v>2</v>
      </c>
      <c r="AH666" t="s">
        <v>25</v>
      </c>
      <c r="AI666">
        <v>1106</v>
      </c>
      <c r="AJ666" t="s">
        <v>239</v>
      </c>
      <c r="AK666" t="s">
        <v>169</v>
      </c>
      <c r="AL666">
        <v>3172</v>
      </c>
      <c r="AM666" t="s">
        <v>331</v>
      </c>
      <c r="AN666" s="8">
        <v>45936</v>
      </c>
      <c r="AO666" s="8">
        <v>45936</v>
      </c>
      <c r="AP666">
        <v>5251</v>
      </c>
      <c r="AQ666" t="s">
        <v>307</v>
      </c>
      <c r="AR666" t="s">
        <v>12</v>
      </c>
      <c r="AS666" t="str">
        <f>+CONCATENATE(A666,"-",B666)</f>
        <v>(01) Factura FOF1-00000023</v>
      </c>
    </row>
    <row r="667" spans="1:45" ht="15" customHeight="1">
      <c r="A667" t="s">
        <v>216</v>
      </c>
      <c r="B667">
        <v>1180</v>
      </c>
      <c r="C667" t="s">
        <v>27</v>
      </c>
      <c r="D667" s="8">
        <v>45660</v>
      </c>
      <c r="E667" s="22">
        <v>45964</v>
      </c>
      <c r="F667" t="s">
        <v>1393</v>
      </c>
      <c r="H667">
        <v>6</v>
      </c>
      <c r="I667">
        <v>20609168961</v>
      </c>
      <c r="J667" t="s">
        <v>2213</v>
      </c>
      <c r="K667" s="8">
        <v>45660</v>
      </c>
      <c r="Q667">
        <v>17166</v>
      </c>
      <c r="R667">
        <v>870</v>
      </c>
      <c r="S667" t="s">
        <v>1299</v>
      </c>
      <c r="T667" t="s">
        <v>215</v>
      </c>
      <c r="U667">
        <v>1</v>
      </c>
      <c r="V667">
        <v>1439.87</v>
      </c>
      <c r="W667">
        <v>1699.05</v>
      </c>
      <c r="X667">
        <v>0</v>
      </c>
      <c r="Y667">
        <v>1439.87</v>
      </c>
      <c r="Z667">
        <v>18</v>
      </c>
      <c r="AA667">
        <v>259.18</v>
      </c>
      <c r="AB667">
        <v>1699.05</v>
      </c>
      <c r="AC667">
        <v>1</v>
      </c>
      <c r="AD667">
        <v>1</v>
      </c>
      <c r="AE667" t="s">
        <v>232</v>
      </c>
      <c r="AF667" t="s">
        <v>29</v>
      </c>
      <c r="AG667">
        <v>2</v>
      </c>
      <c r="AH667" t="s">
        <v>25</v>
      </c>
      <c r="AI667">
        <v>1106</v>
      </c>
      <c r="AJ667" t="s">
        <v>239</v>
      </c>
      <c r="AK667" t="s">
        <v>1237</v>
      </c>
      <c r="AP667">
        <v>1113</v>
      </c>
      <c r="AQ667" t="s">
        <v>1393</v>
      </c>
      <c r="AR667" t="s">
        <v>12</v>
      </c>
      <c r="AS667" t="str">
        <f>+CONCATENATE(A667,"-",B667)</f>
        <v>FB01-1180</v>
      </c>
    </row>
    <row r="668" spans="1:45" ht="15" customHeight="1">
      <c r="A668" t="s">
        <v>216</v>
      </c>
      <c r="B668">
        <v>1384</v>
      </c>
      <c r="C668" t="s">
        <v>27</v>
      </c>
      <c r="D668" s="8">
        <v>45693</v>
      </c>
      <c r="E668" s="22">
        <v>45964</v>
      </c>
      <c r="F668" t="s">
        <v>415</v>
      </c>
      <c r="H668">
        <v>6</v>
      </c>
      <c r="I668">
        <v>20611890746</v>
      </c>
      <c r="J668" t="s">
        <v>1947</v>
      </c>
      <c r="K668" s="8">
        <v>45693</v>
      </c>
      <c r="Q668">
        <v>18723</v>
      </c>
      <c r="R668">
        <v>870</v>
      </c>
      <c r="S668" t="s">
        <v>1299</v>
      </c>
      <c r="T668" t="s">
        <v>215</v>
      </c>
      <c r="U668">
        <v>1</v>
      </c>
      <c r="V668">
        <v>1440.93</v>
      </c>
      <c r="W668">
        <v>1700.3</v>
      </c>
      <c r="X668">
        <v>0</v>
      </c>
      <c r="Y668">
        <v>1440.93</v>
      </c>
      <c r="Z668">
        <v>18</v>
      </c>
      <c r="AA668">
        <v>259.37</v>
      </c>
      <c r="AB668">
        <v>1700.3</v>
      </c>
      <c r="AC668">
        <v>1</v>
      </c>
      <c r="AD668">
        <v>1</v>
      </c>
      <c r="AE668" t="s">
        <v>232</v>
      </c>
      <c r="AF668" t="s">
        <v>29</v>
      </c>
      <c r="AG668">
        <v>2</v>
      </c>
      <c r="AH668" t="s">
        <v>25</v>
      </c>
      <c r="AI668">
        <v>1106</v>
      </c>
      <c r="AJ668" t="s">
        <v>239</v>
      </c>
      <c r="AK668" t="s">
        <v>1237</v>
      </c>
      <c r="AP668">
        <v>1136</v>
      </c>
      <c r="AQ668" t="s">
        <v>415</v>
      </c>
      <c r="AR668" t="s">
        <v>12</v>
      </c>
      <c r="AS668" t="str">
        <f>+CONCATENATE(A668,"-",B668)</f>
        <v>FB01-1384</v>
      </c>
    </row>
    <row r="669" spans="1:45" ht="15" customHeight="1">
      <c r="A669" t="s">
        <v>1216</v>
      </c>
      <c r="B669" s="21" t="s">
        <v>183</v>
      </c>
      <c r="C669" t="s">
        <v>27</v>
      </c>
      <c r="D669" s="8">
        <v>45945</v>
      </c>
      <c r="E669" s="22">
        <v>45964.753576388888</v>
      </c>
      <c r="F669" t="s">
        <v>316</v>
      </c>
      <c r="H669">
        <v>6</v>
      </c>
      <c r="I669">
        <v>20610320261</v>
      </c>
      <c r="J669" t="s">
        <v>1864</v>
      </c>
      <c r="K669" s="8">
        <v>45945</v>
      </c>
      <c r="Q669">
        <v>31184</v>
      </c>
      <c r="R669">
        <v>216</v>
      </c>
      <c r="S669" t="s">
        <v>1300</v>
      </c>
      <c r="T669" t="s">
        <v>163</v>
      </c>
      <c r="U669">
        <v>1</v>
      </c>
      <c r="V669">
        <v>1463.05</v>
      </c>
      <c r="W669">
        <v>1726.4</v>
      </c>
      <c r="X669">
        <v>0</v>
      </c>
      <c r="Y669">
        <v>1463.05</v>
      </c>
      <c r="Z669">
        <v>18</v>
      </c>
      <c r="AA669">
        <v>263.35000000000002</v>
      </c>
      <c r="AB669">
        <v>1726.4</v>
      </c>
      <c r="AC669">
        <v>1</v>
      </c>
      <c r="AD669">
        <v>1</v>
      </c>
      <c r="AE669" t="s">
        <v>1411</v>
      </c>
      <c r="AF669" t="s">
        <v>1412</v>
      </c>
      <c r="AG669">
        <v>2</v>
      </c>
      <c r="AH669" t="s">
        <v>25</v>
      </c>
      <c r="AI669">
        <v>1106</v>
      </c>
      <c r="AJ669" t="s">
        <v>239</v>
      </c>
      <c r="AK669" t="s">
        <v>169</v>
      </c>
      <c r="AL669">
        <v>2899</v>
      </c>
      <c r="AM669" t="s">
        <v>319</v>
      </c>
      <c r="AN669" s="8">
        <v>45933</v>
      </c>
      <c r="AO669" s="8">
        <v>45933</v>
      </c>
      <c r="AP669">
        <v>5586</v>
      </c>
      <c r="AQ669" t="s">
        <v>316</v>
      </c>
      <c r="AR669" t="s">
        <v>12</v>
      </c>
      <c r="AS669" t="str">
        <f>+CONCATENATE(A669,"-",B669)</f>
        <v>(01) Factura FOF1-00000029</v>
      </c>
    </row>
    <row r="670" spans="1:45" ht="15" customHeight="1">
      <c r="A670" t="s">
        <v>216</v>
      </c>
      <c r="B670">
        <v>1274</v>
      </c>
      <c r="C670" t="s">
        <v>27</v>
      </c>
      <c r="D670" s="8">
        <v>45680</v>
      </c>
      <c r="E670" s="22">
        <v>45964</v>
      </c>
      <c r="F670" t="s">
        <v>415</v>
      </c>
      <c r="H670">
        <v>6</v>
      </c>
      <c r="I670">
        <v>20611890746</v>
      </c>
      <c r="J670" t="s">
        <v>2103</v>
      </c>
      <c r="K670" s="8">
        <v>45680</v>
      </c>
      <c r="Q670">
        <v>17787</v>
      </c>
      <c r="R670">
        <v>870</v>
      </c>
      <c r="S670" t="s">
        <v>1299</v>
      </c>
      <c r="T670" t="s">
        <v>215</v>
      </c>
      <c r="U670">
        <v>1</v>
      </c>
      <c r="V670">
        <v>1467.44</v>
      </c>
      <c r="W670">
        <v>1731.58</v>
      </c>
      <c r="X670">
        <v>0</v>
      </c>
      <c r="Y670">
        <v>1467.44</v>
      </c>
      <c r="Z670">
        <v>18</v>
      </c>
      <c r="AA670">
        <v>264.14</v>
      </c>
      <c r="AB670">
        <v>1731.58</v>
      </c>
      <c r="AC670">
        <v>1</v>
      </c>
      <c r="AD670">
        <v>1</v>
      </c>
      <c r="AE670" t="s">
        <v>232</v>
      </c>
      <c r="AF670" t="s">
        <v>29</v>
      </c>
      <c r="AG670">
        <v>2</v>
      </c>
      <c r="AH670" t="s">
        <v>25</v>
      </c>
      <c r="AI670">
        <v>1106</v>
      </c>
      <c r="AJ670" t="s">
        <v>239</v>
      </c>
      <c r="AK670" t="s">
        <v>1237</v>
      </c>
      <c r="AP670">
        <v>1136</v>
      </c>
      <c r="AQ670" t="s">
        <v>415</v>
      </c>
      <c r="AR670" t="s">
        <v>12</v>
      </c>
      <c r="AS670" t="str">
        <f>+CONCATENATE(A670,"-",B670)</f>
        <v>FB01-1274</v>
      </c>
    </row>
    <row r="671" spans="1:45" ht="15" customHeight="1">
      <c r="A671" t="s">
        <v>216</v>
      </c>
      <c r="B671">
        <v>1343</v>
      </c>
      <c r="C671" t="s">
        <v>27</v>
      </c>
      <c r="D671" s="8">
        <v>45686</v>
      </c>
      <c r="E671" s="22">
        <v>45964</v>
      </c>
      <c r="F671" t="s">
        <v>627</v>
      </c>
      <c r="H671">
        <v>6</v>
      </c>
      <c r="I671">
        <v>20101214771</v>
      </c>
      <c r="J671" t="s">
        <v>2007</v>
      </c>
      <c r="K671" s="8">
        <v>45686</v>
      </c>
      <c r="Q671">
        <v>18656</v>
      </c>
      <c r="R671">
        <v>870</v>
      </c>
      <c r="S671" t="s">
        <v>1299</v>
      </c>
      <c r="T671" t="s">
        <v>215</v>
      </c>
      <c r="U671">
        <v>1</v>
      </c>
      <c r="V671">
        <v>1467.71</v>
      </c>
      <c r="W671">
        <v>1731.9</v>
      </c>
      <c r="X671">
        <v>0</v>
      </c>
      <c r="Y671">
        <v>1467.71</v>
      </c>
      <c r="Z671">
        <v>18</v>
      </c>
      <c r="AA671">
        <v>264.19</v>
      </c>
      <c r="AB671">
        <v>1731.9</v>
      </c>
      <c r="AC671">
        <v>1</v>
      </c>
      <c r="AD671">
        <v>1</v>
      </c>
      <c r="AE671" t="s">
        <v>232</v>
      </c>
      <c r="AF671" t="s">
        <v>29</v>
      </c>
      <c r="AG671">
        <v>2</v>
      </c>
      <c r="AH671" t="s">
        <v>25</v>
      </c>
      <c r="AI671">
        <v>1106</v>
      </c>
      <c r="AJ671" t="s">
        <v>239</v>
      </c>
      <c r="AK671" t="s">
        <v>1237</v>
      </c>
      <c r="AP671">
        <v>1137</v>
      </c>
      <c r="AQ671" t="s">
        <v>627</v>
      </c>
      <c r="AR671" t="s">
        <v>12</v>
      </c>
      <c r="AS671" t="str">
        <f>+CONCATENATE(A671,"-",B671)</f>
        <v>FB01-1343</v>
      </c>
    </row>
    <row r="672" spans="1:45" ht="15" customHeight="1">
      <c r="A672" t="s">
        <v>216</v>
      </c>
      <c r="B672">
        <v>1270</v>
      </c>
      <c r="C672" t="s">
        <v>27</v>
      </c>
      <c r="D672" s="8">
        <v>45680</v>
      </c>
      <c r="E672" s="22">
        <v>45964</v>
      </c>
      <c r="F672" t="s">
        <v>415</v>
      </c>
      <c r="H672">
        <v>6</v>
      </c>
      <c r="I672">
        <v>20611890746</v>
      </c>
      <c r="J672" t="s">
        <v>2107</v>
      </c>
      <c r="K672" s="8">
        <v>45680</v>
      </c>
      <c r="Q672">
        <v>17783</v>
      </c>
      <c r="R672">
        <v>870</v>
      </c>
      <c r="S672" t="s">
        <v>1299</v>
      </c>
      <c r="T672" t="s">
        <v>215</v>
      </c>
      <c r="U672">
        <v>1</v>
      </c>
      <c r="V672">
        <v>1468.68</v>
      </c>
      <c r="W672">
        <v>1733.04</v>
      </c>
      <c r="X672">
        <v>0</v>
      </c>
      <c r="Y672">
        <v>1468.68</v>
      </c>
      <c r="Z672">
        <v>18</v>
      </c>
      <c r="AA672">
        <v>264.36</v>
      </c>
      <c r="AB672">
        <v>1733.04</v>
      </c>
      <c r="AC672">
        <v>1</v>
      </c>
      <c r="AD672">
        <v>1</v>
      </c>
      <c r="AE672" t="s">
        <v>232</v>
      </c>
      <c r="AF672" t="s">
        <v>29</v>
      </c>
      <c r="AG672">
        <v>2</v>
      </c>
      <c r="AH672" t="s">
        <v>25</v>
      </c>
      <c r="AI672">
        <v>1106</v>
      </c>
      <c r="AJ672" t="s">
        <v>239</v>
      </c>
      <c r="AK672" t="s">
        <v>1237</v>
      </c>
      <c r="AP672">
        <v>1136</v>
      </c>
      <c r="AQ672" t="s">
        <v>415</v>
      </c>
      <c r="AR672" t="s">
        <v>12</v>
      </c>
      <c r="AS672" t="str">
        <f>+CONCATENATE(A672,"-",B672)</f>
        <v>FB01-1270</v>
      </c>
    </row>
    <row r="673" spans="1:45" ht="15" customHeight="1">
      <c r="A673" t="s">
        <v>1214</v>
      </c>
      <c r="B673" s="21" t="s">
        <v>1723</v>
      </c>
      <c r="C673" t="s">
        <v>27</v>
      </c>
      <c r="D673" s="8">
        <v>45959</v>
      </c>
      <c r="E673" s="22">
        <v>45964.645844907405</v>
      </c>
      <c r="F673" t="s">
        <v>1151</v>
      </c>
      <c r="G673" t="s">
        <v>158</v>
      </c>
      <c r="H673">
        <v>1</v>
      </c>
      <c r="I673">
        <v>44413438</v>
      </c>
      <c r="J673" t="s">
        <v>2659</v>
      </c>
      <c r="K673" s="8">
        <v>45959</v>
      </c>
      <c r="Q673">
        <v>32932</v>
      </c>
      <c r="R673">
        <v>1895</v>
      </c>
      <c r="S673" t="s">
        <v>1407</v>
      </c>
      <c r="T673" t="s">
        <v>215</v>
      </c>
      <c r="U673">
        <v>1</v>
      </c>
      <c r="V673">
        <v>1500</v>
      </c>
      <c r="W673">
        <v>1770</v>
      </c>
      <c r="X673">
        <v>0</v>
      </c>
      <c r="Y673">
        <v>1500</v>
      </c>
      <c r="Z673">
        <v>18</v>
      </c>
      <c r="AA673">
        <v>270</v>
      </c>
      <c r="AB673">
        <v>1770</v>
      </c>
      <c r="AC673">
        <v>1</v>
      </c>
      <c r="AD673">
        <v>1</v>
      </c>
      <c r="AE673" t="s">
        <v>1411</v>
      </c>
      <c r="AF673" t="s">
        <v>1412</v>
      </c>
      <c r="AG673">
        <v>2</v>
      </c>
      <c r="AH673" t="s">
        <v>25</v>
      </c>
      <c r="AI673">
        <v>1106</v>
      </c>
      <c r="AJ673" t="s">
        <v>239</v>
      </c>
      <c r="AK673" t="s">
        <v>1468</v>
      </c>
      <c r="AL673">
        <v>3074</v>
      </c>
      <c r="AM673" t="s">
        <v>2482</v>
      </c>
      <c r="AN673" s="8">
        <v>45955</v>
      </c>
      <c r="AO673" s="8">
        <v>45955</v>
      </c>
      <c r="AP673">
        <v>405</v>
      </c>
      <c r="AQ673" t="s">
        <v>1151</v>
      </c>
      <c r="AR673" t="s">
        <v>1295</v>
      </c>
      <c r="AS673" t="str">
        <f>+CONCATENATE(A673,"-",B673)</f>
        <v>(03) Boleta BOB1-00000109</v>
      </c>
    </row>
    <row r="674" spans="1:45" ht="15" customHeight="1">
      <c r="A674" t="s">
        <v>1216</v>
      </c>
      <c r="B674" s="21" t="s">
        <v>1683</v>
      </c>
      <c r="C674" t="s">
        <v>27</v>
      </c>
      <c r="D674" s="8">
        <v>45946</v>
      </c>
      <c r="E674" s="22">
        <v>45964.862754629627</v>
      </c>
      <c r="F674" t="s">
        <v>1670</v>
      </c>
      <c r="H674">
        <v>6</v>
      </c>
      <c r="I674">
        <v>20542731347</v>
      </c>
      <c r="J674" t="s">
        <v>1684</v>
      </c>
      <c r="K674" s="8">
        <v>45946</v>
      </c>
      <c r="Q674">
        <v>31596</v>
      </c>
      <c r="R674">
        <v>2324</v>
      </c>
      <c r="S674" t="s">
        <v>1303</v>
      </c>
      <c r="T674" t="s">
        <v>215</v>
      </c>
      <c r="U674">
        <v>1</v>
      </c>
      <c r="V674">
        <v>1500</v>
      </c>
      <c r="W674">
        <v>1770</v>
      </c>
      <c r="X674">
        <v>0</v>
      </c>
      <c r="Y674">
        <v>1500</v>
      </c>
      <c r="Z674">
        <v>18</v>
      </c>
      <c r="AA674">
        <v>270</v>
      </c>
      <c r="AB674">
        <v>1770</v>
      </c>
      <c r="AC674">
        <v>1</v>
      </c>
      <c r="AD674">
        <v>1</v>
      </c>
      <c r="AE674" t="s">
        <v>1411</v>
      </c>
      <c r="AF674" t="s">
        <v>1412</v>
      </c>
      <c r="AG674">
        <v>2</v>
      </c>
      <c r="AH674" t="s">
        <v>25</v>
      </c>
      <c r="AI674">
        <v>1106</v>
      </c>
      <c r="AJ674" t="s">
        <v>239</v>
      </c>
      <c r="AK674" t="s">
        <v>1468</v>
      </c>
      <c r="AL674">
        <v>2972</v>
      </c>
      <c r="AM674" t="s">
        <v>1672</v>
      </c>
      <c r="AN674" s="8">
        <v>45928</v>
      </c>
      <c r="AO674" s="8">
        <v>45928</v>
      </c>
      <c r="AP674">
        <v>435</v>
      </c>
      <c r="AQ674" t="s">
        <v>1673</v>
      </c>
      <c r="AR674" t="s">
        <v>1295</v>
      </c>
      <c r="AS674" t="str">
        <f>+CONCATENATE(A674,"-",B674)</f>
        <v>(01) Factura FOF1-00000117</v>
      </c>
    </row>
    <row r="675" spans="1:45" ht="15" customHeight="1">
      <c r="A675" t="s">
        <v>1214</v>
      </c>
      <c r="B675" s="21" t="s">
        <v>1700</v>
      </c>
      <c r="C675" t="s">
        <v>27</v>
      </c>
      <c r="D675" s="8">
        <v>45946</v>
      </c>
      <c r="E675" s="22">
        <v>45964.860393518517</v>
      </c>
      <c r="F675" t="s">
        <v>1673</v>
      </c>
      <c r="G675" t="s">
        <v>158</v>
      </c>
      <c r="H675">
        <v>1</v>
      </c>
      <c r="I675">
        <v>40469388</v>
      </c>
      <c r="J675" t="s">
        <v>1701</v>
      </c>
      <c r="K675" s="8">
        <v>45946</v>
      </c>
      <c r="Q675">
        <v>31569</v>
      </c>
      <c r="R675">
        <v>2324</v>
      </c>
      <c r="S675" t="s">
        <v>1303</v>
      </c>
      <c r="T675" t="s">
        <v>215</v>
      </c>
      <c r="U675">
        <v>1</v>
      </c>
      <c r="V675">
        <v>1500</v>
      </c>
      <c r="W675">
        <v>1770</v>
      </c>
      <c r="X675">
        <v>0</v>
      </c>
      <c r="Y675">
        <v>1500</v>
      </c>
      <c r="Z675">
        <v>18</v>
      </c>
      <c r="AA675">
        <v>270</v>
      </c>
      <c r="AB675">
        <v>1770</v>
      </c>
      <c r="AC675">
        <v>1</v>
      </c>
      <c r="AD675">
        <v>1</v>
      </c>
      <c r="AE675" t="s">
        <v>1411</v>
      </c>
      <c r="AF675" t="s">
        <v>1412</v>
      </c>
      <c r="AG675">
        <v>2</v>
      </c>
      <c r="AH675" t="s">
        <v>25</v>
      </c>
      <c r="AI675">
        <v>1106</v>
      </c>
      <c r="AJ675" t="s">
        <v>239</v>
      </c>
      <c r="AK675" t="s">
        <v>1468</v>
      </c>
      <c r="AL675">
        <v>2972</v>
      </c>
      <c r="AM675" t="s">
        <v>1672</v>
      </c>
      <c r="AN675" s="8">
        <v>45928</v>
      </c>
      <c r="AO675" s="8">
        <v>45928</v>
      </c>
      <c r="AP675">
        <v>435</v>
      </c>
      <c r="AQ675" t="s">
        <v>1673</v>
      </c>
      <c r="AR675" t="s">
        <v>1295</v>
      </c>
      <c r="AS675" t="str">
        <f>+CONCATENATE(A675,"-",B675)</f>
        <v>(03) Boleta BOB1-00000054</v>
      </c>
    </row>
    <row r="676" spans="1:45" ht="15" customHeight="1">
      <c r="A676" t="s">
        <v>1216</v>
      </c>
      <c r="B676" s="21" t="s">
        <v>1593</v>
      </c>
      <c r="C676" t="s">
        <v>27</v>
      </c>
      <c r="D676" s="8">
        <v>45946</v>
      </c>
      <c r="E676" s="22">
        <v>45964.772534722222</v>
      </c>
      <c r="F676" t="s">
        <v>1794</v>
      </c>
      <c r="H676">
        <v>6</v>
      </c>
      <c r="I676">
        <v>10207250991</v>
      </c>
      <c r="J676" t="s">
        <v>1800</v>
      </c>
      <c r="K676" s="8">
        <v>45946</v>
      </c>
      <c r="Q676">
        <v>31391</v>
      </c>
      <c r="R676">
        <v>2324</v>
      </c>
      <c r="S676" t="s">
        <v>1303</v>
      </c>
      <c r="T676" t="s">
        <v>215</v>
      </c>
      <c r="U676">
        <v>1</v>
      </c>
      <c r="V676">
        <v>1500</v>
      </c>
      <c r="W676">
        <v>1770</v>
      </c>
      <c r="X676">
        <v>0</v>
      </c>
      <c r="Y676">
        <v>1500</v>
      </c>
      <c r="Z676">
        <v>18</v>
      </c>
      <c r="AA676">
        <v>270</v>
      </c>
      <c r="AB676">
        <v>1770</v>
      </c>
      <c r="AC676">
        <v>1</v>
      </c>
      <c r="AD676">
        <v>1</v>
      </c>
      <c r="AE676" t="s">
        <v>1411</v>
      </c>
      <c r="AF676" t="s">
        <v>1412</v>
      </c>
      <c r="AG676">
        <v>2</v>
      </c>
      <c r="AH676" t="s">
        <v>25</v>
      </c>
      <c r="AI676">
        <v>1106</v>
      </c>
      <c r="AJ676" t="s">
        <v>239</v>
      </c>
      <c r="AK676" t="s">
        <v>1468</v>
      </c>
      <c r="AL676">
        <v>2471</v>
      </c>
      <c r="AM676" t="s">
        <v>1796</v>
      </c>
      <c r="AN676" s="8">
        <v>45928</v>
      </c>
      <c r="AO676" s="8">
        <v>45928</v>
      </c>
      <c r="AP676">
        <v>5507</v>
      </c>
      <c r="AQ676" t="s">
        <v>1794</v>
      </c>
      <c r="AR676" t="s">
        <v>12</v>
      </c>
      <c r="AS676" t="str">
        <f>+CONCATENATE(A676,"-",B676)</f>
        <v>(01) Factura FOF1-00000073</v>
      </c>
    </row>
    <row r="677" spans="1:45" ht="15" customHeight="1">
      <c r="A677" t="s">
        <v>216</v>
      </c>
      <c r="B677">
        <v>1194</v>
      </c>
      <c r="C677" t="s">
        <v>27</v>
      </c>
      <c r="D677" s="8">
        <v>45663</v>
      </c>
      <c r="E677" s="22">
        <v>45964</v>
      </c>
      <c r="F677" t="s">
        <v>1321</v>
      </c>
      <c r="G677" t="s">
        <v>158</v>
      </c>
      <c r="H677">
        <v>6</v>
      </c>
      <c r="I677">
        <v>20296011356</v>
      </c>
      <c r="J677" t="s">
        <v>2194</v>
      </c>
      <c r="K677" s="8">
        <v>45663</v>
      </c>
      <c r="Q677">
        <v>17189</v>
      </c>
      <c r="R677">
        <v>881</v>
      </c>
      <c r="S677" s="28" t="s">
        <v>1392</v>
      </c>
      <c r="T677" t="s">
        <v>215</v>
      </c>
      <c r="U677">
        <v>1</v>
      </c>
      <c r="V677">
        <v>1500</v>
      </c>
      <c r="W677">
        <v>1770</v>
      </c>
      <c r="X677">
        <v>0</v>
      </c>
      <c r="Y677">
        <v>1500</v>
      </c>
      <c r="Z677">
        <v>18</v>
      </c>
      <c r="AA677">
        <v>270</v>
      </c>
      <c r="AB677">
        <v>1770</v>
      </c>
      <c r="AC677">
        <v>1</v>
      </c>
      <c r="AD677">
        <v>1</v>
      </c>
      <c r="AE677" t="s">
        <v>232</v>
      </c>
      <c r="AF677" t="s">
        <v>29</v>
      </c>
      <c r="AG677">
        <v>2</v>
      </c>
      <c r="AH677" t="s">
        <v>25</v>
      </c>
      <c r="AI677">
        <v>1106</v>
      </c>
      <c r="AJ677" t="s">
        <v>239</v>
      </c>
      <c r="AK677" t="s">
        <v>1236</v>
      </c>
      <c r="AP677">
        <v>390</v>
      </c>
      <c r="AQ677" t="s">
        <v>1321</v>
      </c>
      <c r="AR677" t="s">
        <v>12</v>
      </c>
      <c r="AS677" t="str">
        <f>+CONCATENATE(A677,"-",B677)</f>
        <v>FB01-1194</v>
      </c>
    </row>
    <row r="678" spans="1:45" ht="15" customHeight="1">
      <c r="A678" t="s">
        <v>216</v>
      </c>
      <c r="B678">
        <v>1378</v>
      </c>
      <c r="C678" t="s">
        <v>27</v>
      </c>
      <c r="D678" s="8">
        <v>45693</v>
      </c>
      <c r="E678" s="22">
        <v>45964</v>
      </c>
      <c r="F678" t="s">
        <v>415</v>
      </c>
      <c r="H678">
        <v>6</v>
      </c>
      <c r="I678">
        <v>20611890746</v>
      </c>
      <c r="J678" t="s">
        <v>1957</v>
      </c>
      <c r="K678" s="8">
        <v>45693</v>
      </c>
      <c r="Q678">
        <v>18713</v>
      </c>
      <c r="R678">
        <v>870</v>
      </c>
      <c r="S678" t="s">
        <v>1299</v>
      </c>
      <c r="T678" t="s">
        <v>215</v>
      </c>
      <c r="U678">
        <v>1</v>
      </c>
      <c r="V678">
        <v>1544.46</v>
      </c>
      <c r="W678">
        <v>1822.46</v>
      </c>
      <c r="X678">
        <v>0</v>
      </c>
      <c r="Y678">
        <v>1544.46</v>
      </c>
      <c r="Z678">
        <v>18</v>
      </c>
      <c r="AA678">
        <v>278</v>
      </c>
      <c r="AB678">
        <v>1822.46</v>
      </c>
      <c r="AC678">
        <v>1</v>
      </c>
      <c r="AD678">
        <v>1</v>
      </c>
      <c r="AE678" t="s">
        <v>232</v>
      </c>
      <c r="AF678" t="s">
        <v>29</v>
      </c>
      <c r="AG678">
        <v>2</v>
      </c>
      <c r="AH678" t="s">
        <v>25</v>
      </c>
      <c r="AI678">
        <v>1106</v>
      </c>
      <c r="AJ678" t="s">
        <v>239</v>
      </c>
      <c r="AK678" t="s">
        <v>1237</v>
      </c>
      <c r="AP678">
        <v>1136</v>
      </c>
      <c r="AQ678" t="s">
        <v>415</v>
      </c>
      <c r="AR678" t="s">
        <v>12</v>
      </c>
      <c r="AS678" t="str">
        <f>+CONCATENATE(A678,"-",B678)</f>
        <v>FB01-1378</v>
      </c>
    </row>
    <row r="679" spans="1:45" ht="15" customHeight="1">
      <c r="A679" t="s">
        <v>216</v>
      </c>
      <c r="B679">
        <v>1388</v>
      </c>
      <c r="C679" t="s">
        <v>27</v>
      </c>
      <c r="D679" s="8">
        <v>45693</v>
      </c>
      <c r="E679" s="22">
        <v>45964</v>
      </c>
      <c r="F679" t="s">
        <v>462</v>
      </c>
      <c r="G679" t="s">
        <v>158</v>
      </c>
      <c r="H679">
        <v>6</v>
      </c>
      <c r="I679">
        <v>20608627422</v>
      </c>
      <c r="J679" t="s">
        <v>1943</v>
      </c>
      <c r="K679" s="8">
        <v>45693</v>
      </c>
      <c r="Q679">
        <v>18727</v>
      </c>
      <c r="R679">
        <v>877</v>
      </c>
      <c r="S679" t="s">
        <v>1300</v>
      </c>
      <c r="T679" t="s">
        <v>215</v>
      </c>
      <c r="U679">
        <v>1</v>
      </c>
      <c r="V679">
        <v>1553.9</v>
      </c>
      <c r="W679">
        <v>1833.6</v>
      </c>
      <c r="X679">
        <v>0</v>
      </c>
      <c r="Y679">
        <v>1553.9</v>
      </c>
      <c r="Z679">
        <v>18</v>
      </c>
      <c r="AA679">
        <v>279.7</v>
      </c>
      <c r="AB679">
        <v>1833.6</v>
      </c>
      <c r="AC679">
        <v>1</v>
      </c>
      <c r="AD679">
        <v>1</v>
      </c>
      <c r="AE679" t="s">
        <v>232</v>
      </c>
      <c r="AF679" t="s">
        <v>29</v>
      </c>
      <c r="AG679">
        <v>2</v>
      </c>
      <c r="AH679" t="s">
        <v>25</v>
      </c>
      <c r="AI679">
        <v>1106</v>
      </c>
      <c r="AJ679" t="s">
        <v>239</v>
      </c>
      <c r="AK679" t="s">
        <v>1237</v>
      </c>
      <c r="AP679">
        <v>396</v>
      </c>
      <c r="AQ679" t="s">
        <v>462</v>
      </c>
      <c r="AR679" t="s">
        <v>12</v>
      </c>
      <c r="AS679" t="str">
        <f>+CONCATENATE(A679,"-",B679)</f>
        <v>FB01-1388</v>
      </c>
    </row>
    <row r="680" spans="1:45" ht="15" customHeight="1">
      <c r="A680" t="s">
        <v>1216</v>
      </c>
      <c r="B680" s="21" t="s">
        <v>205</v>
      </c>
      <c r="C680" t="s">
        <v>27</v>
      </c>
      <c r="D680" s="8">
        <v>45945</v>
      </c>
      <c r="E680" s="22">
        <v>45964.759814814817</v>
      </c>
      <c r="F680" t="s">
        <v>32</v>
      </c>
      <c r="G680" t="s">
        <v>158</v>
      </c>
      <c r="H680">
        <v>6</v>
      </c>
      <c r="I680">
        <v>20608361074</v>
      </c>
      <c r="J680" t="s">
        <v>1855</v>
      </c>
      <c r="K680" s="8">
        <v>45945</v>
      </c>
      <c r="Q680">
        <v>31211</v>
      </c>
      <c r="R680">
        <v>216</v>
      </c>
      <c r="S680" t="s">
        <v>1300</v>
      </c>
      <c r="T680" t="s">
        <v>163</v>
      </c>
      <c r="U680">
        <v>1</v>
      </c>
      <c r="V680">
        <v>1571.02</v>
      </c>
      <c r="W680">
        <v>1853.8</v>
      </c>
      <c r="X680">
        <v>0</v>
      </c>
      <c r="Y680">
        <v>1571.02</v>
      </c>
      <c r="Z680">
        <v>18</v>
      </c>
      <c r="AA680">
        <v>282.77999999999997</v>
      </c>
      <c r="AB680">
        <v>1853.8</v>
      </c>
      <c r="AC680">
        <v>1</v>
      </c>
      <c r="AD680">
        <v>1</v>
      </c>
      <c r="AE680" t="s">
        <v>1411</v>
      </c>
      <c r="AF680" t="s">
        <v>1412</v>
      </c>
      <c r="AG680">
        <v>2</v>
      </c>
      <c r="AH680" t="s">
        <v>25</v>
      </c>
      <c r="AI680">
        <v>1106</v>
      </c>
      <c r="AJ680" t="s">
        <v>239</v>
      </c>
      <c r="AK680" t="s">
        <v>169</v>
      </c>
      <c r="AL680">
        <v>3051</v>
      </c>
      <c r="AM680" t="s">
        <v>310</v>
      </c>
      <c r="AN680" s="8">
        <v>45933</v>
      </c>
      <c r="AO680" s="8">
        <v>45933</v>
      </c>
      <c r="AP680">
        <v>397</v>
      </c>
      <c r="AQ680" t="s">
        <v>32</v>
      </c>
      <c r="AR680" t="s">
        <v>12</v>
      </c>
      <c r="AS680" t="str">
        <f>+CONCATENATE(A680,"-",B680)</f>
        <v>(01) Factura FOF1-00000034</v>
      </c>
    </row>
    <row r="681" spans="1:45" ht="15" customHeight="1">
      <c r="A681" t="s">
        <v>216</v>
      </c>
      <c r="B681">
        <v>1328</v>
      </c>
      <c r="C681" t="s">
        <v>27</v>
      </c>
      <c r="D681" s="8">
        <v>45685</v>
      </c>
      <c r="E681" s="22">
        <v>45964</v>
      </c>
      <c r="F681" t="s">
        <v>1321</v>
      </c>
      <c r="G681" t="s">
        <v>158</v>
      </c>
      <c r="H681">
        <v>6</v>
      </c>
      <c r="I681">
        <v>20296011356</v>
      </c>
      <c r="J681" t="s">
        <v>2022</v>
      </c>
      <c r="K681" s="8">
        <v>45685</v>
      </c>
      <c r="Q681">
        <v>18641</v>
      </c>
      <c r="R681">
        <v>947</v>
      </c>
      <c r="S681" s="28" t="s">
        <v>1341</v>
      </c>
      <c r="T681" t="s">
        <v>215</v>
      </c>
      <c r="U681">
        <v>1</v>
      </c>
      <c r="V681">
        <v>1575</v>
      </c>
      <c r="W681">
        <v>1858.5</v>
      </c>
      <c r="X681">
        <v>0</v>
      </c>
      <c r="Y681">
        <v>1575</v>
      </c>
      <c r="Z681">
        <v>18</v>
      </c>
      <c r="AA681">
        <v>283.5</v>
      </c>
      <c r="AB681">
        <v>1858.5</v>
      </c>
      <c r="AC681">
        <v>1</v>
      </c>
      <c r="AD681">
        <v>1</v>
      </c>
      <c r="AE681" t="s">
        <v>232</v>
      </c>
      <c r="AF681" t="s">
        <v>29</v>
      </c>
      <c r="AG681">
        <v>2</v>
      </c>
      <c r="AH681" t="s">
        <v>25</v>
      </c>
      <c r="AI681">
        <v>1106</v>
      </c>
      <c r="AJ681" t="s">
        <v>239</v>
      </c>
      <c r="AK681" t="s">
        <v>1236</v>
      </c>
      <c r="AP681">
        <v>390</v>
      </c>
      <c r="AQ681" t="s">
        <v>1321</v>
      </c>
      <c r="AR681" t="s">
        <v>12</v>
      </c>
      <c r="AS681" t="str">
        <f>+CONCATENATE(A681,"-",B681)</f>
        <v>FB01-1328</v>
      </c>
    </row>
    <row r="682" spans="1:45" ht="15" customHeight="1">
      <c r="A682" t="s">
        <v>216</v>
      </c>
      <c r="B682">
        <v>1177</v>
      </c>
      <c r="C682" t="s">
        <v>27</v>
      </c>
      <c r="D682" s="8">
        <v>45660</v>
      </c>
      <c r="E682" s="22">
        <v>45964</v>
      </c>
      <c r="F682" t="s">
        <v>1240</v>
      </c>
      <c r="G682" t="s">
        <v>158</v>
      </c>
      <c r="H682">
        <v>6</v>
      </c>
      <c r="I682">
        <v>20602855733</v>
      </c>
      <c r="J682" t="s">
        <v>2221</v>
      </c>
      <c r="K682" s="8">
        <v>45660</v>
      </c>
      <c r="Q682">
        <v>17158</v>
      </c>
      <c r="R682">
        <v>871</v>
      </c>
      <c r="S682" t="s">
        <v>1316</v>
      </c>
      <c r="T682" t="s">
        <v>215</v>
      </c>
      <c r="U682">
        <v>1</v>
      </c>
      <c r="V682">
        <v>1590.93</v>
      </c>
      <c r="W682">
        <v>1877.3</v>
      </c>
      <c r="X682">
        <v>0</v>
      </c>
      <c r="Y682">
        <v>1590.93</v>
      </c>
      <c r="Z682">
        <v>18</v>
      </c>
      <c r="AA682">
        <v>286.37</v>
      </c>
      <c r="AB682">
        <v>1877.3</v>
      </c>
      <c r="AC682">
        <v>1</v>
      </c>
      <c r="AD682">
        <v>1</v>
      </c>
      <c r="AE682" t="s">
        <v>232</v>
      </c>
      <c r="AF682" t="s">
        <v>29</v>
      </c>
      <c r="AG682">
        <v>2</v>
      </c>
      <c r="AH682" t="s">
        <v>25</v>
      </c>
      <c r="AI682">
        <v>1106</v>
      </c>
      <c r="AJ682" t="s">
        <v>239</v>
      </c>
      <c r="AK682" t="s">
        <v>1237</v>
      </c>
      <c r="AP682">
        <v>385</v>
      </c>
      <c r="AQ682" t="s">
        <v>1240</v>
      </c>
      <c r="AR682" t="s">
        <v>12</v>
      </c>
      <c r="AS682" t="str">
        <f>+CONCATENATE(A682,"-",B682)</f>
        <v>FB01-1177</v>
      </c>
    </row>
    <row r="683" spans="1:45" ht="15" customHeight="1">
      <c r="A683" t="s">
        <v>216</v>
      </c>
      <c r="B683">
        <v>1256</v>
      </c>
      <c r="C683" t="s">
        <v>27</v>
      </c>
      <c r="D683" s="8">
        <v>45665</v>
      </c>
      <c r="E683" s="22">
        <v>45964</v>
      </c>
      <c r="F683" t="s">
        <v>32</v>
      </c>
      <c r="G683" t="s">
        <v>158</v>
      </c>
      <c r="H683">
        <v>6</v>
      </c>
      <c r="I683">
        <v>20608361074</v>
      </c>
      <c r="J683" t="s">
        <v>2127</v>
      </c>
      <c r="K683" s="8">
        <v>45665</v>
      </c>
      <c r="Q683">
        <v>17761</v>
      </c>
      <c r="R683">
        <v>907</v>
      </c>
      <c r="S683" t="s">
        <v>1370</v>
      </c>
      <c r="T683" t="s">
        <v>215</v>
      </c>
      <c r="U683">
        <v>1</v>
      </c>
      <c r="V683">
        <v>1594.55</v>
      </c>
      <c r="W683">
        <v>1881.57</v>
      </c>
      <c r="X683">
        <v>0</v>
      </c>
      <c r="Y683">
        <v>1594.55</v>
      </c>
      <c r="Z683">
        <v>18</v>
      </c>
      <c r="AA683">
        <v>287.02</v>
      </c>
      <c r="AB683">
        <v>1881.57</v>
      </c>
      <c r="AC683">
        <v>1</v>
      </c>
      <c r="AD683">
        <v>1</v>
      </c>
      <c r="AE683" t="s">
        <v>232</v>
      </c>
      <c r="AF683" t="s">
        <v>29</v>
      </c>
      <c r="AG683">
        <v>2</v>
      </c>
      <c r="AH683" t="s">
        <v>25</v>
      </c>
      <c r="AI683">
        <v>1106</v>
      </c>
      <c r="AJ683" t="s">
        <v>239</v>
      </c>
      <c r="AK683" t="s">
        <v>1237</v>
      </c>
      <c r="AP683">
        <v>397</v>
      </c>
      <c r="AQ683" t="s">
        <v>32</v>
      </c>
      <c r="AR683" t="s">
        <v>12</v>
      </c>
      <c r="AS683" t="str">
        <f>+CONCATENATE(A683,"-",B683)</f>
        <v>FB01-1256</v>
      </c>
    </row>
    <row r="684" spans="1:45" ht="15" customHeight="1">
      <c r="A684" t="s">
        <v>1238</v>
      </c>
      <c r="B684">
        <v>657</v>
      </c>
      <c r="C684" t="s">
        <v>27</v>
      </c>
      <c r="D684" s="8">
        <v>45665</v>
      </c>
      <c r="E684" s="22">
        <v>45964</v>
      </c>
      <c r="F684" t="s">
        <v>1031</v>
      </c>
      <c r="G684" t="s">
        <v>158</v>
      </c>
      <c r="H684">
        <v>1</v>
      </c>
      <c r="I684">
        <v>9059888</v>
      </c>
      <c r="J684" t="s">
        <v>2133</v>
      </c>
      <c r="K684" s="8">
        <v>45665</v>
      </c>
      <c r="Q684">
        <v>17754</v>
      </c>
      <c r="R684">
        <v>877</v>
      </c>
      <c r="S684" t="s">
        <v>1300</v>
      </c>
      <c r="T684" t="s">
        <v>215</v>
      </c>
      <c r="U684">
        <v>1</v>
      </c>
      <c r="V684">
        <v>1599.66</v>
      </c>
      <c r="W684">
        <v>1887.6</v>
      </c>
      <c r="X684">
        <v>0</v>
      </c>
      <c r="Y684">
        <v>1599.66</v>
      </c>
      <c r="Z684">
        <v>18</v>
      </c>
      <c r="AA684">
        <v>287.94</v>
      </c>
      <c r="AB684">
        <v>1887.6</v>
      </c>
      <c r="AC684">
        <v>1</v>
      </c>
      <c r="AD684">
        <v>1</v>
      </c>
      <c r="AE684" t="s">
        <v>232</v>
      </c>
      <c r="AF684" t="s">
        <v>29</v>
      </c>
      <c r="AG684">
        <v>2</v>
      </c>
      <c r="AH684" t="s">
        <v>25</v>
      </c>
      <c r="AI684">
        <v>1106</v>
      </c>
      <c r="AJ684" t="s">
        <v>239</v>
      </c>
      <c r="AK684" t="s">
        <v>1237</v>
      </c>
      <c r="AP684">
        <v>449</v>
      </c>
      <c r="AQ684" t="s">
        <v>1031</v>
      </c>
      <c r="AR684" t="s">
        <v>1295</v>
      </c>
      <c r="AS684" t="str">
        <f>+CONCATENATE(A684,"-",B684)</f>
        <v>BB01-657</v>
      </c>
    </row>
    <row r="685" spans="1:45" ht="15" customHeight="1">
      <c r="A685" t="s">
        <v>1216</v>
      </c>
      <c r="B685" s="21" t="s">
        <v>172</v>
      </c>
      <c r="C685" t="s">
        <v>27</v>
      </c>
      <c r="D685" s="8">
        <v>45945</v>
      </c>
      <c r="E685" s="22">
        <v>45964.781724537039</v>
      </c>
      <c r="F685" t="s">
        <v>32</v>
      </c>
      <c r="G685" t="s">
        <v>158</v>
      </c>
      <c r="H685">
        <v>6</v>
      </c>
      <c r="I685">
        <v>20608361074</v>
      </c>
      <c r="J685" t="s">
        <v>1843</v>
      </c>
      <c r="K685" s="8">
        <v>45945</v>
      </c>
      <c r="Q685">
        <v>31256</v>
      </c>
      <c r="R685">
        <v>2324</v>
      </c>
      <c r="S685" t="s">
        <v>1303</v>
      </c>
      <c r="T685" t="s">
        <v>215</v>
      </c>
      <c r="U685">
        <v>1</v>
      </c>
      <c r="V685">
        <v>1600</v>
      </c>
      <c r="W685">
        <v>1888</v>
      </c>
      <c r="X685">
        <v>0</v>
      </c>
      <c r="Y685">
        <v>1600</v>
      </c>
      <c r="Z685">
        <v>18</v>
      </c>
      <c r="AA685">
        <v>288</v>
      </c>
      <c r="AB685">
        <v>1888</v>
      </c>
      <c r="AC685">
        <v>1</v>
      </c>
      <c r="AD685">
        <v>1</v>
      </c>
      <c r="AE685" t="s">
        <v>1411</v>
      </c>
      <c r="AF685" t="s">
        <v>1412</v>
      </c>
      <c r="AG685">
        <v>2</v>
      </c>
      <c r="AH685" t="s">
        <v>25</v>
      </c>
      <c r="AI685">
        <v>1106</v>
      </c>
      <c r="AJ685" t="s">
        <v>239</v>
      </c>
      <c r="AK685" t="s">
        <v>169</v>
      </c>
      <c r="AL685">
        <v>3081</v>
      </c>
      <c r="AM685" t="s">
        <v>1217</v>
      </c>
      <c r="AN685" s="8">
        <v>45934</v>
      </c>
      <c r="AO685" s="8">
        <v>45934</v>
      </c>
      <c r="AP685">
        <v>397</v>
      </c>
      <c r="AQ685" t="s">
        <v>32</v>
      </c>
      <c r="AR685" t="s">
        <v>12</v>
      </c>
      <c r="AS685" t="str">
        <f>+CONCATENATE(A685,"-",B685)</f>
        <v>(01) Factura FOF1-00000043</v>
      </c>
    </row>
    <row r="686" spans="1:45" ht="15" customHeight="1">
      <c r="A686" t="s">
        <v>216</v>
      </c>
      <c r="B686">
        <v>1354</v>
      </c>
      <c r="C686" t="s">
        <v>27</v>
      </c>
      <c r="D686" s="8">
        <v>45686</v>
      </c>
      <c r="E686" s="22">
        <v>45964</v>
      </c>
      <c r="F686" t="s">
        <v>627</v>
      </c>
      <c r="H686">
        <v>6</v>
      </c>
      <c r="I686">
        <v>20101214771</v>
      </c>
      <c r="J686" t="s">
        <v>1996</v>
      </c>
      <c r="K686" s="8">
        <v>45686</v>
      </c>
      <c r="Q686">
        <v>18667</v>
      </c>
      <c r="R686">
        <v>877</v>
      </c>
      <c r="S686" t="s">
        <v>1300</v>
      </c>
      <c r="T686" t="s">
        <v>215</v>
      </c>
      <c r="U686">
        <v>1</v>
      </c>
      <c r="V686">
        <v>1608.31</v>
      </c>
      <c r="W686">
        <v>1897.8</v>
      </c>
      <c r="X686">
        <v>0</v>
      </c>
      <c r="Y686">
        <v>1608.31</v>
      </c>
      <c r="Z686">
        <v>18</v>
      </c>
      <c r="AA686">
        <v>289.49</v>
      </c>
      <c r="AB686">
        <v>1897.8</v>
      </c>
      <c r="AC686">
        <v>1</v>
      </c>
      <c r="AD686">
        <v>1</v>
      </c>
      <c r="AE686" t="s">
        <v>232</v>
      </c>
      <c r="AF686" t="s">
        <v>29</v>
      </c>
      <c r="AG686">
        <v>2</v>
      </c>
      <c r="AH686" t="s">
        <v>25</v>
      </c>
      <c r="AI686">
        <v>1106</v>
      </c>
      <c r="AJ686" t="s">
        <v>239</v>
      </c>
      <c r="AK686" t="s">
        <v>1237</v>
      </c>
      <c r="AP686">
        <v>1137</v>
      </c>
      <c r="AQ686" t="s">
        <v>627</v>
      </c>
      <c r="AR686" t="s">
        <v>12</v>
      </c>
      <c r="AS686" t="str">
        <f>+CONCATENATE(A686,"-",B686)</f>
        <v>FB01-1354</v>
      </c>
    </row>
    <row r="687" spans="1:45" ht="15" customHeight="1">
      <c r="A687" t="s">
        <v>1214</v>
      </c>
      <c r="B687" s="21" t="s">
        <v>1508</v>
      </c>
      <c r="C687" t="s">
        <v>27</v>
      </c>
      <c r="D687" s="8">
        <v>45954</v>
      </c>
      <c r="E687" s="22">
        <v>45964.575231481482</v>
      </c>
      <c r="F687" t="s">
        <v>1502</v>
      </c>
      <c r="H687">
        <v>1</v>
      </c>
      <c r="I687">
        <v>71809280</v>
      </c>
      <c r="J687" t="s">
        <v>1509</v>
      </c>
      <c r="K687" s="8">
        <v>45954</v>
      </c>
      <c r="Q687">
        <v>32515</v>
      </c>
      <c r="R687">
        <v>216</v>
      </c>
      <c r="S687" t="s">
        <v>1300</v>
      </c>
      <c r="T687" t="s">
        <v>163</v>
      </c>
      <c r="U687">
        <v>1</v>
      </c>
      <c r="V687">
        <v>1608.36</v>
      </c>
      <c r="W687">
        <v>1897.86</v>
      </c>
      <c r="X687">
        <v>0</v>
      </c>
      <c r="Y687">
        <v>1608.36</v>
      </c>
      <c r="Z687">
        <v>18</v>
      </c>
      <c r="AA687">
        <v>289.5</v>
      </c>
      <c r="AB687">
        <v>1897.86</v>
      </c>
      <c r="AC687">
        <v>1</v>
      </c>
      <c r="AD687">
        <v>1</v>
      </c>
      <c r="AE687" t="s">
        <v>1411</v>
      </c>
      <c r="AF687" t="s">
        <v>1412</v>
      </c>
      <c r="AG687">
        <v>2</v>
      </c>
      <c r="AH687" t="s">
        <v>25</v>
      </c>
      <c r="AI687">
        <v>6936</v>
      </c>
      <c r="AJ687" t="s">
        <v>1437</v>
      </c>
      <c r="AK687" t="s">
        <v>1433</v>
      </c>
      <c r="AL687">
        <v>3171</v>
      </c>
      <c r="AM687" t="s">
        <v>1505</v>
      </c>
      <c r="AN687" s="8">
        <v>45949</v>
      </c>
      <c r="AO687" s="8">
        <v>45949</v>
      </c>
      <c r="AP687">
        <v>6056</v>
      </c>
      <c r="AQ687" t="s">
        <v>1502</v>
      </c>
      <c r="AR687" t="s">
        <v>1295</v>
      </c>
      <c r="AS687" t="str">
        <f>+CONCATENATE(A687,"-",B687)</f>
        <v>(03) Boleta BOB1-00000081</v>
      </c>
    </row>
    <row r="688" spans="1:45" ht="15" customHeight="1">
      <c r="A688" t="s">
        <v>1214</v>
      </c>
      <c r="B688" s="21" t="s">
        <v>196</v>
      </c>
      <c r="C688" t="s">
        <v>27</v>
      </c>
      <c r="D688" s="8">
        <v>45945</v>
      </c>
      <c r="E688" s="22">
        <v>45964.743206018517</v>
      </c>
      <c r="F688" t="s">
        <v>287</v>
      </c>
      <c r="H688">
        <v>1</v>
      </c>
      <c r="I688">
        <v>46168918</v>
      </c>
      <c r="J688" t="s">
        <v>1874</v>
      </c>
      <c r="K688" s="8">
        <v>45945</v>
      </c>
      <c r="Q688">
        <v>31154</v>
      </c>
      <c r="R688">
        <v>2324</v>
      </c>
      <c r="S688" t="s">
        <v>1303</v>
      </c>
      <c r="T688" t="s">
        <v>215</v>
      </c>
      <c r="U688">
        <v>1</v>
      </c>
      <c r="V688">
        <v>1630.51</v>
      </c>
      <c r="W688">
        <v>1924</v>
      </c>
      <c r="X688">
        <v>0</v>
      </c>
      <c r="Y688">
        <v>1630.51</v>
      </c>
      <c r="Z688">
        <v>18</v>
      </c>
      <c r="AA688">
        <v>293.49</v>
      </c>
      <c r="AB688">
        <v>1924</v>
      </c>
      <c r="AC688">
        <v>1</v>
      </c>
      <c r="AD688">
        <v>1</v>
      </c>
      <c r="AE688" t="s">
        <v>1411</v>
      </c>
      <c r="AF688" t="s">
        <v>1412</v>
      </c>
      <c r="AG688">
        <v>2</v>
      </c>
      <c r="AH688" t="s">
        <v>25</v>
      </c>
      <c r="AI688">
        <v>1106</v>
      </c>
      <c r="AJ688" t="s">
        <v>239</v>
      </c>
      <c r="AK688" t="s">
        <v>169</v>
      </c>
      <c r="AL688">
        <v>2953</v>
      </c>
      <c r="AM688" t="s">
        <v>1226</v>
      </c>
      <c r="AN688" s="8">
        <v>45934</v>
      </c>
      <c r="AO688" s="8">
        <v>45934</v>
      </c>
      <c r="AP688">
        <v>5592</v>
      </c>
      <c r="AQ688" t="s">
        <v>287</v>
      </c>
      <c r="AR688" t="s">
        <v>1295</v>
      </c>
      <c r="AS688" t="str">
        <f>+CONCATENATE(A688,"-",B688)</f>
        <v>(03) Boleta BOB1-00000012</v>
      </c>
    </row>
    <row r="689" spans="1:45" ht="15" customHeight="1">
      <c r="A689" t="s">
        <v>216</v>
      </c>
      <c r="B689">
        <v>1278</v>
      </c>
      <c r="C689" t="s">
        <v>27</v>
      </c>
      <c r="D689" s="8">
        <v>45680</v>
      </c>
      <c r="E689" s="22">
        <v>45964</v>
      </c>
      <c r="F689" t="s">
        <v>1321</v>
      </c>
      <c r="G689" t="s">
        <v>158</v>
      </c>
      <c r="H689">
        <v>6</v>
      </c>
      <c r="I689">
        <v>20296011356</v>
      </c>
      <c r="J689" t="s">
        <v>2099</v>
      </c>
      <c r="K689" s="8">
        <v>45680</v>
      </c>
      <c r="Q689">
        <v>17793</v>
      </c>
      <c r="R689">
        <v>870</v>
      </c>
      <c r="S689" t="s">
        <v>1299</v>
      </c>
      <c r="T689" t="s">
        <v>215</v>
      </c>
      <c r="U689">
        <v>1</v>
      </c>
      <c r="V689">
        <v>1669.75</v>
      </c>
      <c r="W689">
        <v>1970.3</v>
      </c>
      <c r="X689">
        <v>0</v>
      </c>
      <c r="Y689">
        <v>1669.75</v>
      </c>
      <c r="Z689">
        <v>18</v>
      </c>
      <c r="AA689">
        <v>300.55</v>
      </c>
      <c r="AB689">
        <v>1970.3</v>
      </c>
      <c r="AC689">
        <v>1</v>
      </c>
      <c r="AD689">
        <v>1</v>
      </c>
      <c r="AE689" t="s">
        <v>232</v>
      </c>
      <c r="AF689" t="s">
        <v>29</v>
      </c>
      <c r="AG689">
        <v>2</v>
      </c>
      <c r="AH689" t="s">
        <v>25</v>
      </c>
      <c r="AI689">
        <v>1106</v>
      </c>
      <c r="AJ689" t="s">
        <v>239</v>
      </c>
      <c r="AK689" t="s">
        <v>1237</v>
      </c>
      <c r="AP689">
        <v>390</v>
      </c>
      <c r="AQ689" t="s">
        <v>1321</v>
      </c>
      <c r="AR689" t="s">
        <v>12</v>
      </c>
      <c r="AS689" t="str">
        <f>+CONCATENATE(A689,"-",B689)</f>
        <v>FB01-1278</v>
      </c>
    </row>
    <row r="690" spans="1:45" ht="15" customHeight="1">
      <c r="A690" t="s">
        <v>1214</v>
      </c>
      <c r="B690" s="21" t="s">
        <v>186</v>
      </c>
      <c r="C690" t="s">
        <v>27</v>
      </c>
      <c r="D690" s="8">
        <v>45945</v>
      </c>
      <c r="E690" s="22">
        <v>45964.767928240741</v>
      </c>
      <c r="F690" t="s">
        <v>271</v>
      </c>
      <c r="G690" t="s">
        <v>158</v>
      </c>
      <c r="H690">
        <v>1</v>
      </c>
      <c r="I690">
        <v>48595560</v>
      </c>
      <c r="J690" t="s">
        <v>1849</v>
      </c>
      <c r="K690" s="8">
        <v>45945</v>
      </c>
      <c r="Q690">
        <v>31238</v>
      </c>
      <c r="R690">
        <v>1786</v>
      </c>
      <c r="S690" t="s">
        <v>1299</v>
      </c>
      <c r="T690" t="s">
        <v>163</v>
      </c>
      <c r="U690">
        <v>1</v>
      </c>
      <c r="V690">
        <v>1688.56</v>
      </c>
      <c r="W690">
        <v>1992.5</v>
      </c>
      <c r="X690">
        <v>0</v>
      </c>
      <c r="Y690">
        <v>1688.56</v>
      </c>
      <c r="Z690">
        <v>18</v>
      </c>
      <c r="AA690">
        <v>303.94</v>
      </c>
      <c r="AB690">
        <v>1992.5</v>
      </c>
      <c r="AC690">
        <v>1</v>
      </c>
      <c r="AD690">
        <v>1</v>
      </c>
      <c r="AE690" t="s">
        <v>1411</v>
      </c>
      <c r="AF690" t="s">
        <v>1412</v>
      </c>
      <c r="AG690">
        <v>2</v>
      </c>
      <c r="AH690" t="s">
        <v>25</v>
      </c>
      <c r="AI690">
        <v>1106</v>
      </c>
      <c r="AJ690" t="s">
        <v>239</v>
      </c>
      <c r="AK690" t="s">
        <v>169</v>
      </c>
      <c r="AL690">
        <v>3066</v>
      </c>
      <c r="AM690" t="s">
        <v>1218</v>
      </c>
      <c r="AN690" s="8">
        <v>45934</v>
      </c>
      <c r="AO690" s="8">
        <v>45934</v>
      </c>
      <c r="AP690">
        <v>387</v>
      </c>
      <c r="AQ690" t="s">
        <v>271</v>
      </c>
      <c r="AR690" t="s">
        <v>1295</v>
      </c>
      <c r="AS690" t="str">
        <f>+CONCATENATE(A690,"-",B690)</f>
        <v>(03) Boleta BOB1-00000026</v>
      </c>
    </row>
    <row r="691" spans="1:45" ht="15" customHeight="1">
      <c r="A691" t="s">
        <v>1216</v>
      </c>
      <c r="B691" s="21" t="s">
        <v>1473</v>
      </c>
      <c r="C691" t="s">
        <v>27</v>
      </c>
      <c r="D691" s="8">
        <v>45954</v>
      </c>
      <c r="E691" s="22">
        <v>45964.599374999998</v>
      </c>
      <c r="F691" t="s">
        <v>1457</v>
      </c>
      <c r="H691">
        <v>6</v>
      </c>
      <c r="I691">
        <v>10737909609</v>
      </c>
      <c r="J691" t="s">
        <v>1474</v>
      </c>
      <c r="K691" s="8">
        <v>45954</v>
      </c>
      <c r="Q691">
        <v>32560</v>
      </c>
      <c r="R691">
        <v>216</v>
      </c>
      <c r="S691" t="s">
        <v>1300</v>
      </c>
      <c r="T691" t="s">
        <v>163</v>
      </c>
      <c r="U691">
        <v>1</v>
      </c>
      <c r="V691">
        <v>1691.19</v>
      </c>
      <c r="W691">
        <v>1995.6</v>
      </c>
      <c r="X691">
        <v>0</v>
      </c>
      <c r="Y691">
        <v>1691.19</v>
      </c>
      <c r="Z691">
        <v>18</v>
      </c>
      <c r="AA691">
        <v>304.41000000000003</v>
      </c>
      <c r="AB691">
        <v>1995.6</v>
      </c>
      <c r="AC691">
        <v>1</v>
      </c>
      <c r="AD691">
        <v>1</v>
      </c>
      <c r="AE691" t="s">
        <v>1411</v>
      </c>
      <c r="AF691" t="s">
        <v>1412</v>
      </c>
      <c r="AG691">
        <v>2</v>
      </c>
      <c r="AH691" t="s">
        <v>25</v>
      </c>
      <c r="AI691">
        <v>6936</v>
      </c>
      <c r="AJ691" t="s">
        <v>1437</v>
      </c>
      <c r="AK691" t="s">
        <v>1433</v>
      </c>
      <c r="AL691">
        <v>3079</v>
      </c>
      <c r="AM691" t="s">
        <v>1456</v>
      </c>
      <c r="AN691" s="8">
        <v>45921</v>
      </c>
      <c r="AO691" s="8">
        <v>45921</v>
      </c>
      <c r="AP691">
        <v>5597</v>
      </c>
      <c r="AQ691" t="s">
        <v>1457</v>
      </c>
      <c r="AR691" t="s">
        <v>12</v>
      </c>
      <c r="AS691" t="str">
        <f>+CONCATENATE(A691,"-",B691)</f>
        <v>(01) Factura FOF1-00000174</v>
      </c>
    </row>
    <row r="692" spans="1:45" ht="15" customHeight="1">
      <c r="A692" t="s">
        <v>216</v>
      </c>
      <c r="B692">
        <v>1401</v>
      </c>
      <c r="C692" t="s">
        <v>27</v>
      </c>
      <c r="D692" s="8">
        <v>45693</v>
      </c>
      <c r="E692" s="22">
        <v>45964</v>
      </c>
      <c r="F692" t="s">
        <v>1321</v>
      </c>
      <c r="G692" t="s">
        <v>158</v>
      </c>
      <c r="H692">
        <v>6</v>
      </c>
      <c r="I692">
        <v>20296011356</v>
      </c>
      <c r="J692" t="s">
        <v>1934</v>
      </c>
      <c r="K692" s="8">
        <v>45693</v>
      </c>
      <c r="Q692">
        <v>18742</v>
      </c>
      <c r="R692">
        <v>877</v>
      </c>
      <c r="S692" t="s">
        <v>1300</v>
      </c>
      <c r="T692" t="s">
        <v>215</v>
      </c>
      <c r="U692">
        <v>1</v>
      </c>
      <c r="V692">
        <v>1693.39</v>
      </c>
      <c r="W692">
        <v>1998.2</v>
      </c>
      <c r="X692">
        <v>0</v>
      </c>
      <c r="Y692">
        <v>1693.39</v>
      </c>
      <c r="Z692">
        <v>18</v>
      </c>
      <c r="AA692">
        <v>304.81</v>
      </c>
      <c r="AB692">
        <v>1998.2</v>
      </c>
      <c r="AC692">
        <v>1</v>
      </c>
      <c r="AD692">
        <v>1</v>
      </c>
      <c r="AE692" t="s">
        <v>232</v>
      </c>
      <c r="AF692" t="s">
        <v>29</v>
      </c>
      <c r="AG692">
        <v>2</v>
      </c>
      <c r="AH692" t="s">
        <v>25</v>
      </c>
      <c r="AI692">
        <v>1106</v>
      </c>
      <c r="AJ692" t="s">
        <v>239</v>
      </c>
      <c r="AK692" t="s">
        <v>1237</v>
      </c>
      <c r="AP692">
        <v>390</v>
      </c>
      <c r="AQ692" t="s">
        <v>1321</v>
      </c>
      <c r="AR692" t="s">
        <v>12</v>
      </c>
      <c r="AS692" t="str">
        <f>+CONCATENATE(A692,"-",B692)</f>
        <v>FB01-1401</v>
      </c>
    </row>
    <row r="693" spans="1:45" ht="15" customHeight="1">
      <c r="A693" t="s">
        <v>1216</v>
      </c>
      <c r="B693" s="21" t="s">
        <v>196</v>
      </c>
      <c r="C693" t="s">
        <v>27</v>
      </c>
      <c r="D693" s="8">
        <v>45943</v>
      </c>
      <c r="E693" s="22">
        <v>45964.768252314818</v>
      </c>
      <c r="F693" t="s">
        <v>307</v>
      </c>
      <c r="H693">
        <v>6</v>
      </c>
      <c r="I693">
        <v>20509594903</v>
      </c>
      <c r="J693" t="s">
        <v>1896</v>
      </c>
      <c r="K693" s="8">
        <v>45943</v>
      </c>
      <c r="Q693">
        <v>31070</v>
      </c>
      <c r="R693">
        <v>1786</v>
      </c>
      <c r="S693" t="s">
        <v>1299</v>
      </c>
      <c r="T693" t="s">
        <v>163</v>
      </c>
      <c r="U693">
        <v>1</v>
      </c>
      <c r="V693">
        <v>1695.17</v>
      </c>
      <c r="W693">
        <v>2000.3</v>
      </c>
      <c r="X693">
        <v>0</v>
      </c>
      <c r="Y693">
        <v>1695.17</v>
      </c>
      <c r="Z693">
        <v>18</v>
      </c>
      <c r="AA693">
        <v>305.13</v>
      </c>
      <c r="AB693">
        <v>2000.3</v>
      </c>
      <c r="AC693">
        <v>1</v>
      </c>
      <c r="AD693">
        <v>1</v>
      </c>
      <c r="AE693" t="s">
        <v>1411</v>
      </c>
      <c r="AF693" t="s">
        <v>1412</v>
      </c>
      <c r="AG693">
        <v>2</v>
      </c>
      <c r="AH693" t="s">
        <v>25</v>
      </c>
      <c r="AI693">
        <v>1106</v>
      </c>
      <c r="AJ693" t="s">
        <v>239</v>
      </c>
      <c r="AK693" t="s">
        <v>169</v>
      </c>
      <c r="AL693">
        <v>3168</v>
      </c>
      <c r="AM693" t="s">
        <v>1230</v>
      </c>
      <c r="AN693" s="8">
        <v>45937</v>
      </c>
      <c r="AO693" s="8">
        <v>45937</v>
      </c>
      <c r="AP693">
        <v>5251</v>
      </c>
      <c r="AQ693" t="s">
        <v>307</v>
      </c>
      <c r="AR693" t="s">
        <v>12</v>
      </c>
      <c r="AS693" t="str">
        <f>+CONCATENATE(A693,"-",B693)</f>
        <v>(01) Factura FOF1-00000012</v>
      </c>
    </row>
    <row r="694" spans="1:45" ht="15" customHeight="1">
      <c r="A694" t="s">
        <v>216</v>
      </c>
      <c r="B694">
        <v>1192</v>
      </c>
      <c r="C694" t="s">
        <v>27</v>
      </c>
      <c r="D694" s="8">
        <v>45663</v>
      </c>
      <c r="E694" s="22">
        <v>45964</v>
      </c>
      <c r="F694" t="s">
        <v>1321</v>
      </c>
      <c r="G694" t="s">
        <v>158</v>
      </c>
      <c r="H694">
        <v>6</v>
      </c>
      <c r="I694">
        <v>20296011356</v>
      </c>
      <c r="J694" t="s">
        <v>2196</v>
      </c>
      <c r="K694" s="8">
        <v>45663</v>
      </c>
      <c r="Q694">
        <v>17187</v>
      </c>
      <c r="R694">
        <v>870</v>
      </c>
      <c r="S694" t="s">
        <v>1299</v>
      </c>
      <c r="T694" t="s">
        <v>215</v>
      </c>
      <c r="U694">
        <v>1</v>
      </c>
      <c r="V694">
        <v>1759.92</v>
      </c>
      <c r="W694">
        <v>2076.6999999999998</v>
      </c>
      <c r="X694">
        <v>0</v>
      </c>
      <c r="Y694">
        <v>1759.92</v>
      </c>
      <c r="Z694">
        <v>18</v>
      </c>
      <c r="AA694">
        <v>316.77999999999997</v>
      </c>
      <c r="AB694">
        <v>2076.6999999999998</v>
      </c>
      <c r="AC694">
        <v>1</v>
      </c>
      <c r="AD694">
        <v>1</v>
      </c>
      <c r="AE694" t="s">
        <v>232</v>
      </c>
      <c r="AF694" t="s">
        <v>29</v>
      </c>
      <c r="AG694">
        <v>2</v>
      </c>
      <c r="AH694" t="s">
        <v>25</v>
      </c>
      <c r="AI694">
        <v>1106</v>
      </c>
      <c r="AJ694" t="s">
        <v>239</v>
      </c>
      <c r="AK694" t="s">
        <v>1237</v>
      </c>
      <c r="AP694">
        <v>390</v>
      </c>
      <c r="AQ694" t="s">
        <v>1321</v>
      </c>
      <c r="AR694" t="s">
        <v>12</v>
      </c>
      <c r="AS694" t="str">
        <f>+CONCATENATE(A694,"-",B694)</f>
        <v>FB01-1192</v>
      </c>
    </row>
    <row r="695" spans="1:45" ht="15" customHeight="1">
      <c r="A695" t="s">
        <v>1216</v>
      </c>
      <c r="B695" s="21" t="s">
        <v>1521</v>
      </c>
      <c r="C695" t="s">
        <v>27</v>
      </c>
      <c r="D695" s="8">
        <v>45954</v>
      </c>
      <c r="E695" s="22">
        <v>45964.479097222225</v>
      </c>
      <c r="F695" t="s">
        <v>1522</v>
      </c>
      <c r="H695">
        <v>6</v>
      </c>
      <c r="I695">
        <v>20611536705</v>
      </c>
      <c r="J695" t="s">
        <v>2704</v>
      </c>
      <c r="K695" s="8">
        <v>45954</v>
      </c>
      <c r="Q695">
        <v>32498</v>
      </c>
      <c r="R695">
        <v>1895</v>
      </c>
      <c r="S695" t="s">
        <v>1407</v>
      </c>
      <c r="T695" t="s">
        <v>215</v>
      </c>
      <c r="U695">
        <v>3000</v>
      </c>
      <c r="V695">
        <v>0.6</v>
      </c>
      <c r="W695">
        <v>0.71</v>
      </c>
      <c r="X695">
        <v>0</v>
      </c>
      <c r="Y695">
        <v>1800</v>
      </c>
      <c r="Z695">
        <v>18</v>
      </c>
      <c r="AA695">
        <v>324</v>
      </c>
      <c r="AB695">
        <v>2124</v>
      </c>
      <c r="AC695">
        <v>1</v>
      </c>
      <c r="AD695">
        <v>1</v>
      </c>
      <c r="AE695" t="s">
        <v>1411</v>
      </c>
      <c r="AF695" t="s">
        <v>1412</v>
      </c>
      <c r="AG695">
        <v>2</v>
      </c>
      <c r="AH695" t="s">
        <v>25</v>
      </c>
      <c r="AI695">
        <v>1106</v>
      </c>
      <c r="AJ695" t="s">
        <v>239</v>
      </c>
      <c r="AK695" t="s">
        <v>1406</v>
      </c>
      <c r="AP695">
        <v>6085</v>
      </c>
      <c r="AQ695" t="s">
        <v>1522</v>
      </c>
      <c r="AR695" t="s">
        <v>12</v>
      </c>
      <c r="AS695" t="str">
        <f>+CONCATENATE(A695,"-",B695)</f>
        <v>(01) Factura FOF1-00000166</v>
      </c>
    </row>
    <row r="696" spans="1:45" ht="15" customHeight="1">
      <c r="A696" t="s">
        <v>1214</v>
      </c>
      <c r="B696" s="21" t="s">
        <v>201</v>
      </c>
      <c r="C696" t="s">
        <v>27</v>
      </c>
      <c r="D696" s="8">
        <v>45943</v>
      </c>
      <c r="E696" s="22">
        <v>45964.771469907406</v>
      </c>
      <c r="F696" t="s">
        <v>335</v>
      </c>
      <c r="G696" t="s">
        <v>158</v>
      </c>
      <c r="H696">
        <v>1</v>
      </c>
      <c r="I696">
        <v>43908595</v>
      </c>
      <c r="J696" t="s">
        <v>1891</v>
      </c>
      <c r="K696" s="8">
        <v>45943</v>
      </c>
      <c r="Q696">
        <v>31085</v>
      </c>
      <c r="R696">
        <v>2318</v>
      </c>
      <c r="S696" t="s">
        <v>1306</v>
      </c>
      <c r="T696" t="s">
        <v>163</v>
      </c>
      <c r="U696">
        <v>1</v>
      </c>
      <c r="V696">
        <v>1800</v>
      </c>
      <c r="W696">
        <v>2124</v>
      </c>
      <c r="X696">
        <v>0</v>
      </c>
      <c r="Y696">
        <v>1800</v>
      </c>
      <c r="Z696">
        <v>18</v>
      </c>
      <c r="AA696">
        <v>324</v>
      </c>
      <c r="AB696">
        <v>2124</v>
      </c>
      <c r="AC696">
        <v>1</v>
      </c>
      <c r="AD696">
        <v>1</v>
      </c>
      <c r="AE696" t="s">
        <v>1411</v>
      </c>
      <c r="AF696" t="s">
        <v>1412</v>
      </c>
      <c r="AG696">
        <v>2</v>
      </c>
      <c r="AH696" t="s">
        <v>25</v>
      </c>
      <c r="AI696">
        <v>1106</v>
      </c>
      <c r="AJ696" t="s">
        <v>239</v>
      </c>
      <c r="AK696" t="s">
        <v>169</v>
      </c>
      <c r="AL696">
        <v>3123</v>
      </c>
      <c r="AM696" t="s">
        <v>334</v>
      </c>
      <c r="AN696" s="8">
        <v>45937</v>
      </c>
      <c r="AO696" s="8">
        <v>45937</v>
      </c>
      <c r="AP696">
        <v>393</v>
      </c>
      <c r="AQ696" t="s">
        <v>335</v>
      </c>
      <c r="AR696" t="s">
        <v>1295</v>
      </c>
      <c r="AS696" t="str">
        <f>+CONCATENATE(A696,"-",B696)</f>
        <v>(03) Boleta BOB1-00000006</v>
      </c>
    </row>
    <row r="697" spans="1:45" ht="15" customHeight="1">
      <c r="A697" t="s">
        <v>216</v>
      </c>
      <c r="B697">
        <v>1240</v>
      </c>
      <c r="C697" t="s">
        <v>27</v>
      </c>
      <c r="D697" s="8">
        <v>45665</v>
      </c>
      <c r="E697" s="22">
        <v>45964</v>
      </c>
      <c r="F697" t="s">
        <v>415</v>
      </c>
      <c r="H697">
        <v>6</v>
      </c>
      <c r="I697">
        <v>20611890746</v>
      </c>
      <c r="J697" t="s">
        <v>2145</v>
      </c>
      <c r="K697" s="8">
        <v>45665</v>
      </c>
      <c r="Q697">
        <v>17243</v>
      </c>
      <c r="R697">
        <v>899</v>
      </c>
      <c r="S697" s="28" t="s">
        <v>1376</v>
      </c>
      <c r="T697" t="s">
        <v>215</v>
      </c>
      <c r="U697">
        <v>1</v>
      </c>
      <c r="V697">
        <v>1800</v>
      </c>
      <c r="W697">
        <v>2124</v>
      </c>
      <c r="X697">
        <v>0</v>
      </c>
      <c r="Y697">
        <v>1800</v>
      </c>
      <c r="Z697">
        <v>18</v>
      </c>
      <c r="AA697">
        <v>324</v>
      </c>
      <c r="AB697">
        <v>2124</v>
      </c>
      <c r="AC697">
        <v>1</v>
      </c>
      <c r="AD697">
        <v>1</v>
      </c>
      <c r="AE697" t="s">
        <v>232</v>
      </c>
      <c r="AF697" t="s">
        <v>29</v>
      </c>
      <c r="AG697">
        <v>2</v>
      </c>
      <c r="AH697" t="s">
        <v>25</v>
      </c>
      <c r="AI697">
        <v>1106</v>
      </c>
      <c r="AJ697" t="s">
        <v>239</v>
      </c>
      <c r="AK697" t="s">
        <v>1236</v>
      </c>
      <c r="AP697">
        <v>1136</v>
      </c>
      <c r="AQ697" t="s">
        <v>415</v>
      </c>
      <c r="AR697" t="s">
        <v>12</v>
      </c>
      <c r="AS697" t="str">
        <f>+CONCATENATE(A697,"-",B697)</f>
        <v>FB01-1240</v>
      </c>
    </row>
    <row r="698" spans="1:45" ht="15" customHeight="1">
      <c r="A698" t="s">
        <v>1216</v>
      </c>
      <c r="B698" s="21" t="s">
        <v>180</v>
      </c>
      <c r="C698" t="s">
        <v>27</v>
      </c>
      <c r="D698" s="8">
        <v>45945</v>
      </c>
      <c r="E698" s="22">
        <v>45964.755601851852</v>
      </c>
      <c r="F698" t="s">
        <v>316</v>
      </c>
      <c r="H698">
        <v>6</v>
      </c>
      <c r="I698">
        <v>20610320261</v>
      </c>
      <c r="J698" t="s">
        <v>1860</v>
      </c>
      <c r="K698" s="8">
        <v>45945</v>
      </c>
      <c r="Q698">
        <v>31196</v>
      </c>
      <c r="R698">
        <v>1786</v>
      </c>
      <c r="S698" t="s">
        <v>1299</v>
      </c>
      <c r="T698" t="s">
        <v>163</v>
      </c>
      <c r="U698">
        <v>1</v>
      </c>
      <c r="V698">
        <v>1820</v>
      </c>
      <c r="W698">
        <v>2147.6</v>
      </c>
      <c r="X698">
        <v>0</v>
      </c>
      <c r="Y698">
        <v>1820</v>
      </c>
      <c r="Z698">
        <v>18</v>
      </c>
      <c r="AA698">
        <v>327.60000000000002</v>
      </c>
      <c r="AB698">
        <v>2147.6</v>
      </c>
      <c r="AC698">
        <v>1</v>
      </c>
      <c r="AD698">
        <v>1</v>
      </c>
      <c r="AE698" t="s">
        <v>1411</v>
      </c>
      <c r="AF698" t="s">
        <v>1412</v>
      </c>
      <c r="AG698">
        <v>2</v>
      </c>
      <c r="AH698" t="s">
        <v>25</v>
      </c>
      <c r="AI698">
        <v>1106</v>
      </c>
      <c r="AJ698" t="s">
        <v>239</v>
      </c>
      <c r="AK698" t="s">
        <v>169</v>
      </c>
      <c r="AL698">
        <v>2897</v>
      </c>
      <c r="AM698" t="s">
        <v>315</v>
      </c>
      <c r="AN698" s="8">
        <v>45932</v>
      </c>
      <c r="AO698" s="8">
        <v>45932</v>
      </c>
      <c r="AP698">
        <v>5586</v>
      </c>
      <c r="AQ698" t="s">
        <v>316</v>
      </c>
      <c r="AR698" t="s">
        <v>12</v>
      </c>
      <c r="AS698" t="str">
        <f>+CONCATENATE(A698,"-",B698)</f>
        <v>(01) Factura FOF1-00000033</v>
      </c>
    </row>
    <row r="699" spans="1:45" ht="15" customHeight="1">
      <c r="A699" t="s">
        <v>216</v>
      </c>
      <c r="B699">
        <v>1366</v>
      </c>
      <c r="C699" t="s">
        <v>27</v>
      </c>
      <c r="D699" s="8">
        <v>45693</v>
      </c>
      <c r="E699" s="22">
        <v>45964</v>
      </c>
      <c r="F699" t="s">
        <v>415</v>
      </c>
      <c r="H699">
        <v>6</v>
      </c>
      <c r="I699">
        <v>20611890746</v>
      </c>
      <c r="J699" t="s">
        <v>1970</v>
      </c>
      <c r="K699" s="8">
        <v>45693</v>
      </c>
      <c r="Q699">
        <v>18695</v>
      </c>
      <c r="R699">
        <v>877</v>
      </c>
      <c r="S699" t="s">
        <v>1300</v>
      </c>
      <c r="T699" t="s">
        <v>215</v>
      </c>
      <c r="U699">
        <v>1</v>
      </c>
      <c r="V699">
        <v>1854.82</v>
      </c>
      <c r="W699">
        <v>2188.69</v>
      </c>
      <c r="X699">
        <v>0</v>
      </c>
      <c r="Y699">
        <v>1854.82</v>
      </c>
      <c r="Z699">
        <v>18</v>
      </c>
      <c r="AA699">
        <v>333.87</v>
      </c>
      <c r="AB699">
        <v>2188.69</v>
      </c>
      <c r="AC699">
        <v>1</v>
      </c>
      <c r="AD699">
        <v>1</v>
      </c>
      <c r="AE699" t="s">
        <v>232</v>
      </c>
      <c r="AF699" t="s">
        <v>29</v>
      </c>
      <c r="AG699">
        <v>2</v>
      </c>
      <c r="AH699" t="s">
        <v>25</v>
      </c>
      <c r="AI699">
        <v>1106</v>
      </c>
      <c r="AJ699" t="s">
        <v>239</v>
      </c>
      <c r="AK699" t="s">
        <v>1237</v>
      </c>
      <c r="AP699">
        <v>1136</v>
      </c>
      <c r="AQ699" t="s">
        <v>415</v>
      </c>
      <c r="AR699" t="s">
        <v>12</v>
      </c>
      <c r="AS699" t="str">
        <f>+CONCATENATE(A699,"-",B699)</f>
        <v>FB01-1366</v>
      </c>
    </row>
    <row r="700" spans="1:45" ht="15" customHeight="1">
      <c r="A700" t="s">
        <v>1216</v>
      </c>
      <c r="B700" s="21" t="s">
        <v>1702</v>
      </c>
      <c r="C700" t="s">
        <v>27</v>
      </c>
      <c r="D700" s="8">
        <v>45946</v>
      </c>
      <c r="E700" s="22">
        <v>45964.709016203706</v>
      </c>
      <c r="F700" t="s">
        <v>32</v>
      </c>
      <c r="G700" t="s">
        <v>158</v>
      </c>
      <c r="H700">
        <v>6</v>
      </c>
      <c r="I700">
        <v>20608361074</v>
      </c>
      <c r="J700" t="s">
        <v>1826</v>
      </c>
      <c r="K700" s="8">
        <v>45946</v>
      </c>
      <c r="Q700">
        <v>31313</v>
      </c>
      <c r="R700">
        <v>1786</v>
      </c>
      <c r="S700" t="s">
        <v>1299</v>
      </c>
      <c r="T700" t="s">
        <v>163</v>
      </c>
      <c r="U700">
        <v>1</v>
      </c>
      <c r="V700">
        <v>1866.36</v>
      </c>
      <c r="W700">
        <v>2202.3000000000002</v>
      </c>
      <c r="X700">
        <v>0</v>
      </c>
      <c r="Y700">
        <v>1866.36</v>
      </c>
      <c r="Z700">
        <v>18</v>
      </c>
      <c r="AA700">
        <v>335.94</v>
      </c>
      <c r="AB700">
        <v>2202.3000000000002</v>
      </c>
      <c r="AC700">
        <v>1</v>
      </c>
      <c r="AD700">
        <v>1</v>
      </c>
      <c r="AE700" t="s">
        <v>1411</v>
      </c>
      <c r="AF700" t="s">
        <v>1412</v>
      </c>
      <c r="AG700">
        <v>2</v>
      </c>
      <c r="AH700" t="s">
        <v>25</v>
      </c>
      <c r="AI700">
        <v>6937</v>
      </c>
      <c r="AJ700" t="s">
        <v>1414</v>
      </c>
      <c r="AK700" t="s">
        <v>1251</v>
      </c>
      <c r="AL700">
        <v>3050</v>
      </c>
      <c r="AM700" t="s">
        <v>1818</v>
      </c>
      <c r="AN700" s="8">
        <v>45935</v>
      </c>
      <c r="AO700" s="8">
        <v>45935</v>
      </c>
      <c r="AP700">
        <v>397</v>
      </c>
      <c r="AQ700" t="s">
        <v>32</v>
      </c>
      <c r="AR700" t="s">
        <v>12</v>
      </c>
      <c r="AS700" t="str">
        <f>+CONCATENATE(A700,"-",B700)</f>
        <v>(01) Factura FOF1-00000053</v>
      </c>
    </row>
    <row r="701" spans="1:45" ht="15" customHeight="1">
      <c r="A701" t="s">
        <v>1238</v>
      </c>
      <c r="B701">
        <v>729</v>
      </c>
      <c r="C701" t="s">
        <v>27</v>
      </c>
      <c r="D701" s="8">
        <v>45693</v>
      </c>
      <c r="E701" s="22">
        <v>45964</v>
      </c>
      <c r="F701" t="s">
        <v>335</v>
      </c>
      <c r="G701" t="s">
        <v>158</v>
      </c>
      <c r="H701">
        <v>1</v>
      </c>
      <c r="I701">
        <v>43908595</v>
      </c>
      <c r="J701" t="s">
        <v>1958</v>
      </c>
      <c r="K701" s="8">
        <v>45693</v>
      </c>
      <c r="Q701">
        <v>18712</v>
      </c>
      <c r="R701">
        <v>967</v>
      </c>
      <c r="S701" t="s">
        <v>1329</v>
      </c>
      <c r="T701" t="s">
        <v>215</v>
      </c>
      <c r="U701">
        <v>1</v>
      </c>
      <c r="V701">
        <v>1885.17</v>
      </c>
      <c r="W701">
        <v>2224.5</v>
      </c>
      <c r="X701">
        <v>0</v>
      </c>
      <c r="Y701">
        <v>1885.17</v>
      </c>
      <c r="Z701">
        <v>18</v>
      </c>
      <c r="AA701">
        <v>339.33</v>
      </c>
      <c r="AB701">
        <v>2224.5</v>
      </c>
      <c r="AC701">
        <v>1</v>
      </c>
      <c r="AD701">
        <v>1</v>
      </c>
      <c r="AE701" t="s">
        <v>232</v>
      </c>
      <c r="AF701" t="s">
        <v>29</v>
      </c>
      <c r="AG701">
        <v>2</v>
      </c>
      <c r="AH701" t="s">
        <v>25</v>
      </c>
      <c r="AI701">
        <v>1106</v>
      </c>
      <c r="AJ701" t="s">
        <v>239</v>
      </c>
      <c r="AK701" t="s">
        <v>1237</v>
      </c>
      <c r="AP701">
        <v>393</v>
      </c>
      <c r="AQ701" t="s">
        <v>335</v>
      </c>
      <c r="AR701" t="s">
        <v>1295</v>
      </c>
      <c r="AS701" t="str">
        <f>+CONCATENATE(A701,"-",B701)</f>
        <v>BB01-729</v>
      </c>
    </row>
    <row r="702" spans="1:45" ht="15" customHeight="1">
      <c r="A702" t="s">
        <v>1216</v>
      </c>
      <c r="B702" s="21" t="s">
        <v>1713</v>
      </c>
      <c r="C702" t="s">
        <v>27</v>
      </c>
      <c r="D702" s="8">
        <v>45946</v>
      </c>
      <c r="E702" s="22">
        <v>45964.835243055553</v>
      </c>
      <c r="F702" t="s">
        <v>415</v>
      </c>
      <c r="H702">
        <v>6</v>
      </c>
      <c r="I702">
        <v>20611890746</v>
      </c>
      <c r="J702" t="s">
        <v>1714</v>
      </c>
      <c r="K702" s="8">
        <v>45946</v>
      </c>
      <c r="Q702">
        <v>31554</v>
      </c>
      <c r="R702">
        <v>216</v>
      </c>
      <c r="S702" t="s">
        <v>1300</v>
      </c>
      <c r="T702" t="s">
        <v>163</v>
      </c>
      <c r="U702">
        <v>1</v>
      </c>
      <c r="V702">
        <v>1898.43</v>
      </c>
      <c r="W702">
        <v>2240.15</v>
      </c>
      <c r="X702">
        <v>0</v>
      </c>
      <c r="Y702">
        <v>1898.43</v>
      </c>
      <c r="Z702">
        <v>18</v>
      </c>
      <c r="AA702">
        <v>341.72</v>
      </c>
      <c r="AB702">
        <v>2240.15</v>
      </c>
      <c r="AC702">
        <v>1</v>
      </c>
      <c r="AD702">
        <v>1</v>
      </c>
      <c r="AE702" t="s">
        <v>1411</v>
      </c>
      <c r="AF702" t="s">
        <v>1412</v>
      </c>
      <c r="AG702">
        <v>2</v>
      </c>
      <c r="AH702" t="s">
        <v>25</v>
      </c>
      <c r="AI702">
        <v>6936</v>
      </c>
      <c r="AJ702" t="s">
        <v>1437</v>
      </c>
      <c r="AK702" t="s">
        <v>1433</v>
      </c>
      <c r="AL702">
        <v>3134</v>
      </c>
      <c r="AM702" t="s">
        <v>1712</v>
      </c>
      <c r="AN702" s="8">
        <v>45935</v>
      </c>
      <c r="AO702" s="8">
        <v>45935</v>
      </c>
      <c r="AP702">
        <v>390</v>
      </c>
      <c r="AQ702" t="s">
        <v>1321</v>
      </c>
      <c r="AR702" t="s">
        <v>12</v>
      </c>
      <c r="AS702" t="str">
        <f>+CONCATENATE(A702,"-",B702)</f>
        <v>(01) Factura FOF1-00000114</v>
      </c>
    </row>
    <row r="703" spans="1:45" ht="15" customHeight="1">
      <c r="A703" t="s">
        <v>1216</v>
      </c>
      <c r="B703" s="21" t="s">
        <v>1723</v>
      </c>
      <c r="C703" t="s">
        <v>27</v>
      </c>
      <c r="D703" s="8">
        <v>45946</v>
      </c>
      <c r="E703" s="22">
        <v>45964.832245370373</v>
      </c>
      <c r="F703" t="s">
        <v>1321</v>
      </c>
      <c r="G703" t="s">
        <v>158</v>
      </c>
      <c r="H703">
        <v>6</v>
      </c>
      <c r="I703">
        <v>20296011356</v>
      </c>
      <c r="J703" t="s">
        <v>1724</v>
      </c>
      <c r="K703" s="8">
        <v>45946</v>
      </c>
      <c r="Q703">
        <v>31539</v>
      </c>
      <c r="R703">
        <v>216</v>
      </c>
      <c r="S703" t="s">
        <v>1300</v>
      </c>
      <c r="T703" t="s">
        <v>163</v>
      </c>
      <c r="U703">
        <v>1</v>
      </c>
      <c r="V703">
        <v>1898.43</v>
      </c>
      <c r="W703">
        <v>2240.15</v>
      </c>
      <c r="X703">
        <v>0</v>
      </c>
      <c r="Y703">
        <v>1898.43</v>
      </c>
      <c r="Z703">
        <v>18</v>
      </c>
      <c r="AA703">
        <v>341.72</v>
      </c>
      <c r="AB703">
        <v>2240.15</v>
      </c>
      <c r="AC703">
        <v>1</v>
      </c>
      <c r="AD703">
        <v>1</v>
      </c>
      <c r="AE703" t="s">
        <v>1411</v>
      </c>
      <c r="AF703" t="s">
        <v>1412</v>
      </c>
      <c r="AG703">
        <v>2</v>
      </c>
      <c r="AH703" t="s">
        <v>25</v>
      </c>
      <c r="AI703">
        <v>6936</v>
      </c>
      <c r="AJ703" t="s">
        <v>1437</v>
      </c>
      <c r="AK703" t="s">
        <v>1433</v>
      </c>
      <c r="AL703">
        <v>3134</v>
      </c>
      <c r="AM703" t="s">
        <v>1712</v>
      </c>
      <c r="AN703" s="8">
        <v>45935</v>
      </c>
      <c r="AO703" s="8">
        <v>45935</v>
      </c>
      <c r="AP703">
        <v>390</v>
      </c>
      <c r="AQ703" t="s">
        <v>1321</v>
      </c>
      <c r="AR703" t="s">
        <v>12</v>
      </c>
      <c r="AS703" t="str">
        <f>+CONCATENATE(A703,"-",B703)</f>
        <v>(01) Factura FOF1-00000109</v>
      </c>
    </row>
    <row r="704" spans="1:45" ht="15" customHeight="1">
      <c r="A704" t="s">
        <v>1216</v>
      </c>
      <c r="B704" s="21" t="s">
        <v>187</v>
      </c>
      <c r="C704" t="s">
        <v>27</v>
      </c>
      <c r="D704" s="8">
        <v>45945</v>
      </c>
      <c r="E704" s="22">
        <v>45964.739479166667</v>
      </c>
      <c r="F704" t="s">
        <v>328</v>
      </c>
      <c r="H704">
        <v>6</v>
      </c>
      <c r="I704">
        <v>20559860701</v>
      </c>
      <c r="J704" t="s">
        <v>1877</v>
      </c>
      <c r="K704" s="8">
        <v>45945</v>
      </c>
      <c r="Q704">
        <v>31145</v>
      </c>
      <c r="R704">
        <v>1786</v>
      </c>
      <c r="S704" t="s">
        <v>1299</v>
      </c>
      <c r="T704" t="s">
        <v>163</v>
      </c>
      <c r="U704">
        <v>1</v>
      </c>
      <c r="V704">
        <v>1934.24</v>
      </c>
      <c r="W704">
        <v>2282.4</v>
      </c>
      <c r="X704">
        <v>0</v>
      </c>
      <c r="Y704">
        <v>1934.24</v>
      </c>
      <c r="Z704">
        <v>18</v>
      </c>
      <c r="AA704">
        <v>348.16</v>
      </c>
      <c r="AB704">
        <v>2282.4</v>
      </c>
      <c r="AC704">
        <v>1</v>
      </c>
      <c r="AD704">
        <v>1</v>
      </c>
      <c r="AE704" t="s">
        <v>1411</v>
      </c>
      <c r="AF704" t="s">
        <v>1412</v>
      </c>
      <c r="AG704">
        <v>2</v>
      </c>
      <c r="AH704" t="s">
        <v>25</v>
      </c>
      <c r="AI704">
        <v>1106</v>
      </c>
      <c r="AJ704" t="s">
        <v>239</v>
      </c>
      <c r="AK704" t="s">
        <v>169</v>
      </c>
      <c r="AL704">
        <v>3094</v>
      </c>
      <c r="AM704" t="s">
        <v>1227</v>
      </c>
      <c r="AN704" s="8">
        <v>45935</v>
      </c>
      <c r="AO704" s="8">
        <v>45935</v>
      </c>
      <c r="AP704">
        <v>5805</v>
      </c>
      <c r="AQ704" t="s">
        <v>328</v>
      </c>
      <c r="AR704" t="s">
        <v>12</v>
      </c>
      <c r="AS704" t="str">
        <f>+CONCATENATE(A704,"-",B704)</f>
        <v>(01) Factura FOF1-00000025</v>
      </c>
    </row>
    <row r="705" spans="1:45" ht="15" customHeight="1">
      <c r="A705" t="s">
        <v>216</v>
      </c>
      <c r="B705">
        <v>1219</v>
      </c>
      <c r="C705" t="s">
        <v>27</v>
      </c>
      <c r="D705" s="8">
        <v>45663</v>
      </c>
      <c r="E705" s="22">
        <v>45964</v>
      </c>
      <c r="F705" t="s">
        <v>1386</v>
      </c>
      <c r="H705">
        <v>6</v>
      </c>
      <c r="I705">
        <v>20541708406</v>
      </c>
      <c r="J705" t="s">
        <v>2162</v>
      </c>
      <c r="K705" s="8">
        <v>45663</v>
      </c>
      <c r="Q705">
        <v>17224</v>
      </c>
      <c r="R705">
        <v>877</v>
      </c>
      <c r="S705" t="s">
        <v>1300</v>
      </c>
      <c r="T705" t="s">
        <v>215</v>
      </c>
      <c r="U705">
        <v>1</v>
      </c>
      <c r="V705">
        <v>1978.14</v>
      </c>
      <c r="W705">
        <v>2334.1999999999998</v>
      </c>
      <c r="X705">
        <v>0</v>
      </c>
      <c r="Y705">
        <v>1978.14</v>
      </c>
      <c r="Z705">
        <v>18</v>
      </c>
      <c r="AA705">
        <v>356.06</v>
      </c>
      <c r="AB705">
        <v>2334.1999999999998</v>
      </c>
      <c r="AC705">
        <v>1</v>
      </c>
      <c r="AD705">
        <v>1</v>
      </c>
      <c r="AE705" t="s">
        <v>232</v>
      </c>
      <c r="AF705" t="s">
        <v>29</v>
      </c>
      <c r="AG705">
        <v>2</v>
      </c>
      <c r="AH705" t="s">
        <v>25</v>
      </c>
      <c r="AI705">
        <v>1106</v>
      </c>
      <c r="AJ705" t="s">
        <v>239</v>
      </c>
      <c r="AK705" t="s">
        <v>1237</v>
      </c>
      <c r="AP705">
        <v>1125</v>
      </c>
      <c r="AQ705" t="s">
        <v>1386</v>
      </c>
      <c r="AR705" t="s">
        <v>12</v>
      </c>
      <c r="AS705" t="str">
        <f>+CONCATENATE(A705,"-",B705)</f>
        <v>FB01-1219</v>
      </c>
    </row>
    <row r="706" spans="1:45" ht="15" customHeight="1">
      <c r="A706" t="s">
        <v>1216</v>
      </c>
      <c r="B706" s="21" t="s">
        <v>1521</v>
      </c>
      <c r="C706" t="s">
        <v>27</v>
      </c>
      <c r="D706" s="8">
        <v>45954</v>
      </c>
      <c r="E706" s="22">
        <v>45964.479097222225</v>
      </c>
      <c r="F706" t="s">
        <v>1522</v>
      </c>
      <c r="H706">
        <v>6</v>
      </c>
      <c r="I706">
        <v>20611536705</v>
      </c>
      <c r="J706" t="s">
        <v>2704</v>
      </c>
      <c r="K706" s="8">
        <v>45954</v>
      </c>
      <c r="Q706">
        <v>32499</v>
      </c>
      <c r="R706">
        <v>1924</v>
      </c>
      <c r="S706" t="s">
        <v>1405</v>
      </c>
      <c r="T706" t="s">
        <v>215</v>
      </c>
      <c r="U706">
        <v>5000</v>
      </c>
      <c r="V706">
        <v>0.4</v>
      </c>
      <c r="W706">
        <v>0.47</v>
      </c>
      <c r="X706">
        <v>0</v>
      </c>
      <c r="Y706">
        <v>2000</v>
      </c>
      <c r="Z706">
        <v>18</v>
      </c>
      <c r="AA706">
        <v>360</v>
      </c>
      <c r="AB706">
        <v>2360</v>
      </c>
      <c r="AC706">
        <v>1</v>
      </c>
      <c r="AD706">
        <v>1</v>
      </c>
      <c r="AE706" t="s">
        <v>1411</v>
      </c>
      <c r="AF706" t="s">
        <v>1412</v>
      </c>
      <c r="AG706">
        <v>2</v>
      </c>
      <c r="AH706" t="s">
        <v>25</v>
      </c>
      <c r="AI706">
        <v>1106</v>
      </c>
      <c r="AJ706" t="s">
        <v>239</v>
      </c>
      <c r="AK706" t="s">
        <v>1406</v>
      </c>
      <c r="AP706">
        <v>6085</v>
      </c>
      <c r="AQ706" t="s">
        <v>1522</v>
      </c>
      <c r="AR706" t="s">
        <v>12</v>
      </c>
      <c r="AS706" t="str">
        <f>+CONCATENATE(A706,"-",B706)</f>
        <v>(01) Factura FOF1-00000166</v>
      </c>
    </row>
    <row r="707" spans="1:45" ht="15" customHeight="1">
      <c r="A707" t="s">
        <v>216</v>
      </c>
      <c r="B707">
        <v>1236</v>
      </c>
      <c r="C707" t="s">
        <v>27</v>
      </c>
      <c r="D707" s="8">
        <v>45665</v>
      </c>
      <c r="E707" s="22">
        <v>45964</v>
      </c>
      <c r="F707" t="s">
        <v>415</v>
      </c>
      <c r="H707">
        <v>6</v>
      </c>
      <c r="I707">
        <v>20611890746</v>
      </c>
      <c r="J707" t="s">
        <v>2149</v>
      </c>
      <c r="K707" s="8">
        <v>45665</v>
      </c>
      <c r="Q707">
        <v>17239</v>
      </c>
      <c r="R707">
        <v>895</v>
      </c>
      <c r="S707" s="28" t="s">
        <v>1380</v>
      </c>
      <c r="T707" t="s">
        <v>215</v>
      </c>
      <c r="U707">
        <v>1</v>
      </c>
      <c r="V707">
        <v>2000</v>
      </c>
      <c r="W707">
        <v>2360</v>
      </c>
      <c r="X707">
        <v>0</v>
      </c>
      <c r="Y707">
        <v>2000</v>
      </c>
      <c r="Z707">
        <v>18</v>
      </c>
      <c r="AA707">
        <v>360</v>
      </c>
      <c r="AB707">
        <v>2360</v>
      </c>
      <c r="AC707">
        <v>1</v>
      </c>
      <c r="AD707">
        <v>1</v>
      </c>
      <c r="AE707" t="s">
        <v>232</v>
      </c>
      <c r="AF707" t="s">
        <v>29</v>
      </c>
      <c r="AG707">
        <v>2</v>
      </c>
      <c r="AH707" t="s">
        <v>25</v>
      </c>
      <c r="AI707">
        <v>1106</v>
      </c>
      <c r="AJ707" t="s">
        <v>239</v>
      </c>
      <c r="AK707" t="s">
        <v>1236</v>
      </c>
      <c r="AP707">
        <v>1136</v>
      </c>
      <c r="AQ707" t="s">
        <v>415</v>
      </c>
      <c r="AR707" t="s">
        <v>12</v>
      </c>
      <c r="AS707" t="str">
        <f>+CONCATENATE(A707,"-",B707)</f>
        <v>FB01-1236</v>
      </c>
    </row>
    <row r="708" spans="1:45" ht="15" customHeight="1">
      <c r="A708" t="s">
        <v>1216</v>
      </c>
      <c r="B708" s="21" t="s">
        <v>1572</v>
      </c>
      <c r="C708" t="s">
        <v>27</v>
      </c>
      <c r="D708" s="8">
        <v>45952</v>
      </c>
      <c r="E708" s="22">
        <v>45964.800069444442</v>
      </c>
      <c r="F708" t="s">
        <v>1569</v>
      </c>
      <c r="H708">
        <v>6</v>
      </c>
      <c r="I708">
        <v>20603011601</v>
      </c>
      <c r="J708" t="s">
        <v>1573</v>
      </c>
      <c r="K708" s="8">
        <v>45952</v>
      </c>
      <c r="Q708">
        <v>32343</v>
      </c>
      <c r="R708">
        <v>1786</v>
      </c>
      <c r="S708" t="s">
        <v>1299</v>
      </c>
      <c r="T708" t="s">
        <v>163</v>
      </c>
      <c r="U708">
        <v>1</v>
      </c>
      <c r="V708">
        <v>2016.86</v>
      </c>
      <c r="W708">
        <v>2379.89</v>
      </c>
      <c r="X708">
        <v>0</v>
      </c>
      <c r="Y708">
        <v>2016.86</v>
      </c>
      <c r="Z708">
        <v>18</v>
      </c>
      <c r="AA708">
        <v>363.03</v>
      </c>
      <c r="AB708">
        <v>2379.89</v>
      </c>
      <c r="AC708">
        <v>1</v>
      </c>
      <c r="AD708">
        <v>1</v>
      </c>
      <c r="AE708" t="s">
        <v>1411</v>
      </c>
      <c r="AF708" t="s">
        <v>1412</v>
      </c>
      <c r="AG708">
        <v>2</v>
      </c>
      <c r="AH708" t="s">
        <v>25</v>
      </c>
      <c r="AI708">
        <v>6937</v>
      </c>
      <c r="AJ708" t="s">
        <v>1414</v>
      </c>
      <c r="AK708" t="s">
        <v>1251</v>
      </c>
      <c r="AL708">
        <v>3063</v>
      </c>
      <c r="AM708" t="s">
        <v>1571</v>
      </c>
      <c r="AN708" s="8">
        <v>45940</v>
      </c>
      <c r="AO708" s="8">
        <v>45940</v>
      </c>
      <c r="AP708">
        <v>5613</v>
      </c>
      <c r="AQ708" t="s">
        <v>1569</v>
      </c>
      <c r="AR708" t="s">
        <v>12</v>
      </c>
      <c r="AS708" t="str">
        <f>+CONCATENATE(A708,"-",B708)</f>
        <v>(01) Factura FOF1-00000145</v>
      </c>
    </row>
    <row r="709" spans="1:45" ht="15" customHeight="1">
      <c r="A709" t="s">
        <v>1238</v>
      </c>
      <c r="B709">
        <v>728</v>
      </c>
      <c r="C709" t="s">
        <v>27</v>
      </c>
      <c r="D709" s="8">
        <v>45693</v>
      </c>
      <c r="E709" s="22">
        <v>45964</v>
      </c>
      <c r="F709" t="s">
        <v>335</v>
      </c>
      <c r="G709" t="s">
        <v>158</v>
      </c>
      <c r="H709">
        <v>1</v>
      </c>
      <c r="I709">
        <v>43908595</v>
      </c>
      <c r="J709" t="s">
        <v>1959</v>
      </c>
      <c r="K709" s="8">
        <v>45693</v>
      </c>
      <c r="Q709">
        <v>18711</v>
      </c>
      <c r="R709">
        <v>885</v>
      </c>
      <c r="S709" t="s">
        <v>1299</v>
      </c>
      <c r="T709" t="s">
        <v>215</v>
      </c>
      <c r="U709">
        <v>1</v>
      </c>
      <c r="V709">
        <v>2021.19</v>
      </c>
      <c r="W709">
        <v>2385</v>
      </c>
      <c r="X709">
        <v>0</v>
      </c>
      <c r="Y709">
        <v>2021.19</v>
      </c>
      <c r="Z709">
        <v>18</v>
      </c>
      <c r="AA709">
        <v>363.81</v>
      </c>
      <c r="AB709">
        <v>2385</v>
      </c>
      <c r="AC709">
        <v>1</v>
      </c>
      <c r="AD709">
        <v>1</v>
      </c>
      <c r="AE709" t="s">
        <v>232</v>
      </c>
      <c r="AF709" t="s">
        <v>29</v>
      </c>
      <c r="AG709">
        <v>2</v>
      </c>
      <c r="AH709" t="s">
        <v>25</v>
      </c>
      <c r="AI709">
        <v>1106</v>
      </c>
      <c r="AJ709" t="s">
        <v>239</v>
      </c>
      <c r="AK709" t="s">
        <v>1237</v>
      </c>
      <c r="AP709">
        <v>393</v>
      </c>
      <c r="AQ709" t="s">
        <v>335</v>
      </c>
      <c r="AR709" t="s">
        <v>1295</v>
      </c>
      <c r="AS709" t="str">
        <f>+CONCATENATE(A709,"-",B709)</f>
        <v>BB01-728</v>
      </c>
    </row>
    <row r="710" spans="1:45" ht="15" customHeight="1">
      <c r="A710" t="s">
        <v>216</v>
      </c>
      <c r="B710">
        <v>1204</v>
      </c>
      <c r="C710" t="s">
        <v>27</v>
      </c>
      <c r="D710" s="8">
        <v>45663</v>
      </c>
      <c r="E710" s="22">
        <v>45964</v>
      </c>
      <c r="F710" t="s">
        <v>1080</v>
      </c>
      <c r="H710">
        <v>6</v>
      </c>
      <c r="I710">
        <v>20611454300</v>
      </c>
      <c r="J710" t="s">
        <v>2178</v>
      </c>
      <c r="K710" s="8">
        <v>45663</v>
      </c>
      <c r="Q710">
        <v>17207</v>
      </c>
      <c r="R710">
        <v>870</v>
      </c>
      <c r="S710" t="s">
        <v>1299</v>
      </c>
      <c r="T710" t="s">
        <v>215</v>
      </c>
      <c r="U710">
        <v>1</v>
      </c>
      <c r="V710">
        <v>2033.08</v>
      </c>
      <c r="W710">
        <v>2399.04</v>
      </c>
      <c r="X710">
        <v>0</v>
      </c>
      <c r="Y710">
        <v>2033.08</v>
      </c>
      <c r="Z710">
        <v>18</v>
      </c>
      <c r="AA710">
        <v>365.96</v>
      </c>
      <c r="AB710">
        <v>2399.04</v>
      </c>
      <c r="AC710">
        <v>1</v>
      </c>
      <c r="AD710">
        <v>1</v>
      </c>
      <c r="AE710" t="s">
        <v>232</v>
      </c>
      <c r="AF710" t="s">
        <v>29</v>
      </c>
      <c r="AG710">
        <v>2</v>
      </c>
      <c r="AH710" t="s">
        <v>25</v>
      </c>
      <c r="AI710">
        <v>1106</v>
      </c>
      <c r="AJ710" t="s">
        <v>239</v>
      </c>
      <c r="AK710" t="s">
        <v>1237</v>
      </c>
      <c r="AP710">
        <v>1119</v>
      </c>
      <c r="AQ710" t="s">
        <v>1080</v>
      </c>
      <c r="AR710" t="s">
        <v>12</v>
      </c>
      <c r="AS710" t="str">
        <f>+CONCATENATE(A710,"-",B710)</f>
        <v>FB01-1204</v>
      </c>
    </row>
    <row r="711" spans="1:45" ht="15" customHeight="1">
      <c r="A711" t="s">
        <v>1216</v>
      </c>
      <c r="B711" s="21" t="s">
        <v>1519</v>
      </c>
      <c r="C711" t="s">
        <v>27</v>
      </c>
      <c r="D711" s="8">
        <v>45946</v>
      </c>
      <c r="E711" s="22">
        <v>45964.777557870373</v>
      </c>
      <c r="F711" t="s">
        <v>1794</v>
      </c>
      <c r="H711">
        <v>6</v>
      </c>
      <c r="I711">
        <v>10207250991</v>
      </c>
      <c r="J711" t="s">
        <v>1795</v>
      </c>
      <c r="K711" s="8">
        <v>45946</v>
      </c>
      <c r="Q711">
        <v>31408</v>
      </c>
      <c r="R711">
        <v>1786</v>
      </c>
      <c r="S711" t="s">
        <v>1299</v>
      </c>
      <c r="T711" t="s">
        <v>163</v>
      </c>
      <c r="U711">
        <v>1</v>
      </c>
      <c r="V711">
        <v>2054.4899999999998</v>
      </c>
      <c r="W711">
        <v>2424.3000000000002</v>
      </c>
      <c r="X711">
        <v>0</v>
      </c>
      <c r="Y711">
        <v>2054.4899999999998</v>
      </c>
      <c r="Z711">
        <v>18</v>
      </c>
      <c r="AA711">
        <v>369.81</v>
      </c>
      <c r="AB711">
        <v>2424.3000000000002</v>
      </c>
      <c r="AC711">
        <v>1</v>
      </c>
      <c r="AD711">
        <v>1</v>
      </c>
      <c r="AE711" t="s">
        <v>1411</v>
      </c>
      <c r="AF711" t="s">
        <v>1412</v>
      </c>
      <c r="AG711">
        <v>2</v>
      </c>
      <c r="AH711" t="s">
        <v>25</v>
      </c>
      <c r="AI711">
        <v>6937</v>
      </c>
      <c r="AJ711" t="s">
        <v>1414</v>
      </c>
      <c r="AK711" t="s">
        <v>1251</v>
      </c>
      <c r="AL711">
        <v>2471</v>
      </c>
      <c r="AM711" t="s">
        <v>1796</v>
      </c>
      <c r="AN711" s="8">
        <v>45928</v>
      </c>
      <c r="AO711" s="8">
        <v>45928</v>
      </c>
      <c r="AP711">
        <v>5507</v>
      </c>
      <c r="AQ711" t="s">
        <v>1794</v>
      </c>
      <c r="AR711" t="s">
        <v>12</v>
      </c>
      <c r="AS711" t="str">
        <f>+CONCATENATE(A711,"-",B711)</f>
        <v>(01) Factura FOF1-00000077</v>
      </c>
    </row>
    <row r="712" spans="1:45" ht="15" customHeight="1">
      <c r="A712" t="s">
        <v>214</v>
      </c>
      <c r="B712">
        <v>217</v>
      </c>
      <c r="C712" t="s">
        <v>27</v>
      </c>
      <c r="D712" s="8">
        <v>45685</v>
      </c>
      <c r="E712" s="22">
        <v>45964</v>
      </c>
      <c r="F712" t="s">
        <v>376</v>
      </c>
      <c r="H712">
        <v>6</v>
      </c>
      <c r="I712">
        <v>20611066971</v>
      </c>
      <c r="J712" t="s">
        <v>2040</v>
      </c>
      <c r="K712" s="8">
        <v>45685</v>
      </c>
      <c r="Q712">
        <v>18617</v>
      </c>
      <c r="R712">
        <v>946</v>
      </c>
      <c r="S712" t="s">
        <v>1343</v>
      </c>
      <c r="T712" t="s">
        <v>215</v>
      </c>
      <c r="U712">
        <v>1</v>
      </c>
      <c r="V712">
        <v>2080</v>
      </c>
      <c r="W712">
        <v>2454.4</v>
      </c>
      <c r="X712">
        <v>0</v>
      </c>
      <c r="Y712">
        <v>2080</v>
      </c>
      <c r="Z712">
        <v>18</v>
      </c>
      <c r="AA712">
        <v>374.4</v>
      </c>
      <c r="AB712">
        <v>2454.4</v>
      </c>
      <c r="AC712">
        <v>1</v>
      </c>
      <c r="AD712">
        <v>1</v>
      </c>
      <c r="AE712" t="s">
        <v>232</v>
      </c>
      <c r="AF712" t="s">
        <v>29</v>
      </c>
      <c r="AG712">
        <v>2</v>
      </c>
      <c r="AH712" t="s">
        <v>25</v>
      </c>
      <c r="AI712">
        <v>1106</v>
      </c>
      <c r="AJ712" t="s">
        <v>239</v>
      </c>
      <c r="AK712" t="s">
        <v>1236</v>
      </c>
      <c r="AP712">
        <v>1151</v>
      </c>
      <c r="AQ712" t="s">
        <v>376</v>
      </c>
      <c r="AR712" t="s">
        <v>12</v>
      </c>
      <c r="AS712" t="str">
        <f>+CONCATENATE(A712,"-",B712)</f>
        <v>FFF1-217</v>
      </c>
    </row>
    <row r="713" spans="1:45" ht="15" customHeight="1">
      <c r="A713" t="s">
        <v>216</v>
      </c>
      <c r="B713">
        <v>1326</v>
      </c>
      <c r="C713" t="s">
        <v>27</v>
      </c>
      <c r="D713" s="8">
        <v>45685</v>
      </c>
      <c r="E713" s="22">
        <v>45964</v>
      </c>
      <c r="F713" t="s">
        <v>1321</v>
      </c>
      <c r="G713" t="s">
        <v>158</v>
      </c>
      <c r="H713">
        <v>6</v>
      </c>
      <c r="I713">
        <v>20296011356</v>
      </c>
      <c r="J713" t="s">
        <v>2024</v>
      </c>
      <c r="K713" s="8">
        <v>45685</v>
      </c>
      <c r="Q713">
        <v>18639</v>
      </c>
      <c r="R713">
        <v>878</v>
      </c>
      <c r="S713" t="s">
        <v>1334</v>
      </c>
      <c r="T713" t="s">
        <v>215</v>
      </c>
      <c r="U713">
        <v>1</v>
      </c>
      <c r="V713">
        <v>2103.31</v>
      </c>
      <c r="W713">
        <v>2481.9</v>
      </c>
      <c r="X713">
        <v>0</v>
      </c>
      <c r="Y713">
        <v>2103.31</v>
      </c>
      <c r="Z713">
        <v>18</v>
      </c>
      <c r="AA713">
        <v>378.59</v>
      </c>
      <c r="AB713">
        <v>2481.9</v>
      </c>
      <c r="AC713">
        <v>1</v>
      </c>
      <c r="AD713">
        <v>1</v>
      </c>
      <c r="AE713" t="s">
        <v>232</v>
      </c>
      <c r="AF713" t="s">
        <v>29</v>
      </c>
      <c r="AG713">
        <v>2</v>
      </c>
      <c r="AH713" t="s">
        <v>25</v>
      </c>
      <c r="AI713">
        <v>1106</v>
      </c>
      <c r="AJ713" t="s">
        <v>239</v>
      </c>
      <c r="AK713" t="s">
        <v>1237</v>
      </c>
      <c r="AP713">
        <v>390</v>
      </c>
      <c r="AQ713" t="s">
        <v>1321</v>
      </c>
      <c r="AR713" t="s">
        <v>12</v>
      </c>
      <c r="AS713" t="str">
        <f>+CONCATENATE(A713,"-",B713)</f>
        <v>FB01-1326</v>
      </c>
    </row>
    <row r="714" spans="1:45" ht="15" customHeight="1">
      <c r="A714" t="s">
        <v>1216</v>
      </c>
      <c r="B714" s="21" t="s">
        <v>1744</v>
      </c>
      <c r="C714" t="s">
        <v>27</v>
      </c>
      <c r="D714" s="8">
        <v>45946</v>
      </c>
      <c r="E714" s="22">
        <v>45964.552488425928</v>
      </c>
      <c r="F714" t="s">
        <v>1794</v>
      </c>
      <c r="H714">
        <v>6</v>
      </c>
      <c r="I714">
        <v>10207250991</v>
      </c>
      <c r="J714" t="s">
        <v>1836</v>
      </c>
      <c r="K714" s="8">
        <v>45946</v>
      </c>
      <c r="Q714">
        <v>31286</v>
      </c>
      <c r="R714">
        <v>216</v>
      </c>
      <c r="S714" t="s">
        <v>1300</v>
      </c>
      <c r="T714" t="s">
        <v>163</v>
      </c>
      <c r="U714">
        <v>1</v>
      </c>
      <c r="V714">
        <v>2124.4899999999998</v>
      </c>
      <c r="W714">
        <v>2506.9</v>
      </c>
      <c r="X714">
        <v>0</v>
      </c>
      <c r="Y714">
        <v>2124.4899999999998</v>
      </c>
      <c r="Z714">
        <v>18</v>
      </c>
      <c r="AA714">
        <v>382.41</v>
      </c>
      <c r="AB714">
        <v>2506.9</v>
      </c>
      <c r="AC714">
        <v>1</v>
      </c>
      <c r="AD714">
        <v>1</v>
      </c>
      <c r="AE714" t="s">
        <v>1215</v>
      </c>
      <c r="AF714" t="s">
        <v>267</v>
      </c>
      <c r="AG714">
        <v>2</v>
      </c>
      <c r="AH714" t="s">
        <v>25</v>
      </c>
      <c r="AI714">
        <v>6936</v>
      </c>
      <c r="AJ714" t="s">
        <v>1437</v>
      </c>
      <c r="AK714" t="s">
        <v>1433</v>
      </c>
      <c r="AL714">
        <v>2471</v>
      </c>
      <c r="AM714" t="s">
        <v>1796</v>
      </c>
      <c r="AN714" s="8">
        <v>45928</v>
      </c>
      <c r="AO714" s="8">
        <v>45928</v>
      </c>
      <c r="AP714">
        <v>5507</v>
      </c>
      <c r="AQ714" t="s">
        <v>1794</v>
      </c>
      <c r="AR714" t="s">
        <v>12</v>
      </c>
      <c r="AS714" t="str">
        <f>+CONCATENATE(A714,"-",B714)</f>
        <v>(01) Factura FOF1-00000047</v>
      </c>
    </row>
    <row r="715" spans="1:45" ht="15" customHeight="1">
      <c r="A715" t="s">
        <v>216</v>
      </c>
      <c r="B715">
        <v>1176</v>
      </c>
      <c r="C715" t="s">
        <v>27</v>
      </c>
      <c r="D715" s="8">
        <v>45660</v>
      </c>
      <c r="E715" s="22">
        <v>45964</v>
      </c>
      <c r="F715" t="s">
        <v>1240</v>
      </c>
      <c r="G715" t="s">
        <v>158</v>
      </c>
      <c r="H715">
        <v>6</v>
      </c>
      <c r="I715">
        <v>20602855733</v>
      </c>
      <c r="J715" t="s">
        <v>2222</v>
      </c>
      <c r="K715" s="8">
        <v>45660</v>
      </c>
      <c r="Q715">
        <v>17157</v>
      </c>
      <c r="R715">
        <v>870</v>
      </c>
      <c r="S715" t="s">
        <v>1299</v>
      </c>
      <c r="T715" t="s">
        <v>215</v>
      </c>
      <c r="U715">
        <v>1</v>
      </c>
      <c r="V715">
        <v>2158.64</v>
      </c>
      <c r="W715">
        <v>2547.1999999999998</v>
      </c>
      <c r="X715">
        <v>0</v>
      </c>
      <c r="Y715">
        <v>2158.64</v>
      </c>
      <c r="Z715">
        <v>18</v>
      </c>
      <c r="AA715">
        <v>388.56</v>
      </c>
      <c r="AB715">
        <v>2547.1999999999998</v>
      </c>
      <c r="AC715">
        <v>1</v>
      </c>
      <c r="AD715">
        <v>1</v>
      </c>
      <c r="AE715" t="s">
        <v>232</v>
      </c>
      <c r="AF715" t="s">
        <v>29</v>
      </c>
      <c r="AG715">
        <v>2</v>
      </c>
      <c r="AH715" t="s">
        <v>25</v>
      </c>
      <c r="AI715">
        <v>1106</v>
      </c>
      <c r="AJ715" t="s">
        <v>239</v>
      </c>
      <c r="AK715" t="s">
        <v>1237</v>
      </c>
      <c r="AP715">
        <v>385</v>
      </c>
      <c r="AQ715" t="s">
        <v>1240</v>
      </c>
      <c r="AR715" t="s">
        <v>12</v>
      </c>
      <c r="AS715" t="str">
        <f>+CONCATENATE(A715,"-",B715)</f>
        <v>FB01-1176</v>
      </c>
    </row>
    <row r="716" spans="1:45" ht="15" customHeight="1">
      <c r="A716" t="s">
        <v>216</v>
      </c>
      <c r="B716">
        <v>1286</v>
      </c>
      <c r="C716" t="s">
        <v>27</v>
      </c>
      <c r="D716" s="8">
        <v>45680</v>
      </c>
      <c r="E716" s="22">
        <v>45964</v>
      </c>
      <c r="F716" t="s">
        <v>415</v>
      </c>
      <c r="H716">
        <v>6</v>
      </c>
      <c r="I716">
        <v>20611890746</v>
      </c>
      <c r="J716" t="s">
        <v>2085</v>
      </c>
      <c r="K716" s="8">
        <v>45680</v>
      </c>
      <c r="Q716">
        <v>17808</v>
      </c>
      <c r="R716">
        <v>924</v>
      </c>
      <c r="S716" s="28" t="s">
        <v>1358</v>
      </c>
      <c r="T716" t="s">
        <v>215</v>
      </c>
      <c r="U716">
        <v>1</v>
      </c>
      <c r="V716">
        <v>2200</v>
      </c>
      <c r="W716">
        <v>2596</v>
      </c>
      <c r="X716">
        <v>0</v>
      </c>
      <c r="Y716">
        <v>2200</v>
      </c>
      <c r="Z716">
        <v>18</v>
      </c>
      <c r="AA716">
        <v>396</v>
      </c>
      <c r="AB716">
        <v>2596</v>
      </c>
      <c r="AC716">
        <v>1</v>
      </c>
      <c r="AD716">
        <v>1</v>
      </c>
      <c r="AE716" t="s">
        <v>232</v>
      </c>
      <c r="AF716" t="s">
        <v>29</v>
      </c>
      <c r="AG716">
        <v>2</v>
      </c>
      <c r="AH716" t="s">
        <v>25</v>
      </c>
      <c r="AI716">
        <v>1106</v>
      </c>
      <c r="AJ716" t="s">
        <v>239</v>
      </c>
      <c r="AK716" t="s">
        <v>1236</v>
      </c>
      <c r="AP716">
        <v>1136</v>
      </c>
      <c r="AQ716" t="s">
        <v>415</v>
      </c>
      <c r="AR716" t="s">
        <v>12</v>
      </c>
      <c r="AS716" t="str">
        <f>+CONCATENATE(A716,"-",B716)</f>
        <v>FB01-1286</v>
      </c>
    </row>
    <row r="717" spans="1:45" ht="15" customHeight="1">
      <c r="A717" t="s">
        <v>1216</v>
      </c>
      <c r="B717" s="21" t="s">
        <v>181</v>
      </c>
      <c r="C717" t="s">
        <v>27</v>
      </c>
      <c r="D717" s="8">
        <v>45945</v>
      </c>
      <c r="E717" s="22">
        <v>45964.755358796298</v>
      </c>
      <c r="F717" t="s">
        <v>316</v>
      </c>
      <c r="H717">
        <v>6</v>
      </c>
      <c r="I717">
        <v>20610320261</v>
      </c>
      <c r="J717" t="s">
        <v>1861</v>
      </c>
      <c r="K717" s="8">
        <v>45945</v>
      </c>
      <c r="Q717">
        <v>31193</v>
      </c>
      <c r="R717">
        <v>216</v>
      </c>
      <c r="S717" t="s">
        <v>1300</v>
      </c>
      <c r="T717" t="s">
        <v>163</v>
      </c>
      <c r="U717">
        <v>1</v>
      </c>
      <c r="V717">
        <v>2213.98</v>
      </c>
      <c r="W717">
        <v>2612.5</v>
      </c>
      <c r="X717">
        <v>0</v>
      </c>
      <c r="Y717">
        <v>2213.98</v>
      </c>
      <c r="Z717">
        <v>18</v>
      </c>
      <c r="AA717">
        <v>398.52</v>
      </c>
      <c r="AB717">
        <v>2612.5</v>
      </c>
      <c r="AC717">
        <v>1</v>
      </c>
      <c r="AD717">
        <v>1</v>
      </c>
      <c r="AE717" t="s">
        <v>1411</v>
      </c>
      <c r="AF717" t="s">
        <v>1412</v>
      </c>
      <c r="AG717">
        <v>2</v>
      </c>
      <c r="AH717" t="s">
        <v>25</v>
      </c>
      <c r="AI717">
        <v>1106</v>
      </c>
      <c r="AJ717" t="s">
        <v>239</v>
      </c>
      <c r="AK717" t="s">
        <v>169</v>
      </c>
      <c r="AL717">
        <v>2897</v>
      </c>
      <c r="AM717" t="s">
        <v>315</v>
      </c>
      <c r="AN717" s="8">
        <v>45932</v>
      </c>
      <c r="AO717" s="8">
        <v>45932</v>
      </c>
      <c r="AP717">
        <v>5586</v>
      </c>
      <c r="AQ717" t="s">
        <v>316</v>
      </c>
      <c r="AR717" t="s">
        <v>12</v>
      </c>
      <c r="AS717" t="str">
        <f>+CONCATENATE(A717,"-",B717)</f>
        <v>(01) Factura FOF1-00000032</v>
      </c>
    </row>
    <row r="718" spans="1:45" ht="15" customHeight="1">
      <c r="A718" t="s">
        <v>1216</v>
      </c>
      <c r="B718" s="21" t="s">
        <v>1486</v>
      </c>
      <c r="C718" t="s">
        <v>27</v>
      </c>
      <c r="D718" s="8">
        <v>45954</v>
      </c>
      <c r="E718" s="22">
        <v>45964.594409722224</v>
      </c>
      <c r="F718" t="s">
        <v>1457</v>
      </c>
      <c r="H718">
        <v>6</v>
      </c>
      <c r="I718">
        <v>10737909609</v>
      </c>
      <c r="J718" t="s">
        <v>1487</v>
      </c>
      <c r="K718" s="8">
        <v>45954</v>
      </c>
      <c r="Q718">
        <v>32539</v>
      </c>
      <c r="R718">
        <v>2324</v>
      </c>
      <c r="S718" t="s">
        <v>1303</v>
      </c>
      <c r="T718" t="s">
        <v>215</v>
      </c>
      <c r="U718">
        <v>1</v>
      </c>
      <c r="V718">
        <v>2220</v>
      </c>
      <c r="W718">
        <v>2619.6</v>
      </c>
      <c r="X718">
        <v>0</v>
      </c>
      <c r="Y718">
        <v>2220</v>
      </c>
      <c r="Z718">
        <v>18</v>
      </c>
      <c r="AA718">
        <v>399.6</v>
      </c>
      <c r="AB718">
        <v>2619.6</v>
      </c>
      <c r="AC718">
        <v>1</v>
      </c>
      <c r="AD718">
        <v>1</v>
      </c>
      <c r="AE718" t="s">
        <v>1411</v>
      </c>
      <c r="AF718" t="s">
        <v>1412</v>
      </c>
      <c r="AG718">
        <v>2</v>
      </c>
      <c r="AH718" t="s">
        <v>25</v>
      </c>
      <c r="AI718">
        <v>1106</v>
      </c>
      <c r="AJ718" t="s">
        <v>239</v>
      </c>
      <c r="AK718" t="s">
        <v>1468</v>
      </c>
      <c r="AL718">
        <v>3079</v>
      </c>
      <c r="AM718" t="s">
        <v>1456</v>
      </c>
      <c r="AN718" s="8">
        <v>45921</v>
      </c>
      <c r="AO718" s="8">
        <v>45921</v>
      </c>
      <c r="AP718">
        <v>5597</v>
      </c>
      <c r="AQ718" t="s">
        <v>1457</v>
      </c>
      <c r="AR718" t="s">
        <v>12</v>
      </c>
      <c r="AS718" t="str">
        <f>+CONCATENATE(A718,"-",B718)</f>
        <v>(01) Factura FOF1-00000167</v>
      </c>
    </row>
    <row r="719" spans="1:45" ht="15" customHeight="1">
      <c r="A719" t="s">
        <v>1216</v>
      </c>
      <c r="B719" s="21" t="s">
        <v>1574</v>
      </c>
      <c r="C719" t="s">
        <v>27</v>
      </c>
      <c r="D719" s="8">
        <v>45952</v>
      </c>
      <c r="E719" s="22">
        <v>45964.799756944441</v>
      </c>
      <c r="F719" t="s">
        <v>1569</v>
      </c>
      <c r="H719">
        <v>6</v>
      </c>
      <c r="I719">
        <v>20603011601</v>
      </c>
      <c r="J719" t="s">
        <v>1575</v>
      </c>
      <c r="K719" s="8">
        <v>45952</v>
      </c>
      <c r="Q719">
        <v>32340</v>
      </c>
      <c r="R719">
        <v>216</v>
      </c>
      <c r="S719" t="s">
        <v>1300</v>
      </c>
      <c r="T719" t="s">
        <v>163</v>
      </c>
      <c r="U719">
        <v>1</v>
      </c>
      <c r="V719">
        <v>2240.5100000000002</v>
      </c>
      <c r="W719">
        <v>2643.8</v>
      </c>
      <c r="X719">
        <v>0</v>
      </c>
      <c r="Y719">
        <v>2240.5100000000002</v>
      </c>
      <c r="Z719">
        <v>18</v>
      </c>
      <c r="AA719">
        <v>403.29</v>
      </c>
      <c r="AB719">
        <v>2643.8</v>
      </c>
      <c r="AC719">
        <v>1</v>
      </c>
      <c r="AD719">
        <v>1</v>
      </c>
      <c r="AE719" t="s">
        <v>1411</v>
      </c>
      <c r="AF719" t="s">
        <v>1412</v>
      </c>
      <c r="AG719">
        <v>2</v>
      </c>
      <c r="AH719" t="s">
        <v>25</v>
      </c>
      <c r="AI719">
        <v>6936</v>
      </c>
      <c r="AJ719" t="s">
        <v>1437</v>
      </c>
      <c r="AK719" t="s">
        <v>1433</v>
      </c>
      <c r="AL719">
        <v>3063</v>
      </c>
      <c r="AM719" t="s">
        <v>1571</v>
      </c>
      <c r="AN719" s="8">
        <v>45940</v>
      </c>
      <c r="AO719" s="8">
        <v>45940</v>
      </c>
      <c r="AP719">
        <v>5613</v>
      </c>
      <c r="AQ719" t="s">
        <v>1569</v>
      </c>
      <c r="AR719" t="s">
        <v>12</v>
      </c>
      <c r="AS719" t="str">
        <f>+CONCATENATE(A719,"-",B719)</f>
        <v>(01) Factura FOF1-00000144</v>
      </c>
    </row>
    <row r="720" spans="1:45" ht="15" customHeight="1">
      <c r="A720" t="s">
        <v>216</v>
      </c>
      <c r="B720">
        <v>1232</v>
      </c>
      <c r="C720" t="s">
        <v>27</v>
      </c>
      <c r="D720" s="8">
        <v>45665</v>
      </c>
      <c r="E720" s="22">
        <v>45964</v>
      </c>
      <c r="F720" t="s">
        <v>415</v>
      </c>
      <c r="H720">
        <v>6</v>
      </c>
      <c r="I720">
        <v>20611890746</v>
      </c>
      <c r="J720" t="s">
        <v>2153</v>
      </c>
      <c r="K720" s="8">
        <v>45665</v>
      </c>
      <c r="Q720">
        <v>17235</v>
      </c>
      <c r="R720">
        <v>870</v>
      </c>
      <c r="S720" t="s">
        <v>1299</v>
      </c>
      <c r="T720" t="s">
        <v>215</v>
      </c>
      <c r="U720">
        <v>1</v>
      </c>
      <c r="V720">
        <v>2244.0700000000002</v>
      </c>
      <c r="W720">
        <v>2648</v>
      </c>
      <c r="X720">
        <v>0</v>
      </c>
      <c r="Y720">
        <v>2244.0700000000002</v>
      </c>
      <c r="Z720">
        <v>18</v>
      </c>
      <c r="AA720">
        <v>403.93</v>
      </c>
      <c r="AB720">
        <v>2648</v>
      </c>
      <c r="AC720">
        <v>1</v>
      </c>
      <c r="AD720">
        <v>1</v>
      </c>
      <c r="AE720" t="s">
        <v>232</v>
      </c>
      <c r="AF720" t="s">
        <v>29</v>
      </c>
      <c r="AG720">
        <v>2</v>
      </c>
      <c r="AH720" t="s">
        <v>25</v>
      </c>
      <c r="AI720">
        <v>1106</v>
      </c>
      <c r="AJ720" t="s">
        <v>239</v>
      </c>
      <c r="AK720" t="s">
        <v>1237</v>
      </c>
      <c r="AP720">
        <v>1136</v>
      </c>
      <c r="AQ720" t="s">
        <v>415</v>
      </c>
      <c r="AR720" t="s">
        <v>12</v>
      </c>
      <c r="AS720" t="str">
        <f>+CONCATENATE(A720,"-",B720)</f>
        <v>FB01-1232</v>
      </c>
    </row>
    <row r="721" spans="1:45" ht="15" customHeight="1">
      <c r="A721" t="s">
        <v>1216</v>
      </c>
      <c r="B721" s="21" t="s">
        <v>188</v>
      </c>
      <c r="C721" t="s">
        <v>27</v>
      </c>
      <c r="D721" s="8">
        <v>45945</v>
      </c>
      <c r="E721" s="22">
        <v>45964.739259259259</v>
      </c>
      <c r="F721" t="s">
        <v>328</v>
      </c>
      <c r="H721">
        <v>6</v>
      </c>
      <c r="I721">
        <v>20559860701</v>
      </c>
      <c r="J721" t="s">
        <v>1878</v>
      </c>
      <c r="K721" s="8">
        <v>45945</v>
      </c>
      <c r="Q721">
        <v>31142</v>
      </c>
      <c r="R721">
        <v>216</v>
      </c>
      <c r="S721" t="s">
        <v>1300</v>
      </c>
      <c r="T721" t="s">
        <v>163</v>
      </c>
      <c r="U721">
        <v>1</v>
      </c>
      <c r="V721">
        <v>2316.61</v>
      </c>
      <c r="W721">
        <v>2733.6</v>
      </c>
      <c r="X721">
        <v>0</v>
      </c>
      <c r="Y721">
        <v>2316.61</v>
      </c>
      <c r="Z721">
        <v>18</v>
      </c>
      <c r="AA721">
        <v>416.99</v>
      </c>
      <c r="AB721">
        <v>2733.6</v>
      </c>
      <c r="AC721">
        <v>1</v>
      </c>
      <c r="AD721">
        <v>1</v>
      </c>
      <c r="AE721" t="s">
        <v>1411</v>
      </c>
      <c r="AF721" t="s">
        <v>1412</v>
      </c>
      <c r="AG721">
        <v>2</v>
      </c>
      <c r="AH721" t="s">
        <v>25</v>
      </c>
      <c r="AI721">
        <v>1106</v>
      </c>
      <c r="AJ721" t="s">
        <v>239</v>
      </c>
      <c r="AK721" t="s">
        <v>169</v>
      </c>
      <c r="AL721">
        <v>3094</v>
      </c>
      <c r="AM721" t="s">
        <v>1227</v>
      </c>
      <c r="AN721" s="8">
        <v>45935</v>
      </c>
      <c r="AO721" s="8">
        <v>45935</v>
      </c>
      <c r="AP721">
        <v>5805</v>
      </c>
      <c r="AQ721" t="s">
        <v>328</v>
      </c>
      <c r="AR721" t="s">
        <v>12</v>
      </c>
      <c r="AS721" t="str">
        <f>+CONCATENATE(A721,"-",B721)</f>
        <v>(01) Factura FOF1-00000024</v>
      </c>
    </row>
    <row r="722" spans="1:45" ht="15" customHeight="1">
      <c r="A722" t="s">
        <v>216</v>
      </c>
      <c r="B722">
        <v>1385</v>
      </c>
      <c r="C722" t="s">
        <v>27</v>
      </c>
      <c r="D722" s="8">
        <v>45693</v>
      </c>
      <c r="E722" s="22">
        <v>45964</v>
      </c>
      <c r="F722" t="s">
        <v>415</v>
      </c>
      <c r="H722">
        <v>6</v>
      </c>
      <c r="I722">
        <v>20611890746</v>
      </c>
      <c r="J722" t="s">
        <v>1946</v>
      </c>
      <c r="K722" s="8">
        <v>45693</v>
      </c>
      <c r="Q722">
        <v>18724</v>
      </c>
      <c r="R722">
        <v>877</v>
      </c>
      <c r="S722" t="s">
        <v>1300</v>
      </c>
      <c r="T722" t="s">
        <v>215</v>
      </c>
      <c r="U722">
        <v>1</v>
      </c>
      <c r="V722">
        <v>2327.5300000000002</v>
      </c>
      <c r="W722">
        <v>2746.48</v>
      </c>
      <c r="X722">
        <v>0</v>
      </c>
      <c r="Y722">
        <v>2327.5300000000002</v>
      </c>
      <c r="Z722">
        <v>18</v>
      </c>
      <c r="AA722">
        <v>418.95</v>
      </c>
      <c r="AB722">
        <v>2746.48</v>
      </c>
      <c r="AC722">
        <v>1</v>
      </c>
      <c r="AD722">
        <v>1</v>
      </c>
      <c r="AE722" t="s">
        <v>232</v>
      </c>
      <c r="AF722" t="s">
        <v>29</v>
      </c>
      <c r="AG722">
        <v>2</v>
      </c>
      <c r="AH722" t="s">
        <v>25</v>
      </c>
      <c r="AI722">
        <v>1106</v>
      </c>
      <c r="AJ722" t="s">
        <v>239</v>
      </c>
      <c r="AK722" t="s">
        <v>1237</v>
      </c>
      <c r="AP722">
        <v>1136</v>
      </c>
      <c r="AQ722" t="s">
        <v>415</v>
      </c>
      <c r="AR722" t="s">
        <v>12</v>
      </c>
      <c r="AS722" t="str">
        <f>+CONCATENATE(A722,"-",B722)</f>
        <v>FB01-1385</v>
      </c>
    </row>
    <row r="723" spans="1:45" ht="15" customHeight="1">
      <c r="A723" t="s">
        <v>216</v>
      </c>
      <c r="B723">
        <v>1335</v>
      </c>
      <c r="C723" t="s">
        <v>27</v>
      </c>
      <c r="D723" s="8">
        <v>45686</v>
      </c>
      <c r="E723" s="22">
        <v>45964</v>
      </c>
      <c r="F723" t="s">
        <v>627</v>
      </c>
      <c r="H723">
        <v>6</v>
      </c>
      <c r="I723">
        <v>20101214771</v>
      </c>
      <c r="J723" t="s">
        <v>2015</v>
      </c>
      <c r="K723" s="8">
        <v>45686</v>
      </c>
      <c r="Q723">
        <v>18648</v>
      </c>
      <c r="R723">
        <v>870</v>
      </c>
      <c r="S723" t="s">
        <v>1299</v>
      </c>
      <c r="T723" t="s">
        <v>215</v>
      </c>
      <c r="U723">
        <v>1</v>
      </c>
      <c r="V723">
        <v>2347.0300000000002</v>
      </c>
      <c r="W723">
        <v>2769.5</v>
      </c>
      <c r="X723">
        <v>0</v>
      </c>
      <c r="Y723">
        <v>2347.0300000000002</v>
      </c>
      <c r="Z723">
        <v>18</v>
      </c>
      <c r="AA723">
        <v>422.47</v>
      </c>
      <c r="AB723">
        <v>2769.5</v>
      </c>
      <c r="AC723">
        <v>1</v>
      </c>
      <c r="AD723">
        <v>1</v>
      </c>
      <c r="AE723" t="s">
        <v>232</v>
      </c>
      <c r="AF723" t="s">
        <v>29</v>
      </c>
      <c r="AG723">
        <v>2</v>
      </c>
      <c r="AH723" t="s">
        <v>25</v>
      </c>
      <c r="AI723">
        <v>1106</v>
      </c>
      <c r="AJ723" t="s">
        <v>239</v>
      </c>
      <c r="AK723" t="s">
        <v>1237</v>
      </c>
      <c r="AP723">
        <v>1137</v>
      </c>
      <c r="AQ723" t="s">
        <v>627</v>
      </c>
      <c r="AR723" t="s">
        <v>12</v>
      </c>
      <c r="AS723" t="str">
        <f>+CONCATENATE(A723,"-",B723)</f>
        <v>FB01-1335</v>
      </c>
    </row>
    <row r="724" spans="1:45" ht="15" customHeight="1">
      <c r="A724" t="s">
        <v>216</v>
      </c>
      <c r="B724">
        <v>1275</v>
      </c>
      <c r="C724" t="s">
        <v>27</v>
      </c>
      <c r="D724" s="8">
        <v>45680</v>
      </c>
      <c r="E724" s="22">
        <v>45964</v>
      </c>
      <c r="F724" t="s">
        <v>415</v>
      </c>
      <c r="H724">
        <v>6</v>
      </c>
      <c r="I724">
        <v>20611890746</v>
      </c>
      <c r="J724" t="s">
        <v>2102</v>
      </c>
      <c r="K724" s="8">
        <v>45680</v>
      </c>
      <c r="Q724">
        <v>17788</v>
      </c>
      <c r="R724">
        <v>877</v>
      </c>
      <c r="S724" t="s">
        <v>1300</v>
      </c>
      <c r="T724" t="s">
        <v>215</v>
      </c>
      <c r="U724">
        <v>1</v>
      </c>
      <c r="V724">
        <v>2372.2399999999998</v>
      </c>
      <c r="W724">
        <v>2799.24</v>
      </c>
      <c r="X724">
        <v>0</v>
      </c>
      <c r="Y724">
        <v>2372.2399999999998</v>
      </c>
      <c r="Z724">
        <v>18</v>
      </c>
      <c r="AA724">
        <v>427</v>
      </c>
      <c r="AB724">
        <v>2799.24</v>
      </c>
      <c r="AC724">
        <v>1</v>
      </c>
      <c r="AD724">
        <v>1</v>
      </c>
      <c r="AE724" t="s">
        <v>232</v>
      </c>
      <c r="AF724" t="s">
        <v>29</v>
      </c>
      <c r="AG724">
        <v>2</v>
      </c>
      <c r="AH724" t="s">
        <v>25</v>
      </c>
      <c r="AI724">
        <v>1106</v>
      </c>
      <c r="AJ724" t="s">
        <v>239</v>
      </c>
      <c r="AK724" t="s">
        <v>1237</v>
      </c>
      <c r="AP724">
        <v>1136</v>
      </c>
      <c r="AQ724" t="s">
        <v>415</v>
      </c>
      <c r="AR724" t="s">
        <v>12</v>
      </c>
      <c r="AS724" t="str">
        <f>+CONCATENATE(A724,"-",B724)</f>
        <v>FB01-1275</v>
      </c>
    </row>
    <row r="725" spans="1:45" ht="15" customHeight="1">
      <c r="A725" t="s">
        <v>216</v>
      </c>
      <c r="B725">
        <v>1344</v>
      </c>
      <c r="C725" t="s">
        <v>27</v>
      </c>
      <c r="D725" s="8">
        <v>45686</v>
      </c>
      <c r="E725" s="22">
        <v>45964</v>
      </c>
      <c r="F725" t="s">
        <v>627</v>
      </c>
      <c r="H725">
        <v>6</v>
      </c>
      <c r="I725">
        <v>20101214771</v>
      </c>
      <c r="J725" t="s">
        <v>2006</v>
      </c>
      <c r="K725" s="8">
        <v>45686</v>
      </c>
      <c r="Q725">
        <v>18657</v>
      </c>
      <c r="R725">
        <v>877</v>
      </c>
      <c r="S725" t="s">
        <v>1300</v>
      </c>
      <c r="T725" t="s">
        <v>215</v>
      </c>
      <c r="U725">
        <v>1</v>
      </c>
      <c r="V725">
        <v>2377.37</v>
      </c>
      <c r="W725">
        <v>2805.3</v>
      </c>
      <c r="X725">
        <v>0</v>
      </c>
      <c r="Y725">
        <v>2377.37</v>
      </c>
      <c r="Z725">
        <v>18</v>
      </c>
      <c r="AA725">
        <v>427.93</v>
      </c>
      <c r="AB725">
        <v>2805.3</v>
      </c>
      <c r="AC725">
        <v>1</v>
      </c>
      <c r="AD725">
        <v>1</v>
      </c>
      <c r="AE725" t="s">
        <v>232</v>
      </c>
      <c r="AF725" t="s">
        <v>29</v>
      </c>
      <c r="AG725">
        <v>2</v>
      </c>
      <c r="AH725" t="s">
        <v>25</v>
      </c>
      <c r="AI725">
        <v>1106</v>
      </c>
      <c r="AJ725" t="s">
        <v>239</v>
      </c>
      <c r="AK725" t="s">
        <v>1237</v>
      </c>
      <c r="AP725">
        <v>1137</v>
      </c>
      <c r="AQ725" t="s">
        <v>627</v>
      </c>
      <c r="AR725" t="s">
        <v>12</v>
      </c>
      <c r="AS725" t="str">
        <f>+CONCATENATE(A725,"-",B725)</f>
        <v>FB01-1344</v>
      </c>
    </row>
    <row r="726" spans="1:45" ht="15" customHeight="1">
      <c r="A726" t="s">
        <v>216</v>
      </c>
      <c r="B726">
        <v>1271</v>
      </c>
      <c r="C726" t="s">
        <v>27</v>
      </c>
      <c r="D726" s="8">
        <v>45680</v>
      </c>
      <c r="E726" s="22">
        <v>45964</v>
      </c>
      <c r="F726" t="s">
        <v>415</v>
      </c>
      <c r="H726">
        <v>6</v>
      </c>
      <c r="I726">
        <v>20611890746</v>
      </c>
      <c r="J726" t="s">
        <v>2106</v>
      </c>
      <c r="K726" s="8">
        <v>45680</v>
      </c>
      <c r="Q726">
        <v>17784</v>
      </c>
      <c r="R726">
        <v>877</v>
      </c>
      <c r="S726" t="s">
        <v>1300</v>
      </c>
      <c r="T726" t="s">
        <v>215</v>
      </c>
      <c r="U726">
        <v>1</v>
      </c>
      <c r="V726">
        <v>2382.31</v>
      </c>
      <c r="W726">
        <v>2811.12</v>
      </c>
      <c r="X726">
        <v>0</v>
      </c>
      <c r="Y726">
        <v>2382.31</v>
      </c>
      <c r="Z726">
        <v>18</v>
      </c>
      <c r="AA726">
        <v>428.81</v>
      </c>
      <c r="AB726">
        <v>2811.12</v>
      </c>
      <c r="AC726">
        <v>1</v>
      </c>
      <c r="AD726">
        <v>1</v>
      </c>
      <c r="AE726" t="s">
        <v>232</v>
      </c>
      <c r="AF726" t="s">
        <v>29</v>
      </c>
      <c r="AG726">
        <v>2</v>
      </c>
      <c r="AH726" t="s">
        <v>25</v>
      </c>
      <c r="AI726">
        <v>1106</v>
      </c>
      <c r="AJ726" t="s">
        <v>239</v>
      </c>
      <c r="AK726" t="s">
        <v>1237</v>
      </c>
      <c r="AP726">
        <v>1136</v>
      </c>
      <c r="AQ726" t="s">
        <v>415</v>
      </c>
      <c r="AR726" t="s">
        <v>12</v>
      </c>
      <c r="AS726" t="str">
        <f>+CONCATENATE(A726,"-",B726)</f>
        <v>FB01-1271</v>
      </c>
    </row>
    <row r="727" spans="1:45" ht="15" customHeight="1">
      <c r="A727" t="s">
        <v>1214</v>
      </c>
      <c r="B727" s="21" t="s">
        <v>1616</v>
      </c>
      <c r="C727" t="s">
        <v>27</v>
      </c>
      <c r="D727" s="8">
        <v>45948</v>
      </c>
      <c r="E727" s="22">
        <v>45964.375</v>
      </c>
      <c r="F727" t="s">
        <v>1617</v>
      </c>
      <c r="H727">
        <v>1</v>
      </c>
      <c r="I727">
        <v>32856162</v>
      </c>
      <c r="J727" t="s">
        <v>1618</v>
      </c>
      <c r="K727" s="8">
        <v>45948</v>
      </c>
      <c r="Q727">
        <v>31716</v>
      </c>
      <c r="R727">
        <v>1924</v>
      </c>
      <c r="S727" t="s">
        <v>1405</v>
      </c>
      <c r="T727" t="s">
        <v>215</v>
      </c>
      <c r="U727">
        <v>6000</v>
      </c>
      <c r="V727">
        <v>0.4</v>
      </c>
      <c r="W727">
        <v>0.47</v>
      </c>
      <c r="X727">
        <v>0</v>
      </c>
      <c r="Y727">
        <v>2400</v>
      </c>
      <c r="Z727">
        <v>18</v>
      </c>
      <c r="AA727">
        <v>432</v>
      </c>
      <c r="AB727">
        <v>2832</v>
      </c>
      <c r="AC727">
        <v>1</v>
      </c>
      <c r="AD727">
        <v>1</v>
      </c>
      <c r="AE727" t="s">
        <v>1411</v>
      </c>
      <c r="AF727" t="s">
        <v>1412</v>
      </c>
      <c r="AG727">
        <v>16</v>
      </c>
      <c r="AH727" t="s">
        <v>1400</v>
      </c>
      <c r="AI727">
        <v>1106</v>
      </c>
      <c r="AJ727" t="s">
        <v>239</v>
      </c>
      <c r="AK727" t="s">
        <v>169</v>
      </c>
      <c r="AL727">
        <v>3098</v>
      </c>
      <c r="AM727" t="s">
        <v>1619</v>
      </c>
      <c r="AN727" s="8">
        <v>45942</v>
      </c>
      <c r="AO727" s="8">
        <v>45942</v>
      </c>
      <c r="AP727">
        <v>5546</v>
      </c>
      <c r="AQ727" t="s">
        <v>1620</v>
      </c>
      <c r="AR727" t="s">
        <v>1295</v>
      </c>
      <c r="AS727" t="str">
        <f>+CONCATENATE(A727,"-",B727)</f>
        <v>(03) Boleta BOB1-00000072</v>
      </c>
    </row>
    <row r="728" spans="1:45" ht="15" customHeight="1">
      <c r="A728" t="s">
        <v>1216</v>
      </c>
      <c r="B728" s="21" t="s">
        <v>1633</v>
      </c>
      <c r="C728" t="s">
        <v>27</v>
      </c>
      <c r="D728" s="8">
        <v>45947</v>
      </c>
      <c r="E728" s="22">
        <v>45964.75</v>
      </c>
      <c r="F728" t="s">
        <v>1630</v>
      </c>
      <c r="H728">
        <v>6</v>
      </c>
      <c r="I728">
        <v>20606672323</v>
      </c>
      <c r="J728" t="s">
        <v>1634</v>
      </c>
      <c r="K728" s="8">
        <v>45947</v>
      </c>
      <c r="Q728">
        <v>31700</v>
      </c>
      <c r="R728">
        <v>1895</v>
      </c>
      <c r="S728" t="s">
        <v>1407</v>
      </c>
      <c r="T728" t="s">
        <v>215</v>
      </c>
      <c r="U728">
        <v>4000</v>
      </c>
      <c r="V728">
        <v>0.6</v>
      </c>
      <c r="W728">
        <v>0.71</v>
      </c>
      <c r="X728">
        <v>0</v>
      </c>
      <c r="Y728">
        <v>2400</v>
      </c>
      <c r="Z728">
        <v>18</v>
      </c>
      <c r="AA728">
        <v>432</v>
      </c>
      <c r="AB728">
        <v>2832</v>
      </c>
      <c r="AC728">
        <v>1</v>
      </c>
      <c r="AD728">
        <v>1</v>
      </c>
      <c r="AE728" t="s">
        <v>1411</v>
      </c>
      <c r="AF728" t="s">
        <v>1412</v>
      </c>
      <c r="AG728">
        <v>16</v>
      </c>
      <c r="AH728" t="s">
        <v>1400</v>
      </c>
      <c r="AI728">
        <v>1106</v>
      </c>
      <c r="AJ728" t="s">
        <v>239</v>
      </c>
      <c r="AK728" t="s">
        <v>169</v>
      </c>
      <c r="AL728">
        <v>3035</v>
      </c>
      <c r="AM728" t="s">
        <v>1632</v>
      </c>
      <c r="AN728" s="8">
        <v>45934</v>
      </c>
      <c r="AO728" s="8">
        <v>45934</v>
      </c>
      <c r="AP728">
        <v>5606</v>
      </c>
      <c r="AQ728" t="s">
        <v>1630</v>
      </c>
      <c r="AR728" t="s">
        <v>12</v>
      </c>
      <c r="AS728" t="str">
        <f>+CONCATENATE(A728,"-",B728)</f>
        <v>(01) Factura FOF1-00000126</v>
      </c>
    </row>
    <row r="729" spans="1:45" ht="15" customHeight="1">
      <c r="A729" t="s">
        <v>216</v>
      </c>
      <c r="B729">
        <v>1290</v>
      </c>
      <c r="C729" t="s">
        <v>27</v>
      </c>
      <c r="D729" s="8">
        <v>45680</v>
      </c>
      <c r="E729" s="22">
        <v>45964</v>
      </c>
      <c r="F729" t="s">
        <v>415</v>
      </c>
      <c r="H729">
        <v>6</v>
      </c>
      <c r="I729">
        <v>20611890746</v>
      </c>
      <c r="J729" t="s">
        <v>2081</v>
      </c>
      <c r="K729" s="8">
        <v>45680</v>
      </c>
      <c r="Q729">
        <v>17812</v>
      </c>
      <c r="R729">
        <v>928</v>
      </c>
      <c r="S729" s="28" t="s">
        <v>1354</v>
      </c>
      <c r="T729" t="s">
        <v>215</v>
      </c>
      <c r="U729">
        <v>1</v>
      </c>
      <c r="V729">
        <v>2400</v>
      </c>
      <c r="W729">
        <v>2832</v>
      </c>
      <c r="X729">
        <v>0</v>
      </c>
      <c r="Y729">
        <v>2400</v>
      </c>
      <c r="Z729">
        <v>18</v>
      </c>
      <c r="AA729">
        <v>432</v>
      </c>
      <c r="AB729">
        <v>2832</v>
      </c>
      <c r="AC729">
        <v>1</v>
      </c>
      <c r="AD729">
        <v>1</v>
      </c>
      <c r="AE729" t="s">
        <v>232</v>
      </c>
      <c r="AF729" t="s">
        <v>29</v>
      </c>
      <c r="AG729">
        <v>2</v>
      </c>
      <c r="AH729" t="s">
        <v>25</v>
      </c>
      <c r="AI729">
        <v>1106</v>
      </c>
      <c r="AJ729" t="s">
        <v>239</v>
      </c>
      <c r="AK729" t="s">
        <v>1236</v>
      </c>
      <c r="AP729">
        <v>1136</v>
      </c>
      <c r="AQ729" t="s">
        <v>415</v>
      </c>
      <c r="AR729" t="s">
        <v>12</v>
      </c>
      <c r="AS729" t="str">
        <f>+CONCATENATE(A729,"-",B729)</f>
        <v>FB01-1290</v>
      </c>
    </row>
    <row r="730" spans="1:45" ht="15" customHeight="1">
      <c r="A730" t="s">
        <v>1216</v>
      </c>
      <c r="B730" s="21" t="s">
        <v>1669</v>
      </c>
      <c r="C730" t="s">
        <v>27</v>
      </c>
      <c r="D730" s="8">
        <v>45946</v>
      </c>
      <c r="E730" s="22">
        <v>45964.865277777775</v>
      </c>
      <c r="F730" t="s">
        <v>1670</v>
      </c>
      <c r="H730">
        <v>6</v>
      </c>
      <c r="I730">
        <v>20542731347</v>
      </c>
      <c r="J730" t="s">
        <v>1671</v>
      </c>
      <c r="K730" s="8">
        <v>45946</v>
      </c>
      <c r="Q730">
        <v>31614</v>
      </c>
      <c r="R730">
        <v>1786</v>
      </c>
      <c r="S730" t="s">
        <v>1299</v>
      </c>
      <c r="T730" t="s">
        <v>163</v>
      </c>
      <c r="U730">
        <v>1</v>
      </c>
      <c r="V730">
        <v>2447.71</v>
      </c>
      <c r="W730">
        <v>2888.3</v>
      </c>
      <c r="X730">
        <v>0</v>
      </c>
      <c r="Y730">
        <v>2447.71</v>
      </c>
      <c r="Z730">
        <v>18</v>
      </c>
      <c r="AA730">
        <v>440.59</v>
      </c>
      <c r="AB730">
        <v>2888.3</v>
      </c>
      <c r="AC730">
        <v>1</v>
      </c>
      <c r="AD730">
        <v>1</v>
      </c>
      <c r="AE730" t="s">
        <v>1411</v>
      </c>
      <c r="AF730" t="s">
        <v>1412</v>
      </c>
      <c r="AG730">
        <v>2</v>
      </c>
      <c r="AH730" t="s">
        <v>25</v>
      </c>
      <c r="AI730">
        <v>6937</v>
      </c>
      <c r="AJ730" t="s">
        <v>1414</v>
      </c>
      <c r="AK730" t="s">
        <v>1251</v>
      </c>
      <c r="AL730">
        <v>2972</v>
      </c>
      <c r="AM730" t="s">
        <v>1672</v>
      </c>
      <c r="AN730" s="8">
        <v>45928</v>
      </c>
      <c r="AO730" s="8">
        <v>45928</v>
      </c>
      <c r="AP730">
        <v>435</v>
      </c>
      <c r="AQ730" t="s">
        <v>1673</v>
      </c>
      <c r="AR730" t="s">
        <v>1295</v>
      </c>
      <c r="AS730" t="str">
        <f>+CONCATENATE(A730,"-",B730)</f>
        <v>(01) Factura FOF1-00000123</v>
      </c>
    </row>
    <row r="731" spans="1:45" ht="15" customHeight="1">
      <c r="A731" t="s">
        <v>1214</v>
      </c>
      <c r="B731" s="21" t="s">
        <v>1687</v>
      </c>
      <c r="C731" t="s">
        <v>27</v>
      </c>
      <c r="D731" s="8">
        <v>45946</v>
      </c>
      <c r="E731" s="22">
        <v>45964.862199074072</v>
      </c>
      <c r="F731" t="s">
        <v>1673</v>
      </c>
      <c r="G731" t="s">
        <v>158</v>
      </c>
      <c r="H731">
        <v>1</v>
      </c>
      <c r="I731">
        <v>40469388</v>
      </c>
      <c r="J731" t="s">
        <v>1688</v>
      </c>
      <c r="K731" s="8">
        <v>45946</v>
      </c>
      <c r="Q731">
        <v>31590</v>
      </c>
      <c r="R731">
        <v>1786</v>
      </c>
      <c r="S731" t="s">
        <v>1299</v>
      </c>
      <c r="T731" t="s">
        <v>163</v>
      </c>
      <c r="U731">
        <v>1</v>
      </c>
      <c r="V731">
        <v>2447.71</v>
      </c>
      <c r="W731">
        <v>2888.3</v>
      </c>
      <c r="X731">
        <v>0</v>
      </c>
      <c r="Y731">
        <v>2447.71</v>
      </c>
      <c r="Z731">
        <v>18</v>
      </c>
      <c r="AA731">
        <v>440.59</v>
      </c>
      <c r="AB731">
        <v>2888.3</v>
      </c>
      <c r="AC731">
        <v>1</v>
      </c>
      <c r="AD731">
        <v>1</v>
      </c>
      <c r="AE731" t="s">
        <v>1411</v>
      </c>
      <c r="AF731" t="s">
        <v>1412</v>
      </c>
      <c r="AG731">
        <v>2</v>
      </c>
      <c r="AH731" t="s">
        <v>25</v>
      </c>
      <c r="AI731">
        <v>6937</v>
      </c>
      <c r="AJ731" t="s">
        <v>1414</v>
      </c>
      <c r="AK731" t="s">
        <v>1251</v>
      </c>
      <c r="AL731">
        <v>2972</v>
      </c>
      <c r="AM731" t="s">
        <v>1672</v>
      </c>
      <c r="AN731" s="8">
        <v>45928</v>
      </c>
      <c r="AO731" s="8">
        <v>45928</v>
      </c>
      <c r="AP731">
        <v>435</v>
      </c>
      <c r="AQ731" t="s">
        <v>1673</v>
      </c>
      <c r="AR731" t="s">
        <v>1295</v>
      </c>
      <c r="AS731" t="str">
        <f>+CONCATENATE(A731,"-",B731)</f>
        <v>(03) Boleta BOB1-00000060</v>
      </c>
    </row>
    <row r="732" spans="1:45" ht="15" customHeight="1">
      <c r="A732" t="s">
        <v>216</v>
      </c>
      <c r="B732">
        <v>1379</v>
      </c>
      <c r="C732" t="s">
        <v>27</v>
      </c>
      <c r="D732" s="8">
        <v>45693</v>
      </c>
      <c r="E732" s="22">
        <v>45964</v>
      </c>
      <c r="F732" t="s">
        <v>415</v>
      </c>
      <c r="H732">
        <v>6</v>
      </c>
      <c r="I732">
        <v>20611890746</v>
      </c>
      <c r="J732" t="s">
        <v>1956</v>
      </c>
      <c r="K732" s="8">
        <v>45693</v>
      </c>
      <c r="Q732">
        <v>18714</v>
      </c>
      <c r="R732">
        <v>877</v>
      </c>
      <c r="S732" t="s">
        <v>1300</v>
      </c>
      <c r="T732" t="s">
        <v>215</v>
      </c>
      <c r="U732">
        <v>1</v>
      </c>
      <c r="V732">
        <v>2530.92</v>
      </c>
      <c r="W732">
        <v>2986.48</v>
      </c>
      <c r="X732">
        <v>0</v>
      </c>
      <c r="Y732">
        <v>2530.92</v>
      </c>
      <c r="Z732">
        <v>18</v>
      </c>
      <c r="AA732">
        <v>455.56</v>
      </c>
      <c r="AB732">
        <v>2986.48</v>
      </c>
      <c r="AC732">
        <v>1</v>
      </c>
      <c r="AD732">
        <v>1</v>
      </c>
      <c r="AE732" t="s">
        <v>232</v>
      </c>
      <c r="AF732" t="s">
        <v>29</v>
      </c>
      <c r="AG732">
        <v>2</v>
      </c>
      <c r="AH732" t="s">
        <v>25</v>
      </c>
      <c r="AI732">
        <v>1106</v>
      </c>
      <c r="AJ732" t="s">
        <v>239</v>
      </c>
      <c r="AK732" t="s">
        <v>1237</v>
      </c>
      <c r="AP732">
        <v>1136</v>
      </c>
      <c r="AQ732" t="s">
        <v>415</v>
      </c>
      <c r="AR732" t="s">
        <v>12</v>
      </c>
      <c r="AS732" t="str">
        <f>+CONCATENATE(A732,"-",B732)</f>
        <v>FB01-1379</v>
      </c>
    </row>
    <row r="733" spans="1:45" ht="15" customHeight="1">
      <c r="A733" t="s">
        <v>216</v>
      </c>
      <c r="B733">
        <v>1257</v>
      </c>
      <c r="C733" t="s">
        <v>27</v>
      </c>
      <c r="D733" s="8">
        <v>45665</v>
      </c>
      <c r="E733" s="22">
        <v>45964</v>
      </c>
      <c r="F733" t="s">
        <v>32</v>
      </c>
      <c r="G733" t="s">
        <v>158</v>
      </c>
      <c r="H733">
        <v>6</v>
      </c>
      <c r="I733">
        <v>20608361074</v>
      </c>
      <c r="J733" t="s">
        <v>2126</v>
      </c>
      <c r="K733" s="8">
        <v>45665</v>
      </c>
      <c r="Q733">
        <v>17762</v>
      </c>
      <c r="R733">
        <v>908</v>
      </c>
      <c r="S733" t="s">
        <v>1369</v>
      </c>
      <c r="T733" t="s">
        <v>215</v>
      </c>
      <c r="U733">
        <v>1</v>
      </c>
      <c r="V733">
        <v>2551.0300000000002</v>
      </c>
      <c r="W733">
        <v>3010.21</v>
      </c>
      <c r="X733">
        <v>0</v>
      </c>
      <c r="Y733">
        <v>2551.0300000000002</v>
      </c>
      <c r="Z733">
        <v>18</v>
      </c>
      <c r="AA733">
        <v>459.18</v>
      </c>
      <c r="AB733">
        <v>3010.21</v>
      </c>
      <c r="AC733">
        <v>1</v>
      </c>
      <c r="AD733">
        <v>1</v>
      </c>
      <c r="AE733" t="s">
        <v>232</v>
      </c>
      <c r="AF733" t="s">
        <v>29</v>
      </c>
      <c r="AG733">
        <v>2</v>
      </c>
      <c r="AH733" t="s">
        <v>25</v>
      </c>
      <c r="AI733">
        <v>1106</v>
      </c>
      <c r="AJ733" t="s">
        <v>239</v>
      </c>
      <c r="AK733" t="s">
        <v>1237</v>
      </c>
      <c r="AP733">
        <v>397</v>
      </c>
      <c r="AQ733" t="s">
        <v>32</v>
      </c>
      <c r="AR733" t="s">
        <v>12</v>
      </c>
      <c r="AS733" t="str">
        <f>+CONCATENATE(A733,"-",B733)</f>
        <v>FB01-1257</v>
      </c>
    </row>
    <row r="734" spans="1:45" ht="15" customHeight="1">
      <c r="A734" t="s">
        <v>1214</v>
      </c>
      <c r="B734" s="21" t="s">
        <v>1506</v>
      </c>
      <c r="C734" t="s">
        <v>27</v>
      </c>
      <c r="D734" s="8">
        <v>45954</v>
      </c>
      <c r="E734" s="22">
        <v>45964.575428240743</v>
      </c>
      <c r="F734" t="s">
        <v>1502</v>
      </c>
      <c r="H734">
        <v>1</v>
      </c>
      <c r="I734">
        <v>71809280</v>
      </c>
      <c r="J734" t="s">
        <v>1507</v>
      </c>
      <c r="K734" s="8">
        <v>45954</v>
      </c>
      <c r="Q734">
        <v>32518</v>
      </c>
      <c r="R734">
        <v>1786</v>
      </c>
      <c r="S734" t="s">
        <v>1299</v>
      </c>
      <c r="T734" t="s">
        <v>163</v>
      </c>
      <c r="U734">
        <v>1</v>
      </c>
      <c r="V734">
        <v>2630.88</v>
      </c>
      <c r="W734">
        <v>3104.44</v>
      </c>
      <c r="X734">
        <v>0</v>
      </c>
      <c r="Y734">
        <v>2630.88</v>
      </c>
      <c r="Z734">
        <v>18</v>
      </c>
      <c r="AA734">
        <v>473.56</v>
      </c>
      <c r="AB734">
        <v>3104.44</v>
      </c>
      <c r="AC734">
        <v>1</v>
      </c>
      <c r="AD734">
        <v>1</v>
      </c>
      <c r="AE734" t="s">
        <v>1411</v>
      </c>
      <c r="AF734" t="s">
        <v>1412</v>
      </c>
      <c r="AG734">
        <v>2</v>
      </c>
      <c r="AH734" t="s">
        <v>25</v>
      </c>
      <c r="AI734">
        <v>6937</v>
      </c>
      <c r="AJ734" t="s">
        <v>1414</v>
      </c>
      <c r="AK734" t="s">
        <v>1251</v>
      </c>
      <c r="AL734">
        <v>3171</v>
      </c>
      <c r="AM734" t="s">
        <v>1505</v>
      </c>
      <c r="AN734" s="8">
        <v>45949</v>
      </c>
      <c r="AO734" s="8">
        <v>45949</v>
      </c>
      <c r="AP734">
        <v>6056</v>
      </c>
      <c r="AQ734" t="s">
        <v>1502</v>
      </c>
      <c r="AR734" t="s">
        <v>1295</v>
      </c>
      <c r="AS734" t="str">
        <f>+CONCATENATE(A734,"-",B734)</f>
        <v>(03) Boleta BOB1-00000082</v>
      </c>
    </row>
    <row r="735" spans="1:45" ht="15" customHeight="1">
      <c r="A735" t="s">
        <v>1214</v>
      </c>
      <c r="B735" s="21" t="s">
        <v>211</v>
      </c>
      <c r="C735" t="s">
        <v>27</v>
      </c>
      <c r="D735" s="8">
        <v>45945</v>
      </c>
      <c r="E735" s="22">
        <v>45964.746678240743</v>
      </c>
      <c r="F735" t="s">
        <v>287</v>
      </c>
      <c r="H735">
        <v>1</v>
      </c>
      <c r="I735">
        <v>46168918</v>
      </c>
      <c r="J735" t="s">
        <v>1870</v>
      </c>
      <c r="K735" s="8">
        <v>45945</v>
      </c>
      <c r="Q735">
        <v>31166</v>
      </c>
      <c r="R735">
        <v>2315</v>
      </c>
      <c r="S735" t="s">
        <v>1304</v>
      </c>
      <c r="T735" t="s">
        <v>163</v>
      </c>
      <c r="U735">
        <v>1</v>
      </c>
      <c r="V735">
        <v>2687.46</v>
      </c>
      <c r="W735">
        <v>3171.2</v>
      </c>
      <c r="X735">
        <v>0</v>
      </c>
      <c r="Y735">
        <v>2687.46</v>
      </c>
      <c r="Z735">
        <v>18</v>
      </c>
      <c r="AA735">
        <v>483.74</v>
      </c>
      <c r="AB735">
        <v>3171.2</v>
      </c>
      <c r="AC735">
        <v>1</v>
      </c>
      <c r="AD735">
        <v>1</v>
      </c>
      <c r="AE735" t="s">
        <v>1411</v>
      </c>
      <c r="AF735" t="s">
        <v>1412</v>
      </c>
      <c r="AG735">
        <v>2</v>
      </c>
      <c r="AH735" t="s">
        <v>25</v>
      </c>
      <c r="AI735">
        <v>1106</v>
      </c>
      <c r="AJ735" t="s">
        <v>239</v>
      </c>
      <c r="AK735" t="s">
        <v>169</v>
      </c>
      <c r="AL735">
        <v>2953</v>
      </c>
      <c r="AM735" t="s">
        <v>1226</v>
      </c>
      <c r="AN735" s="8">
        <v>45934</v>
      </c>
      <c r="AO735" s="8">
        <v>45934</v>
      </c>
      <c r="AP735">
        <v>5592</v>
      </c>
      <c r="AQ735" t="s">
        <v>287</v>
      </c>
      <c r="AR735" t="s">
        <v>1295</v>
      </c>
      <c r="AS735" t="str">
        <f>+CONCATENATE(A735,"-",B735)</f>
        <v>(03) Boleta BOB1-00000016</v>
      </c>
    </row>
    <row r="736" spans="1:45" ht="15" customHeight="1">
      <c r="A736" t="s">
        <v>1214</v>
      </c>
      <c r="B736" s="21" t="s">
        <v>184</v>
      </c>
      <c r="C736" t="s">
        <v>27</v>
      </c>
      <c r="D736" s="8">
        <v>45945</v>
      </c>
      <c r="E736" s="22">
        <v>45964.768726851849</v>
      </c>
      <c r="F736" t="s">
        <v>271</v>
      </c>
      <c r="G736" t="s">
        <v>158</v>
      </c>
      <c r="H736">
        <v>1</v>
      </c>
      <c r="I736">
        <v>48595560</v>
      </c>
      <c r="J736" t="s">
        <v>1847</v>
      </c>
      <c r="K736" s="8">
        <v>45945</v>
      </c>
      <c r="Q736">
        <v>31244</v>
      </c>
      <c r="R736">
        <v>2315</v>
      </c>
      <c r="S736" t="s">
        <v>1304</v>
      </c>
      <c r="T736" t="s">
        <v>163</v>
      </c>
      <c r="U736">
        <v>1</v>
      </c>
      <c r="V736">
        <v>2701</v>
      </c>
      <c r="W736">
        <v>3187.18</v>
      </c>
      <c r="X736">
        <v>0</v>
      </c>
      <c r="Y736">
        <v>2701</v>
      </c>
      <c r="Z736">
        <v>18</v>
      </c>
      <c r="AA736">
        <v>486.18</v>
      </c>
      <c r="AB736">
        <v>3187.18</v>
      </c>
      <c r="AC736">
        <v>1</v>
      </c>
      <c r="AD736">
        <v>1</v>
      </c>
      <c r="AE736" t="s">
        <v>1411</v>
      </c>
      <c r="AF736" t="s">
        <v>1412</v>
      </c>
      <c r="AG736">
        <v>2</v>
      </c>
      <c r="AH736" t="s">
        <v>25</v>
      </c>
      <c r="AI736">
        <v>1106</v>
      </c>
      <c r="AJ736" t="s">
        <v>239</v>
      </c>
      <c r="AK736" t="s">
        <v>169</v>
      </c>
      <c r="AL736">
        <v>3066</v>
      </c>
      <c r="AM736" t="s">
        <v>1218</v>
      </c>
      <c r="AN736" s="8">
        <v>45934</v>
      </c>
      <c r="AO736" s="8">
        <v>45934</v>
      </c>
      <c r="AP736">
        <v>387</v>
      </c>
      <c r="AQ736" t="s">
        <v>271</v>
      </c>
      <c r="AR736" t="s">
        <v>1295</v>
      </c>
      <c r="AS736" t="str">
        <f>+CONCATENATE(A736,"-",B736)</f>
        <v>(03) Boleta BOB1-00000028</v>
      </c>
    </row>
    <row r="737" spans="1:45" ht="15" customHeight="1">
      <c r="A737" t="s">
        <v>1216</v>
      </c>
      <c r="B737" s="21" t="s">
        <v>1679</v>
      </c>
      <c r="C737" t="s">
        <v>27</v>
      </c>
      <c r="D737" s="8">
        <v>45946</v>
      </c>
      <c r="E737" s="22">
        <v>45964.863530092596</v>
      </c>
      <c r="F737" t="s">
        <v>1670</v>
      </c>
      <c r="H737">
        <v>6</v>
      </c>
      <c r="I737">
        <v>20542731347</v>
      </c>
      <c r="J737" t="s">
        <v>1680</v>
      </c>
      <c r="K737" s="8">
        <v>45946</v>
      </c>
      <c r="Q737">
        <v>31602</v>
      </c>
      <c r="R737">
        <v>2315</v>
      </c>
      <c r="S737" t="s">
        <v>1304</v>
      </c>
      <c r="T737" t="s">
        <v>163</v>
      </c>
      <c r="U737">
        <v>1</v>
      </c>
      <c r="V737">
        <v>2750</v>
      </c>
      <c r="W737">
        <v>3245</v>
      </c>
      <c r="X737">
        <v>0</v>
      </c>
      <c r="Y737">
        <v>2750</v>
      </c>
      <c r="Z737">
        <v>18</v>
      </c>
      <c r="AA737">
        <v>495</v>
      </c>
      <c r="AB737">
        <v>3245</v>
      </c>
      <c r="AC737">
        <v>1</v>
      </c>
      <c r="AD737">
        <v>1</v>
      </c>
      <c r="AE737" t="s">
        <v>1411</v>
      </c>
      <c r="AF737" t="s">
        <v>1412</v>
      </c>
      <c r="AG737">
        <v>2</v>
      </c>
      <c r="AH737" t="s">
        <v>25</v>
      </c>
      <c r="AI737">
        <v>6959</v>
      </c>
      <c r="AJ737" t="s">
        <v>1401</v>
      </c>
      <c r="AK737" t="s">
        <v>1243</v>
      </c>
      <c r="AL737">
        <v>2972</v>
      </c>
      <c r="AM737" t="s">
        <v>1672</v>
      </c>
      <c r="AN737" s="8">
        <v>45928</v>
      </c>
      <c r="AO737" s="8">
        <v>45928</v>
      </c>
      <c r="AP737">
        <v>435</v>
      </c>
      <c r="AQ737" t="s">
        <v>1673</v>
      </c>
      <c r="AR737" t="s">
        <v>1295</v>
      </c>
      <c r="AS737" t="str">
        <f>+CONCATENATE(A737,"-",B737)</f>
        <v>(01) Factura FOF1-00000119</v>
      </c>
    </row>
    <row r="738" spans="1:45" ht="15" customHeight="1">
      <c r="A738" t="s">
        <v>1214</v>
      </c>
      <c r="B738" s="21" t="s">
        <v>1685</v>
      </c>
      <c r="C738" t="s">
        <v>27</v>
      </c>
      <c r="D738" s="8">
        <v>45946</v>
      </c>
      <c r="E738" s="22">
        <v>45964.862407407411</v>
      </c>
      <c r="F738" t="s">
        <v>1673</v>
      </c>
      <c r="G738" t="s">
        <v>158</v>
      </c>
      <c r="H738">
        <v>1</v>
      </c>
      <c r="I738">
        <v>40469388</v>
      </c>
      <c r="J738" t="s">
        <v>1686</v>
      </c>
      <c r="K738" s="8">
        <v>45946</v>
      </c>
      <c r="Q738">
        <v>31593</v>
      </c>
      <c r="R738">
        <v>2315</v>
      </c>
      <c r="S738" t="s">
        <v>1304</v>
      </c>
      <c r="T738" t="s">
        <v>163</v>
      </c>
      <c r="U738">
        <v>1</v>
      </c>
      <c r="V738">
        <v>2750</v>
      </c>
      <c r="W738">
        <v>3245</v>
      </c>
      <c r="X738">
        <v>0</v>
      </c>
      <c r="Y738">
        <v>2750</v>
      </c>
      <c r="Z738">
        <v>18</v>
      </c>
      <c r="AA738">
        <v>495</v>
      </c>
      <c r="AB738">
        <v>3245</v>
      </c>
      <c r="AC738">
        <v>1</v>
      </c>
      <c r="AD738">
        <v>1</v>
      </c>
      <c r="AE738" t="s">
        <v>1411</v>
      </c>
      <c r="AF738" t="s">
        <v>1412</v>
      </c>
      <c r="AG738">
        <v>2</v>
      </c>
      <c r="AH738" t="s">
        <v>25</v>
      </c>
      <c r="AI738">
        <v>6959</v>
      </c>
      <c r="AJ738" t="s">
        <v>1401</v>
      </c>
      <c r="AK738" t="s">
        <v>1243</v>
      </c>
      <c r="AL738">
        <v>2972</v>
      </c>
      <c r="AM738" t="s">
        <v>1672</v>
      </c>
      <c r="AN738" s="8">
        <v>45928</v>
      </c>
      <c r="AO738" s="8">
        <v>45928</v>
      </c>
      <c r="AP738">
        <v>435</v>
      </c>
      <c r="AQ738" t="s">
        <v>1673</v>
      </c>
      <c r="AR738" t="s">
        <v>1295</v>
      </c>
      <c r="AS738" t="str">
        <f>+CONCATENATE(A738,"-",B738)</f>
        <v>(03) Boleta BOB1-00000061</v>
      </c>
    </row>
    <row r="739" spans="1:45" ht="15" customHeight="1">
      <c r="A739" t="s">
        <v>216</v>
      </c>
      <c r="B739">
        <v>1205</v>
      </c>
      <c r="C739" t="s">
        <v>27</v>
      </c>
      <c r="D739" s="8">
        <v>45663</v>
      </c>
      <c r="E739" s="22">
        <v>45964</v>
      </c>
      <c r="F739" t="s">
        <v>1080</v>
      </c>
      <c r="H739">
        <v>6</v>
      </c>
      <c r="I739">
        <v>20611454300</v>
      </c>
      <c r="J739" t="s">
        <v>2177</v>
      </c>
      <c r="K739" s="8">
        <v>45663</v>
      </c>
      <c r="Q739">
        <v>17208</v>
      </c>
      <c r="R739">
        <v>877</v>
      </c>
      <c r="S739" t="s">
        <v>1300</v>
      </c>
      <c r="T739" t="s">
        <v>215</v>
      </c>
      <c r="U739">
        <v>1</v>
      </c>
      <c r="V739">
        <v>2836.25</v>
      </c>
      <c r="W739">
        <v>3346.77</v>
      </c>
      <c r="X739">
        <v>0</v>
      </c>
      <c r="Y739">
        <v>2836.25</v>
      </c>
      <c r="Z739">
        <v>18</v>
      </c>
      <c r="AA739">
        <v>510.52</v>
      </c>
      <c r="AB739">
        <v>3346.77</v>
      </c>
      <c r="AC739">
        <v>1</v>
      </c>
      <c r="AD739">
        <v>1</v>
      </c>
      <c r="AE739" t="s">
        <v>232</v>
      </c>
      <c r="AF739" t="s">
        <v>29</v>
      </c>
      <c r="AG739">
        <v>2</v>
      </c>
      <c r="AH739" t="s">
        <v>25</v>
      </c>
      <c r="AI739">
        <v>1106</v>
      </c>
      <c r="AJ739" t="s">
        <v>239</v>
      </c>
      <c r="AK739" t="s">
        <v>1237</v>
      </c>
      <c r="AP739">
        <v>1119</v>
      </c>
      <c r="AQ739" t="s">
        <v>1080</v>
      </c>
      <c r="AR739" t="s">
        <v>12</v>
      </c>
      <c r="AS739" t="str">
        <f>+CONCATENATE(A739,"-",B739)</f>
        <v>FB01-1205</v>
      </c>
    </row>
    <row r="740" spans="1:45" ht="15" customHeight="1">
      <c r="A740" t="s">
        <v>216</v>
      </c>
      <c r="B740">
        <v>1228</v>
      </c>
      <c r="C740" t="s">
        <v>27</v>
      </c>
      <c r="D740" s="8">
        <v>45665</v>
      </c>
      <c r="E740" s="22">
        <v>45964</v>
      </c>
      <c r="F740" t="s">
        <v>1240</v>
      </c>
      <c r="G740" t="s">
        <v>158</v>
      </c>
      <c r="H740">
        <v>6</v>
      </c>
      <c r="I740">
        <v>20602855733</v>
      </c>
      <c r="J740" t="s">
        <v>2157</v>
      </c>
      <c r="K740" s="8">
        <v>45665</v>
      </c>
      <c r="Q740">
        <v>17231</v>
      </c>
      <c r="R740">
        <v>871</v>
      </c>
      <c r="S740" t="s">
        <v>1316</v>
      </c>
      <c r="T740" t="s">
        <v>215</v>
      </c>
      <c r="U740">
        <v>1</v>
      </c>
      <c r="V740">
        <v>2862.29</v>
      </c>
      <c r="W740">
        <v>3377.5</v>
      </c>
      <c r="X740">
        <v>0</v>
      </c>
      <c r="Y740">
        <v>2862.29</v>
      </c>
      <c r="Z740">
        <v>18</v>
      </c>
      <c r="AA740">
        <v>515.21</v>
      </c>
      <c r="AB740">
        <v>3377.5</v>
      </c>
      <c r="AC740">
        <v>1</v>
      </c>
      <c r="AD740">
        <v>1</v>
      </c>
      <c r="AE740" t="s">
        <v>232</v>
      </c>
      <c r="AF740" t="s">
        <v>29</v>
      </c>
      <c r="AG740">
        <v>2</v>
      </c>
      <c r="AH740" t="s">
        <v>25</v>
      </c>
      <c r="AI740">
        <v>1106</v>
      </c>
      <c r="AJ740" t="s">
        <v>239</v>
      </c>
      <c r="AK740" t="s">
        <v>1237</v>
      </c>
      <c r="AP740">
        <v>385</v>
      </c>
      <c r="AQ740" t="s">
        <v>1240</v>
      </c>
      <c r="AR740" t="s">
        <v>12</v>
      </c>
      <c r="AS740" t="str">
        <f>+CONCATENATE(A740,"-",B740)</f>
        <v>FB01-1228</v>
      </c>
    </row>
    <row r="741" spans="1:45" ht="15" customHeight="1">
      <c r="A741" t="s">
        <v>1216</v>
      </c>
      <c r="B741" s="21" t="s">
        <v>175</v>
      </c>
      <c r="C741" t="s">
        <v>27</v>
      </c>
      <c r="D741" s="8">
        <v>45945</v>
      </c>
      <c r="E741" s="22">
        <v>45964.780405092592</v>
      </c>
      <c r="F741" t="s">
        <v>32</v>
      </c>
      <c r="G741" t="s">
        <v>158</v>
      </c>
      <c r="H741">
        <v>6</v>
      </c>
      <c r="I741">
        <v>20608361074</v>
      </c>
      <c r="J741" t="s">
        <v>1846</v>
      </c>
      <c r="K741" s="8">
        <v>45945</v>
      </c>
      <c r="Q741">
        <v>31247</v>
      </c>
      <c r="R741">
        <v>216</v>
      </c>
      <c r="S741" t="s">
        <v>1300</v>
      </c>
      <c r="T741" t="s">
        <v>163</v>
      </c>
      <c r="U741">
        <v>1</v>
      </c>
      <c r="V741">
        <v>2880.59</v>
      </c>
      <c r="W741">
        <v>3399.1</v>
      </c>
      <c r="X741">
        <v>0</v>
      </c>
      <c r="Y741">
        <v>2880.59</v>
      </c>
      <c r="Z741">
        <v>18</v>
      </c>
      <c r="AA741">
        <v>518.51</v>
      </c>
      <c r="AB741">
        <v>3399.1</v>
      </c>
      <c r="AC741">
        <v>1</v>
      </c>
      <c r="AD741">
        <v>1</v>
      </c>
      <c r="AE741" t="s">
        <v>1411</v>
      </c>
      <c r="AF741" t="s">
        <v>1412</v>
      </c>
      <c r="AG741">
        <v>2</v>
      </c>
      <c r="AH741" t="s">
        <v>25</v>
      </c>
      <c r="AI741">
        <v>1106</v>
      </c>
      <c r="AJ741" t="s">
        <v>239</v>
      </c>
      <c r="AK741" t="s">
        <v>169</v>
      </c>
      <c r="AL741">
        <v>3081</v>
      </c>
      <c r="AM741" t="s">
        <v>1217</v>
      </c>
      <c r="AN741" s="8">
        <v>45934</v>
      </c>
      <c r="AO741" s="8">
        <v>45934</v>
      </c>
      <c r="AP741">
        <v>397</v>
      </c>
      <c r="AQ741" t="s">
        <v>32</v>
      </c>
      <c r="AR741" t="s">
        <v>12</v>
      </c>
      <c r="AS741" t="str">
        <f>+CONCATENATE(A741,"-",B741)</f>
        <v>(01) Factura FOF1-00000040</v>
      </c>
    </row>
    <row r="742" spans="1:45" ht="15" customHeight="1">
      <c r="A742" t="s">
        <v>216</v>
      </c>
      <c r="B742">
        <v>1193</v>
      </c>
      <c r="C742" t="s">
        <v>27</v>
      </c>
      <c r="D742" s="8">
        <v>45663</v>
      </c>
      <c r="E742" s="22">
        <v>45964</v>
      </c>
      <c r="F742" t="s">
        <v>1321</v>
      </c>
      <c r="G742" t="s">
        <v>158</v>
      </c>
      <c r="H742">
        <v>6</v>
      </c>
      <c r="I742">
        <v>20296011356</v>
      </c>
      <c r="J742" t="s">
        <v>2195</v>
      </c>
      <c r="K742" s="8">
        <v>45663</v>
      </c>
      <c r="Q742">
        <v>17188</v>
      </c>
      <c r="R742">
        <v>877</v>
      </c>
      <c r="S742" t="s">
        <v>1300</v>
      </c>
      <c r="T742" t="s">
        <v>215</v>
      </c>
      <c r="U742">
        <v>1</v>
      </c>
      <c r="V742">
        <v>2915</v>
      </c>
      <c r="W742">
        <v>3439.7</v>
      </c>
      <c r="X742">
        <v>0</v>
      </c>
      <c r="Y742">
        <v>2915</v>
      </c>
      <c r="Z742">
        <v>18</v>
      </c>
      <c r="AA742">
        <v>524.70000000000005</v>
      </c>
      <c r="AB742">
        <v>3439.7</v>
      </c>
      <c r="AC742">
        <v>1</v>
      </c>
      <c r="AD742">
        <v>1</v>
      </c>
      <c r="AE742" t="s">
        <v>232</v>
      </c>
      <c r="AF742" t="s">
        <v>29</v>
      </c>
      <c r="AG742">
        <v>2</v>
      </c>
      <c r="AH742" t="s">
        <v>25</v>
      </c>
      <c r="AI742">
        <v>1106</v>
      </c>
      <c r="AJ742" t="s">
        <v>239</v>
      </c>
      <c r="AK742" t="s">
        <v>1237</v>
      </c>
      <c r="AP742">
        <v>390</v>
      </c>
      <c r="AQ742" t="s">
        <v>1321</v>
      </c>
      <c r="AR742" t="s">
        <v>12</v>
      </c>
      <c r="AS742" t="str">
        <f>+CONCATENATE(A742,"-",B742)</f>
        <v>FB01-1193</v>
      </c>
    </row>
    <row r="743" spans="1:45" ht="15" customHeight="1">
      <c r="A743" t="s">
        <v>216</v>
      </c>
      <c r="B743">
        <v>1181</v>
      </c>
      <c r="C743" t="s">
        <v>27</v>
      </c>
      <c r="D743" s="8">
        <v>45660</v>
      </c>
      <c r="E743" s="22">
        <v>45964</v>
      </c>
      <c r="F743" t="s">
        <v>1393</v>
      </c>
      <c r="H743">
        <v>6</v>
      </c>
      <c r="I743">
        <v>20609168961</v>
      </c>
      <c r="J743" t="s">
        <v>2212</v>
      </c>
      <c r="K743" s="8">
        <v>45660</v>
      </c>
      <c r="Q743">
        <v>17167</v>
      </c>
      <c r="R743">
        <v>877</v>
      </c>
      <c r="S743" t="s">
        <v>1300</v>
      </c>
      <c r="T743" t="s">
        <v>215</v>
      </c>
      <c r="U743">
        <v>1</v>
      </c>
      <c r="V743">
        <v>2919.83</v>
      </c>
      <c r="W743">
        <v>3445.4</v>
      </c>
      <c r="X743">
        <v>0</v>
      </c>
      <c r="Y743">
        <v>2919.83</v>
      </c>
      <c r="Z743">
        <v>18</v>
      </c>
      <c r="AA743">
        <v>525.57000000000005</v>
      </c>
      <c r="AB743">
        <v>3445.4</v>
      </c>
      <c r="AC743">
        <v>1</v>
      </c>
      <c r="AD743">
        <v>1</v>
      </c>
      <c r="AE743" t="s">
        <v>232</v>
      </c>
      <c r="AF743" t="s">
        <v>29</v>
      </c>
      <c r="AG743">
        <v>2</v>
      </c>
      <c r="AH743" t="s">
        <v>25</v>
      </c>
      <c r="AI743">
        <v>1106</v>
      </c>
      <c r="AJ743" t="s">
        <v>239</v>
      </c>
      <c r="AK743" t="s">
        <v>1237</v>
      </c>
      <c r="AP743">
        <v>1113</v>
      </c>
      <c r="AQ743" t="s">
        <v>1393</v>
      </c>
      <c r="AR743" t="s">
        <v>12</v>
      </c>
      <c r="AS743" t="str">
        <f>+CONCATENATE(A743,"-",B743)</f>
        <v>FB01-1181</v>
      </c>
    </row>
    <row r="744" spans="1:45" ht="15" customHeight="1">
      <c r="A744" t="s">
        <v>216</v>
      </c>
      <c r="B744">
        <v>1253</v>
      </c>
      <c r="C744" t="s">
        <v>27</v>
      </c>
      <c r="D744" s="8">
        <v>45665</v>
      </c>
      <c r="E744" s="22">
        <v>45964</v>
      </c>
      <c r="F744" t="s">
        <v>34</v>
      </c>
      <c r="H744">
        <v>6</v>
      </c>
      <c r="I744">
        <v>20611018925</v>
      </c>
      <c r="J744" t="s">
        <v>2129</v>
      </c>
      <c r="K744" s="8">
        <v>45665</v>
      </c>
      <c r="Q744">
        <v>17758</v>
      </c>
      <c r="R744">
        <v>904</v>
      </c>
      <c r="S744" t="s">
        <v>1373</v>
      </c>
      <c r="T744" t="s">
        <v>215</v>
      </c>
      <c r="U744">
        <v>1</v>
      </c>
      <c r="V744">
        <v>2961.31</v>
      </c>
      <c r="W744">
        <v>3494.34</v>
      </c>
      <c r="X744">
        <v>0</v>
      </c>
      <c r="Y744">
        <v>2961.31</v>
      </c>
      <c r="Z744">
        <v>18</v>
      </c>
      <c r="AA744">
        <v>533.03</v>
      </c>
      <c r="AB744">
        <v>3494.34</v>
      </c>
      <c r="AC744">
        <v>1</v>
      </c>
      <c r="AD744">
        <v>1</v>
      </c>
      <c r="AE744" t="s">
        <v>232</v>
      </c>
      <c r="AF744" t="s">
        <v>29</v>
      </c>
      <c r="AG744">
        <v>2</v>
      </c>
      <c r="AH744" t="s">
        <v>25</v>
      </c>
      <c r="AI744">
        <v>1106</v>
      </c>
      <c r="AJ744" t="s">
        <v>239</v>
      </c>
      <c r="AK744" t="s">
        <v>1237</v>
      </c>
      <c r="AP744">
        <v>1128</v>
      </c>
      <c r="AQ744" t="s">
        <v>34</v>
      </c>
      <c r="AR744" t="s">
        <v>12</v>
      </c>
      <c r="AS744" t="str">
        <f>+CONCATENATE(A744,"-",B744)</f>
        <v>FB01-1253</v>
      </c>
    </row>
    <row r="745" spans="1:45" ht="15" customHeight="1">
      <c r="A745" t="s">
        <v>1216</v>
      </c>
      <c r="B745" s="21" t="s">
        <v>185</v>
      </c>
      <c r="C745" t="s">
        <v>27</v>
      </c>
      <c r="D745" s="8">
        <v>45945</v>
      </c>
      <c r="E745" s="22">
        <v>45964.751701388886</v>
      </c>
      <c r="F745" t="s">
        <v>316</v>
      </c>
      <c r="H745">
        <v>6</v>
      </c>
      <c r="I745">
        <v>20610320261</v>
      </c>
      <c r="J745" t="s">
        <v>1866</v>
      </c>
      <c r="K745" s="8">
        <v>45945</v>
      </c>
      <c r="Q745">
        <v>31178</v>
      </c>
      <c r="R745">
        <v>1786</v>
      </c>
      <c r="S745" t="s">
        <v>1299</v>
      </c>
      <c r="T745" t="s">
        <v>163</v>
      </c>
      <c r="U745">
        <v>1</v>
      </c>
      <c r="V745">
        <v>3056.19</v>
      </c>
      <c r="W745">
        <v>3606.3</v>
      </c>
      <c r="X745">
        <v>0</v>
      </c>
      <c r="Y745">
        <v>3056.19</v>
      </c>
      <c r="Z745">
        <v>18</v>
      </c>
      <c r="AA745">
        <v>550.11</v>
      </c>
      <c r="AB745">
        <v>3606.3</v>
      </c>
      <c r="AC745">
        <v>1</v>
      </c>
      <c r="AD745">
        <v>1</v>
      </c>
      <c r="AE745" t="s">
        <v>1411</v>
      </c>
      <c r="AF745" t="s">
        <v>1412</v>
      </c>
      <c r="AG745">
        <v>2</v>
      </c>
      <c r="AH745" t="s">
        <v>25</v>
      </c>
      <c r="AI745">
        <v>1106</v>
      </c>
      <c r="AJ745" t="s">
        <v>239</v>
      </c>
      <c r="AK745" t="s">
        <v>169</v>
      </c>
      <c r="AL745">
        <v>2898</v>
      </c>
      <c r="AM745" t="s">
        <v>323</v>
      </c>
      <c r="AN745" s="8">
        <v>45934</v>
      </c>
      <c r="AO745" s="8">
        <v>45934</v>
      </c>
      <c r="AP745">
        <v>5586</v>
      </c>
      <c r="AQ745" t="s">
        <v>316</v>
      </c>
      <c r="AR745" t="s">
        <v>12</v>
      </c>
      <c r="AS745" t="str">
        <f>+CONCATENATE(A745,"-",B745)</f>
        <v>(01) Factura FOF1-00000027</v>
      </c>
    </row>
    <row r="746" spans="1:45" ht="15" customHeight="1">
      <c r="A746" t="s">
        <v>1238</v>
      </c>
      <c r="B746">
        <v>629</v>
      </c>
      <c r="C746" t="s">
        <v>27</v>
      </c>
      <c r="D746" s="8">
        <v>45660</v>
      </c>
      <c r="E746" s="22">
        <v>45964</v>
      </c>
      <c r="F746" t="s">
        <v>1151</v>
      </c>
      <c r="G746" t="s">
        <v>158</v>
      </c>
      <c r="H746">
        <v>1</v>
      </c>
      <c r="I746">
        <v>44413438</v>
      </c>
      <c r="J746" t="s">
        <v>2216</v>
      </c>
      <c r="K746" s="8">
        <v>45660</v>
      </c>
      <c r="Q746">
        <v>17163</v>
      </c>
      <c r="R746">
        <v>878</v>
      </c>
      <c r="S746" t="s">
        <v>1334</v>
      </c>
      <c r="T746" t="s">
        <v>215</v>
      </c>
      <c r="U746">
        <v>1</v>
      </c>
      <c r="V746">
        <v>3056.78</v>
      </c>
      <c r="W746">
        <v>3607</v>
      </c>
      <c r="X746">
        <v>0</v>
      </c>
      <c r="Y746">
        <v>3056.78</v>
      </c>
      <c r="Z746">
        <v>18</v>
      </c>
      <c r="AA746">
        <v>550.22</v>
      </c>
      <c r="AB746">
        <v>3607</v>
      </c>
      <c r="AC746">
        <v>1</v>
      </c>
      <c r="AD746">
        <v>1</v>
      </c>
      <c r="AE746" t="s">
        <v>232</v>
      </c>
      <c r="AF746" t="s">
        <v>29</v>
      </c>
      <c r="AG746">
        <v>2</v>
      </c>
      <c r="AH746" t="s">
        <v>25</v>
      </c>
      <c r="AI746">
        <v>1106</v>
      </c>
      <c r="AJ746" t="s">
        <v>239</v>
      </c>
      <c r="AK746" t="s">
        <v>1237</v>
      </c>
      <c r="AP746">
        <v>405</v>
      </c>
      <c r="AQ746" t="s">
        <v>1151</v>
      </c>
      <c r="AR746" t="s">
        <v>1295</v>
      </c>
      <c r="AS746" t="str">
        <f>+CONCATENATE(A746,"-",B746)</f>
        <v>BB01-629</v>
      </c>
    </row>
    <row r="747" spans="1:45" ht="15" customHeight="1">
      <c r="A747" t="s">
        <v>1216</v>
      </c>
      <c r="B747" s="21" t="s">
        <v>1674</v>
      </c>
      <c r="C747" t="s">
        <v>27</v>
      </c>
      <c r="D747" s="8">
        <v>45946</v>
      </c>
      <c r="E747" s="22">
        <v>45964.864872685182</v>
      </c>
      <c r="F747" t="s">
        <v>1670</v>
      </c>
      <c r="H747">
        <v>6</v>
      </c>
      <c r="I747">
        <v>20542731347</v>
      </c>
      <c r="J747" t="s">
        <v>1675</v>
      </c>
      <c r="K747" s="8">
        <v>45946</v>
      </c>
      <c r="Q747">
        <v>31611</v>
      </c>
      <c r="R747">
        <v>216</v>
      </c>
      <c r="S747" t="s">
        <v>1300</v>
      </c>
      <c r="T747" t="s">
        <v>163</v>
      </c>
      <c r="U747">
        <v>1</v>
      </c>
      <c r="V747">
        <v>3083.1</v>
      </c>
      <c r="W747">
        <v>3638.06</v>
      </c>
      <c r="X747">
        <v>0</v>
      </c>
      <c r="Y747">
        <v>3083.1</v>
      </c>
      <c r="Z747">
        <v>18</v>
      </c>
      <c r="AA747">
        <v>554.96</v>
      </c>
      <c r="AB747">
        <v>3638.06</v>
      </c>
      <c r="AC747">
        <v>1</v>
      </c>
      <c r="AD747">
        <v>1</v>
      </c>
      <c r="AE747" t="s">
        <v>1411</v>
      </c>
      <c r="AF747" t="s">
        <v>1412</v>
      </c>
      <c r="AG747">
        <v>2</v>
      </c>
      <c r="AH747" t="s">
        <v>25</v>
      </c>
      <c r="AI747">
        <v>6936</v>
      </c>
      <c r="AJ747" t="s">
        <v>1437</v>
      </c>
      <c r="AK747" t="s">
        <v>1433</v>
      </c>
      <c r="AL747">
        <v>2972</v>
      </c>
      <c r="AM747" t="s">
        <v>1672</v>
      </c>
      <c r="AN747" s="8">
        <v>45928</v>
      </c>
      <c r="AO747" s="8">
        <v>45928</v>
      </c>
      <c r="AP747">
        <v>435</v>
      </c>
      <c r="AQ747" t="s">
        <v>1673</v>
      </c>
      <c r="AR747" t="s">
        <v>1295</v>
      </c>
      <c r="AS747" t="str">
        <f>+CONCATENATE(A747,"-",B747)</f>
        <v>(01) Factura FOF1-00000122</v>
      </c>
    </row>
    <row r="748" spans="1:45" ht="15" customHeight="1">
      <c r="A748" t="s">
        <v>1214</v>
      </c>
      <c r="B748" s="21" t="s">
        <v>1689</v>
      </c>
      <c r="C748" t="s">
        <v>27</v>
      </c>
      <c r="D748" s="8">
        <v>45946</v>
      </c>
      <c r="E748" s="22">
        <v>45964.861990740741</v>
      </c>
      <c r="F748" t="s">
        <v>1673</v>
      </c>
      <c r="G748" t="s">
        <v>158</v>
      </c>
      <c r="H748">
        <v>1</v>
      </c>
      <c r="I748">
        <v>40469388</v>
      </c>
      <c r="J748" t="s">
        <v>1690</v>
      </c>
      <c r="K748" s="8">
        <v>45946</v>
      </c>
      <c r="Q748">
        <v>31587</v>
      </c>
      <c r="R748">
        <v>216</v>
      </c>
      <c r="S748" t="s">
        <v>1300</v>
      </c>
      <c r="T748" t="s">
        <v>163</v>
      </c>
      <c r="U748">
        <v>1</v>
      </c>
      <c r="V748">
        <v>3083.1</v>
      </c>
      <c r="W748">
        <v>3638.06</v>
      </c>
      <c r="X748">
        <v>0</v>
      </c>
      <c r="Y748">
        <v>3083.1</v>
      </c>
      <c r="Z748">
        <v>18</v>
      </c>
      <c r="AA748">
        <v>554.96</v>
      </c>
      <c r="AB748">
        <v>3638.06</v>
      </c>
      <c r="AC748">
        <v>1</v>
      </c>
      <c r="AD748">
        <v>1</v>
      </c>
      <c r="AE748" t="s">
        <v>1411</v>
      </c>
      <c r="AF748" t="s">
        <v>1412</v>
      </c>
      <c r="AG748">
        <v>2</v>
      </c>
      <c r="AH748" t="s">
        <v>25</v>
      </c>
      <c r="AI748">
        <v>6936</v>
      </c>
      <c r="AJ748" t="s">
        <v>1437</v>
      </c>
      <c r="AK748" t="s">
        <v>1433</v>
      </c>
      <c r="AL748">
        <v>2972</v>
      </c>
      <c r="AM748" t="s">
        <v>1672</v>
      </c>
      <c r="AN748" s="8">
        <v>45928</v>
      </c>
      <c r="AO748" s="8">
        <v>45928</v>
      </c>
      <c r="AP748">
        <v>435</v>
      </c>
      <c r="AQ748" t="s">
        <v>1673</v>
      </c>
      <c r="AR748" t="s">
        <v>1295</v>
      </c>
      <c r="AS748" t="str">
        <f>+CONCATENATE(A748,"-",B748)</f>
        <v>(03) Boleta BOB1-00000059</v>
      </c>
    </row>
    <row r="749" spans="1:45" ht="15" customHeight="1">
      <c r="A749" t="s">
        <v>1238</v>
      </c>
      <c r="B749">
        <v>709</v>
      </c>
      <c r="C749" t="s">
        <v>27</v>
      </c>
      <c r="D749" s="8">
        <v>45686</v>
      </c>
      <c r="E749" s="22">
        <v>45964</v>
      </c>
      <c r="F749" t="s">
        <v>674</v>
      </c>
      <c r="H749">
        <v>1</v>
      </c>
      <c r="I749">
        <v>48831337</v>
      </c>
      <c r="J749" t="s">
        <v>1990</v>
      </c>
      <c r="K749" s="8">
        <v>45686</v>
      </c>
      <c r="Q749">
        <v>18673</v>
      </c>
      <c r="R749">
        <v>958</v>
      </c>
      <c r="S749" s="28" t="s">
        <v>1335</v>
      </c>
      <c r="T749" t="s">
        <v>215</v>
      </c>
      <c r="U749">
        <v>1</v>
      </c>
      <c r="V749">
        <v>3100</v>
      </c>
      <c r="W749">
        <v>3658</v>
      </c>
      <c r="X749">
        <v>0</v>
      </c>
      <c r="Y749">
        <v>3100</v>
      </c>
      <c r="Z749">
        <v>18</v>
      </c>
      <c r="AA749">
        <v>558</v>
      </c>
      <c r="AB749">
        <v>3658</v>
      </c>
      <c r="AC749">
        <v>1</v>
      </c>
      <c r="AD749">
        <v>1</v>
      </c>
      <c r="AE749" t="s">
        <v>232</v>
      </c>
      <c r="AF749" t="s">
        <v>29</v>
      </c>
      <c r="AG749">
        <v>2</v>
      </c>
      <c r="AH749" t="s">
        <v>25</v>
      </c>
      <c r="AI749">
        <v>1106</v>
      </c>
      <c r="AJ749" t="s">
        <v>239</v>
      </c>
      <c r="AK749" t="s">
        <v>1236</v>
      </c>
      <c r="AP749">
        <v>1171</v>
      </c>
      <c r="AQ749" t="s">
        <v>674</v>
      </c>
      <c r="AR749" t="s">
        <v>1295</v>
      </c>
      <c r="AS749" t="str">
        <f>+CONCATENATE(A749,"-",B749)</f>
        <v>BB01-709</v>
      </c>
    </row>
    <row r="750" spans="1:45" ht="15" customHeight="1">
      <c r="A750" t="s">
        <v>1216</v>
      </c>
      <c r="B750" s="21" t="s">
        <v>1635</v>
      </c>
      <c r="C750" t="s">
        <v>27</v>
      </c>
      <c r="D750" s="8">
        <v>45946</v>
      </c>
      <c r="E750" s="22">
        <v>45964.771689814814</v>
      </c>
      <c r="F750" t="s">
        <v>1794</v>
      </c>
      <c r="H750">
        <v>6</v>
      </c>
      <c r="I750">
        <v>10207250991</v>
      </c>
      <c r="J750" t="s">
        <v>1802</v>
      </c>
      <c r="K750" s="8">
        <v>45946</v>
      </c>
      <c r="Q750">
        <v>31385</v>
      </c>
      <c r="R750">
        <v>1786</v>
      </c>
      <c r="S750" t="s">
        <v>1299</v>
      </c>
      <c r="T750" t="s">
        <v>163</v>
      </c>
      <c r="U750">
        <v>1</v>
      </c>
      <c r="V750">
        <v>3130.76</v>
      </c>
      <c r="W750">
        <v>3694.3</v>
      </c>
      <c r="X750">
        <v>0</v>
      </c>
      <c r="Y750">
        <v>3130.76</v>
      </c>
      <c r="Z750">
        <v>18</v>
      </c>
      <c r="AA750">
        <v>563.54</v>
      </c>
      <c r="AB750">
        <v>3694.3</v>
      </c>
      <c r="AC750">
        <v>1</v>
      </c>
      <c r="AD750">
        <v>1</v>
      </c>
      <c r="AE750" t="s">
        <v>1411</v>
      </c>
      <c r="AF750" t="s">
        <v>1412</v>
      </c>
      <c r="AG750">
        <v>2</v>
      </c>
      <c r="AH750" t="s">
        <v>25</v>
      </c>
      <c r="AI750">
        <v>6937</v>
      </c>
      <c r="AJ750" t="s">
        <v>1414</v>
      </c>
      <c r="AK750" t="s">
        <v>1251</v>
      </c>
      <c r="AL750">
        <v>2471</v>
      </c>
      <c r="AM750" t="s">
        <v>1796</v>
      </c>
      <c r="AN750" s="8">
        <v>45928</v>
      </c>
      <c r="AO750" s="8">
        <v>45928</v>
      </c>
      <c r="AP750">
        <v>5507</v>
      </c>
      <c r="AQ750" t="s">
        <v>1794</v>
      </c>
      <c r="AR750" t="s">
        <v>12</v>
      </c>
      <c r="AS750" t="str">
        <f>+CONCATENATE(A750,"-",B750)</f>
        <v>(01) Factura FOF1-00000071</v>
      </c>
    </row>
    <row r="751" spans="1:45" ht="15" customHeight="1">
      <c r="A751" t="s">
        <v>216</v>
      </c>
      <c r="B751">
        <v>1284</v>
      </c>
      <c r="C751" t="s">
        <v>27</v>
      </c>
      <c r="D751" s="8">
        <v>45680</v>
      </c>
      <c r="E751" s="22">
        <v>45964</v>
      </c>
      <c r="F751" t="s">
        <v>415</v>
      </c>
      <c r="H751">
        <v>6</v>
      </c>
      <c r="I751">
        <v>20611890746</v>
      </c>
      <c r="J751" t="s">
        <v>2087</v>
      </c>
      <c r="K751" s="8">
        <v>45680</v>
      </c>
      <c r="Q751">
        <v>17806</v>
      </c>
      <c r="R751">
        <v>870</v>
      </c>
      <c r="S751" t="s">
        <v>1299</v>
      </c>
      <c r="T751" t="s">
        <v>215</v>
      </c>
      <c r="U751">
        <v>1</v>
      </c>
      <c r="V751">
        <v>3246.44</v>
      </c>
      <c r="W751">
        <v>3830.8</v>
      </c>
      <c r="X751">
        <v>0</v>
      </c>
      <c r="Y751">
        <v>3246.44</v>
      </c>
      <c r="Z751">
        <v>18</v>
      </c>
      <c r="AA751">
        <v>584.36</v>
      </c>
      <c r="AB751">
        <v>3830.8</v>
      </c>
      <c r="AC751">
        <v>1</v>
      </c>
      <c r="AD751">
        <v>1</v>
      </c>
      <c r="AE751" t="s">
        <v>232</v>
      </c>
      <c r="AF751" t="s">
        <v>29</v>
      </c>
      <c r="AG751">
        <v>2</v>
      </c>
      <c r="AH751" t="s">
        <v>25</v>
      </c>
      <c r="AI751">
        <v>1106</v>
      </c>
      <c r="AJ751" t="s">
        <v>239</v>
      </c>
      <c r="AK751" t="s">
        <v>1237</v>
      </c>
      <c r="AP751">
        <v>1136</v>
      </c>
      <c r="AQ751" t="s">
        <v>415</v>
      </c>
      <c r="AR751" t="s">
        <v>12</v>
      </c>
      <c r="AS751" t="str">
        <f>+CONCATENATE(A751,"-",B751)</f>
        <v>FB01-1284</v>
      </c>
    </row>
    <row r="752" spans="1:45" ht="15" customHeight="1">
      <c r="A752" t="s">
        <v>216</v>
      </c>
      <c r="B752">
        <v>1279</v>
      </c>
      <c r="C752" t="s">
        <v>27</v>
      </c>
      <c r="D752" s="8">
        <v>45680</v>
      </c>
      <c r="E752" s="22">
        <v>45964</v>
      </c>
      <c r="F752" t="s">
        <v>1321</v>
      </c>
      <c r="G752" t="s">
        <v>158</v>
      </c>
      <c r="H752">
        <v>6</v>
      </c>
      <c r="I752">
        <v>20296011356</v>
      </c>
      <c r="J752" t="s">
        <v>2098</v>
      </c>
      <c r="K752" s="8">
        <v>45680</v>
      </c>
      <c r="Q752">
        <v>17794</v>
      </c>
      <c r="R752">
        <v>877</v>
      </c>
      <c r="S752" t="s">
        <v>1300</v>
      </c>
      <c r="T752" t="s">
        <v>215</v>
      </c>
      <c r="U752">
        <v>1</v>
      </c>
      <c r="V752">
        <v>3384.15</v>
      </c>
      <c r="W752">
        <v>3993.3</v>
      </c>
      <c r="X752">
        <v>0</v>
      </c>
      <c r="Y752">
        <v>3384.15</v>
      </c>
      <c r="Z752">
        <v>18</v>
      </c>
      <c r="AA752">
        <v>609.15</v>
      </c>
      <c r="AB752">
        <v>3993.3</v>
      </c>
      <c r="AC752">
        <v>1</v>
      </c>
      <c r="AD752">
        <v>1</v>
      </c>
      <c r="AE752" t="s">
        <v>232</v>
      </c>
      <c r="AF752" t="s">
        <v>29</v>
      </c>
      <c r="AG752">
        <v>2</v>
      </c>
      <c r="AH752" t="s">
        <v>25</v>
      </c>
      <c r="AI752">
        <v>1106</v>
      </c>
      <c r="AJ752" t="s">
        <v>239</v>
      </c>
      <c r="AK752" t="s">
        <v>1237</v>
      </c>
      <c r="AP752">
        <v>390</v>
      </c>
      <c r="AQ752" t="s">
        <v>1321</v>
      </c>
      <c r="AR752" t="s">
        <v>12</v>
      </c>
      <c r="AS752" t="str">
        <f>+CONCATENATE(A752,"-",B752)</f>
        <v>FB01-1279</v>
      </c>
    </row>
    <row r="753" spans="1:45" ht="15" customHeight="1">
      <c r="A753" t="s">
        <v>216</v>
      </c>
      <c r="B753">
        <v>1229</v>
      </c>
      <c r="C753" t="s">
        <v>27</v>
      </c>
      <c r="D753" s="8">
        <v>45665</v>
      </c>
      <c r="E753" s="22">
        <v>45964</v>
      </c>
      <c r="F753" t="s">
        <v>1240</v>
      </c>
      <c r="G753" t="s">
        <v>158</v>
      </c>
      <c r="H753">
        <v>6</v>
      </c>
      <c r="I753">
        <v>20602855733</v>
      </c>
      <c r="J753" t="s">
        <v>2156</v>
      </c>
      <c r="K753" s="8">
        <v>45665</v>
      </c>
      <c r="Q753">
        <v>17232</v>
      </c>
      <c r="R753">
        <v>891</v>
      </c>
      <c r="S753" s="28" t="s">
        <v>1384</v>
      </c>
      <c r="T753" t="s">
        <v>215</v>
      </c>
      <c r="U753">
        <v>1</v>
      </c>
      <c r="V753">
        <v>3400</v>
      </c>
      <c r="W753">
        <v>4012</v>
      </c>
      <c r="X753">
        <v>0</v>
      </c>
      <c r="Y753">
        <v>3400</v>
      </c>
      <c r="Z753">
        <v>18</v>
      </c>
      <c r="AA753">
        <v>612</v>
      </c>
      <c r="AB753">
        <v>4012</v>
      </c>
      <c r="AC753">
        <v>1</v>
      </c>
      <c r="AD753">
        <v>1</v>
      </c>
      <c r="AE753" t="s">
        <v>232</v>
      </c>
      <c r="AF753" t="s">
        <v>29</v>
      </c>
      <c r="AG753">
        <v>2</v>
      </c>
      <c r="AH753" t="s">
        <v>25</v>
      </c>
      <c r="AI753">
        <v>1106</v>
      </c>
      <c r="AJ753" t="s">
        <v>239</v>
      </c>
      <c r="AK753" t="s">
        <v>1236</v>
      </c>
      <c r="AP753">
        <v>385</v>
      </c>
      <c r="AQ753" t="s">
        <v>1240</v>
      </c>
      <c r="AR753" t="s">
        <v>12</v>
      </c>
      <c r="AS753" t="str">
        <f>+CONCATENATE(A753,"-",B753)</f>
        <v>FB01-1229</v>
      </c>
    </row>
    <row r="754" spans="1:45" ht="15" customHeight="1">
      <c r="A754" t="s">
        <v>216</v>
      </c>
      <c r="B754">
        <v>1225</v>
      </c>
      <c r="C754" t="s">
        <v>27</v>
      </c>
      <c r="D754" s="8">
        <v>45665</v>
      </c>
      <c r="E754" s="22">
        <v>45964</v>
      </c>
      <c r="F754" t="s">
        <v>1022</v>
      </c>
      <c r="H754">
        <v>6</v>
      </c>
      <c r="I754">
        <v>20611545399</v>
      </c>
      <c r="J754" t="s">
        <v>2159</v>
      </c>
      <c r="K754" s="8">
        <v>45665</v>
      </c>
      <c r="Q754">
        <v>17228</v>
      </c>
      <c r="R754">
        <v>890</v>
      </c>
      <c r="S754" t="s">
        <v>1385</v>
      </c>
      <c r="T754" t="s">
        <v>215</v>
      </c>
      <c r="U754">
        <v>1</v>
      </c>
      <c r="V754">
        <v>3400</v>
      </c>
      <c r="W754">
        <v>4012</v>
      </c>
      <c r="X754">
        <v>0</v>
      </c>
      <c r="Y754">
        <v>3400</v>
      </c>
      <c r="Z754">
        <v>18</v>
      </c>
      <c r="AA754">
        <v>612</v>
      </c>
      <c r="AB754">
        <v>4012</v>
      </c>
      <c r="AC754">
        <v>1</v>
      </c>
      <c r="AD754">
        <v>1</v>
      </c>
      <c r="AE754" t="s">
        <v>232</v>
      </c>
      <c r="AF754" t="s">
        <v>29</v>
      </c>
      <c r="AG754">
        <v>2</v>
      </c>
      <c r="AH754" t="s">
        <v>25</v>
      </c>
      <c r="AI754">
        <v>1106</v>
      </c>
      <c r="AJ754" t="s">
        <v>239</v>
      </c>
      <c r="AK754" t="s">
        <v>1236</v>
      </c>
      <c r="AP754">
        <v>1126</v>
      </c>
      <c r="AQ754" t="s">
        <v>1022</v>
      </c>
      <c r="AR754" t="s">
        <v>12</v>
      </c>
      <c r="AS754" t="str">
        <f>+CONCATENATE(A754,"-",B754)</f>
        <v>FB01-1225</v>
      </c>
    </row>
    <row r="755" spans="1:45" ht="15" customHeight="1">
      <c r="A755" t="s">
        <v>216</v>
      </c>
      <c r="B755">
        <v>1178</v>
      </c>
      <c r="C755" t="s">
        <v>27</v>
      </c>
      <c r="D755" s="8">
        <v>45660</v>
      </c>
      <c r="E755" s="22">
        <v>45964</v>
      </c>
      <c r="F755" t="s">
        <v>1240</v>
      </c>
      <c r="G755" t="s">
        <v>158</v>
      </c>
      <c r="H755">
        <v>6</v>
      </c>
      <c r="I755">
        <v>20602855733</v>
      </c>
      <c r="J755" t="s">
        <v>2220</v>
      </c>
      <c r="K755" s="8">
        <v>45660</v>
      </c>
      <c r="Q755">
        <v>17159</v>
      </c>
      <c r="R755">
        <v>875</v>
      </c>
      <c r="S755" t="s">
        <v>1394</v>
      </c>
      <c r="T755" t="s">
        <v>215</v>
      </c>
      <c r="U755">
        <v>1</v>
      </c>
      <c r="V755">
        <v>3400</v>
      </c>
      <c r="W755">
        <v>4012</v>
      </c>
      <c r="X755">
        <v>0</v>
      </c>
      <c r="Y755">
        <v>3400</v>
      </c>
      <c r="Z755">
        <v>18</v>
      </c>
      <c r="AA755">
        <v>612</v>
      </c>
      <c r="AB755">
        <v>4012</v>
      </c>
      <c r="AC755">
        <v>1</v>
      </c>
      <c r="AD755">
        <v>1</v>
      </c>
      <c r="AE755" t="s">
        <v>232</v>
      </c>
      <c r="AF755" t="s">
        <v>29</v>
      </c>
      <c r="AG755">
        <v>2</v>
      </c>
      <c r="AH755" t="s">
        <v>25</v>
      </c>
      <c r="AI755">
        <v>1106</v>
      </c>
      <c r="AJ755" t="s">
        <v>239</v>
      </c>
      <c r="AK755" t="s">
        <v>1236</v>
      </c>
      <c r="AP755">
        <v>385</v>
      </c>
      <c r="AQ755" t="s">
        <v>1240</v>
      </c>
      <c r="AR755" t="s">
        <v>12</v>
      </c>
      <c r="AS755" t="str">
        <f>+CONCATENATE(A755,"-",B755)</f>
        <v>FB01-1178</v>
      </c>
    </row>
    <row r="756" spans="1:45" ht="15" customHeight="1">
      <c r="A756" t="s">
        <v>216</v>
      </c>
      <c r="B756">
        <v>1172</v>
      </c>
      <c r="C756" t="s">
        <v>27</v>
      </c>
      <c r="D756" s="8">
        <v>45660</v>
      </c>
      <c r="E756" s="22">
        <v>45964</v>
      </c>
      <c r="F756" t="s">
        <v>1240</v>
      </c>
      <c r="G756" t="s">
        <v>158</v>
      </c>
      <c r="H756">
        <v>6</v>
      </c>
      <c r="I756">
        <v>20602855733</v>
      </c>
      <c r="J756" t="s">
        <v>2226</v>
      </c>
      <c r="K756" s="8">
        <v>45660</v>
      </c>
      <c r="Q756">
        <v>17153</v>
      </c>
      <c r="R756">
        <v>871</v>
      </c>
      <c r="S756" t="s">
        <v>1316</v>
      </c>
      <c r="T756" t="s">
        <v>215</v>
      </c>
      <c r="U756">
        <v>1</v>
      </c>
      <c r="V756">
        <v>3425.85</v>
      </c>
      <c r="W756">
        <v>4042.5</v>
      </c>
      <c r="X756">
        <v>0</v>
      </c>
      <c r="Y756">
        <v>3425.85</v>
      </c>
      <c r="Z756">
        <v>18</v>
      </c>
      <c r="AA756">
        <v>616.65</v>
      </c>
      <c r="AB756">
        <v>4042.5</v>
      </c>
      <c r="AC756">
        <v>1</v>
      </c>
      <c r="AD756">
        <v>1</v>
      </c>
      <c r="AE756" t="s">
        <v>232</v>
      </c>
      <c r="AF756" t="s">
        <v>29</v>
      </c>
      <c r="AG756">
        <v>2</v>
      </c>
      <c r="AH756" t="s">
        <v>25</v>
      </c>
      <c r="AI756">
        <v>1106</v>
      </c>
      <c r="AJ756" t="s">
        <v>239</v>
      </c>
      <c r="AK756" t="s">
        <v>1237</v>
      </c>
      <c r="AP756">
        <v>385</v>
      </c>
      <c r="AQ756" t="s">
        <v>1240</v>
      </c>
      <c r="AR756" t="s">
        <v>12</v>
      </c>
      <c r="AS756" t="str">
        <f>+CONCATENATE(A756,"-",B756)</f>
        <v>FB01-1172</v>
      </c>
    </row>
    <row r="757" spans="1:45" ht="15" customHeight="1">
      <c r="A757" t="s">
        <v>1216</v>
      </c>
      <c r="B757" s="21" t="s">
        <v>1624</v>
      </c>
      <c r="C757" t="s">
        <v>27</v>
      </c>
      <c r="D757" s="8">
        <v>45948</v>
      </c>
      <c r="E757" s="22">
        <v>45964.375</v>
      </c>
      <c r="F757" t="s">
        <v>1625</v>
      </c>
      <c r="H757">
        <v>6</v>
      </c>
      <c r="I757">
        <v>20480014678</v>
      </c>
      <c r="J757" t="s">
        <v>1626</v>
      </c>
      <c r="K757" s="8">
        <v>45948</v>
      </c>
      <c r="Q757">
        <v>31710</v>
      </c>
      <c r="R757">
        <v>1895</v>
      </c>
      <c r="S757" t="s">
        <v>1407</v>
      </c>
      <c r="T757" t="s">
        <v>215</v>
      </c>
      <c r="U757">
        <v>5000</v>
      </c>
      <c r="V757">
        <v>0.7</v>
      </c>
      <c r="W757">
        <v>0.83</v>
      </c>
      <c r="X757">
        <v>0</v>
      </c>
      <c r="Y757">
        <v>3500</v>
      </c>
      <c r="Z757">
        <v>18</v>
      </c>
      <c r="AA757">
        <v>630</v>
      </c>
      <c r="AB757">
        <v>4130</v>
      </c>
      <c r="AC757">
        <v>1</v>
      </c>
      <c r="AD757">
        <v>1</v>
      </c>
      <c r="AE757" t="s">
        <v>1411</v>
      </c>
      <c r="AF757" t="s">
        <v>1412</v>
      </c>
      <c r="AG757">
        <v>16</v>
      </c>
      <c r="AH757" t="s">
        <v>1400</v>
      </c>
      <c r="AI757">
        <v>1106</v>
      </c>
      <c r="AJ757" t="s">
        <v>239</v>
      </c>
      <c r="AK757" t="s">
        <v>169</v>
      </c>
      <c r="AL757">
        <v>3222</v>
      </c>
      <c r="AM757" t="s">
        <v>1627</v>
      </c>
      <c r="AN757" s="8">
        <v>45955</v>
      </c>
      <c r="AO757" s="8">
        <v>45955</v>
      </c>
      <c r="AP757">
        <v>6240</v>
      </c>
      <c r="AQ757" t="s">
        <v>1628</v>
      </c>
      <c r="AR757" t="s">
        <v>12</v>
      </c>
      <c r="AS757" t="str">
        <f>+CONCATENATE(A757,"-",B757)</f>
        <v>(01) Factura FOF1-00000128</v>
      </c>
    </row>
    <row r="758" spans="1:45" ht="15" customHeight="1">
      <c r="A758" t="s">
        <v>1214</v>
      </c>
      <c r="B758" s="21" t="s">
        <v>171</v>
      </c>
      <c r="C758" t="s">
        <v>27</v>
      </c>
      <c r="D758" s="8">
        <v>45946</v>
      </c>
      <c r="E758" s="22">
        <v>45964.804143518515</v>
      </c>
      <c r="F758" t="s">
        <v>373</v>
      </c>
      <c r="H758">
        <v>1</v>
      </c>
      <c r="I758" s="21" t="s">
        <v>1234</v>
      </c>
      <c r="J758" t="s">
        <v>1750</v>
      </c>
      <c r="K758" s="8">
        <v>45946</v>
      </c>
      <c r="Q758">
        <v>31500</v>
      </c>
      <c r="R758">
        <v>216</v>
      </c>
      <c r="S758" t="s">
        <v>1300</v>
      </c>
      <c r="T758" t="s">
        <v>163</v>
      </c>
      <c r="U758">
        <v>1</v>
      </c>
      <c r="V758">
        <v>3578.07</v>
      </c>
      <c r="W758">
        <v>4222.12</v>
      </c>
      <c r="X758">
        <v>0</v>
      </c>
      <c r="Y758">
        <v>3578.07</v>
      </c>
      <c r="Z758">
        <v>18</v>
      </c>
      <c r="AA758">
        <v>644.04999999999995</v>
      </c>
      <c r="AB758">
        <v>4222.12</v>
      </c>
      <c r="AC758">
        <v>1</v>
      </c>
      <c r="AD758">
        <v>1</v>
      </c>
      <c r="AE758" t="s">
        <v>1411</v>
      </c>
      <c r="AF758" t="s">
        <v>1412</v>
      </c>
      <c r="AG758">
        <v>2</v>
      </c>
      <c r="AH758" t="s">
        <v>25</v>
      </c>
      <c r="AI758">
        <v>6936</v>
      </c>
      <c r="AJ758" t="s">
        <v>1437</v>
      </c>
      <c r="AK758" t="s">
        <v>1433</v>
      </c>
      <c r="AL758">
        <v>3230</v>
      </c>
      <c r="AM758" t="s">
        <v>1746</v>
      </c>
      <c r="AN758" s="8">
        <v>45942</v>
      </c>
      <c r="AO758" s="8">
        <v>45942</v>
      </c>
      <c r="AP758">
        <v>6249</v>
      </c>
      <c r="AQ758" t="s">
        <v>373</v>
      </c>
      <c r="AR758" t="s">
        <v>1295</v>
      </c>
      <c r="AS758" t="str">
        <f>+CONCATENATE(A758,"-",B758)</f>
        <v>(03) Boleta BOB1-00000044</v>
      </c>
    </row>
    <row r="759" spans="1:45" ht="15" customHeight="1">
      <c r="A759" t="s">
        <v>216</v>
      </c>
      <c r="B759">
        <v>1327</v>
      </c>
      <c r="C759" t="s">
        <v>27</v>
      </c>
      <c r="D759" s="8">
        <v>45685</v>
      </c>
      <c r="E759" s="22">
        <v>45964</v>
      </c>
      <c r="F759" t="s">
        <v>1321</v>
      </c>
      <c r="G759" t="s">
        <v>158</v>
      </c>
      <c r="H759">
        <v>6</v>
      </c>
      <c r="I759">
        <v>20296011356</v>
      </c>
      <c r="J759" t="s">
        <v>2023</v>
      </c>
      <c r="K759" s="8">
        <v>45685</v>
      </c>
      <c r="Q759">
        <v>18640</v>
      </c>
      <c r="R759">
        <v>877</v>
      </c>
      <c r="S759" t="s">
        <v>1300</v>
      </c>
      <c r="T759" t="s">
        <v>215</v>
      </c>
      <c r="U759">
        <v>1</v>
      </c>
      <c r="V759">
        <v>3585.68</v>
      </c>
      <c r="W759">
        <v>4231.1000000000004</v>
      </c>
      <c r="X759">
        <v>0</v>
      </c>
      <c r="Y759">
        <v>3585.68</v>
      </c>
      <c r="Z759">
        <v>18</v>
      </c>
      <c r="AA759">
        <v>645.41999999999996</v>
      </c>
      <c r="AB759">
        <v>4231.1000000000004</v>
      </c>
      <c r="AC759">
        <v>1</v>
      </c>
      <c r="AD759">
        <v>1</v>
      </c>
      <c r="AE759" t="s">
        <v>232</v>
      </c>
      <c r="AF759" t="s">
        <v>29</v>
      </c>
      <c r="AG759">
        <v>2</v>
      </c>
      <c r="AH759" t="s">
        <v>25</v>
      </c>
      <c r="AI759">
        <v>1106</v>
      </c>
      <c r="AJ759" t="s">
        <v>239</v>
      </c>
      <c r="AK759" t="s">
        <v>1237</v>
      </c>
      <c r="AP759">
        <v>390</v>
      </c>
      <c r="AQ759" t="s">
        <v>1321</v>
      </c>
      <c r="AR759" t="s">
        <v>12</v>
      </c>
      <c r="AS759" t="str">
        <f>+CONCATENATE(A759,"-",B759)</f>
        <v>FB01-1327</v>
      </c>
    </row>
    <row r="760" spans="1:45" ht="15" customHeight="1">
      <c r="A760" t="s">
        <v>1214</v>
      </c>
      <c r="B760" s="21" t="s">
        <v>1729</v>
      </c>
      <c r="C760" t="s">
        <v>27</v>
      </c>
      <c r="D760" s="8">
        <v>45959</v>
      </c>
      <c r="E760" s="22">
        <v>45964.645196759258</v>
      </c>
      <c r="F760" t="s">
        <v>1151</v>
      </c>
      <c r="G760" t="s">
        <v>158</v>
      </c>
      <c r="H760">
        <v>1</v>
      </c>
      <c r="I760">
        <v>44413438</v>
      </c>
      <c r="J760" t="s">
        <v>2662</v>
      </c>
      <c r="K760" s="8">
        <v>45959</v>
      </c>
      <c r="Q760">
        <v>32923</v>
      </c>
      <c r="R760">
        <v>216</v>
      </c>
      <c r="S760" t="s">
        <v>1300</v>
      </c>
      <c r="T760" t="s">
        <v>163</v>
      </c>
      <c r="U760">
        <v>1</v>
      </c>
      <c r="V760">
        <v>3632.8</v>
      </c>
      <c r="W760">
        <v>4286.7</v>
      </c>
      <c r="X760">
        <v>0</v>
      </c>
      <c r="Y760">
        <v>3632.8</v>
      </c>
      <c r="Z760">
        <v>18</v>
      </c>
      <c r="AA760">
        <v>653.9</v>
      </c>
      <c r="AB760">
        <v>4286.7</v>
      </c>
      <c r="AC760">
        <v>1</v>
      </c>
      <c r="AD760">
        <v>1</v>
      </c>
      <c r="AE760" t="s">
        <v>1411</v>
      </c>
      <c r="AF760" t="s">
        <v>1412</v>
      </c>
      <c r="AG760">
        <v>2</v>
      </c>
      <c r="AH760" t="s">
        <v>25</v>
      </c>
      <c r="AI760">
        <v>6936</v>
      </c>
      <c r="AJ760" t="s">
        <v>1437</v>
      </c>
      <c r="AK760" t="s">
        <v>1433</v>
      </c>
      <c r="AL760">
        <v>3074</v>
      </c>
      <c r="AM760" t="s">
        <v>2482</v>
      </c>
      <c r="AN760" s="8">
        <v>45955</v>
      </c>
      <c r="AO760" s="8">
        <v>45955</v>
      </c>
      <c r="AP760">
        <v>405</v>
      </c>
      <c r="AQ760" t="s">
        <v>1151</v>
      </c>
      <c r="AR760" t="s">
        <v>1295</v>
      </c>
      <c r="AS760" t="str">
        <f>+CONCATENATE(A760,"-",B760)</f>
        <v>(03) Boleta BOB1-00000106</v>
      </c>
    </row>
    <row r="761" spans="1:45" ht="15" customHeight="1">
      <c r="A761" t="s">
        <v>216</v>
      </c>
      <c r="B761">
        <v>1336</v>
      </c>
      <c r="C761" t="s">
        <v>27</v>
      </c>
      <c r="D761" s="8">
        <v>45686</v>
      </c>
      <c r="E761" s="22">
        <v>45964</v>
      </c>
      <c r="F761" t="s">
        <v>627</v>
      </c>
      <c r="H761">
        <v>6</v>
      </c>
      <c r="I761">
        <v>20101214771</v>
      </c>
      <c r="J761" t="s">
        <v>2014</v>
      </c>
      <c r="K761" s="8">
        <v>45686</v>
      </c>
      <c r="Q761">
        <v>18649</v>
      </c>
      <c r="R761">
        <v>877</v>
      </c>
      <c r="S761" t="s">
        <v>1300</v>
      </c>
      <c r="T761" t="s">
        <v>215</v>
      </c>
      <c r="U761">
        <v>1</v>
      </c>
      <c r="V761">
        <v>3637.63</v>
      </c>
      <c r="W761">
        <v>4292.3999999999996</v>
      </c>
      <c r="X761">
        <v>0</v>
      </c>
      <c r="Y761">
        <v>3637.63</v>
      </c>
      <c r="Z761">
        <v>18</v>
      </c>
      <c r="AA761">
        <v>654.77</v>
      </c>
      <c r="AB761">
        <v>4292.3999999999996</v>
      </c>
      <c r="AC761">
        <v>1</v>
      </c>
      <c r="AD761">
        <v>1</v>
      </c>
      <c r="AE761" t="s">
        <v>232</v>
      </c>
      <c r="AF761" t="s">
        <v>29</v>
      </c>
      <c r="AG761">
        <v>2</v>
      </c>
      <c r="AH761" t="s">
        <v>25</v>
      </c>
      <c r="AI761">
        <v>1106</v>
      </c>
      <c r="AJ761" t="s">
        <v>239</v>
      </c>
      <c r="AK761" t="s">
        <v>1237</v>
      </c>
      <c r="AP761">
        <v>1137</v>
      </c>
      <c r="AQ761" t="s">
        <v>627</v>
      </c>
      <c r="AR761" t="s">
        <v>12</v>
      </c>
      <c r="AS761" t="str">
        <f>+CONCATENATE(A761,"-",B761)</f>
        <v>FB01-1336</v>
      </c>
    </row>
    <row r="762" spans="1:45" ht="15" customHeight="1">
      <c r="A762" t="s">
        <v>216</v>
      </c>
      <c r="B762">
        <v>1173</v>
      </c>
      <c r="C762" t="s">
        <v>27</v>
      </c>
      <c r="D762" s="8">
        <v>45660</v>
      </c>
      <c r="E762" s="22">
        <v>45964</v>
      </c>
      <c r="F762" t="s">
        <v>1240</v>
      </c>
      <c r="G762" t="s">
        <v>158</v>
      </c>
      <c r="H762">
        <v>6</v>
      </c>
      <c r="I762">
        <v>20602855733</v>
      </c>
      <c r="J762" t="s">
        <v>2225</v>
      </c>
      <c r="K762" s="8">
        <v>45660</v>
      </c>
      <c r="Q762">
        <v>17154</v>
      </c>
      <c r="R762">
        <v>872</v>
      </c>
      <c r="S762" s="28" t="s">
        <v>1396</v>
      </c>
      <c r="T762" t="s">
        <v>215</v>
      </c>
      <c r="U762">
        <v>1</v>
      </c>
      <c r="V762">
        <v>3700</v>
      </c>
      <c r="W762">
        <v>4366</v>
      </c>
      <c r="X762">
        <v>0</v>
      </c>
      <c r="Y762">
        <v>3700</v>
      </c>
      <c r="Z762">
        <v>18</v>
      </c>
      <c r="AA762">
        <v>666</v>
      </c>
      <c r="AB762">
        <v>4366</v>
      </c>
      <c r="AC762">
        <v>1</v>
      </c>
      <c r="AD762">
        <v>1</v>
      </c>
      <c r="AE762" t="s">
        <v>232</v>
      </c>
      <c r="AF762" t="s">
        <v>29</v>
      </c>
      <c r="AG762">
        <v>2</v>
      </c>
      <c r="AH762" t="s">
        <v>25</v>
      </c>
      <c r="AI762">
        <v>1106</v>
      </c>
      <c r="AJ762" t="s">
        <v>239</v>
      </c>
      <c r="AK762" t="s">
        <v>1236</v>
      </c>
      <c r="AP762">
        <v>385</v>
      </c>
      <c r="AQ762" t="s">
        <v>1240</v>
      </c>
      <c r="AR762" t="s">
        <v>12</v>
      </c>
      <c r="AS762" t="str">
        <f>+CONCATENATE(A762,"-",B762)</f>
        <v>FB01-1173</v>
      </c>
    </row>
    <row r="763" spans="1:45" ht="15" customHeight="1">
      <c r="A763" t="s">
        <v>1216</v>
      </c>
      <c r="B763" s="21" t="s">
        <v>186</v>
      </c>
      <c r="C763" t="s">
        <v>27</v>
      </c>
      <c r="D763" s="8">
        <v>45945</v>
      </c>
      <c r="E763" s="22">
        <v>45964.751469907409</v>
      </c>
      <c r="F763" t="s">
        <v>316</v>
      </c>
      <c r="H763">
        <v>6</v>
      </c>
      <c r="I763">
        <v>20610320261</v>
      </c>
      <c r="J763" t="s">
        <v>1867</v>
      </c>
      <c r="K763" s="8">
        <v>45945</v>
      </c>
      <c r="Q763">
        <v>31175</v>
      </c>
      <c r="R763">
        <v>216</v>
      </c>
      <c r="S763" t="s">
        <v>1300</v>
      </c>
      <c r="T763" t="s">
        <v>163</v>
      </c>
      <c r="U763">
        <v>1</v>
      </c>
      <c r="V763">
        <v>3740.42</v>
      </c>
      <c r="W763">
        <v>4413.7</v>
      </c>
      <c r="X763">
        <v>0</v>
      </c>
      <c r="Y763">
        <v>3740.42</v>
      </c>
      <c r="Z763">
        <v>18</v>
      </c>
      <c r="AA763">
        <v>673.28</v>
      </c>
      <c r="AB763">
        <v>4413.7</v>
      </c>
      <c r="AC763">
        <v>1</v>
      </c>
      <c r="AD763">
        <v>1</v>
      </c>
      <c r="AE763" t="s">
        <v>1411</v>
      </c>
      <c r="AF763" t="s">
        <v>1412</v>
      </c>
      <c r="AG763">
        <v>2</v>
      </c>
      <c r="AH763" t="s">
        <v>25</v>
      </c>
      <c r="AI763">
        <v>1106</v>
      </c>
      <c r="AJ763" t="s">
        <v>239</v>
      </c>
      <c r="AK763" t="s">
        <v>169</v>
      </c>
      <c r="AL763">
        <v>2898</v>
      </c>
      <c r="AM763" t="s">
        <v>323</v>
      </c>
      <c r="AN763" s="8">
        <v>45934</v>
      </c>
      <c r="AO763" s="8">
        <v>45934</v>
      </c>
      <c r="AP763">
        <v>5586</v>
      </c>
      <c r="AQ763" t="s">
        <v>316</v>
      </c>
      <c r="AR763" t="s">
        <v>12</v>
      </c>
      <c r="AS763" t="str">
        <f>+CONCATENATE(A763,"-",B763)</f>
        <v>(01) Factura FOF1-00000026</v>
      </c>
    </row>
    <row r="764" spans="1:45" ht="15" customHeight="1">
      <c r="A764" t="s">
        <v>1216</v>
      </c>
      <c r="B764" s="21" t="s">
        <v>179</v>
      </c>
      <c r="C764" t="s">
        <v>27</v>
      </c>
      <c r="D764" s="8">
        <v>45945</v>
      </c>
      <c r="E764" s="22">
        <v>45964.760104166664</v>
      </c>
      <c r="F764" t="s">
        <v>32</v>
      </c>
      <c r="G764" t="s">
        <v>158</v>
      </c>
      <c r="H764">
        <v>6</v>
      </c>
      <c r="I764">
        <v>20608361074</v>
      </c>
      <c r="J764" t="s">
        <v>1854</v>
      </c>
      <c r="K764" s="8">
        <v>45945</v>
      </c>
      <c r="Q764">
        <v>31214</v>
      </c>
      <c r="R764">
        <v>1786</v>
      </c>
      <c r="S764" t="s">
        <v>1299</v>
      </c>
      <c r="T764" t="s">
        <v>163</v>
      </c>
      <c r="U764">
        <v>1</v>
      </c>
      <c r="V764">
        <v>3741.1</v>
      </c>
      <c r="W764">
        <v>4414.5</v>
      </c>
      <c r="X764">
        <v>0</v>
      </c>
      <c r="Y764">
        <v>3741.1</v>
      </c>
      <c r="Z764">
        <v>18</v>
      </c>
      <c r="AA764">
        <v>673.4</v>
      </c>
      <c r="AB764">
        <v>4414.5</v>
      </c>
      <c r="AC764">
        <v>1</v>
      </c>
      <c r="AD764">
        <v>1</v>
      </c>
      <c r="AE764" t="s">
        <v>1411</v>
      </c>
      <c r="AF764" t="s">
        <v>1412</v>
      </c>
      <c r="AG764">
        <v>2</v>
      </c>
      <c r="AH764" t="s">
        <v>25</v>
      </c>
      <c r="AI764">
        <v>1106</v>
      </c>
      <c r="AJ764" t="s">
        <v>239</v>
      </c>
      <c r="AK764" t="s">
        <v>169</v>
      </c>
      <c r="AL764">
        <v>3051</v>
      </c>
      <c r="AM764" t="s">
        <v>310</v>
      </c>
      <c r="AN764" s="8">
        <v>45933</v>
      </c>
      <c r="AO764" s="8">
        <v>45933</v>
      </c>
      <c r="AP764">
        <v>397</v>
      </c>
      <c r="AQ764" t="s">
        <v>32</v>
      </c>
      <c r="AR764" t="s">
        <v>12</v>
      </c>
      <c r="AS764" t="str">
        <f>+CONCATENATE(A764,"-",B764)</f>
        <v>(01) Factura FOF1-00000035</v>
      </c>
    </row>
    <row r="765" spans="1:45" ht="15" customHeight="1">
      <c r="A765" t="s">
        <v>216</v>
      </c>
      <c r="B765">
        <v>1293</v>
      </c>
      <c r="C765" t="s">
        <v>27</v>
      </c>
      <c r="D765" s="8">
        <v>45680</v>
      </c>
      <c r="E765" s="22">
        <v>45964</v>
      </c>
      <c r="F765" t="s">
        <v>415</v>
      </c>
      <c r="H765">
        <v>6</v>
      </c>
      <c r="I765">
        <v>20611890746</v>
      </c>
      <c r="J765" t="s">
        <v>2078</v>
      </c>
      <c r="K765" s="8">
        <v>45680</v>
      </c>
      <c r="Q765">
        <v>17815</v>
      </c>
      <c r="R765">
        <v>877</v>
      </c>
      <c r="S765" t="s">
        <v>1300</v>
      </c>
      <c r="T765" t="s">
        <v>215</v>
      </c>
      <c r="U765">
        <v>1</v>
      </c>
      <c r="V765">
        <v>3754.15</v>
      </c>
      <c r="W765">
        <v>4429.8999999999996</v>
      </c>
      <c r="X765">
        <v>0</v>
      </c>
      <c r="Y765">
        <v>3754.15</v>
      </c>
      <c r="Z765">
        <v>18</v>
      </c>
      <c r="AA765">
        <v>675.75</v>
      </c>
      <c r="AB765">
        <v>4429.8999999999996</v>
      </c>
      <c r="AC765">
        <v>1</v>
      </c>
      <c r="AD765">
        <v>1</v>
      </c>
      <c r="AE765" t="s">
        <v>232</v>
      </c>
      <c r="AF765" t="s">
        <v>29</v>
      </c>
      <c r="AG765">
        <v>2</v>
      </c>
      <c r="AH765" t="s">
        <v>25</v>
      </c>
      <c r="AI765">
        <v>1106</v>
      </c>
      <c r="AJ765" t="s">
        <v>239</v>
      </c>
      <c r="AK765" t="s">
        <v>1237</v>
      </c>
      <c r="AP765">
        <v>1136</v>
      </c>
      <c r="AQ765" t="s">
        <v>415</v>
      </c>
      <c r="AR765" t="s">
        <v>12</v>
      </c>
      <c r="AS765" t="str">
        <f>+CONCATENATE(A765,"-",B765)</f>
        <v>FB01-1293</v>
      </c>
    </row>
    <row r="766" spans="1:45" ht="15" customHeight="1">
      <c r="A766" t="s">
        <v>1238</v>
      </c>
      <c r="B766">
        <v>630</v>
      </c>
      <c r="C766" t="s">
        <v>27</v>
      </c>
      <c r="D766" s="8">
        <v>45660</v>
      </c>
      <c r="E766" s="22">
        <v>45964</v>
      </c>
      <c r="F766" t="s">
        <v>1151</v>
      </c>
      <c r="G766" t="s">
        <v>158</v>
      </c>
      <c r="H766">
        <v>1</v>
      </c>
      <c r="I766">
        <v>44413438</v>
      </c>
      <c r="J766" t="s">
        <v>2215</v>
      </c>
      <c r="K766" s="8">
        <v>45660</v>
      </c>
      <c r="Q766">
        <v>17164</v>
      </c>
      <c r="R766">
        <v>877</v>
      </c>
      <c r="S766" t="s">
        <v>1300</v>
      </c>
      <c r="T766" t="s">
        <v>215</v>
      </c>
      <c r="U766">
        <v>1</v>
      </c>
      <c r="V766">
        <v>3774.66</v>
      </c>
      <c r="W766">
        <v>4454.1000000000004</v>
      </c>
      <c r="X766">
        <v>0</v>
      </c>
      <c r="Y766">
        <v>3774.66</v>
      </c>
      <c r="Z766">
        <v>18</v>
      </c>
      <c r="AA766">
        <v>679.44</v>
      </c>
      <c r="AB766">
        <v>4454.1000000000004</v>
      </c>
      <c r="AC766">
        <v>1</v>
      </c>
      <c r="AD766">
        <v>1</v>
      </c>
      <c r="AE766" t="s">
        <v>232</v>
      </c>
      <c r="AF766" t="s">
        <v>29</v>
      </c>
      <c r="AG766">
        <v>2</v>
      </c>
      <c r="AH766" t="s">
        <v>25</v>
      </c>
      <c r="AI766">
        <v>1106</v>
      </c>
      <c r="AJ766" t="s">
        <v>239</v>
      </c>
      <c r="AK766" t="s">
        <v>1237</v>
      </c>
      <c r="AP766">
        <v>405</v>
      </c>
      <c r="AQ766" t="s">
        <v>1151</v>
      </c>
      <c r="AR766" t="s">
        <v>1295</v>
      </c>
      <c r="AS766" t="str">
        <f>+CONCATENATE(A766,"-",B766)</f>
        <v>BB01-630</v>
      </c>
    </row>
    <row r="767" spans="1:45" ht="15" customHeight="1">
      <c r="A767" t="s">
        <v>216</v>
      </c>
      <c r="B767">
        <v>1233</v>
      </c>
      <c r="C767" t="s">
        <v>27</v>
      </c>
      <c r="D767" s="8">
        <v>45665</v>
      </c>
      <c r="E767" s="22">
        <v>45964</v>
      </c>
      <c r="F767" t="s">
        <v>415</v>
      </c>
      <c r="H767">
        <v>6</v>
      </c>
      <c r="I767">
        <v>20611890746</v>
      </c>
      <c r="J767" t="s">
        <v>2152</v>
      </c>
      <c r="K767" s="8">
        <v>45665</v>
      </c>
      <c r="Q767">
        <v>17236</v>
      </c>
      <c r="R767">
        <v>877</v>
      </c>
      <c r="S767" t="s">
        <v>1300</v>
      </c>
      <c r="T767" t="s">
        <v>215</v>
      </c>
      <c r="U767">
        <v>1</v>
      </c>
      <c r="V767">
        <v>3942.12</v>
      </c>
      <c r="W767">
        <v>4651.7</v>
      </c>
      <c r="X767">
        <v>0</v>
      </c>
      <c r="Y767">
        <v>3942.12</v>
      </c>
      <c r="Z767">
        <v>18</v>
      </c>
      <c r="AA767">
        <v>709.58</v>
      </c>
      <c r="AB767">
        <v>4651.7</v>
      </c>
      <c r="AC767">
        <v>1</v>
      </c>
      <c r="AD767">
        <v>1</v>
      </c>
      <c r="AE767" t="s">
        <v>232</v>
      </c>
      <c r="AF767" t="s">
        <v>29</v>
      </c>
      <c r="AG767">
        <v>2</v>
      </c>
      <c r="AH767" t="s">
        <v>25</v>
      </c>
      <c r="AI767">
        <v>1106</v>
      </c>
      <c r="AJ767" t="s">
        <v>239</v>
      </c>
      <c r="AK767" t="s">
        <v>1237</v>
      </c>
      <c r="AP767">
        <v>1136</v>
      </c>
      <c r="AQ767" t="s">
        <v>415</v>
      </c>
      <c r="AR767" t="s">
        <v>12</v>
      </c>
      <c r="AS767" t="str">
        <f>+CONCATENATE(A767,"-",B767)</f>
        <v>FB01-1233</v>
      </c>
    </row>
    <row r="768" spans="1:45" ht="15" customHeight="1">
      <c r="A768" t="s">
        <v>1216</v>
      </c>
      <c r="B768" s="21" t="s">
        <v>1408</v>
      </c>
      <c r="C768" t="s">
        <v>27</v>
      </c>
      <c r="D768" s="8">
        <v>45957</v>
      </c>
      <c r="E768" s="22">
        <v>45964.766041666669</v>
      </c>
      <c r="F768" t="s">
        <v>1409</v>
      </c>
      <c r="H768">
        <v>6</v>
      </c>
      <c r="I768">
        <v>20604680795</v>
      </c>
      <c r="J768" t="s">
        <v>2689</v>
      </c>
      <c r="K768" s="8">
        <v>45957</v>
      </c>
      <c r="Q768">
        <v>32792</v>
      </c>
      <c r="R768">
        <v>223</v>
      </c>
      <c r="S768" t="s">
        <v>1410</v>
      </c>
      <c r="T768" t="s">
        <v>215</v>
      </c>
      <c r="U768">
        <v>4500</v>
      </c>
      <c r="V768">
        <v>0.9</v>
      </c>
      <c r="W768">
        <v>1.06</v>
      </c>
      <c r="X768">
        <v>0</v>
      </c>
      <c r="Y768">
        <v>4050</v>
      </c>
      <c r="Z768">
        <v>18</v>
      </c>
      <c r="AA768">
        <v>729</v>
      </c>
      <c r="AB768">
        <v>4779</v>
      </c>
      <c r="AC768">
        <v>1</v>
      </c>
      <c r="AD768">
        <v>1</v>
      </c>
      <c r="AE768" t="s">
        <v>1411</v>
      </c>
      <c r="AF768" t="s">
        <v>1412</v>
      </c>
      <c r="AG768">
        <v>2</v>
      </c>
      <c r="AH768" t="s">
        <v>25</v>
      </c>
      <c r="AI768">
        <v>1106</v>
      </c>
      <c r="AJ768" t="s">
        <v>239</v>
      </c>
      <c r="AK768" t="s">
        <v>1406</v>
      </c>
      <c r="AP768">
        <v>5214</v>
      </c>
      <c r="AQ768" t="s">
        <v>1409</v>
      </c>
      <c r="AR768" t="s">
        <v>12</v>
      </c>
      <c r="AS768" t="str">
        <f>+CONCATENATE(A768,"-",B768)</f>
        <v>(01) Factura FOF1-00000190</v>
      </c>
    </row>
    <row r="769" spans="1:45" ht="15" customHeight="1">
      <c r="A769" t="s">
        <v>1216</v>
      </c>
      <c r="B769" s="21" t="s">
        <v>1408</v>
      </c>
      <c r="C769" t="s">
        <v>27</v>
      </c>
      <c r="D769" s="8">
        <v>45957</v>
      </c>
      <c r="E769" s="22">
        <v>45964.766041666669</v>
      </c>
      <c r="F769" t="s">
        <v>1409</v>
      </c>
      <c r="H769">
        <v>6</v>
      </c>
      <c r="I769">
        <v>20604680795</v>
      </c>
      <c r="J769" t="s">
        <v>2689</v>
      </c>
      <c r="K769" s="8">
        <v>45957</v>
      </c>
      <c r="Q769">
        <v>32794</v>
      </c>
      <c r="R769">
        <v>223</v>
      </c>
      <c r="S769" t="s">
        <v>1410</v>
      </c>
      <c r="T769" t="s">
        <v>215</v>
      </c>
      <c r="U769">
        <v>4500</v>
      </c>
      <c r="V769">
        <v>0.9</v>
      </c>
      <c r="W769">
        <v>1.06</v>
      </c>
      <c r="X769">
        <v>0</v>
      </c>
      <c r="Y769">
        <v>4050</v>
      </c>
      <c r="Z769">
        <v>18</v>
      </c>
      <c r="AA769">
        <v>729</v>
      </c>
      <c r="AB769">
        <v>4779</v>
      </c>
      <c r="AC769">
        <v>1</v>
      </c>
      <c r="AD769">
        <v>1</v>
      </c>
      <c r="AE769" t="s">
        <v>1411</v>
      </c>
      <c r="AF769" t="s">
        <v>1412</v>
      </c>
      <c r="AG769">
        <v>2</v>
      </c>
      <c r="AH769" t="s">
        <v>25</v>
      </c>
      <c r="AI769">
        <v>1106</v>
      </c>
      <c r="AJ769" t="s">
        <v>239</v>
      </c>
      <c r="AK769" t="s">
        <v>1406</v>
      </c>
      <c r="AP769">
        <v>5214</v>
      </c>
      <c r="AQ769" t="s">
        <v>1409</v>
      </c>
      <c r="AR769" t="s">
        <v>12</v>
      </c>
      <c r="AS769" t="str">
        <f>+CONCATENATE(A769,"-",B769)</f>
        <v>(01) Factura FOF1-00000190</v>
      </c>
    </row>
    <row r="770" spans="1:45" ht="15" customHeight="1">
      <c r="A770" t="s">
        <v>1214</v>
      </c>
      <c r="B770" s="21" t="s">
        <v>213</v>
      </c>
      <c r="C770" t="s">
        <v>27</v>
      </c>
      <c r="D770" s="8">
        <v>45937</v>
      </c>
      <c r="E770" s="22">
        <v>45964.663726851853</v>
      </c>
      <c r="F770" t="s">
        <v>373</v>
      </c>
      <c r="H770">
        <v>1</v>
      </c>
      <c r="I770" s="21" t="s">
        <v>1234</v>
      </c>
      <c r="J770" t="s">
        <v>1904</v>
      </c>
      <c r="K770" s="8">
        <v>45937</v>
      </c>
      <c r="Q770">
        <v>30877</v>
      </c>
      <c r="R770">
        <v>216</v>
      </c>
      <c r="S770" t="s">
        <v>1300</v>
      </c>
      <c r="T770" t="s">
        <v>163</v>
      </c>
      <c r="U770">
        <v>1</v>
      </c>
      <c r="V770">
        <v>4123.66</v>
      </c>
      <c r="W770">
        <v>4865.92</v>
      </c>
      <c r="X770">
        <v>0</v>
      </c>
      <c r="Y770">
        <v>4123.66</v>
      </c>
      <c r="Z770">
        <v>18</v>
      </c>
      <c r="AA770">
        <v>742.26</v>
      </c>
      <c r="AB770">
        <v>4865.92</v>
      </c>
      <c r="AC770">
        <v>1</v>
      </c>
      <c r="AD770">
        <v>1</v>
      </c>
      <c r="AE770" t="s">
        <v>1411</v>
      </c>
      <c r="AF770" t="s">
        <v>1412</v>
      </c>
      <c r="AG770">
        <v>2</v>
      </c>
      <c r="AH770" t="s">
        <v>25</v>
      </c>
      <c r="AI770">
        <v>1106</v>
      </c>
      <c r="AJ770" t="s">
        <v>239</v>
      </c>
      <c r="AK770" t="s">
        <v>169</v>
      </c>
      <c r="AL770">
        <v>3185</v>
      </c>
      <c r="AM770" t="s">
        <v>1235</v>
      </c>
      <c r="AN770" s="8">
        <v>45935</v>
      </c>
      <c r="AO770" s="8">
        <v>45935</v>
      </c>
      <c r="AP770">
        <v>6123</v>
      </c>
      <c r="AQ770" t="s">
        <v>1296</v>
      </c>
      <c r="AR770" t="s">
        <v>12</v>
      </c>
      <c r="AS770" t="str">
        <f>+CONCATENATE(A770,"-",B770)</f>
        <v>(03) Boleta BOB1-00000001</v>
      </c>
    </row>
    <row r="771" spans="1:45" ht="15" customHeight="1">
      <c r="A771" t="s">
        <v>216</v>
      </c>
      <c r="B771">
        <v>1227</v>
      </c>
      <c r="C771" t="s">
        <v>27</v>
      </c>
      <c r="D771" s="8">
        <v>45665</v>
      </c>
      <c r="E771" s="22">
        <v>45964</v>
      </c>
      <c r="F771" t="s">
        <v>1240</v>
      </c>
      <c r="G771" t="s">
        <v>158</v>
      </c>
      <c r="H771">
        <v>6</v>
      </c>
      <c r="I771">
        <v>20602855733</v>
      </c>
      <c r="J771" t="s">
        <v>2158</v>
      </c>
      <c r="K771" s="8">
        <v>45665</v>
      </c>
      <c r="Q771">
        <v>17230</v>
      </c>
      <c r="R771">
        <v>878</v>
      </c>
      <c r="S771" t="s">
        <v>1334</v>
      </c>
      <c r="T771" t="s">
        <v>215</v>
      </c>
      <c r="U771">
        <v>1</v>
      </c>
      <c r="V771">
        <v>4262.2</v>
      </c>
      <c r="W771">
        <v>5029.3999999999996</v>
      </c>
      <c r="X771">
        <v>0</v>
      </c>
      <c r="Y771">
        <v>4262.2</v>
      </c>
      <c r="Z771">
        <v>18</v>
      </c>
      <c r="AA771">
        <v>767.2</v>
      </c>
      <c r="AB771">
        <v>5029.3999999999996</v>
      </c>
      <c r="AC771">
        <v>1</v>
      </c>
      <c r="AD771">
        <v>1</v>
      </c>
      <c r="AE771" t="s">
        <v>232</v>
      </c>
      <c r="AF771" t="s">
        <v>29</v>
      </c>
      <c r="AG771">
        <v>2</v>
      </c>
      <c r="AH771" t="s">
        <v>25</v>
      </c>
      <c r="AI771">
        <v>1106</v>
      </c>
      <c r="AJ771" t="s">
        <v>239</v>
      </c>
      <c r="AK771" t="s">
        <v>1237</v>
      </c>
      <c r="AP771">
        <v>385</v>
      </c>
      <c r="AQ771" t="s">
        <v>1240</v>
      </c>
      <c r="AR771" t="s">
        <v>12</v>
      </c>
      <c r="AS771" t="str">
        <f>+CONCATENATE(A771,"-",B771)</f>
        <v>FB01-1227</v>
      </c>
    </row>
    <row r="772" spans="1:45" ht="15" customHeight="1">
      <c r="A772" t="s">
        <v>1214</v>
      </c>
      <c r="B772" s="21" t="s">
        <v>170</v>
      </c>
      <c r="C772" t="s">
        <v>27</v>
      </c>
      <c r="D772" s="8">
        <v>45946</v>
      </c>
      <c r="E772" s="22">
        <v>45964.804340277777</v>
      </c>
      <c r="F772" t="s">
        <v>373</v>
      </c>
      <c r="H772">
        <v>1</v>
      </c>
      <c r="I772" s="21" t="s">
        <v>1234</v>
      </c>
      <c r="J772" t="s">
        <v>1749</v>
      </c>
      <c r="K772" s="8">
        <v>45946</v>
      </c>
      <c r="Q772">
        <v>31503</v>
      </c>
      <c r="R772">
        <v>1786</v>
      </c>
      <c r="S772" t="s">
        <v>1299</v>
      </c>
      <c r="T772" t="s">
        <v>163</v>
      </c>
      <c r="U772">
        <v>1</v>
      </c>
      <c r="V772">
        <v>4262.74</v>
      </c>
      <c r="W772">
        <v>5030.03</v>
      </c>
      <c r="X772">
        <v>0</v>
      </c>
      <c r="Y772">
        <v>4262.74</v>
      </c>
      <c r="Z772">
        <v>18</v>
      </c>
      <c r="AA772">
        <v>767.29</v>
      </c>
      <c r="AB772">
        <v>5030.03</v>
      </c>
      <c r="AC772">
        <v>1</v>
      </c>
      <c r="AD772">
        <v>1</v>
      </c>
      <c r="AE772" t="s">
        <v>1411</v>
      </c>
      <c r="AF772" t="s">
        <v>1412</v>
      </c>
      <c r="AG772">
        <v>2</v>
      </c>
      <c r="AH772" t="s">
        <v>25</v>
      </c>
      <c r="AI772">
        <v>6937</v>
      </c>
      <c r="AJ772" t="s">
        <v>1414</v>
      </c>
      <c r="AK772" t="s">
        <v>1251</v>
      </c>
      <c r="AL772">
        <v>3230</v>
      </c>
      <c r="AM772" t="s">
        <v>1746</v>
      </c>
      <c r="AN772" s="8">
        <v>45942</v>
      </c>
      <c r="AO772" s="8">
        <v>45942</v>
      </c>
      <c r="AP772">
        <v>6249</v>
      </c>
      <c r="AQ772" t="s">
        <v>373</v>
      </c>
      <c r="AR772" t="s">
        <v>1295</v>
      </c>
      <c r="AS772" t="str">
        <f>+CONCATENATE(A772,"-",B772)</f>
        <v>(03) Boleta BOB1-00000045</v>
      </c>
    </row>
    <row r="773" spans="1:45" ht="15" customHeight="1">
      <c r="A773" t="s">
        <v>1214</v>
      </c>
      <c r="B773" s="21" t="s">
        <v>1727</v>
      </c>
      <c r="C773" t="s">
        <v>27</v>
      </c>
      <c r="D773" s="8">
        <v>45959</v>
      </c>
      <c r="E773" s="22">
        <v>45964.64539351852</v>
      </c>
      <c r="F773" t="s">
        <v>1151</v>
      </c>
      <c r="G773" t="s">
        <v>158</v>
      </c>
      <c r="H773">
        <v>1</v>
      </c>
      <c r="I773">
        <v>44413438</v>
      </c>
      <c r="J773" t="s">
        <v>2661</v>
      </c>
      <c r="K773" s="8">
        <v>45959</v>
      </c>
      <c r="Q773">
        <v>32926</v>
      </c>
      <c r="R773">
        <v>1786</v>
      </c>
      <c r="S773" t="s">
        <v>1299</v>
      </c>
      <c r="T773" t="s">
        <v>163</v>
      </c>
      <c r="U773">
        <v>1</v>
      </c>
      <c r="V773">
        <v>4465.08</v>
      </c>
      <c r="W773">
        <v>5268.79</v>
      </c>
      <c r="X773">
        <v>0</v>
      </c>
      <c r="Y773">
        <v>4465.08</v>
      </c>
      <c r="Z773">
        <v>18</v>
      </c>
      <c r="AA773">
        <v>803.71</v>
      </c>
      <c r="AB773">
        <v>5268.79</v>
      </c>
      <c r="AC773">
        <v>1</v>
      </c>
      <c r="AD773">
        <v>1</v>
      </c>
      <c r="AE773" t="s">
        <v>1411</v>
      </c>
      <c r="AF773" t="s">
        <v>1412</v>
      </c>
      <c r="AG773">
        <v>2</v>
      </c>
      <c r="AH773" t="s">
        <v>25</v>
      </c>
      <c r="AI773">
        <v>6937</v>
      </c>
      <c r="AJ773" t="s">
        <v>1414</v>
      </c>
      <c r="AK773" t="s">
        <v>1251</v>
      </c>
      <c r="AL773">
        <v>3074</v>
      </c>
      <c r="AM773" t="s">
        <v>2482</v>
      </c>
      <c r="AN773" s="8">
        <v>45955</v>
      </c>
      <c r="AO773" s="8">
        <v>45955</v>
      </c>
      <c r="AP773">
        <v>405</v>
      </c>
      <c r="AQ773" t="s">
        <v>1151</v>
      </c>
      <c r="AR773" t="s">
        <v>1295</v>
      </c>
      <c r="AS773" t="str">
        <f>+CONCATENATE(A773,"-",B773)</f>
        <v>(03) Boleta BOB1-00000107</v>
      </c>
    </row>
    <row r="774" spans="1:45" ht="15" customHeight="1">
      <c r="A774" t="s">
        <v>216</v>
      </c>
      <c r="B774">
        <v>1171</v>
      </c>
      <c r="C774" t="s">
        <v>27</v>
      </c>
      <c r="D774" s="8">
        <v>45660</v>
      </c>
      <c r="E774" s="22">
        <v>45964</v>
      </c>
      <c r="F774" t="s">
        <v>1240</v>
      </c>
      <c r="G774" t="s">
        <v>158</v>
      </c>
      <c r="H774">
        <v>6</v>
      </c>
      <c r="I774">
        <v>20602855733</v>
      </c>
      <c r="J774" t="s">
        <v>2227</v>
      </c>
      <c r="K774" s="8">
        <v>45660</v>
      </c>
      <c r="Q774">
        <v>17152</v>
      </c>
      <c r="R774">
        <v>870</v>
      </c>
      <c r="S774" t="s">
        <v>1299</v>
      </c>
      <c r="T774" t="s">
        <v>215</v>
      </c>
      <c r="U774">
        <v>1</v>
      </c>
      <c r="V774">
        <v>4569.66</v>
      </c>
      <c r="W774">
        <v>5392.2</v>
      </c>
      <c r="X774">
        <v>0</v>
      </c>
      <c r="Y774">
        <v>4569.66</v>
      </c>
      <c r="Z774">
        <v>18</v>
      </c>
      <c r="AA774">
        <v>822.54</v>
      </c>
      <c r="AB774">
        <v>5392.2</v>
      </c>
      <c r="AC774">
        <v>1</v>
      </c>
      <c r="AD774">
        <v>1</v>
      </c>
      <c r="AE774" t="s">
        <v>232</v>
      </c>
      <c r="AF774" t="s">
        <v>29</v>
      </c>
      <c r="AG774">
        <v>2</v>
      </c>
      <c r="AH774" t="s">
        <v>25</v>
      </c>
      <c r="AI774">
        <v>1106</v>
      </c>
      <c r="AJ774" t="s">
        <v>239</v>
      </c>
      <c r="AK774" t="s">
        <v>1237</v>
      </c>
      <c r="AP774">
        <v>385</v>
      </c>
      <c r="AQ774" t="s">
        <v>1240</v>
      </c>
      <c r="AR774" t="s">
        <v>12</v>
      </c>
      <c r="AS774" t="str">
        <f>+CONCATENATE(A774,"-",B774)</f>
        <v>FB01-1171</v>
      </c>
    </row>
    <row r="775" spans="1:45" ht="15" customHeight="1">
      <c r="A775" t="s">
        <v>1216</v>
      </c>
      <c r="B775" s="21" t="s">
        <v>1501</v>
      </c>
      <c r="C775" t="s">
        <v>27</v>
      </c>
      <c r="D775" s="8">
        <v>45946</v>
      </c>
      <c r="E775" s="22">
        <v>45964.787268518521</v>
      </c>
      <c r="F775" t="s">
        <v>1781</v>
      </c>
      <c r="H775">
        <v>6</v>
      </c>
      <c r="I775">
        <v>20612897426</v>
      </c>
      <c r="J775" t="s">
        <v>1784</v>
      </c>
      <c r="K775" s="8">
        <v>45946</v>
      </c>
      <c r="Q775">
        <v>31434</v>
      </c>
      <c r="R775">
        <v>216</v>
      </c>
      <c r="S775" t="s">
        <v>1300</v>
      </c>
      <c r="T775" t="s">
        <v>163</v>
      </c>
      <c r="U775">
        <v>1</v>
      </c>
      <c r="V775">
        <v>4588.6400000000003</v>
      </c>
      <c r="W775">
        <v>5414.6</v>
      </c>
      <c r="X775">
        <v>0</v>
      </c>
      <c r="Y775">
        <v>4588.6400000000003</v>
      </c>
      <c r="Z775">
        <v>18</v>
      </c>
      <c r="AA775">
        <v>825.96</v>
      </c>
      <c r="AB775">
        <v>5414.6</v>
      </c>
      <c r="AC775">
        <v>1</v>
      </c>
      <c r="AD775">
        <v>1</v>
      </c>
      <c r="AE775" t="s">
        <v>1411</v>
      </c>
      <c r="AF775" t="s">
        <v>1412</v>
      </c>
      <c r="AG775">
        <v>2</v>
      </c>
      <c r="AH775" t="s">
        <v>25</v>
      </c>
      <c r="AI775">
        <v>6936</v>
      </c>
      <c r="AJ775" t="s">
        <v>1437</v>
      </c>
      <c r="AK775" t="s">
        <v>1433</v>
      </c>
      <c r="AL775">
        <v>3121</v>
      </c>
      <c r="AM775" t="s">
        <v>1783</v>
      </c>
      <c r="AN775" s="8">
        <v>45940</v>
      </c>
      <c r="AO775" s="8">
        <v>45940</v>
      </c>
      <c r="AP775">
        <v>5084</v>
      </c>
      <c r="AQ775" t="s">
        <v>1781</v>
      </c>
      <c r="AR775" t="s">
        <v>12</v>
      </c>
      <c r="AS775" t="str">
        <f>+CONCATENATE(A775,"-",B775)</f>
        <v>(01) Factura FOF1-00000083</v>
      </c>
    </row>
    <row r="776" spans="1:45" ht="15" customHeight="1">
      <c r="A776" t="s">
        <v>1238</v>
      </c>
      <c r="B776">
        <v>707</v>
      </c>
      <c r="C776" t="s">
        <v>27</v>
      </c>
      <c r="D776" s="8">
        <v>45686</v>
      </c>
      <c r="E776" s="22">
        <v>45964</v>
      </c>
      <c r="F776" t="s">
        <v>674</v>
      </c>
      <c r="H776">
        <v>1</v>
      </c>
      <c r="I776">
        <v>48831337</v>
      </c>
      <c r="J776" t="s">
        <v>1992</v>
      </c>
      <c r="K776" s="8">
        <v>45686</v>
      </c>
      <c r="Q776">
        <v>18671</v>
      </c>
      <c r="R776">
        <v>870</v>
      </c>
      <c r="S776" t="s">
        <v>1299</v>
      </c>
      <c r="T776" t="s">
        <v>215</v>
      </c>
      <c r="U776">
        <v>1</v>
      </c>
      <c r="V776">
        <v>4611.78</v>
      </c>
      <c r="W776">
        <v>5441.9</v>
      </c>
      <c r="X776">
        <v>0</v>
      </c>
      <c r="Y776">
        <v>4611.78</v>
      </c>
      <c r="Z776">
        <v>18</v>
      </c>
      <c r="AA776">
        <v>830.12</v>
      </c>
      <c r="AB776">
        <v>5441.9</v>
      </c>
      <c r="AC776">
        <v>1</v>
      </c>
      <c r="AD776">
        <v>1</v>
      </c>
      <c r="AE776" t="s">
        <v>232</v>
      </c>
      <c r="AF776" t="s">
        <v>29</v>
      </c>
      <c r="AG776">
        <v>2</v>
      </c>
      <c r="AH776" t="s">
        <v>25</v>
      </c>
      <c r="AI776">
        <v>1106</v>
      </c>
      <c r="AJ776" t="s">
        <v>239</v>
      </c>
      <c r="AK776" t="s">
        <v>1237</v>
      </c>
      <c r="AP776">
        <v>1171</v>
      </c>
      <c r="AQ776" t="s">
        <v>674</v>
      </c>
      <c r="AR776" t="s">
        <v>1295</v>
      </c>
      <c r="AS776" t="str">
        <f>+CONCATENATE(A776,"-",B776)</f>
        <v>BB01-707</v>
      </c>
    </row>
    <row r="777" spans="1:45" ht="15" customHeight="1">
      <c r="A777" t="s">
        <v>1216</v>
      </c>
      <c r="B777" s="21" t="s">
        <v>210</v>
      </c>
      <c r="C777" t="s">
        <v>27</v>
      </c>
      <c r="D777" s="8">
        <v>45944</v>
      </c>
      <c r="E777" s="22">
        <v>45964.395277777781</v>
      </c>
      <c r="F777" t="s">
        <v>342</v>
      </c>
      <c r="H777">
        <v>6</v>
      </c>
      <c r="I777">
        <v>20480413700</v>
      </c>
      <c r="J777" t="s">
        <v>1886</v>
      </c>
      <c r="K777" s="8">
        <v>45944</v>
      </c>
      <c r="Q777">
        <v>31105</v>
      </c>
      <c r="R777">
        <v>1786</v>
      </c>
      <c r="S777" t="s">
        <v>1299</v>
      </c>
      <c r="T777" t="s">
        <v>163</v>
      </c>
      <c r="U777">
        <v>1</v>
      </c>
      <c r="V777">
        <v>4676.95</v>
      </c>
      <c r="W777">
        <v>5518.8</v>
      </c>
      <c r="X777">
        <v>0</v>
      </c>
      <c r="Y777">
        <v>4676.95</v>
      </c>
      <c r="Z777">
        <v>18</v>
      </c>
      <c r="AA777">
        <v>841.85</v>
      </c>
      <c r="AB777">
        <v>5518.8</v>
      </c>
      <c r="AC777">
        <v>1</v>
      </c>
      <c r="AD777">
        <v>1</v>
      </c>
      <c r="AE777" t="s">
        <v>1411</v>
      </c>
      <c r="AF777" t="s">
        <v>1412</v>
      </c>
      <c r="AG777">
        <v>2</v>
      </c>
      <c r="AH777" t="s">
        <v>25</v>
      </c>
      <c r="AI777">
        <v>1106</v>
      </c>
      <c r="AJ777" t="s">
        <v>239</v>
      </c>
      <c r="AK777" t="s">
        <v>169</v>
      </c>
      <c r="AL777">
        <v>3065</v>
      </c>
      <c r="AM777" t="s">
        <v>1228</v>
      </c>
      <c r="AN777" s="8">
        <v>45927</v>
      </c>
      <c r="AO777" s="8">
        <v>45927</v>
      </c>
      <c r="AP777">
        <v>5118</v>
      </c>
      <c r="AQ777" t="s">
        <v>342</v>
      </c>
      <c r="AR777" t="s">
        <v>12</v>
      </c>
      <c r="AS777" t="str">
        <f>+CONCATENATE(A777,"-",B777)</f>
        <v>(01) Factura FOF1-00000017</v>
      </c>
    </row>
    <row r="778" spans="1:45" ht="15" customHeight="1">
      <c r="A778" t="s">
        <v>216</v>
      </c>
      <c r="B778">
        <v>1254</v>
      </c>
      <c r="C778" t="s">
        <v>27</v>
      </c>
      <c r="D778" s="8">
        <v>45665</v>
      </c>
      <c r="E778" s="22">
        <v>45964</v>
      </c>
      <c r="F778" t="s">
        <v>34</v>
      </c>
      <c r="H778">
        <v>6</v>
      </c>
      <c r="I778">
        <v>20611018925</v>
      </c>
      <c r="J778" t="s">
        <v>2128</v>
      </c>
      <c r="K778" s="8">
        <v>45665</v>
      </c>
      <c r="Q778">
        <v>17759</v>
      </c>
      <c r="R778">
        <v>905</v>
      </c>
      <c r="S778" t="s">
        <v>1372</v>
      </c>
      <c r="T778" t="s">
        <v>215</v>
      </c>
      <c r="U778">
        <v>1</v>
      </c>
      <c r="V778">
        <v>4737.62</v>
      </c>
      <c r="W778">
        <v>5590.39</v>
      </c>
      <c r="X778">
        <v>0</v>
      </c>
      <c r="Y778">
        <v>4737.62</v>
      </c>
      <c r="Z778">
        <v>18</v>
      </c>
      <c r="AA778">
        <v>852.77</v>
      </c>
      <c r="AB778">
        <v>5590.39</v>
      </c>
      <c r="AC778">
        <v>1</v>
      </c>
      <c r="AD778">
        <v>1</v>
      </c>
      <c r="AE778" t="s">
        <v>232</v>
      </c>
      <c r="AF778" t="s">
        <v>29</v>
      </c>
      <c r="AG778">
        <v>2</v>
      </c>
      <c r="AH778" t="s">
        <v>25</v>
      </c>
      <c r="AI778">
        <v>1106</v>
      </c>
      <c r="AJ778" t="s">
        <v>239</v>
      </c>
      <c r="AK778" t="s">
        <v>1237</v>
      </c>
      <c r="AP778">
        <v>1128</v>
      </c>
      <c r="AQ778" t="s">
        <v>34</v>
      </c>
      <c r="AR778" t="s">
        <v>12</v>
      </c>
      <c r="AS778" t="str">
        <f>+CONCATENATE(A778,"-",B778)</f>
        <v>FB01-1254</v>
      </c>
    </row>
    <row r="779" spans="1:45" ht="15" customHeight="1">
      <c r="A779" t="s">
        <v>1214</v>
      </c>
      <c r="B779" s="21" t="s">
        <v>175</v>
      </c>
      <c r="C779" t="s">
        <v>27</v>
      </c>
      <c r="D779" s="8">
        <v>45946</v>
      </c>
      <c r="E779" s="22">
        <v>45964.785173611112</v>
      </c>
      <c r="F779" t="s">
        <v>373</v>
      </c>
      <c r="H779">
        <v>1</v>
      </c>
      <c r="I779" s="21" t="s">
        <v>1234</v>
      </c>
      <c r="J779" t="s">
        <v>1786</v>
      </c>
      <c r="K779" s="8">
        <v>45946</v>
      </c>
      <c r="Q779">
        <v>31428</v>
      </c>
      <c r="R779">
        <v>1786</v>
      </c>
      <c r="S779" t="s">
        <v>1299</v>
      </c>
      <c r="T779" t="s">
        <v>163</v>
      </c>
      <c r="U779">
        <v>1</v>
      </c>
      <c r="V779">
        <v>4904.1000000000004</v>
      </c>
      <c r="W779">
        <v>5786.84</v>
      </c>
      <c r="X779">
        <v>0</v>
      </c>
      <c r="Y779">
        <v>4904.1000000000004</v>
      </c>
      <c r="Z779">
        <v>18</v>
      </c>
      <c r="AA779">
        <v>882.74</v>
      </c>
      <c r="AB779">
        <v>5786.84</v>
      </c>
      <c r="AC779">
        <v>1</v>
      </c>
      <c r="AD779">
        <v>1</v>
      </c>
      <c r="AE779" t="s">
        <v>1411</v>
      </c>
      <c r="AF779" t="s">
        <v>1412</v>
      </c>
      <c r="AG779">
        <v>2</v>
      </c>
      <c r="AH779" t="s">
        <v>25</v>
      </c>
      <c r="AI779">
        <v>6937</v>
      </c>
      <c r="AJ779" t="s">
        <v>1414</v>
      </c>
      <c r="AK779" t="s">
        <v>1251</v>
      </c>
      <c r="AL779">
        <v>3185</v>
      </c>
      <c r="AM779" t="s">
        <v>1235</v>
      </c>
      <c r="AN779" s="8">
        <v>45935</v>
      </c>
      <c r="AO779" s="8">
        <v>45935</v>
      </c>
      <c r="AP779">
        <v>6123</v>
      </c>
      <c r="AQ779" t="s">
        <v>1296</v>
      </c>
      <c r="AR779" t="s">
        <v>12</v>
      </c>
      <c r="AS779" t="str">
        <f>+CONCATENATE(A779,"-",B779)</f>
        <v>(03) Boleta BOB1-00000040</v>
      </c>
    </row>
    <row r="780" spans="1:45" ht="15" customHeight="1">
      <c r="A780" t="s">
        <v>216</v>
      </c>
      <c r="B780">
        <v>1285</v>
      </c>
      <c r="C780" t="s">
        <v>27</v>
      </c>
      <c r="D780" s="8">
        <v>45680</v>
      </c>
      <c r="E780" s="22">
        <v>45964</v>
      </c>
      <c r="F780" t="s">
        <v>415</v>
      </c>
      <c r="H780">
        <v>6</v>
      </c>
      <c r="I780">
        <v>20611890746</v>
      </c>
      <c r="J780" t="s">
        <v>2086</v>
      </c>
      <c r="K780" s="8">
        <v>45680</v>
      </c>
      <c r="Q780">
        <v>17807</v>
      </c>
      <c r="R780">
        <v>871</v>
      </c>
      <c r="S780" t="s">
        <v>1316</v>
      </c>
      <c r="T780" t="s">
        <v>215</v>
      </c>
      <c r="U780">
        <v>1</v>
      </c>
      <c r="V780">
        <v>5158.5600000000004</v>
      </c>
      <c r="W780">
        <v>6087.1</v>
      </c>
      <c r="X780">
        <v>0</v>
      </c>
      <c r="Y780">
        <v>5158.5600000000004</v>
      </c>
      <c r="Z780">
        <v>18</v>
      </c>
      <c r="AA780">
        <v>928.54</v>
      </c>
      <c r="AB780">
        <v>6087.1</v>
      </c>
      <c r="AC780">
        <v>1</v>
      </c>
      <c r="AD780">
        <v>1</v>
      </c>
      <c r="AE780" t="s">
        <v>232</v>
      </c>
      <c r="AF780" t="s">
        <v>29</v>
      </c>
      <c r="AG780">
        <v>2</v>
      </c>
      <c r="AH780" t="s">
        <v>25</v>
      </c>
      <c r="AI780">
        <v>1106</v>
      </c>
      <c r="AJ780" t="s">
        <v>239</v>
      </c>
      <c r="AK780" t="s">
        <v>1237</v>
      </c>
      <c r="AP780">
        <v>1136</v>
      </c>
      <c r="AQ780" t="s">
        <v>415</v>
      </c>
      <c r="AR780" t="s">
        <v>12</v>
      </c>
      <c r="AS780" t="str">
        <f>+CONCATENATE(A780,"-",B780)</f>
        <v>FB01-1285</v>
      </c>
    </row>
    <row r="781" spans="1:45" ht="15" customHeight="1">
      <c r="A781" t="s">
        <v>216</v>
      </c>
      <c r="B781">
        <v>1234</v>
      </c>
      <c r="C781" t="s">
        <v>27</v>
      </c>
      <c r="D781" s="8">
        <v>45665</v>
      </c>
      <c r="E781" s="22">
        <v>45964</v>
      </c>
      <c r="F781" t="s">
        <v>415</v>
      </c>
      <c r="H781">
        <v>6</v>
      </c>
      <c r="I781">
        <v>20611890746</v>
      </c>
      <c r="J781" t="s">
        <v>2151</v>
      </c>
      <c r="K781" s="8">
        <v>45665</v>
      </c>
      <c r="Q781">
        <v>17237</v>
      </c>
      <c r="R781">
        <v>893</v>
      </c>
      <c r="S781" t="s">
        <v>1382</v>
      </c>
      <c r="T781" t="s">
        <v>215</v>
      </c>
      <c r="U781">
        <v>1</v>
      </c>
      <c r="V781">
        <v>5200</v>
      </c>
      <c r="W781">
        <v>6136</v>
      </c>
      <c r="X781">
        <v>0</v>
      </c>
      <c r="Y781">
        <v>5200</v>
      </c>
      <c r="Z781">
        <v>18</v>
      </c>
      <c r="AA781">
        <v>936</v>
      </c>
      <c r="AB781">
        <v>6136</v>
      </c>
      <c r="AC781">
        <v>1</v>
      </c>
      <c r="AD781">
        <v>1</v>
      </c>
      <c r="AE781" t="s">
        <v>232</v>
      </c>
      <c r="AF781" t="s">
        <v>29</v>
      </c>
      <c r="AG781">
        <v>2</v>
      </c>
      <c r="AH781" t="s">
        <v>25</v>
      </c>
      <c r="AI781">
        <v>1106</v>
      </c>
      <c r="AJ781" t="s">
        <v>239</v>
      </c>
      <c r="AK781" t="s">
        <v>1236</v>
      </c>
      <c r="AP781">
        <v>1136</v>
      </c>
      <c r="AQ781" t="s">
        <v>415</v>
      </c>
      <c r="AR781" t="s">
        <v>12</v>
      </c>
      <c r="AS781" t="str">
        <f>+CONCATENATE(A781,"-",B781)</f>
        <v>FB01-1234</v>
      </c>
    </row>
    <row r="782" spans="1:45" ht="15" customHeight="1">
      <c r="A782" t="s">
        <v>1238</v>
      </c>
      <c r="B782">
        <v>708</v>
      </c>
      <c r="C782" t="s">
        <v>27</v>
      </c>
      <c r="D782" s="8">
        <v>45686</v>
      </c>
      <c r="E782" s="22">
        <v>45964</v>
      </c>
      <c r="F782" t="s">
        <v>674</v>
      </c>
      <c r="H782">
        <v>1</v>
      </c>
      <c r="I782">
        <v>48831337</v>
      </c>
      <c r="J782" t="s">
        <v>1991</v>
      </c>
      <c r="K782" s="8">
        <v>45686</v>
      </c>
      <c r="Q782">
        <v>18672</v>
      </c>
      <c r="R782">
        <v>877</v>
      </c>
      <c r="S782" t="s">
        <v>1300</v>
      </c>
      <c r="T782" t="s">
        <v>215</v>
      </c>
      <c r="U782">
        <v>1</v>
      </c>
      <c r="V782">
        <v>5235.68</v>
      </c>
      <c r="W782">
        <v>6178.1</v>
      </c>
      <c r="X782">
        <v>0</v>
      </c>
      <c r="Y782">
        <v>5235.68</v>
      </c>
      <c r="Z782">
        <v>18</v>
      </c>
      <c r="AA782">
        <v>942.42</v>
      </c>
      <c r="AB782">
        <v>6178.1</v>
      </c>
      <c r="AC782">
        <v>1</v>
      </c>
      <c r="AD782">
        <v>1</v>
      </c>
      <c r="AE782" t="s">
        <v>232</v>
      </c>
      <c r="AF782" t="s">
        <v>29</v>
      </c>
      <c r="AG782">
        <v>2</v>
      </c>
      <c r="AH782" t="s">
        <v>25</v>
      </c>
      <c r="AI782">
        <v>1106</v>
      </c>
      <c r="AJ782" t="s">
        <v>239</v>
      </c>
      <c r="AK782" t="s">
        <v>1237</v>
      </c>
      <c r="AP782">
        <v>1171</v>
      </c>
      <c r="AQ782" t="s">
        <v>674</v>
      </c>
      <c r="AR782" t="s">
        <v>1295</v>
      </c>
      <c r="AS782" t="str">
        <f>+CONCATENATE(A782,"-",B782)</f>
        <v>BB01-708</v>
      </c>
    </row>
    <row r="783" spans="1:45" ht="15" customHeight="1">
      <c r="A783" t="s">
        <v>1216</v>
      </c>
      <c r="B783" s="21" t="s">
        <v>204</v>
      </c>
      <c r="C783" t="s">
        <v>27</v>
      </c>
      <c r="D783" s="8">
        <v>45937</v>
      </c>
      <c r="E783" s="22">
        <v>45964.645543981482</v>
      </c>
      <c r="F783" t="s">
        <v>342</v>
      </c>
      <c r="H783">
        <v>6</v>
      </c>
      <c r="I783">
        <v>20480413700</v>
      </c>
      <c r="J783" t="s">
        <v>1905</v>
      </c>
      <c r="K783" s="8">
        <v>45937</v>
      </c>
      <c r="Q783">
        <v>30868</v>
      </c>
      <c r="R783">
        <v>216</v>
      </c>
      <c r="S783" t="s">
        <v>1300</v>
      </c>
      <c r="T783" t="s">
        <v>163</v>
      </c>
      <c r="U783">
        <v>1</v>
      </c>
      <c r="V783">
        <v>5603.9</v>
      </c>
      <c r="W783">
        <v>6612.6</v>
      </c>
      <c r="X783">
        <v>0</v>
      </c>
      <c r="Y783">
        <v>5603.9</v>
      </c>
      <c r="Z783">
        <v>18</v>
      </c>
      <c r="AA783">
        <v>1008.7</v>
      </c>
      <c r="AB783">
        <v>6612.6</v>
      </c>
      <c r="AC783">
        <v>1</v>
      </c>
      <c r="AD783">
        <v>1</v>
      </c>
      <c r="AE783" t="s">
        <v>1411</v>
      </c>
      <c r="AF783" t="s">
        <v>1412</v>
      </c>
      <c r="AG783">
        <v>2</v>
      </c>
      <c r="AH783" t="s">
        <v>25</v>
      </c>
      <c r="AI783">
        <v>1106</v>
      </c>
      <c r="AJ783" t="s">
        <v>239</v>
      </c>
      <c r="AK783" t="s">
        <v>169</v>
      </c>
      <c r="AL783">
        <v>3065</v>
      </c>
      <c r="AM783" t="s">
        <v>1228</v>
      </c>
      <c r="AN783" s="8">
        <v>45927</v>
      </c>
      <c r="AO783" s="8">
        <v>45927</v>
      </c>
      <c r="AP783">
        <v>5118</v>
      </c>
      <c r="AQ783" t="s">
        <v>342</v>
      </c>
      <c r="AR783" t="s">
        <v>12</v>
      </c>
      <c r="AS783" t="str">
        <f>+CONCATENATE(A783,"-",B783)</f>
        <v>(01) Factura FOF1-00000002</v>
      </c>
    </row>
    <row r="784" spans="1:45" ht="15" customHeight="1">
      <c r="A784" t="s">
        <v>216</v>
      </c>
      <c r="B784">
        <v>1308</v>
      </c>
      <c r="C784" t="s">
        <v>27</v>
      </c>
      <c r="D784" s="8">
        <v>45680</v>
      </c>
      <c r="E784" s="22">
        <v>45964</v>
      </c>
      <c r="F784" t="s">
        <v>756</v>
      </c>
      <c r="H784">
        <v>6</v>
      </c>
      <c r="I784">
        <v>20612849251</v>
      </c>
      <c r="J784" t="s">
        <v>2065</v>
      </c>
      <c r="K784" s="8">
        <v>45680</v>
      </c>
      <c r="Q784">
        <v>17830</v>
      </c>
      <c r="R784">
        <v>870</v>
      </c>
      <c r="S784" t="s">
        <v>1299</v>
      </c>
      <c r="T784" t="s">
        <v>215</v>
      </c>
      <c r="U784">
        <v>1</v>
      </c>
      <c r="V784">
        <v>5640.85</v>
      </c>
      <c r="W784">
        <v>6656.2</v>
      </c>
      <c r="X784">
        <v>0</v>
      </c>
      <c r="Y784">
        <v>5640.85</v>
      </c>
      <c r="Z784">
        <v>18</v>
      </c>
      <c r="AA784">
        <v>1015.35</v>
      </c>
      <c r="AB784">
        <v>6656.2</v>
      </c>
      <c r="AC784">
        <v>1</v>
      </c>
      <c r="AD784">
        <v>1</v>
      </c>
      <c r="AE784" t="s">
        <v>232</v>
      </c>
      <c r="AF784" t="s">
        <v>29</v>
      </c>
      <c r="AG784">
        <v>2</v>
      </c>
      <c r="AH784" t="s">
        <v>25</v>
      </c>
      <c r="AI784">
        <v>1106</v>
      </c>
      <c r="AJ784" t="s">
        <v>239</v>
      </c>
      <c r="AK784" t="s">
        <v>1237</v>
      </c>
      <c r="AP784">
        <v>1132</v>
      </c>
      <c r="AQ784" t="s">
        <v>756</v>
      </c>
      <c r="AR784" t="s">
        <v>12</v>
      </c>
      <c r="AS784" t="str">
        <f>+CONCATENATE(A784,"-",B784)</f>
        <v>FB01-1308</v>
      </c>
    </row>
    <row r="785" spans="1:45" ht="15" customHeight="1">
      <c r="A785" t="s">
        <v>1216</v>
      </c>
      <c r="B785" s="21" t="s">
        <v>174</v>
      </c>
      <c r="C785" t="s">
        <v>27</v>
      </c>
      <c r="D785" s="8">
        <v>45945</v>
      </c>
      <c r="E785" s="22">
        <v>45964.780671296299</v>
      </c>
      <c r="F785" t="s">
        <v>32</v>
      </c>
      <c r="G785" t="s">
        <v>158</v>
      </c>
      <c r="H785">
        <v>6</v>
      </c>
      <c r="I785">
        <v>20608361074</v>
      </c>
      <c r="J785" t="s">
        <v>1845</v>
      </c>
      <c r="K785" s="8">
        <v>45945</v>
      </c>
      <c r="Q785">
        <v>31250</v>
      </c>
      <c r="R785">
        <v>1786</v>
      </c>
      <c r="S785" t="s">
        <v>1299</v>
      </c>
      <c r="T785" t="s">
        <v>163</v>
      </c>
      <c r="U785">
        <v>1</v>
      </c>
      <c r="V785">
        <v>6305.08</v>
      </c>
      <c r="W785">
        <v>7439.99</v>
      </c>
      <c r="X785">
        <v>0</v>
      </c>
      <c r="Y785">
        <v>6305.08</v>
      </c>
      <c r="Z785">
        <v>18</v>
      </c>
      <c r="AA785">
        <v>1134.9100000000001</v>
      </c>
      <c r="AB785">
        <v>7439.99</v>
      </c>
      <c r="AC785">
        <v>1</v>
      </c>
      <c r="AD785">
        <v>1</v>
      </c>
      <c r="AE785" t="s">
        <v>1411</v>
      </c>
      <c r="AF785" t="s">
        <v>1412</v>
      </c>
      <c r="AG785">
        <v>2</v>
      </c>
      <c r="AH785" t="s">
        <v>25</v>
      </c>
      <c r="AI785">
        <v>1106</v>
      </c>
      <c r="AJ785" t="s">
        <v>239</v>
      </c>
      <c r="AK785" t="s">
        <v>169</v>
      </c>
      <c r="AL785">
        <v>3081</v>
      </c>
      <c r="AM785" t="s">
        <v>1217</v>
      </c>
      <c r="AN785" s="8">
        <v>45934</v>
      </c>
      <c r="AO785" s="8">
        <v>45934</v>
      </c>
      <c r="AP785">
        <v>397</v>
      </c>
      <c r="AQ785" t="s">
        <v>32</v>
      </c>
      <c r="AR785" t="s">
        <v>12</v>
      </c>
      <c r="AS785" t="str">
        <f>+CONCATENATE(A785,"-",B785)</f>
        <v>(01) Factura FOF1-00000041</v>
      </c>
    </row>
    <row r="786" spans="1:45" ht="15" customHeight="1">
      <c r="A786" t="s">
        <v>1214</v>
      </c>
      <c r="B786" s="21" t="s">
        <v>1555</v>
      </c>
      <c r="C786" t="s">
        <v>27</v>
      </c>
      <c r="D786" s="8">
        <v>45961</v>
      </c>
      <c r="E786" s="22">
        <v>45964.420763888891</v>
      </c>
      <c r="F786" t="s">
        <v>1031</v>
      </c>
      <c r="H786">
        <v>1</v>
      </c>
      <c r="I786" s="21" t="s">
        <v>2438</v>
      </c>
      <c r="J786" t="s">
        <v>2606</v>
      </c>
      <c r="K786" s="8">
        <v>45961</v>
      </c>
      <c r="Q786">
        <v>33160</v>
      </c>
      <c r="R786">
        <v>216</v>
      </c>
      <c r="S786" t="s">
        <v>1300</v>
      </c>
      <c r="T786" t="s">
        <v>163</v>
      </c>
      <c r="U786">
        <v>1</v>
      </c>
      <c r="V786">
        <v>6366.25</v>
      </c>
      <c r="W786">
        <v>7512.18</v>
      </c>
      <c r="X786">
        <v>0</v>
      </c>
      <c r="Y786">
        <v>6366.25</v>
      </c>
      <c r="Z786">
        <v>18</v>
      </c>
      <c r="AA786">
        <v>1145.93</v>
      </c>
      <c r="AB786">
        <v>7512.18</v>
      </c>
      <c r="AC786">
        <v>1</v>
      </c>
      <c r="AD786">
        <v>1</v>
      </c>
      <c r="AE786" t="s">
        <v>1411</v>
      </c>
      <c r="AF786" t="s">
        <v>1412</v>
      </c>
      <c r="AG786">
        <v>2</v>
      </c>
      <c r="AH786" t="s">
        <v>25</v>
      </c>
      <c r="AI786">
        <v>6936</v>
      </c>
      <c r="AJ786" t="s">
        <v>1437</v>
      </c>
      <c r="AK786" t="s">
        <v>1433</v>
      </c>
      <c r="AL786">
        <v>3319</v>
      </c>
      <c r="AM786" t="s">
        <v>2439</v>
      </c>
      <c r="AN786" s="8">
        <v>45957</v>
      </c>
      <c r="AO786" s="8">
        <v>45957</v>
      </c>
      <c r="AP786">
        <v>5710</v>
      </c>
      <c r="AQ786" t="s">
        <v>1031</v>
      </c>
      <c r="AR786" t="s">
        <v>1295</v>
      </c>
      <c r="AS786" t="str">
        <f>+CONCATENATE(A786,"-",B786)</f>
        <v>(03) Boleta BOB1-00000150</v>
      </c>
    </row>
    <row r="787" spans="1:45" ht="15" customHeight="1">
      <c r="A787" t="s">
        <v>216</v>
      </c>
      <c r="B787">
        <v>1309</v>
      </c>
      <c r="C787" t="s">
        <v>27</v>
      </c>
      <c r="D787" s="8">
        <v>45680</v>
      </c>
      <c r="E787" s="22">
        <v>45964</v>
      </c>
      <c r="F787" t="s">
        <v>756</v>
      </c>
      <c r="H787">
        <v>6</v>
      </c>
      <c r="I787">
        <v>20612849251</v>
      </c>
      <c r="J787" t="s">
        <v>2064</v>
      </c>
      <c r="K787" s="8">
        <v>45680</v>
      </c>
      <c r="Q787">
        <v>17831</v>
      </c>
      <c r="R787">
        <v>877</v>
      </c>
      <c r="S787" t="s">
        <v>1300</v>
      </c>
      <c r="T787" t="s">
        <v>215</v>
      </c>
      <c r="U787">
        <v>1</v>
      </c>
      <c r="V787">
        <v>6508.39</v>
      </c>
      <c r="W787">
        <v>7679.9</v>
      </c>
      <c r="X787">
        <v>0</v>
      </c>
      <c r="Y787">
        <v>6508.39</v>
      </c>
      <c r="Z787">
        <v>18</v>
      </c>
      <c r="AA787">
        <v>1171.51</v>
      </c>
      <c r="AB787">
        <v>7679.9</v>
      </c>
      <c r="AC787">
        <v>1</v>
      </c>
      <c r="AD787">
        <v>1</v>
      </c>
      <c r="AE787" t="s">
        <v>232</v>
      </c>
      <c r="AF787" t="s">
        <v>29</v>
      </c>
      <c r="AG787">
        <v>2</v>
      </c>
      <c r="AH787" t="s">
        <v>25</v>
      </c>
      <c r="AI787">
        <v>1106</v>
      </c>
      <c r="AJ787" t="s">
        <v>239</v>
      </c>
      <c r="AK787" t="s">
        <v>1237</v>
      </c>
      <c r="AP787">
        <v>1132</v>
      </c>
      <c r="AQ787" t="s">
        <v>756</v>
      </c>
      <c r="AR787" t="s">
        <v>12</v>
      </c>
      <c r="AS787" t="str">
        <f>+CONCATENATE(A787,"-",B787)</f>
        <v>FB01-1309</v>
      </c>
    </row>
    <row r="788" spans="1:45" ht="15" customHeight="1">
      <c r="A788" t="s">
        <v>1216</v>
      </c>
      <c r="B788" s="21" t="s">
        <v>1499</v>
      </c>
      <c r="C788" t="s">
        <v>27</v>
      </c>
      <c r="D788" s="8">
        <v>45946</v>
      </c>
      <c r="E788" s="22">
        <v>45964.787499999999</v>
      </c>
      <c r="F788" t="s">
        <v>1781</v>
      </c>
      <c r="H788">
        <v>6</v>
      </c>
      <c r="I788">
        <v>20612897426</v>
      </c>
      <c r="J788" t="s">
        <v>1782</v>
      </c>
      <c r="K788" s="8">
        <v>45946</v>
      </c>
      <c r="Q788">
        <v>31437</v>
      </c>
      <c r="R788">
        <v>1786</v>
      </c>
      <c r="S788" t="s">
        <v>1299</v>
      </c>
      <c r="T788" t="s">
        <v>163</v>
      </c>
      <c r="U788">
        <v>1</v>
      </c>
      <c r="V788">
        <v>6713.73</v>
      </c>
      <c r="W788">
        <v>7922.2</v>
      </c>
      <c r="X788">
        <v>0</v>
      </c>
      <c r="Y788">
        <v>6713.73</v>
      </c>
      <c r="Z788">
        <v>18</v>
      </c>
      <c r="AA788">
        <v>1208.47</v>
      </c>
      <c r="AB788">
        <v>7922.2</v>
      </c>
      <c r="AC788">
        <v>1</v>
      </c>
      <c r="AD788">
        <v>1</v>
      </c>
      <c r="AE788" t="s">
        <v>1411</v>
      </c>
      <c r="AF788" t="s">
        <v>1412</v>
      </c>
      <c r="AG788">
        <v>2</v>
      </c>
      <c r="AH788" t="s">
        <v>25</v>
      </c>
      <c r="AI788">
        <v>6937</v>
      </c>
      <c r="AJ788" t="s">
        <v>1414</v>
      </c>
      <c r="AK788" t="s">
        <v>1251</v>
      </c>
      <c r="AL788">
        <v>3121</v>
      </c>
      <c r="AM788" t="s">
        <v>1783</v>
      </c>
      <c r="AN788" s="8">
        <v>45940</v>
      </c>
      <c r="AO788" s="8">
        <v>45940</v>
      </c>
      <c r="AP788">
        <v>5084</v>
      </c>
      <c r="AQ788" t="s">
        <v>1781</v>
      </c>
      <c r="AR788" t="s">
        <v>12</v>
      </c>
      <c r="AS788" t="str">
        <f>+CONCATENATE(A788,"-",B788)</f>
        <v>(01) Factura FOF1-00000084</v>
      </c>
    </row>
    <row r="789" spans="1:45" ht="15" customHeight="1">
      <c r="A789" t="s">
        <v>1216</v>
      </c>
      <c r="B789" s="21" t="s">
        <v>1657</v>
      </c>
      <c r="C789" t="s">
        <v>27</v>
      </c>
      <c r="D789" s="8">
        <v>45946</v>
      </c>
      <c r="E789" s="22">
        <v>45964.753182870372</v>
      </c>
      <c r="F789" t="s">
        <v>1630</v>
      </c>
      <c r="H789">
        <v>6</v>
      </c>
      <c r="I789">
        <v>20606672323</v>
      </c>
      <c r="J789" t="s">
        <v>1809</v>
      </c>
      <c r="K789" s="8">
        <v>45946</v>
      </c>
      <c r="Q789">
        <v>31358</v>
      </c>
      <c r="R789">
        <v>216</v>
      </c>
      <c r="S789" t="s">
        <v>1300</v>
      </c>
      <c r="T789" t="s">
        <v>163</v>
      </c>
      <c r="U789">
        <v>1</v>
      </c>
      <c r="V789">
        <v>6786.37</v>
      </c>
      <c r="W789">
        <v>8007.92</v>
      </c>
      <c r="X789">
        <v>0</v>
      </c>
      <c r="Y789">
        <v>6786.37</v>
      </c>
      <c r="Z789">
        <v>18</v>
      </c>
      <c r="AA789">
        <v>1221.55</v>
      </c>
      <c r="AB789">
        <v>8007.92</v>
      </c>
      <c r="AC789">
        <v>1</v>
      </c>
      <c r="AD789">
        <v>1</v>
      </c>
      <c r="AE789" t="s">
        <v>1411</v>
      </c>
      <c r="AF789" t="s">
        <v>1412</v>
      </c>
      <c r="AG789">
        <v>2</v>
      </c>
      <c r="AH789" t="s">
        <v>25</v>
      </c>
      <c r="AI789">
        <v>6936</v>
      </c>
      <c r="AJ789" t="s">
        <v>1437</v>
      </c>
      <c r="AK789" t="s">
        <v>1433</v>
      </c>
      <c r="AL789">
        <v>3035</v>
      </c>
      <c r="AM789" t="s">
        <v>1632</v>
      </c>
      <c r="AN789" s="8">
        <v>45934</v>
      </c>
      <c r="AO789" s="8">
        <v>45934</v>
      </c>
      <c r="AP789">
        <v>5606</v>
      </c>
      <c r="AQ789" t="s">
        <v>1630</v>
      </c>
      <c r="AR789" t="s">
        <v>12</v>
      </c>
      <c r="AS789" t="str">
        <f>+CONCATENATE(A789,"-",B789)</f>
        <v>(01) Factura FOF1-00000062</v>
      </c>
    </row>
    <row r="790" spans="1:45" ht="15" customHeight="1">
      <c r="A790" t="s">
        <v>1216</v>
      </c>
      <c r="B790" s="21" t="s">
        <v>1655</v>
      </c>
      <c r="C790" t="s">
        <v>27</v>
      </c>
      <c r="D790" s="8">
        <v>45946</v>
      </c>
      <c r="E790" s="22">
        <v>45964.753449074073</v>
      </c>
      <c r="F790" t="s">
        <v>1630</v>
      </c>
      <c r="H790">
        <v>6</v>
      </c>
      <c r="I790">
        <v>20606672323</v>
      </c>
      <c r="J790" t="s">
        <v>1808</v>
      </c>
      <c r="K790" s="8">
        <v>45946</v>
      </c>
      <c r="Q790">
        <v>31361</v>
      </c>
      <c r="R790">
        <v>1786</v>
      </c>
      <c r="S790" t="s">
        <v>1299</v>
      </c>
      <c r="T790" t="s">
        <v>163</v>
      </c>
      <c r="U790">
        <v>1</v>
      </c>
      <c r="V790">
        <v>7812.63</v>
      </c>
      <c r="W790">
        <v>9218.9</v>
      </c>
      <c r="X790">
        <v>0</v>
      </c>
      <c r="Y790">
        <v>7812.63</v>
      </c>
      <c r="Z790">
        <v>18</v>
      </c>
      <c r="AA790">
        <v>1406.27</v>
      </c>
      <c r="AB790">
        <v>9218.9</v>
      </c>
      <c r="AC790">
        <v>1</v>
      </c>
      <c r="AD790">
        <v>1</v>
      </c>
      <c r="AE790" t="s">
        <v>1411</v>
      </c>
      <c r="AF790" t="s">
        <v>1412</v>
      </c>
      <c r="AG790">
        <v>2</v>
      </c>
      <c r="AH790" t="s">
        <v>25</v>
      </c>
      <c r="AI790">
        <v>6937</v>
      </c>
      <c r="AJ790" t="s">
        <v>1414</v>
      </c>
      <c r="AK790" t="s">
        <v>1251</v>
      </c>
      <c r="AL790">
        <v>3035</v>
      </c>
      <c r="AM790" t="s">
        <v>1632</v>
      </c>
      <c r="AN790" s="8">
        <v>45934</v>
      </c>
      <c r="AO790" s="8">
        <v>45934</v>
      </c>
      <c r="AP790">
        <v>5606</v>
      </c>
      <c r="AQ790" t="s">
        <v>1630</v>
      </c>
      <c r="AR790" t="s">
        <v>12</v>
      </c>
      <c r="AS790" t="str">
        <f>+CONCATENATE(A790,"-",B790)</f>
        <v>(01) Factura FOF1-00000063</v>
      </c>
    </row>
    <row r="791" spans="1:45" ht="15" customHeight="1">
      <c r="A791" t="s">
        <v>1214</v>
      </c>
      <c r="B791" s="21" t="s">
        <v>1552</v>
      </c>
      <c r="C791" t="s">
        <v>27</v>
      </c>
      <c r="D791" s="8">
        <v>45961</v>
      </c>
      <c r="E791" s="22">
        <v>45964.420983796299</v>
      </c>
      <c r="F791" t="s">
        <v>1031</v>
      </c>
      <c r="H791">
        <v>1</v>
      </c>
      <c r="I791" s="21" t="s">
        <v>2438</v>
      </c>
      <c r="J791" t="s">
        <v>2605</v>
      </c>
      <c r="K791" s="8">
        <v>45961</v>
      </c>
      <c r="Q791">
        <v>33163</v>
      </c>
      <c r="R791">
        <v>1786</v>
      </c>
      <c r="S791" t="s">
        <v>1299</v>
      </c>
      <c r="T791" t="s">
        <v>163</v>
      </c>
      <c r="U791">
        <v>1</v>
      </c>
      <c r="V791">
        <v>8035.2</v>
      </c>
      <c r="W791">
        <v>9481.5400000000009</v>
      </c>
      <c r="X791">
        <v>0</v>
      </c>
      <c r="Y791">
        <v>8035.2</v>
      </c>
      <c r="Z791">
        <v>18</v>
      </c>
      <c r="AA791">
        <v>1446.34</v>
      </c>
      <c r="AB791">
        <v>9481.5400000000009</v>
      </c>
      <c r="AC791">
        <v>1</v>
      </c>
      <c r="AD791">
        <v>1</v>
      </c>
      <c r="AE791" t="s">
        <v>1411</v>
      </c>
      <c r="AF791" t="s">
        <v>1412</v>
      </c>
      <c r="AG791">
        <v>2</v>
      </c>
      <c r="AH791" t="s">
        <v>25</v>
      </c>
      <c r="AI791">
        <v>6937</v>
      </c>
      <c r="AJ791" t="s">
        <v>1414</v>
      </c>
      <c r="AK791" t="s">
        <v>1251</v>
      </c>
      <c r="AL791">
        <v>3319</v>
      </c>
      <c r="AM791" t="s">
        <v>2439</v>
      </c>
      <c r="AN791" s="8">
        <v>45957</v>
      </c>
      <c r="AO791" s="8">
        <v>45957</v>
      </c>
      <c r="AP791">
        <v>5710</v>
      </c>
      <c r="AQ791" t="s">
        <v>1031</v>
      </c>
      <c r="AR791" t="s">
        <v>1295</v>
      </c>
      <c r="AS791" t="str">
        <f>+CONCATENATE(A791,"-",B791)</f>
        <v>(03) Boleta BOB1-00000151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AD9-BC32-4205-9EA8-68BABE2E303B}">
  <dimension ref="A1:AS6"/>
  <sheetViews>
    <sheetView workbookViewId="0">
      <selection activeCell="E15" sqref="E15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39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82.4257812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246</v>
      </c>
    </row>
    <row r="3" spans="1:45">
      <c r="A3" t="s">
        <v>113</v>
      </c>
      <c r="B3" t="s">
        <v>114</v>
      </c>
      <c r="C3" t="s">
        <v>233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227</v>
      </c>
    </row>
    <row r="4" spans="1:45">
      <c r="A4" t="s">
        <v>234</v>
      </c>
      <c r="B4" t="s">
        <v>213</v>
      </c>
      <c r="C4" t="s">
        <v>27</v>
      </c>
      <c r="D4" s="8">
        <v>45739</v>
      </c>
      <c r="E4" s="8">
        <v>45939</v>
      </c>
      <c r="F4" t="s">
        <v>33</v>
      </c>
      <c r="H4">
        <v>6</v>
      </c>
      <c r="I4">
        <v>20609168961</v>
      </c>
      <c r="J4" t="s">
        <v>242</v>
      </c>
      <c r="K4" s="8">
        <v>45739</v>
      </c>
      <c r="Q4">
        <v>3</v>
      </c>
      <c r="R4">
        <v>220</v>
      </c>
      <c r="S4" t="s">
        <v>236</v>
      </c>
      <c r="T4" t="s">
        <v>215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232</v>
      </c>
      <c r="AF4" t="s">
        <v>29</v>
      </c>
      <c r="AG4">
        <v>2</v>
      </c>
      <c r="AH4" t="s">
        <v>25</v>
      </c>
      <c r="AI4">
        <v>1106</v>
      </c>
      <c r="AJ4" t="s">
        <v>239</v>
      </c>
      <c r="AK4" t="s">
        <v>245</v>
      </c>
      <c r="AQ4" t="s">
        <v>33</v>
      </c>
      <c r="AS4" t="s">
        <v>237</v>
      </c>
    </row>
    <row r="5" spans="1:45">
      <c r="A5" t="s">
        <v>234</v>
      </c>
      <c r="B5" t="s">
        <v>213</v>
      </c>
      <c r="C5" t="s">
        <v>27</v>
      </c>
      <c r="D5" s="8">
        <v>45739</v>
      </c>
      <c r="E5" s="8">
        <v>45939</v>
      </c>
      <c r="F5" t="s">
        <v>33</v>
      </c>
      <c r="H5">
        <v>6</v>
      </c>
      <c r="I5">
        <v>20609168961</v>
      </c>
      <c r="J5" t="s">
        <v>242</v>
      </c>
      <c r="K5" s="8">
        <v>45739</v>
      </c>
      <c r="Q5">
        <v>2</v>
      </c>
      <c r="R5">
        <v>227</v>
      </c>
      <c r="S5" t="s">
        <v>235</v>
      </c>
      <c r="T5" t="s">
        <v>163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232</v>
      </c>
      <c r="AF5" t="s">
        <v>29</v>
      </c>
      <c r="AG5">
        <v>2</v>
      </c>
      <c r="AH5" t="s">
        <v>25</v>
      </c>
      <c r="AI5">
        <v>1106</v>
      </c>
      <c r="AJ5" t="s">
        <v>239</v>
      </c>
      <c r="AK5" t="s">
        <v>244</v>
      </c>
      <c r="AQ5" t="s">
        <v>33</v>
      </c>
      <c r="AS5" t="s">
        <v>237</v>
      </c>
    </row>
    <row r="6" spans="1:45">
      <c r="A6" t="s">
        <v>234</v>
      </c>
      <c r="B6" t="s">
        <v>213</v>
      </c>
      <c r="C6" t="s">
        <v>27</v>
      </c>
      <c r="D6" s="8">
        <v>45739</v>
      </c>
      <c r="E6" s="8">
        <v>45939</v>
      </c>
      <c r="F6" t="s">
        <v>33</v>
      </c>
      <c r="H6">
        <v>6</v>
      </c>
      <c r="I6">
        <v>20609168961</v>
      </c>
      <c r="J6" t="s">
        <v>242</v>
      </c>
      <c r="K6" s="8">
        <v>45739</v>
      </c>
      <c r="Q6">
        <v>1</v>
      </c>
      <c r="R6">
        <v>232</v>
      </c>
      <c r="S6" t="s">
        <v>162</v>
      </c>
      <c r="T6" t="s">
        <v>163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232</v>
      </c>
      <c r="AF6" t="s">
        <v>29</v>
      </c>
      <c r="AG6">
        <v>2</v>
      </c>
      <c r="AH6" t="s">
        <v>25</v>
      </c>
      <c r="AI6">
        <v>1106</v>
      </c>
      <c r="AJ6" t="s">
        <v>239</v>
      </c>
      <c r="AK6" t="s">
        <v>243</v>
      </c>
      <c r="AQ6" t="s">
        <v>33</v>
      </c>
      <c r="AS6" t="s">
        <v>237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0245-8BDF-481F-A95D-C5AF924A86FB}">
  <dimension ref="A1:AS5"/>
  <sheetViews>
    <sheetView topLeftCell="C1" workbookViewId="0">
      <selection activeCell="E4" sqref="E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76.28515625" bestFit="1" customWidth="1"/>
    <col min="38" max="38" width="24.140625" bestFit="1" customWidth="1"/>
    <col min="39" max="39" width="42.710937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24" bestFit="1" customWidth="1"/>
  </cols>
  <sheetData>
    <row r="1" spans="1:45">
      <c r="A1" s="1" t="s">
        <v>229</v>
      </c>
    </row>
    <row r="3" spans="1:45">
      <c r="A3" t="s">
        <v>113</v>
      </c>
      <c r="B3" t="s">
        <v>114</v>
      </c>
      <c r="C3" t="s">
        <v>233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227</v>
      </c>
    </row>
    <row r="4" spans="1:45">
      <c r="A4" t="s">
        <v>159</v>
      </c>
      <c r="B4" t="s">
        <v>160</v>
      </c>
      <c r="C4" t="s">
        <v>27</v>
      </c>
      <c r="D4" s="8">
        <v>45919</v>
      </c>
      <c r="E4" s="22">
        <v>45939.448761574073</v>
      </c>
      <c r="F4" t="s">
        <v>33</v>
      </c>
      <c r="H4">
        <v>6</v>
      </c>
      <c r="I4">
        <v>20609168961</v>
      </c>
      <c r="J4" t="s">
        <v>240</v>
      </c>
      <c r="K4" s="8">
        <v>45919</v>
      </c>
      <c r="Q4">
        <v>2</v>
      </c>
      <c r="R4">
        <v>228</v>
      </c>
      <c r="S4" t="s">
        <v>167</v>
      </c>
      <c r="T4" t="s">
        <v>163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232</v>
      </c>
      <c r="AF4" t="s">
        <v>29</v>
      </c>
      <c r="AG4">
        <v>2</v>
      </c>
      <c r="AH4" t="s">
        <v>25</v>
      </c>
      <c r="AI4">
        <v>1106</v>
      </c>
      <c r="AJ4" t="s">
        <v>239</v>
      </c>
      <c r="AK4" t="s">
        <v>241</v>
      </c>
      <c r="AL4">
        <v>2</v>
      </c>
      <c r="AM4" t="s">
        <v>166</v>
      </c>
      <c r="AN4" s="8">
        <v>44409</v>
      </c>
      <c r="AO4" s="8">
        <v>44409</v>
      </c>
      <c r="AQ4" t="s">
        <v>33</v>
      </c>
      <c r="AS4" t="s">
        <v>228</v>
      </c>
    </row>
    <row r="5" spans="1:45">
      <c r="A5" t="s">
        <v>159</v>
      </c>
      <c r="B5" t="s">
        <v>160</v>
      </c>
      <c r="C5" t="s">
        <v>27</v>
      </c>
      <c r="D5" s="8">
        <v>45919</v>
      </c>
      <c r="E5" s="22">
        <v>45939.448761574073</v>
      </c>
      <c r="F5" t="s">
        <v>33</v>
      </c>
      <c r="H5">
        <v>6</v>
      </c>
      <c r="I5">
        <v>20609168961</v>
      </c>
      <c r="J5" t="s">
        <v>240</v>
      </c>
      <c r="K5" s="8">
        <v>45919</v>
      </c>
      <c r="Q5">
        <v>1</v>
      </c>
      <c r="R5">
        <v>232</v>
      </c>
      <c r="S5" t="s">
        <v>162</v>
      </c>
      <c r="T5" t="s">
        <v>163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232</v>
      </c>
      <c r="AF5" t="s">
        <v>29</v>
      </c>
      <c r="AG5">
        <v>2</v>
      </c>
      <c r="AH5" t="s">
        <v>25</v>
      </c>
      <c r="AI5">
        <v>1106</v>
      </c>
      <c r="AJ5" t="s">
        <v>239</v>
      </c>
      <c r="AK5" t="s">
        <v>241</v>
      </c>
      <c r="AL5">
        <v>2</v>
      </c>
      <c r="AM5" t="s">
        <v>166</v>
      </c>
      <c r="AN5" s="8">
        <v>44409</v>
      </c>
      <c r="AO5" s="8">
        <v>44409</v>
      </c>
      <c r="AQ5" t="s">
        <v>33</v>
      </c>
      <c r="AS5" t="s">
        <v>228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CP780"/>
  <sheetViews>
    <sheetView tabSelected="1" topLeftCell="N1" zoomScaleNormal="100" workbookViewId="0">
      <selection activeCell="U7" sqref="T7:U7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15.7109375" style="17" bestFit="1" customWidth="1"/>
    <col min="5" max="5" width="16.140625" style="17" bestFit="1" customWidth="1"/>
    <col min="6" max="6" width="10.7109375" style="17" customWidth="1"/>
    <col min="7" max="7" width="193.28515625" style="17" bestFit="1" customWidth="1"/>
    <col min="8" max="8" width="18.85546875" style="17" bestFit="1" customWidth="1"/>
    <col min="9" max="9" width="6.42578125" style="17" customWidth="1"/>
    <col min="10" max="10" width="78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7.42578125" style="17" customWidth="1"/>
    <col min="16" max="16" width="18.85546875" style="17" bestFit="1" customWidth="1"/>
    <col min="17" max="17" width="7.5703125" style="17" customWidth="1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8554687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6.140625" style="17" customWidth="1"/>
    <col min="36" max="36" width="23.8554687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42" width="11.42578125" style="17"/>
    <col min="43" max="43" width="23.7109375" style="17" bestFit="1" customWidth="1"/>
    <col min="44" max="44" width="32" style="17" bestFit="1" customWidth="1"/>
    <col min="45" max="45" width="70.5703125" style="17" bestFit="1" customWidth="1"/>
    <col min="46" max="65" width="11.42578125" style="17"/>
    <col min="66" max="66" width="16.5703125" style="17" bestFit="1" customWidth="1"/>
    <col min="67" max="67" width="4" style="17" bestFit="1" customWidth="1"/>
    <col min="68" max="68" width="5" style="17" customWidth="1"/>
    <col min="69" max="69" width="15.7109375" style="17" bestFit="1" customWidth="1"/>
    <col min="70" max="70" width="4" style="17" bestFit="1" customWidth="1"/>
    <col min="71" max="71" width="4.85546875" style="17" customWidth="1"/>
    <col min="72" max="72" width="15.7109375" style="17" bestFit="1" customWidth="1"/>
    <col min="73" max="73" width="4" style="17" bestFit="1" customWidth="1"/>
    <col min="74" max="74" width="4.5703125" style="17" customWidth="1"/>
    <col min="75" max="75" width="90.7109375" style="17" bestFit="1" customWidth="1"/>
    <col min="76" max="76" width="4" style="17" bestFit="1" customWidth="1"/>
    <col min="77" max="77" width="4.85546875" style="17" customWidth="1"/>
    <col min="78" max="78" width="15.7109375" style="17" bestFit="1" customWidth="1"/>
    <col min="79" max="79" width="4" style="17" bestFit="1" customWidth="1"/>
    <col min="80" max="80" width="3.28515625" style="17" customWidth="1"/>
    <col min="81" max="81" width="15.7109375" style="17" bestFit="1" customWidth="1"/>
    <col min="82" max="82" width="27.85546875" style="17" bestFit="1" customWidth="1"/>
    <col min="83" max="83" width="3.140625" style="17" customWidth="1"/>
    <col min="84" max="84" width="15.7109375" style="17" bestFit="1" customWidth="1"/>
    <col min="85" max="85" width="4" style="17" bestFit="1" customWidth="1"/>
    <col min="86" max="86" width="3.7109375" style="17" customWidth="1"/>
    <col min="87" max="87" width="15.7109375" style="17" bestFit="1" customWidth="1"/>
    <col min="88" max="88" width="4" style="17" bestFit="1" customWidth="1"/>
    <col min="89" max="89" width="3.85546875" style="17" customWidth="1"/>
    <col min="90" max="90" width="15.7109375" style="17" bestFit="1" customWidth="1"/>
    <col min="91" max="91" width="4" style="17" bestFit="1" customWidth="1"/>
    <col min="92" max="92" width="3.85546875" style="17" customWidth="1"/>
    <col min="93" max="93" width="197" style="17" bestFit="1" customWidth="1"/>
    <col min="94" max="94" width="4" style="17" bestFit="1" customWidth="1"/>
    <col min="95" max="16384" width="11.42578125" style="17"/>
  </cols>
  <sheetData>
    <row r="1" spans="1:94">
      <c r="R1" s="16" t="s">
        <v>225</v>
      </c>
      <c r="X1" s="16" t="s">
        <v>226</v>
      </c>
      <c r="AD1" s="16" t="s">
        <v>230</v>
      </c>
      <c r="AE1" s="16"/>
      <c r="AF1" s="16"/>
      <c r="AG1" s="16"/>
      <c r="AH1" s="16"/>
      <c r="AI1" s="16"/>
      <c r="AQ1" s="27" t="s">
        <v>249</v>
      </c>
      <c r="AR1" s="27" t="s">
        <v>251</v>
      </c>
      <c r="AS1" s="27" t="s">
        <v>252</v>
      </c>
    </row>
    <row r="2" spans="1:94">
      <c r="AJ2" s="16" t="s">
        <v>231</v>
      </c>
      <c r="AQ2" s="27" t="s">
        <v>250</v>
      </c>
      <c r="AR2" s="27" t="s">
        <v>253</v>
      </c>
      <c r="AS2" s="27" t="s">
        <v>254</v>
      </c>
    </row>
    <row r="3" spans="1:94" ht="15">
      <c r="A3" s="18" t="s">
        <v>51</v>
      </c>
      <c r="B3" s="17" t="s">
        <v>218</v>
      </c>
      <c r="D3" s="18" t="s">
        <v>51</v>
      </c>
      <c r="E3" s="17" t="s">
        <v>219</v>
      </c>
      <c r="G3" s="18" t="s">
        <v>51</v>
      </c>
      <c r="H3" s="17" t="s">
        <v>219</v>
      </c>
      <c r="J3" s="18" t="s">
        <v>51</v>
      </c>
      <c r="K3" s="17" t="s">
        <v>112</v>
      </c>
      <c r="L3" s="17" t="s">
        <v>219</v>
      </c>
      <c r="M3" s="17" t="s">
        <v>220</v>
      </c>
      <c r="N3" s="17" t="s">
        <v>221</v>
      </c>
      <c r="P3" s="17" t="s">
        <v>219</v>
      </c>
      <c r="R3" s="18" t="s">
        <v>51</v>
      </c>
      <c r="S3" s="17" t="s">
        <v>112</v>
      </c>
      <c r="T3" s="17" t="s">
        <v>219</v>
      </c>
      <c r="U3" s="17" t="s">
        <v>220</v>
      </c>
      <c r="V3" s="17" t="s">
        <v>221</v>
      </c>
      <c r="X3" s="18" t="s">
        <v>51</v>
      </c>
      <c r="Y3" s="17" t="s">
        <v>112</v>
      </c>
      <c r="Z3" s="17" t="s">
        <v>54</v>
      </c>
      <c r="AA3" s="17" t="s">
        <v>108</v>
      </c>
      <c r="AB3" s="17" t="s">
        <v>109</v>
      </c>
      <c r="AD3" s="18" t="s">
        <v>51</v>
      </c>
      <c r="AE3" s="17" t="s">
        <v>112</v>
      </c>
      <c r="AF3" s="17" t="s">
        <v>219</v>
      </c>
      <c r="AG3" s="17" t="s">
        <v>220</v>
      </c>
      <c r="AH3" s="17" t="s">
        <v>221</v>
      </c>
      <c r="AI3"/>
      <c r="AJ3" s="18" t="s">
        <v>51</v>
      </c>
      <c r="AK3" s="17" t="s">
        <v>112</v>
      </c>
      <c r="AL3" s="17" t="s">
        <v>54</v>
      </c>
      <c r="AM3" s="17" t="s">
        <v>108</v>
      </c>
      <c r="AN3" s="17" t="s">
        <v>109</v>
      </c>
      <c r="AQ3" s="27" t="s">
        <v>255</v>
      </c>
      <c r="AR3" s="27" t="s">
        <v>256</v>
      </c>
      <c r="AS3" s="27" t="s">
        <v>257</v>
      </c>
      <c r="BN3" s="17" t="s">
        <v>1282</v>
      </c>
    </row>
    <row r="4" spans="1:94" ht="15">
      <c r="A4" s="19" t="s">
        <v>29</v>
      </c>
      <c r="B4" s="33">
        <v>384</v>
      </c>
      <c r="D4" s="19" t="s">
        <v>29</v>
      </c>
      <c r="E4" s="33">
        <v>278642.96000000008</v>
      </c>
      <c r="G4" s="19" t="s">
        <v>217</v>
      </c>
      <c r="H4" s="33">
        <v>107.37</v>
      </c>
      <c r="J4" s="19" t="s">
        <v>34</v>
      </c>
      <c r="K4" s="33">
        <v>34</v>
      </c>
      <c r="L4" s="33">
        <v>21672.340000000004</v>
      </c>
      <c r="M4" s="33">
        <v>3901.0199999999995</v>
      </c>
      <c r="N4" s="33">
        <v>25573.360000000001</v>
      </c>
      <c r="P4" s="33">
        <v>573565.91000000015</v>
      </c>
      <c r="R4" s="19" t="s">
        <v>1213</v>
      </c>
      <c r="S4" s="33">
        <v>289</v>
      </c>
      <c r="T4" s="33">
        <v>235069.67000000007</v>
      </c>
      <c r="U4" s="33">
        <v>42312.450000000004</v>
      </c>
      <c r="V4" s="33">
        <v>277382.12000000005</v>
      </c>
      <c r="X4" s="19" t="s">
        <v>1213</v>
      </c>
      <c r="Y4" s="17">
        <v>289</v>
      </c>
      <c r="Z4" s="17">
        <v>235069.67000000004</v>
      </c>
      <c r="AA4" s="17">
        <v>42312.449999999983</v>
      </c>
      <c r="AB4" s="17">
        <v>277382.11999999988</v>
      </c>
      <c r="AD4" s="19" t="s">
        <v>374</v>
      </c>
      <c r="AE4" s="33">
        <v>1</v>
      </c>
      <c r="AF4" s="33">
        <v>5603.9</v>
      </c>
      <c r="AG4" s="33">
        <v>1008.7</v>
      </c>
      <c r="AH4" s="33">
        <v>6612.6</v>
      </c>
      <c r="AI4"/>
      <c r="AJ4" s="19" t="s">
        <v>374</v>
      </c>
      <c r="AK4" s="17">
        <v>1</v>
      </c>
      <c r="AL4" s="17">
        <v>5603.9</v>
      </c>
      <c r="AM4" s="17">
        <v>1008.7</v>
      </c>
      <c r="AN4" s="17">
        <v>6612.6</v>
      </c>
      <c r="AQ4" s="27" t="s">
        <v>258</v>
      </c>
      <c r="AR4" s="27" t="s">
        <v>259</v>
      </c>
      <c r="AS4" s="27" t="s">
        <v>260</v>
      </c>
    </row>
    <row r="5" spans="1:94" ht="15">
      <c r="A5" s="19" t="s">
        <v>267</v>
      </c>
      <c r="B5" s="33">
        <v>2</v>
      </c>
      <c r="D5" s="19" t="s">
        <v>267</v>
      </c>
      <c r="E5" s="33">
        <v>2224.4899999999998</v>
      </c>
      <c r="G5" s="19" t="s">
        <v>1224</v>
      </c>
      <c r="H5" s="33">
        <v>268</v>
      </c>
      <c r="J5" s="19" t="s">
        <v>32</v>
      </c>
      <c r="K5" s="33">
        <v>19</v>
      </c>
      <c r="L5" s="33">
        <v>27259.759999999995</v>
      </c>
      <c r="M5" s="33">
        <v>4906.75</v>
      </c>
      <c r="N5" s="33">
        <v>32166.509999999995</v>
      </c>
      <c r="R5" s="19" t="s">
        <v>56</v>
      </c>
      <c r="S5" s="33">
        <v>95</v>
      </c>
      <c r="T5" s="33">
        <v>43573.289999999986</v>
      </c>
      <c r="U5" s="33">
        <v>7843.2</v>
      </c>
      <c r="V5" s="33">
        <v>51416.490000000005</v>
      </c>
      <c r="X5" s="23">
        <v>45660</v>
      </c>
      <c r="Y5" s="17">
        <v>23</v>
      </c>
      <c r="Z5" s="17">
        <v>32704.91</v>
      </c>
      <c r="AA5" s="17">
        <v>5886.9000000000015</v>
      </c>
      <c r="AB5" s="17">
        <v>38591.81</v>
      </c>
      <c r="AD5" s="19" t="s">
        <v>370</v>
      </c>
      <c r="AE5" s="33">
        <v>1</v>
      </c>
      <c r="AF5" s="33">
        <v>317.5</v>
      </c>
      <c r="AG5" s="33">
        <v>57.15</v>
      </c>
      <c r="AH5" s="33">
        <v>374.65</v>
      </c>
      <c r="AI5"/>
      <c r="AJ5" s="19" t="s">
        <v>370</v>
      </c>
      <c r="AK5" s="17">
        <v>1</v>
      </c>
      <c r="AL5" s="17">
        <v>317.5</v>
      </c>
      <c r="AM5" s="17">
        <v>57.15</v>
      </c>
      <c r="AN5" s="17">
        <v>374.65</v>
      </c>
      <c r="AQ5" s="27"/>
      <c r="AR5" s="27"/>
      <c r="AS5" s="27"/>
    </row>
    <row r="6" spans="1:94" ht="15">
      <c r="A6" s="19" t="s">
        <v>1412</v>
      </c>
      <c r="B6" s="33">
        <v>404</v>
      </c>
      <c r="D6" s="19" t="s">
        <v>1412</v>
      </c>
      <c r="E6" s="33">
        <v>292698.46000000002</v>
      </c>
      <c r="G6" s="19" t="s">
        <v>1241</v>
      </c>
      <c r="H6" s="33">
        <v>12.75</v>
      </c>
      <c r="J6" s="19" t="s">
        <v>35</v>
      </c>
      <c r="K6" s="33">
        <v>1</v>
      </c>
      <c r="L6" s="33">
        <v>400</v>
      </c>
      <c r="M6" s="33">
        <v>72</v>
      </c>
      <c r="N6" s="33">
        <v>472</v>
      </c>
      <c r="R6" s="19" t="s">
        <v>238</v>
      </c>
      <c r="S6" s="33">
        <v>406</v>
      </c>
      <c r="T6" s="33">
        <v>294922.95</v>
      </c>
      <c r="U6" s="33">
        <v>53086.110000000015</v>
      </c>
      <c r="V6" s="33">
        <v>348009.05999999971</v>
      </c>
      <c r="X6" s="23">
        <v>45663</v>
      </c>
      <c r="Y6" s="17">
        <v>51</v>
      </c>
      <c r="Z6" s="17">
        <v>22695.160000000003</v>
      </c>
      <c r="AA6" s="17">
        <v>4085.1099999999997</v>
      </c>
      <c r="AB6" s="17">
        <v>26780.27</v>
      </c>
      <c r="AD6" s="19" t="s">
        <v>368</v>
      </c>
      <c r="AE6" s="33">
        <v>1</v>
      </c>
      <c r="AF6" s="33">
        <v>482.54</v>
      </c>
      <c r="AG6" s="33">
        <v>86.86</v>
      </c>
      <c r="AH6" s="33">
        <v>569.4</v>
      </c>
      <c r="AI6"/>
      <c r="AJ6" s="19" t="s">
        <v>368</v>
      </c>
      <c r="AK6" s="17">
        <v>1</v>
      </c>
      <c r="AL6" s="17">
        <v>482.54</v>
      </c>
      <c r="AM6" s="17">
        <v>86.86</v>
      </c>
      <c r="AN6" s="17">
        <v>569.4</v>
      </c>
      <c r="AQ6" s="27"/>
      <c r="AR6" s="27"/>
      <c r="AS6" s="27"/>
      <c r="BN6" s="17" t="s">
        <v>1283</v>
      </c>
      <c r="BQ6" s="17" t="s">
        <v>1284</v>
      </c>
      <c r="BT6" s="17" t="s">
        <v>1285</v>
      </c>
      <c r="BW6" s="17" t="s">
        <v>1286</v>
      </c>
      <c r="BZ6" s="17" t="s">
        <v>1289</v>
      </c>
      <c r="CC6" s="17" t="s">
        <v>1290</v>
      </c>
      <c r="CF6" s="17" t="s">
        <v>1291</v>
      </c>
      <c r="CI6" s="29" t="s">
        <v>1292</v>
      </c>
      <c r="CL6" s="29" t="s">
        <v>1293</v>
      </c>
      <c r="CO6" s="16" t="s">
        <v>1397</v>
      </c>
    </row>
    <row r="7" spans="1:94" ht="15">
      <c r="A7" s="19" t="s">
        <v>52</v>
      </c>
      <c r="B7" s="33">
        <v>790</v>
      </c>
      <c r="D7" s="19" t="s">
        <v>52</v>
      </c>
      <c r="E7" s="33">
        <v>573565.91000000015</v>
      </c>
      <c r="G7" s="19" t="s">
        <v>1242</v>
      </c>
      <c r="H7" s="33">
        <v>980</v>
      </c>
      <c r="J7" s="19" t="s">
        <v>36</v>
      </c>
      <c r="K7" s="33">
        <v>3</v>
      </c>
      <c r="L7" s="33">
        <v>158.24</v>
      </c>
      <c r="M7" s="33">
        <v>28.49</v>
      </c>
      <c r="N7" s="33">
        <v>186.73000000000002</v>
      </c>
      <c r="R7" s="19" t="s">
        <v>52</v>
      </c>
      <c r="S7" s="33">
        <v>790</v>
      </c>
      <c r="T7" s="33">
        <v>573565.91000000038</v>
      </c>
      <c r="U7" s="33">
        <v>103241.76000000013</v>
      </c>
      <c r="V7" s="33">
        <v>676807.67000000097</v>
      </c>
      <c r="X7" s="23">
        <v>45665</v>
      </c>
      <c r="Y7" s="17">
        <v>44</v>
      </c>
      <c r="Z7" s="17">
        <v>54146.23000000001</v>
      </c>
      <c r="AA7" s="17">
        <v>9746.3000000000029</v>
      </c>
      <c r="AB7" s="17">
        <v>63892.529999999992</v>
      </c>
      <c r="AD7" s="19" t="s">
        <v>363</v>
      </c>
      <c r="AE7" s="33">
        <v>1</v>
      </c>
      <c r="AF7" s="33">
        <v>488.81</v>
      </c>
      <c r="AG7" s="33">
        <v>87.99</v>
      </c>
      <c r="AH7" s="33">
        <v>576.79999999999995</v>
      </c>
      <c r="AI7"/>
      <c r="AJ7" s="19" t="s">
        <v>363</v>
      </c>
      <c r="AK7" s="17">
        <v>1</v>
      </c>
      <c r="AL7" s="17">
        <v>488.81</v>
      </c>
      <c r="AM7" s="17">
        <v>87.99</v>
      </c>
      <c r="AN7" s="17">
        <v>576.79999999999995</v>
      </c>
      <c r="AQ7" s="27"/>
      <c r="AR7" s="27"/>
      <c r="AS7" s="27"/>
    </row>
    <row r="8" spans="1:94" ht="15">
      <c r="G8" s="19" t="s">
        <v>1244</v>
      </c>
      <c r="H8" s="33">
        <v>500</v>
      </c>
      <c r="J8" s="19" t="s">
        <v>271</v>
      </c>
      <c r="K8" s="33">
        <v>4</v>
      </c>
      <c r="L8" s="33">
        <v>5829.8099999999995</v>
      </c>
      <c r="M8" s="33">
        <v>1049.3699999999999</v>
      </c>
      <c r="N8" s="33">
        <v>6879.18</v>
      </c>
      <c r="R8"/>
      <c r="S8"/>
      <c r="T8"/>
      <c r="U8"/>
      <c r="V8"/>
      <c r="X8" s="23">
        <v>45666</v>
      </c>
      <c r="Y8" s="17">
        <v>2</v>
      </c>
      <c r="Z8" s="17">
        <v>1946.5</v>
      </c>
      <c r="AA8" s="17">
        <v>350.37</v>
      </c>
      <c r="AB8" s="17">
        <v>2296.87</v>
      </c>
      <c r="AD8" s="19" t="s">
        <v>361</v>
      </c>
      <c r="AE8" s="33">
        <v>1</v>
      </c>
      <c r="AF8" s="33">
        <v>708.9</v>
      </c>
      <c r="AG8" s="33">
        <v>127.6</v>
      </c>
      <c r="AH8" s="33">
        <v>836.5</v>
      </c>
      <c r="AI8"/>
      <c r="AJ8" s="19" t="s">
        <v>361</v>
      </c>
      <c r="AK8" s="17">
        <v>1</v>
      </c>
      <c r="AL8" s="17">
        <v>708.9</v>
      </c>
      <c r="AM8" s="17">
        <v>127.6</v>
      </c>
      <c r="AN8" s="17">
        <v>836.5</v>
      </c>
      <c r="AQ8" s="27"/>
      <c r="AR8" s="27"/>
      <c r="AS8" s="27"/>
      <c r="BN8" s="18" t="s">
        <v>51</v>
      </c>
      <c r="BO8" s="17" t="s">
        <v>1288</v>
      </c>
      <c r="BP8"/>
      <c r="BQ8" s="18" t="s">
        <v>51</v>
      </c>
      <c r="BR8" s="17" t="s">
        <v>1288</v>
      </c>
      <c r="BS8"/>
      <c r="BT8" s="18" t="s">
        <v>51</v>
      </c>
      <c r="BU8" s="17" t="s">
        <v>1288</v>
      </c>
      <c r="BV8"/>
      <c r="BW8" s="18" t="s">
        <v>51</v>
      </c>
      <c r="BX8" s="17" t="s">
        <v>1287</v>
      </c>
      <c r="BY8"/>
      <c r="BZ8" s="18" t="s">
        <v>51</v>
      </c>
      <c r="CA8" s="17" t="s">
        <v>1287</v>
      </c>
      <c r="CB8"/>
      <c r="CC8" s="18" t="s">
        <v>51</v>
      </c>
      <c r="CD8" s="17" t="s">
        <v>1294</v>
      </c>
      <c r="CF8" s="18" t="s">
        <v>51</v>
      </c>
      <c r="CG8" s="17" t="s">
        <v>1288</v>
      </c>
      <c r="CH8"/>
      <c r="CI8" s="18" t="s">
        <v>51</v>
      </c>
      <c r="CJ8" s="17" t="s">
        <v>1288</v>
      </c>
      <c r="CL8" s="18" t="s">
        <v>51</v>
      </c>
      <c r="CM8" s="17" t="s">
        <v>1287</v>
      </c>
      <c r="CO8" s="18" t="s">
        <v>51</v>
      </c>
      <c r="CP8" s="17" t="s">
        <v>1287</v>
      </c>
    </row>
    <row r="9" spans="1:94" ht="15">
      <c r="G9" s="19" t="s">
        <v>1245</v>
      </c>
      <c r="H9" s="33">
        <v>500</v>
      </c>
      <c r="J9" s="19" t="s">
        <v>1219</v>
      </c>
      <c r="K9" s="33">
        <v>2</v>
      </c>
      <c r="L9" s="33">
        <v>44.239999999999995</v>
      </c>
      <c r="M9" s="33">
        <v>7.97</v>
      </c>
      <c r="N9" s="33">
        <v>52.21</v>
      </c>
      <c r="R9"/>
      <c r="S9"/>
      <c r="T9"/>
      <c r="U9"/>
      <c r="V9"/>
      <c r="X9" s="23">
        <v>45672</v>
      </c>
      <c r="Y9" s="17">
        <v>10</v>
      </c>
      <c r="Z9" s="17">
        <v>2958.6799999999994</v>
      </c>
      <c r="AA9" s="17">
        <v>532.56999999999994</v>
      </c>
      <c r="AB9" s="17">
        <v>3491.2499999999995</v>
      </c>
      <c r="AD9" s="19" t="s">
        <v>360</v>
      </c>
      <c r="AE9" s="33">
        <v>1</v>
      </c>
      <c r="AF9" s="33">
        <v>268.52999999999997</v>
      </c>
      <c r="AG9" s="33">
        <v>48.34</v>
      </c>
      <c r="AH9" s="33">
        <v>316.87</v>
      </c>
      <c r="AI9"/>
      <c r="AJ9" s="19" t="s">
        <v>360</v>
      </c>
      <c r="AK9" s="17">
        <v>1</v>
      </c>
      <c r="AL9" s="17">
        <v>268.52999999999997</v>
      </c>
      <c r="AM9" s="17">
        <v>48.34</v>
      </c>
      <c r="AN9" s="17">
        <v>316.87</v>
      </c>
      <c r="AQ9" s="27"/>
      <c r="AR9" s="27"/>
      <c r="AS9" s="27"/>
      <c r="BN9" s="19" t="s">
        <v>1216</v>
      </c>
      <c r="BO9" s="33">
        <v>246</v>
      </c>
      <c r="BP9"/>
      <c r="BQ9" s="19" t="s">
        <v>1213</v>
      </c>
      <c r="BR9" s="33">
        <v>289</v>
      </c>
      <c r="BS9"/>
      <c r="BT9" s="19">
        <v>1106</v>
      </c>
      <c r="BU9" s="33">
        <v>527</v>
      </c>
      <c r="BV9"/>
      <c r="BW9" s="19" t="s">
        <v>1251</v>
      </c>
      <c r="BX9" s="33">
        <v>103</v>
      </c>
      <c r="BY9"/>
      <c r="BZ9" s="19">
        <v>870</v>
      </c>
      <c r="CA9" s="33">
        <v>95</v>
      </c>
      <c r="CB9"/>
      <c r="CC9" s="19">
        <v>2897</v>
      </c>
      <c r="CD9" s="33">
        <v>2</v>
      </c>
      <c r="CF9" s="19">
        <v>2</v>
      </c>
      <c r="CG9" s="33">
        <v>725</v>
      </c>
      <c r="CH9"/>
      <c r="CI9" s="19" t="s">
        <v>232</v>
      </c>
      <c r="CJ9" s="33">
        <v>384</v>
      </c>
      <c r="CL9" s="19">
        <v>5199</v>
      </c>
      <c r="CM9" s="33">
        <v>3</v>
      </c>
      <c r="CO9" s="19" t="s">
        <v>215</v>
      </c>
      <c r="CP9" s="33">
        <v>483</v>
      </c>
    </row>
    <row r="10" spans="1:94" ht="15">
      <c r="D10" s="18" t="s">
        <v>51</v>
      </c>
      <c r="E10" s="17" t="s">
        <v>220</v>
      </c>
      <c r="G10" s="19" t="s">
        <v>1247</v>
      </c>
      <c r="H10" s="33">
        <v>423.73</v>
      </c>
      <c r="J10" s="19" t="s">
        <v>307</v>
      </c>
      <c r="K10" s="33">
        <v>16</v>
      </c>
      <c r="L10" s="33">
        <v>11500.599999999999</v>
      </c>
      <c r="M10" s="33">
        <v>2070.1099999999997</v>
      </c>
      <c r="N10" s="33">
        <v>13570.71</v>
      </c>
      <c r="R10"/>
      <c r="S10"/>
      <c r="T10"/>
      <c r="U10"/>
      <c r="V10"/>
      <c r="X10" s="23">
        <v>45673</v>
      </c>
      <c r="Y10" s="17">
        <v>4</v>
      </c>
      <c r="Z10" s="17">
        <v>2879.66</v>
      </c>
      <c r="AA10" s="17">
        <v>518.34</v>
      </c>
      <c r="AB10" s="17">
        <v>3398</v>
      </c>
      <c r="AD10" s="19" t="s">
        <v>357</v>
      </c>
      <c r="AE10" s="33">
        <v>1</v>
      </c>
      <c r="AF10" s="33">
        <v>375.53</v>
      </c>
      <c r="AG10" s="33">
        <v>67.599999999999994</v>
      </c>
      <c r="AH10" s="33">
        <v>443.13</v>
      </c>
      <c r="AI10"/>
      <c r="AJ10" s="19" t="s">
        <v>357</v>
      </c>
      <c r="AK10" s="17">
        <v>1</v>
      </c>
      <c r="AL10" s="17">
        <v>375.53</v>
      </c>
      <c r="AM10" s="17">
        <v>67.599999999999994</v>
      </c>
      <c r="AN10" s="17">
        <v>443.13</v>
      </c>
      <c r="AQ10" s="27"/>
      <c r="AR10" s="27"/>
      <c r="AS10" s="27"/>
      <c r="BN10" s="19" t="s">
        <v>1214</v>
      </c>
      <c r="BO10" s="33">
        <v>160</v>
      </c>
      <c r="BP10"/>
      <c r="BQ10" s="19" t="s">
        <v>56</v>
      </c>
      <c r="BR10" s="33">
        <v>95</v>
      </c>
      <c r="BS10"/>
      <c r="BT10" s="19">
        <v>6959</v>
      </c>
      <c r="BU10" s="33">
        <v>76</v>
      </c>
      <c r="BV10"/>
      <c r="BW10" s="19" t="s">
        <v>1237</v>
      </c>
      <c r="BX10" s="33">
        <v>299</v>
      </c>
      <c r="BY10"/>
      <c r="BZ10" s="19">
        <v>871</v>
      </c>
      <c r="CA10" s="33">
        <v>14</v>
      </c>
      <c r="CB10"/>
      <c r="CC10" s="19">
        <v>2898</v>
      </c>
      <c r="CD10" s="33">
        <v>3</v>
      </c>
      <c r="CF10" s="19">
        <v>16</v>
      </c>
      <c r="CG10" s="33">
        <v>65</v>
      </c>
      <c r="CH10"/>
      <c r="CI10" s="19" t="s">
        <v>1215</v>
      </c>
      <c r="CJ10" s="33">
        <v>2</v>
      </c>
      <c r="CL10" s="19">
        <v>397</v>
      </c>
      <c r="CM10" s="33">
        <v>19</v>
      </c>
      <c r="CO10" s="30" t="s">
        <v>1268</v>
      </c>
      <c r="CP10" s="33">
        <v>1</v>
      </c>
    </row>
    <row r="11" spans="1:94" ht="15">
      <c r="D11" s="19" t="s">
        <v>29</v>
      </c>
      <c r="E11" s="33">
        <v>50155.649999999994</v>
      </c>
      <c r="G11" s="19" t="s">
        <v>1248</v>
      </c>
      <c r="H11" s="33">
        <v>852.25</v>
      </c>
      <c r="J11" s="19" t="s">
        <v>281</v>
      </c>
      <c r="K11" s="33">
        <v>4</v>
      </c>
      <c r="L11" s="33">
        <v>2091.73</v>
      </c>
      <c r="M11" s="33">
        <v>376.52</v>
      </c>
      <c r="N11" s="33">
        <v>2468.25</v>
      </c>
      <c r="R11"/>
      <c r="S11"/>
      <c r="T11" t="s">
        <v>2435</v>
      </c>
      <c r="U11" t="s">
        <v>2436</v>
      </c>
      <c r="V11" t="s">
        <v>2437</v>
      </c>
      <c r="X11" s="23">
        <v>45680</v>
      </c>
      <c r="Y11" s="17">
        <v>81</v>
      </c>
      <c r="Z11" s="17">
        <v>65804.219999999987</v>
      </c>
      <c r="AA11" s="17">
        <v>11844.710000000003</v>
      </c>
      <c r="AB11" s="17">
        <v>77648.930000000022</v>
      </c>
      <c r="AD11" s="19" t="s">
        <v>356</v>
      </c>
      <c r="AE11" s="33">
        <v>1</v>
      </c>
      <c r="AF11" s="33">
        <v>1163.56</v>
      </c>
      <c r="AG11" s="33">
        <v>209.44</v>
      </c>
      <c r="AH11" s="33">
        <v>1373</v>
      </c>
      <c r="AI11"/>
      <c r="AJ11" s="19" t="s">
        <v>356</v>
      </c>
      <c r="AK11" s="17">
        <v>1</v>
      </c>
      <c r="AL11" s="17">
        <v>1163.56</v>
      </c>
      <c r="AM11" s="17">
        <v>209.44</v>
      </c>
      <c r="AN11" s="17">
        <v>1373</v>
      </c>
      <c r="BN11" s="19" t="s">
        <v>1238</v>
      </c>
      <c r="BO11" s="33">
        <v>123</v>
      </c>
      <c r="BP11"/>
      <c r="BQ11" s="19" t="s">
        <v>238</v>
      </c>
      <c r="BR11" s="33">
        <v>406</v>
      </c>
      <c r="BS11"/>
      <c r="BT11" s="19">
        <v>6937</v>
      </c>
      <c r="BU11" s="33">
        <v>106</v>
      </c>
      <c r="BV11"/>
      <c r="BW11" s="19" t="s">
        <v>1249</v>
      </c>
      <c r="BX11" s="33">
        <v>7</v>
      </c>
      <c r="BY11"/>
      <c r="BZ11" s="19">
        <v>872</v>
      </c>
      <c r="CA11" s="33">
        <v>1</v>
      </c>
      <c r="CB11"/>
      <c r="CC11" s="19">
        <v>2899</v>
      </c>
      <c r="CD11" s="33">
        <v>3</v>
      </c>
      <c r="CF11" s="19" t="s">
        <v>52</v>
      </c>
      <c r="CG11" s="33">
        <v>790</v>
      </c>
      <c r="CH11"/>
      <c r="CI11" s="19" t="s">
        <v>1411</v>
      </c>
      <c r="CJ11" s="33">
        <v>404</v>
      </c>
      <c r="CL11" s="19">
        <v>387</v>
      </c>
      <c r="CM11" s="33">
        <v>4</v>
      </c>
      <c r="CO11" s="30" t="s">
        <v>1248</v>
      </c>
      <c r="CP11" s="33">
        <v>24</v>
      </c>
    </row>
    <row r="12" spans="1:94" ht="15">
      <c r="D12" s="19" t="s">
        <v>267</v>
      </c>
      <c r="E12" s="33">
        <v>400.41</v>
      </c>
      <c r="G12" s="19" t="s">
        <v>1250</v>
      </c>
      <c r="H12" s="33">
        <v>20</v>
      </c>
      <c r="J12" s="19" t="s">
        <v>316</v>
      </c>
      <c r="K12" s="33">
        <v>8</v>
      </c>
      <c r="L12" s="33">
        <v>13481.380000000001</v>
      </c>
      <c r="M12" s="33">
        <v>2426.6499999999996</v>
      </c>
      <c r="N12" s="33">
        <v>15908.030000000002</v>
      </c>
      <c r="R12"/>
      <c r="S12"/>
      <c r="T12" s="31">
        <v>-634.20000000000005</v>
      </c>
      <c r="U12">
        <f>+T12*0.18</f>
        <v>-114.15600000000001</v>
      </c>
      <c r="V12">
        <f>+T12+U12</f>
        <v>-748.35599999999999</v>
      </c>
      <c r="X12" s="23">
        <v>45684</v>
      </c>
      <c r="Y12" s="17">
        <v>1</v>
      </c>
      <c r="Z12" s="17">
        <v>800</v>
      </c>
      <c r="AA12" s="17">
        <v>144</v>
      </c>
      <c r="AB12" s="17">
        <v>944</v>
      </c>
      <c r="AD12" s="19" t="s">
        <v>355</v>
      </c>
      <c r="AE12" s="33">
        <v>1</v>
      </c>
      <c r="AF12" s="33">
        <v>1695.17</v>
      </c>
      <c r="AG12" s="33">
        <v>305.13</v>
      </c>
      <c r="AH12" s="33">
        <v>2000.3</v>
      </c>
      <c r="AI12"/>
      <c r="AJ12" s="19" t="s">
        <v>355</v>
      </c>
      <c r="AK12" s="17">
        <v>1</v>
      </c>
      <c r="AL12" s="17">
        <v>1695.17</v>
      </c>
      <c r="AM12" s="17">
        <v>305.13</v>
      </c>
      <c r="AN12" s="17">
        <v>2000.3</v>
      </c>
      <c r="BN12" s="19" t="s">
        <v>216</v>
      </c>
      <c r="BO12" s="33">
        <v>248</v>
      </c>
      <c r="BP12"/>
      <c r="BQ12" s="19" t="s">
        <v>52</v>
      </c>
      <c r="BR12" s="33">
        <v>790</v>
      </c>
      <c r="BS12"/>
      <c r="BT12" s="19">
        <v>6936</v>
      </c>
      <c r="BU12" s="33">
        <v>81</v>
      </c>
      <c r="BV12"/>
      <c r="BW12" s="19" t="s">
        <v>1260</v>
      </c>
      <c r="BX12" s="33">
        <v>1</v>
      </c>
      <c r="BY12"/>
      <c r="BZ12" s="19">
        <v>873</v>
      </c>
      <c r="CA12" s="33">
        <v>1</v>
      </c>
      <c r="CB12"/>
      <c r="CC12" s="19">
        <v>2953</v>
      </c>
      <c r="CD12" s="33">
        <v>9</v>
      </c>
      <c r="CF12"/>
      <c r="CG12"/>
      <c r="CH12"/>
      <c r="CI12" s="19" t="s">
        <v>52</v>
      </c>
      <c r="CJ12" s="33">
        <v>790</v>
      </c>
      <c r="CL12" s="19">
        <v>5603</v>
      </c>
      <c r="CM12" s="33">
        <v>2</v>
      </c>
      <c r="CO12" s="30" t="s">
        <v>1255</v>
      </c>
      <c r="CP12" s="33">
        <v>28</v>
      </c>
    </row>
    <row r="13" spans="1:94" ht="15">
      <c r="D13" s="19" t="s">
        <v>1412</v>
      </c>
      <c r="E13" s="33">
        <v>52685.700000000012</v>
      </c>
      <c r="G13" s="19" t="s">
        <v>1252</v>
      </c>
      <c r="H13" s="33">
        <v>308</v>
      </c>
      <c r="J13" s="19" t="s">
        <v>287</v>
      </c>
      <c r="K13" s="33">
        <v>9</v>
      </c>
      <c r="L13" s="33">
        <v>6747.0199999999995</v>
      </c>
      <c r="M13" s="33">
        <v>1214.46</v>
      </c>
      <c r="N13" s="33">
        <v>7961.48</v>
      </c>
      <c r="R13"/>
      <c r="S13"/>
      <c r="T13" s="32">
        <v>-190</v>
      </c>
      <c r="U13">
        <f>+T13*0.18</f>
        <v>-34.199999999999996</v>
      </c>
      <c r="V13">
        <f>+T13+U13</f>
        <v>-224.2</v>
      </c>
      <c r="X13" s="23">
        <v>45685</v>
      </c>
      <c r="Y13" s="17">
        <v>31</v>
      </c>
      <c r="Z13" s="17">
        <v>18261.91</v>
      </c>
      <c r="AA13" s="17">
        <v>3287.1400000000008</v>
      </c>
      <c r="AB13" s="17">
        <v>21549.049999999996</v>
      </c>
      <c r="AD13" s="19" t="s">
        <v>354</v>
      </c>
      <c r="AE13" s="33">
        <v>1</v>
      </c>
      <c r="AF13" s="33">
        <v>423.73</v>
      </c>
      <c r="AG13" s="33">
        <v>76.27</v>
      </c>
      <c r="AH13" s="33">
        <v>500</v>
      </c>
      <c r="AI13"/>
      <c r="AJ13" s="19" t="s">
        <v>354</v>
      </c>
      <c r="AK13" s="17">
        <v>1</v>
      </c>
      <c r="AL13" s="17">
        <v>423.73</v>
      </c>
      <c r="AM13" s="17">
        <v>76.27</v>
      </c>
      <c r="AN13" s="17">
        <v>500</v>
      </c>
      <c r="BN13" s="19" t="s">
        <v>214</v>
      </c>
      <c r="BO13" s="33">
        <v>13</v>
      </c>
      <c r="BP13"/>
      <c r="BQ13"/>
      <c r="BR13"/>
      <c r="BS13"/>
      <c r="BT13" s="19" t="s">
        <v>52</v>
      </c>
      <c r="BU13" s="33">
        <v>790</v>
      </c>
      <c r="BV13"/>
      <c r="BW13" s="19" t="s">
        <v>1279</v>
      </c>
      <c r="BX13" s="33">
        <v>1</v>
      </c>
      <c r="BY13"/>
      <c r="BZ13" s="19">
        <v>874</v>
      </c>
      <c r="CA13" s="33">
        <v>24</v>
      </c>
      <c r="CB13"/>
      <c r="CC13" s="19">
        <v>3029</v>
      </c>
      <c r="CD13" s="33">
        <v>2</v>
      </c>
      <c r="CF13"/>
      <c r="CG13"/>
      <c r="CH13"/>
      <c r="CL13" s="19">
        <v>5251</v>
      </c>
      <c r="CM13" s="33">
        <v>16</v>
      </c>
      <c r="CO13" s="30" t="s">
        <v>217</v>
      </c>
      <c r="CP13" s="33">
        <v>1</v>
      </c>
    </row>
    <row r="14" spans="1:94" ht="15">
      <c r="D14" s="19" t="s">
        <v>52</v>
      </c>
      <c r="E14" s="33">
        <v>103241.76000000001</v>
      </c>
      <c r="G14" s="19" t="s">
        <v>1253</v>
      </c>
      <c r="H14" s="33">
        <v>650</v>
      </c>
      <c r="J14" s="19" t="s">
        <v>328</v>
      </c>
      <c r="K14" s="33">
        <v>2</v>
      </c>
      <c r="L14" s="33">
        <v>4250.8500000000004</v>
      </c>
      <c r="M14" s="33">
        <v>765.15000000000009</v>
      </c>
      <c r="N14" s="33">
        <v>5016</v>
      </c>
      <c r="R14"/>
      <c r="S14"/>
      <c r="T14"/>
      <c r="U14">
        <f>+SUM(U12:U13)</f>
        <v>-148.35599999999999</v>
      </c>
      <c r="V14"/>
      <c r="X14" s="23">
        <v>45686</v>
      </c>
      <c r="Y14" s="17">
        <v>29</v>
      </c>
      <c r="Z14" s="17">
        <v>30888.679999999997</v>
      </c>
      <c r="AA14" s="17">
        <v>5559.94</v>
      </c>
      <c r="AB14" s="17">
        <v>36448.620000000003</v>
      </c>
      <c r="AD14" s="19" t="s">
        <v>352</v>
      </c>
      <c r="AE14" s="33">
        <v>1</v>
      </c>
      <c r="AF14" s="33">
        <v>75</v>
      </c>
      <c r="AG14" s="33">
        <v>13.5</v>
      </c>
      <c r="AH14" s="33">
        <v>88.5</v>
      </c>
      <c r="AI14"/>
      <c r="AJ14" s="19" t="s">
        <v>352</v>
      </c>
      <c r="AK14" s="17">
        <v>1</v>
      </c>
      <c r="AL14" s="17">
        <v>75</v>
      </c>
      <c r="AM14" s="17">
        <v>13.5</v>
      </c>
      <c r="AN14" s="17">
        <v>88.5</v>
      </c>
      <c r="BN14" s="19" t="s">
        <v>52</v>
      </c>
      <c r="BO14" s="33">
        <v>790</v>
      </c>
      <c r="BP14"/>
      <c r="BQ14"/>
      <c r="BR14"/>
      <c r="BS14"/>
      <c r="BT14"/>
      <c r="BU14"/>
      <c r="BV14"/>
      <c r="BW14" s="19" t="s">
        <v>1257</v>
      </c>
      <c r="BX14" s="33">
        <v>3</v>
      </c>
      <c r="BY14"/>
      <c r="BZ14" s="19">
        <v>875</v>
      </c>
      <c r="CA14" s="33">
        <v>1</v>
      </c>
      <c r="CB14"/>
      <c r="CC14" s="19">
        <v>3030</v>
      </c>
      <c r="CD14" s="33">
        <v>4</v>
      </c>
      <c r="CF14"/>
      <c r="CG14"/>
      <c r="CH14"/>
      <c r="CL14" s="19">
        <v>5605</v>
      </c>
      <c r="CM14" s="33">
        <v>4</v>
      </c>
      <c r="CO14" s="30" t="s">
        <v>1224</v>
      </c>
      <c r="CP14" s="33">
        <v>3</v>
      </c>
    </row>
    <row r="15" spans="1:94" ht="15">
      <c r="G15" s="19" t="s">
        <v>1254</v>
      </c>
      <c r="H15" s="33">
        <v>300</v>
      </c>
      <c r="J15" s="19" t="s">
        <v>338</v>
      </c>
      <c r="K15" s="33">
        <v>2</v>
      </c>
      <c r="L15" s="33">
        <v>1207.97</v>
      </c>
      <c r="M15" s="33">
        <v>217.44</v>
      </c>
      <c r="N15" s="33">
        <v>1425.4099999999999</v>
      </c>
      <c r="R15"/>
      <c r="S15"/>
      <c r="T15"/>
      <c r="U15"/>
      <c r="V15"/>
      <c r="X15" s="23">
        <v>45687</v>
      </c>
      <c r="Y15" s="17">
        <v>7</v>
      </c>
      <c r="Z15" s="17">
        <v>1380.5900000000001</v>
      </c>
      <c r="AA15" s="17">
        <v>248.51</v>
      </c>
      <c r="AB15" s="17">
        <v>1629.1000000000001</v>
      </c>
      <c r="AD15" s="19" t="s">
        <v>346</v>
      </c>
      <c r="AE15" s="33">
        <v>1</v>
      </c>
      <c r="AF15" s="33">
        <v>900</v>
      </c>
      <c r="AG15" s="33">
        <v>162</v>
      </c>
      <c r="AH15" s="33">
        <v>1062</v>
      </c>
      <c r="AI15"/>
      <c r="AJ15" s="19" t="s">
        <v>346</v>
      </c>
      <c r="AK15" s="17">
        <v>1</v>
      </c>
      <c r="AL15" s="17">
        <v>900</v>
      </c>
      <c r="AM15" s="17">
        <v>162</v>
      </c>
      <c r="AN15" s="17">
        <v>1062</v>
      </c>
      <c r="BN15"/>
      <c r="BO15"/>
      <c r="BP15"/>
      <c r="BQ15"/>
      <c r="BR15"/>
      <c r="BS15"/>
      <c r="BT15"/>
      <c r="BU15"/>
      <c r="BV15"/>
      <c r="BW15" s="19" t="s">
        <v>1236</v>
      </c>
      <c r="BX15" s="33">
        <v>48</v>
      </c>
      <c r="BY15"/>
      <c r="BZ15" s="19">
        <v>877</v>
      </c>
      <c r="CA15" s="33">
        <v>96</v>
      </c>
      <c r="CB15"/>
      <c r="CC15" s="19">
        <v>3051</v>
      </c>
      <c r="CD15" s="33">
        <v>4</v>
      </c>
      <c r="CF15"/>
      <c r="CG15"/>
      <c r="CH15"/>
      <c r="CL15" s="19">
        <v>5586</v>
      </c>
      <c r="CM15" s="33">
        <v>8</v>
      </c>
      <c r="CO15" s="30" t="s">
        <v>1270</v>
      </c>
      <c r="CP15" s="33">
        <v>1</v>
      </c>
    </row>
    <row r="16" spans="1:94" ht="15">
      <c r="G16" s="19" t="s">
        <v>1255</v>
      </c>
      <c r="H16" s="33">
        <v>1083.52</v>
      </c>
      <c r="J16" s="19" t="s">
        <v>335</v>
      </c>
      <c r="K16" s="33">
        <v>17</v>
      </c>
      <c r="L16" s="33">
        <v>11764.460000000001</v>
      </c>
      <c r="M16" s="33">
        <v>2117.6099999999997</v>
      </c>
      <c r="N16" s="33">
        <v>13882.07</v>
      </c>
      <c r="R16"/>
      <c r="S16"/>
      <c r="T16"/>
      <c r="U16">
        <f>+T7+U7+U14</f>
        <v>676659.31400000048</v>
      </c>
      <c r="V16"/>
      <c r="X16" s="23">
        <v>45688</v>
      </c>
      <c r="Y16" s="17">
        <v>6</v>
      </c>
      <c r="Z16" s="17">
        <v>603.13</v>
      </c>
      <c r="AA16" s="17">
        <v>108.56</v>
      </c>
      <c r="AB16" s="17">
        <v>711.68999999999994</v>
      </c>
      <c r="AD16" s="19" t="s">
        <v>345</v>
      </c>
      <c r="AE16" s="33">
        <v>1</v>
      </c>
      <c r="AF16" s="33">
        <v>150</v>
      </c>
      <c r="AG16" s="33">
        <v>27</v>
      </c>
      <c r="AH16" s="33">
        <v>177</v>
      </c>
      <c r="AI16"/>
      <c r="AJ16" s="19" t="s">
        <v>345</v>
      </c>
      <c r="AK16" s="17">
        <v>1</v>
      </c>
      <c r="AL16" s="17">
        <v>150</v>
      </c>
      <c r="AM16" s="17">
        <v>27</v>
      </c>
      <c r="AN16" s="17">
        <v>177</v>
      </c>
      <c r="BN16"/>
      <c r="BO16"/>
      <c r="BP16"/>
      <c r="BQ16"/>
      <c r="BR16"/>
      <c r="BS16"/>
      <c r="BT16"/>
      <c r="BU16"/>
      <c r="BV16"/>
      <c r="BW16" s="19" t="s">
        <v>1229</v>
      </c>
      <c r="BX16" s="33">
        <v>1</v>
      </c>
      <c r="BY16"/>
      <c r="BZ16" s="19">
        <v>878</v>
      </c>
      <c r="CA16" s="33">
        <v>14</v>
      </c>
      <c r="CB16"/>
      <c r="CC16" s="19">
        <v>3065</v>
      </c>
      <c r="CD16" s="33">
        <v>6</v>
      </c>
      <c r="CF16"/>
      <c r="CG16"/>
      <c r="CH16"/>
      <c r="CL16" s="19">
        <v>5592</v>
      </c>
      <c r="CM16" s="33">
        <v>9</v>
      </c>
      <c r="CO16" s="30" t="s">
        <v>1261</v>
      </c>
      <c r="CP16" s="33">
        <v>2</v>
      </c>
    </row>
    <row r="17" spans="4:94" ht="15">
      <c r="D17" s="18" t="s">
        <v>51</v>
      </c>
      <c r="E17" s="17" t="s">
        <v>221</v>
      </c>
      <c r="G17" s="19" t="s">
        <v>1256</v>
      </c>
      <c r="H17" s="33">
        <v>20</v>
      </c>
      <c r="J17" s="19" t="s">
        <v>342</v>
      </c>
      <c r="K17" s="33">
        <v>6</v>
      </c>
      <c r="L17" s="33">
        <v>12614.539999999999</v>
      </c>
      <c r="M17" s="33">
        <v>2270.61</v>
      </c>
      <c r="N17" s="33">
        <v>14885.15</v>
      </c>
      <c r="R17"/>
      <c r="S17"/>
      <c r="T17"/>
      <c r="U17"/>
      <c r="V17"/>
      <c r="X17" s="19" t="s">
        <v>56</v>
      </c>
      <c r="Y17" s="17">
        <v>95</v>
      </c>
      <c r="Z17" s="17">
        <v>43573.29</v>
      </c>
      <c r="AA17" s="17">
        <v>7843.2000000000016</v>
      </c>
      <c r="AB17" s="17">
        <v>51416.489999999991</v>
      </c>
      <c r="AD17" s="19" t="s">
        <v>344</v>
      </c>
      <c r="AE17" s="33">
        <v>1</v>
      </c>
      <c r="AF17" s="33">
        <v>4676.95</v>
      </c>
      <c r="AG17" s="33">
        <v>841.85</v>
      </c>
      <c r="AH17" s="33">
        <v>5518.8</v>
      </c>
      <c r="AI17"/>
      <c r="AJ17" s="19" t="s">
        <v>344</v>
      </c>
      <c r="AK17" s="17">
        <v>1</v>
      </c>
      <c r="AL17" s="17">
        <v>4676.95</v>
      </c>
      <c r="AM17" s="17">
        <v>841.85</v>
      </c>
      <c r="AN17" s="17">
        <v>5518.8</v>
      </c>
      <c r="BN17"/>
      <c r="BO17"/>
      <c r="BP17"/>
      <c r="BQ17"/>
      <c r="BR17"/>
      <c r="BS17"/>
      <c r="BT17"/>
      <c r="BU17"/>
      <c r="BV17"/>
      <c r="BW17" s="19" t="s">
        <v>1243</v>
      </c>
      <c r="BX17" s="33">
        <v>22</v>
      </c>
      <c r="BY17"/>
      <c r="BZ17" s="19">
        <v>881</v>
      </c>
      <c r="CA17" s="33">
        <v>1</v>
      </c>
      <c r="CB17"/>
      <c r="CC17" s="19">
        <v>3066</v>
      </c>
      <c r="CD17" s="33">
        <v>4</v>
      </c>
      <c r="CF17"/>
      <c r="CG17"/>
      <c r="CH17"/>
      <c r="CL17" s="19">
        <v>5805</v>
      </c>
      <c r="CM17" s="33">
        <v>2</v>
      </c>
      <c r="CO17" s="30" t="s">
        <v>1265</v>
      </c>
      <c r="CP17" s="33">
        <v>1</v>
      </c>
    </row>
    <row r="18" spans="4:94" ht="15">
      <c r="D18" s="19" t="s">
        <v>29</v>
      </c>
      <c r="E18" s="33">
        <v>328798.61000000022</v>
      </c>
      <c r="G18" s="19" t="s">
        <v>1258</v>
      </c>
      <c r="H18" s="33">
        <v>830</v>
      </c>
      <c r="J18" s="19" t="s">
        <v>359</v>
      </c>
      <c r="K18" s="33">
        <v>5</v>
      </c>
      <c r="L18" s="33">
        <v>1048.3</v>
      </c>
      <c r="M18" s="33">
        <v>188.70000000000002</v>
      </c>
      <c r="N18" s="33">
        <v>1237</v>
      </c>
      <c r="R18"/>
      <c r="S18"/>
      <c r="T18"/>
      <c r="U18"/>
      <c r="V18"/>
      <c r="X18" s="23">
        <v>45691</v>
      </c>
      <c r="Y18" s="17">
        <v>1</v>
      </c>
      <c r="Z18" s="17">
        <v>830</v>
      </c>
      <c r="AA18" s="17">
        <v>149.4</v>
      </c>
      <c r="AB18" s="17">
        <v>979.4</v>
      </c>
      <c r="AD18" s="19" t="s">
        <v>343</v>
      </c>
      <c r="AE18" s="33">
        <v>1</v>
      </c>
      <c r="AF18" s="33">
        <v>1271.19</v>
      </c>
      <c r="AG18" s="33">
        <v>228.81</v>
      </c>
      <c r="AH18" s="33">
        <v>1500</v>
      </c>
      <c r="AI18"/>
      <c r="AJ18" s="19" t="s">
        <v>343</v>
      </c>
      <c r="AK18" s="17">
        <v>1</v>
      </c>
      <c r="AL18" s="17">
        <v>1271.19</v>
      </c>
      <c r="AM18" s="17">
        <v>228.81</v>
      </c>
      <c r="AN18" s="17">
        <v>1500</v>
      </c>
      <c r="BN18"/>
      <c r="BO18"/>
      <c r="BP18"/>
      <c r="BQ18"/>
      <c r="BR18"/>
      <c r="BS18"/>
      <c r="BT18"/>
      <c r="BU18"/>
      <c r="BV18"/>
      <c r="BW18" s="19" t="s">
        <v>169</v>
      </c>
      <c r="BX18" s="33">
        <v>122</v>
      </c>
      <c r="BY18"/>
      <c r="BZ18" s="19">
        <v>882</v>
      </c>
      <c r="CA18" s="33">
        <v>2</v>
      </c>
      <c r="CB18"/>
      <c r="CC18" s="19">
        <v>3081</v>
      </c>
      <c r="CD18" s="33">
        <v>7</v>
      </c>
      <c r="CF18"/>
      <c r="CG18"/>
      <c r="CH18"/>
      <c r="CL18" s="19">
        <v>5804</v>
      </c>
      <c r="CM18" s="33">
        <v>2</v>
      </c>
      <c r="CO18" s="30" t="s">
        <v>1252</v>
      </c>
      <c r="CP18" s="33">
        <v>1</v>
      </c>
    </row>
    <row r="19" spans="4:94" ht="15">
      <c r="D19" s="19" t="s">
        <v>267</v>
      </c>
      <c r="E19" s="33">
        <v>2624.9</v>
      </c>
      <c r="G19" s="19" t="s">
        <v>1259</v>
      </c>
      <c r="H19" s="33">
        <v>32.5</v>
      </c>
      <c r="J19" s="19" t="s">
        <v>366</v>
      </c>
      <c r="K19" s="33">
        <v>2</v>
      </c>
      <c r="L19" s="33">
        <v>153.22</v>
      </c>
      <c r="M19" s="33">
        <v>27.58</v>
      </c>
      <c r="N19" s="33">
        <v>180.8</v>
      </c>
      <c r="R19"/>
      <c r="S19"/>
      <c r="T19"/>
      <c r="U19"/>
      <c r="V19"/>
      <c r="X19" s="23">
        <v>45692</v>
      </c>
      <c r="Y19" s="17">
        <v>1</v>
      </c>
      <c r="Z19" s="17">
        <v>20</v>
      </c>
      <c r="AA19" s="17">
        <v>3.6</v>
      </c>
      <c r="AB19" s="17">
        <v>23.6</v>
      </c>
      <c r="AD19" s="19" t="s">
        <v>340</v>
      </c>
      <c r="AE19" s="33">
        <v>1</v>
      </c>
      <c r="AF19" s="33">
        <v>12.5</v>
      </c>
      <c r="AG19" s="33">
        <v>2.25</v>
      </c>
      <c r="AH19" s="33">
        <v>14.75</v>
      </c>
      <c r="AI19"/>
      <c r="AJ19" s="19" t="s">
        <v>340</v>
      </c>
      <c r="AK19" s="17">
        <v>1</v>
      </c>
      <c r="AL19" s="17">
        <v>12.5</v>
      </c>
      <c r="AM19" s="17">
        <v>2.25</v>
      </c>
      <c r="AN19" s="17">
        <v>14.75</v>
      </c>
      <c r="BN19"/>
      <c r="BO19"/>
      <c r="BP19"/>
      <c r="BQ19"/>
      <c r="BR19"/>
      <c r="BS19"/>
      <c r="BT19"/>
      <c r="BU19"/>
      <c r="BV19"/>
      <c r="BW19" s="19" t="s">
        <v>1402</v>
      </c>
      <c r="BX19" s="33">
        <v>3</v>
      </c>
      <c r="BY19"/>
      <c r="BZ19" s="19">
        <v>883</v>
      </c>
      <c r="CA19" s="33">
        <v>1</v>
      </c>
      <c r="CB19"/>
      <c r="CC19" s="19">
        <v>3092</v>
      </c>
      <c r="CD19" s="33">
        <v>2</v>
      </c>
      <c r="CF19"/>
      <c r="CG19"/>
      <c r="CH19"/>
      <c r="CL19" s="19">
        <v>393</v>
      </c>
      <c r="CM19" s="33">
        <v>17</v>
      </c>
      <c r="CO19" s="30" t="s">
        <v>1241</v>
      </c>
      <c r="CP19" s="33">
        <v>1</v>
      </c>
    </row>
    <row r="20" spans="4:94" ht="15">
      <c r="D20" s="19" t="s">
        <v>1412</v>
      </c>
      <c r="E20" s="33">
        <v>345384.15999999974</v>
      </c>
      <c r="G20" s="19" t="s">
        <v>1261</v>
      </c>
      <c r="H20" s="33">
        <v>488.73</v>
      </c>
      <c r="J20" s="19" t="s">
        <v>373</v>
      </c>
      <c r="K20" s="33">
        <v>7</v>
      </c>
      <c r="L20" s="33">
        <v>18718.57</v>
      </c>
      <c r="M20" s="33">
        <v>3369.34</v>
      </c>
      <c r="N20" s="33">
        <v>22087.909999999996</v>
      </c>
      <c r="R20"/>
      <c r="S20"/>
      <c r="T20"/>
      <c r="U20"/>
      <c r="V20"/>
      <c r="X20" s="23">
        <v>45693</v>
      </c>
      <c r="Y20" s="17">
        <v>85</v>
      </c>
      <c r="Z20" s="17">
        <v>39583.19999999999</v>
      </c>
      <c r="AA20" s="17">
        <v>7124.9800000000014</v>
      </c>
      <c r="AB20" s="17">
        <v>46708.179999999993</v>
      </c>
      <c r="AD20" s="19" t="s">
        <v>339</v>
      </c>
      <c r="AE20" s="33">
        <v>1</v>
      </c>
      <c r="AF20" s="33">
        <v>556.44000000000005</v>
      </c>
      <c r="AG20" s="33">
        <v>100.16</v>
      </c>
      <c r="AH20" s="33">
        <v>656.6</v>
      </c>
      <c r="AI20"/>
      <c r="AJ20" s="19" t="s">
        <v>339</v>
      </c>
      <c r="AK20" s="17">
        <v>1</v>
      </c>
      <c r="AL20" s="17">
        <v>556.44000000000005</v>
      </c>
      <c r="AM20" s="17">
        <v>100.16</v>
      </c>
      <c r="AN20" s="17">
        <v>656.6</v>
      </c>
      <c r="BN20"/>
      <c r="BO20"/>
      <c r="BP20"/>
      <c r="BQ20"/>
      <c r="BR20"/>
      <c r="BS20"/>
      <c r="BT20"/>
      <c r="BU20"/>
      <c r="BV20"/>
      <c r="BW20" s="19" t="s">
        <v>1406</v>
      </c>
      <c r="BX20" s="33">
        <v>42</v>
      </c>
      <c r="BY20"/>
      <c r="BZ20" s="19">
        <v>885</v>
      </c>
      <c r="CA20" s="33">
        <v>2</v>
      </c>
      <c r="CB20"/>
      <c r="CC20" s="19">
        <v>3094</v>
      </c>
      <c r="CD20" s="33">
        <v>2</v>
      </c>
      <c r="CF20"/>
      <c r="CG20"/>
      <c r="CH20"/>
      <c r="CL20" s="19">
        <v>5118</v>
      </c>
      <c r="CM20" s="33">
        <v>6</v>
      </c>
      <c r="CO20" s="30" t="s">
        <v>1263</v>
      </c>
      <c r="CP20" s="33">
        <v>1</v>
      </c>
    </row>
    <row r="21" spans="4:94" ht="15">
      <c r="D21" s="19" t="s">
        <v>52</v>
      </c>
      <c r="E21" s="33">
        <v>676807.66999999993</v>
      </c>
      <c r="G21" s="19" t="s">
        <v>1262</v>
      </c>
      <c r="H21" s="33">
        <v>847.46</v>
      </c>
      <c r="J21" s="19" t="s">
        <v>376</v>
      </c>
      <c r="K21" s="33">
        <v>3</v>
      </c>
      <c r="L21" s="33">
        <v>4140</v>
      </c>
      <c r="M21" s="33">
        <v>745.2</v>
      </c>
      <c r="N21" s="33">
        <v>4885.2000000000007</v>
      </c>
      <c r="R21"/>
      <c r="S21"/>
      <c r="T21"/>
      <c r="U21"/>
      <c r="V21"/>
      <c r="X21" s="23">
        <v>45695</v>
      </c>
      <c r="Y21" s="17">
        <v>5</v>
      </c>
      <c r="Z21" s="17">
        <v>269.09000000000003</v>
      </c>
      <c r="AA21" s="17">
        <v>48.44</v>
      </c>
      <c r="AB21" s="17">
        <v>317.53000000000003</v>
      </c>
      <c r="AD21" s="19" t="s">
        <v>336</v>
      </c>
      <c r="AE21" s="33">
        <v>1</v>
      </c>
      <c r="AF21" s="33">
        <v>651.53</v>
      </c>
      <c r="AG21" s="33">
        <v>117.28</v>
      </c>
      <c r="AH21" s="33">
        <v>768.81</v>
      </c>
      <c r="AI21"/>
      <c r="AJ21" s="19" t="s">
        <v>336</v>
      </c>
      <c r="AK21" s="17">
        <v>1</v>
      </c>
      <c r="AL21" s="17">
        <v>651.53</v>
      </c>
      <c r="AM21" s="17">
        <v>117.28</v>
      </c>
      <c r="AN21" s="17">
        <v>768.81</v>
      </c>
      <c r="BN21"/>
      <c r="BO21"/>
      <c r="BP21"/>
      <c r="BQ21"/>
      <c r="BR21"/>
      <c r="BS21"/>
      <c r="BT21"/>
      <c r="BU21"/>
      <c r="BV21"/>
      <c r="BW21" s="19" t="s">
        <v>1417</v>
      </c>
      <c r="BX21" s="33">
        <v>6</v>
      </c>
      <c r="BY21"/>
      <c r="BZ21" s="19">
        <v>886</v>
      </c>
      <c r="CA21" s="33">
        <v>1</v>
      </c>
      <c r="CB21"/>
      <c r="CC21" s="19">
        <v>3100</v>
      </c>
      <c r="CD21" s="33">
        <v>3</v>
      </c>
      <c r="CF21"/>
      <c r="CG21"/>
      <c r="CH21"/>
      <c r="CL21" s="19">
        <v>1124</v>
      </c>
      <c r="CM21" s="33">
        <v>5</v>
      </c>
      <c r="CO21" s="30" t="s">
        <v>1258</v>
      </c>
      <c r="CP21" s="33">
        <v>1</v>
      </c>
    </row>
    <row r="22" spans="4:94" ht="15">
      <c r="G22" s="19" t="s">
        <v>1263</v>
      </c>
      <c r="H22" s="33">
        <v>30</v>
      </c>
      <c r="J22" s="19" t="s">
        <v>1239</v>
      </c>
      <c r="K22" s="33">
        <v>2</v>
      </c>
      <c r="L22" s="33">
        <v>110.85</v>
      </c>
      <c r="M22" s="33">
        <v>19.950000000000003</v>
      </c>
      <c r="N22" s="33">
        <v>130.80000000000001</v>
      </c>
      <c r="R22"/>
      <c r="S22"/>
      <c r="T22"/>
      <c r="U22"/>
      <c r="V22"/>
      <c r="X22" s="23">
        <v>45698</v>
      </c>
      <c r="Y22" s="17">
        <v>3</v>
      </c>
      <c r="Z22" s="17">
        <v>2871</v>
      </c>
      <c r="AA22" s="17">
        <v>516.78</v>
      </c>
      <c r="AB22" s="17">
        <v>3387.78</v>
      </c>
      <c r="AD22" s="19" t="s">
        <v>332</v>
      </c>
      <c r="AE22" s="33">
        <v>1</v>
      </c>
      <c r="AF22" s="33">
        <v>976.78</v>
      </c>
      <c r="AG22" s="33">
        <v>175.82</v>
      </c>
      <c r="AH22" s="33">
        <v>1152.5999999999999</v>
      </c>
      <c r="AI22"/>
      <c r="AJ22" s="19" t="s">
        <v>332</v>
      </c>
      <c r="AK22" s="17">
        <v>1</v>
      </c>
      <c r="AL22" s="17">
        <v>976.78</v>
      </c>
      <c r="AM22" s="17">
        <v>175.82</v>
      </c>
      <c r="AN22" s="17">
        <v>1152.5999999999999</v>
      </c>
      <c r="BN22"/>
      <c r="BO22"/>
      <c r="BP22"/>
      <c r="BQ22"/>
      <c r="BR22"/>
      <c r="BS22"/>
      <c r="BT22"/>
      <c r="BU22"/>
      <c r="BV22"/>
      <c r="BW22" s="19" t="s">
        <v>1433</v>
      </c>
      <c r="BX22" s="33">
        <v>107</v>
      </c>
      <c r="BY22"/>
      <c r="BZ22" s="19">
        <v>887</v>
      </c>
      <c r="CA22" s="33">
        <v>1</v>
      </c>
      <c r="CB22"/>
      <c r="CC22" s="19">
        <v>3123</v>
      </c>
      <c r="CD22" s="33">
        <v>6</v>
      </c>
      <c r="CF22"/>
      <c r="CG22"/>
      <c r="CH22"/>
      <c r="CL22" s="19">
        <v>5562</v>
      </c>
      <c r="CM22" s="33">
        <v>2</v>
      </c>
      <c r="CO22" s="30" t="s">
        <v>1278</v>
      </c>
      <c r="CP22" s="33">
        <v>1</v>
      </c>
    </row>
    <row r="23" spans="4:94" ht="15">
      <c r="G23" s="19" t="s">
        <v>1264</v>
      </c>
      <c r="H23" s="33">
        <v>438.73</v>
      </c>
      <c r="J23" s="19" t="s">
        <v>1240</v>
      </c>
      <c r="K23" s="33">
        <v>19</v>
      </c>
      <c r="L23" s="33">
        <v>32104.039999999997</v>
      </c>
      <c r="M23" s="33">
        <v>5778.7300000000005</v>
      </c>
      <c r="N23" s="33">
        <v>37882.769999999997</v>
      </c>
      <c r="R23"/>
      <c r="S23"/>
      <c r="T23"/>
      <c r="U23"/>
      <c r="V23"/>
      <c r="X23" s="19" t="s">
        <v>238</v>
      </c>
      <c r="Y23" s="17">
        <v>73</v>
      </c>
      <c r="Z23" s="17">
        <v>83058.830000000016</v>
      </c>
      <c r="AA23" s="17">
        <v>14950.620000000003</v>
      </c>
      <c r="AB23" s="17">
        <v>98009.450000000012</v>
      </c>
      <c r="AD23" s="19" t="s">
        <v>330</v>
      </c>
      <c r="AE23" s="33">
        <v>1</v>
      </c>
      <c r="AF23" s="33">
        <v>1427.8</v>
      </c>
      <c r="AG23" s="33">
        <v>257</v>
      </c>
      <c r="AH23" s="33">
        <v>1684.8</v>
      </c>
      <c r="AI23"/>
      <c r="AJ23" s="19" t="s">
        <v>330</v>
      </c>
      <c r="AK23" s="17">
        <v>1</v>
      </c>
      <c r="AL23" s="17">
        <v>1427.8</v>
      </c>
      <c r="AM23" s="17">
        <v>257</v>
      </c>
      <c r="AN23" s="17">
        <v>1684.8</v>
      </c>
      <c r="BN23"/>
      <c r="BO23"/>
      <c r="BQ23"/>
      <c r="BR23"/>
      <c r="BS23"/>
      <c r="BT23"/>
      <c r="BU23"/>
      <c r="BV23"/>
      <c r="BW23" s="19" t="s">
        <v>1465</v>
      </c>
      <c r="BX23" s="33">
        <v>6</v>
      </c>
      <c r="BY23"/>
      <c r="BZ23" s="19">
        <v>888</v>
      </c>
      <c r="CA23" s="33">
        <v>1</v>
      </c>
      <c r="CB23"/>
      <c r="CC23" s="19">
        <v>3147</v>
      </c>
      <c r="CD23" s="33">
        <v>2</v>
      </c>
      <c r="CF23"/>
      <c r="CG23"/>
      <c r="CH23"/>
      <c r="CL23" s="19">
        <v>1128</v>
      </c>
      <c r="CM23" s="33">
        <v>34</v>
      </c>
      <c r="CO23" s="30" t="s">
        <v>1274</v>
      </c>
      <c r="CP23" s="33">
        <v>1</v>
      </c>
    </row>
    <row r="24" spans="4:94" ht="15">
      <c r="G24" s="19" t="s">
        <v>1265</v>
      </c>
      <c r="H24" s="33">
        <v>447.73</v>
      </c>
      <c r="J24" s="19" t="s">
        <v>519</v>
      </c>
      <c r="K24" s="33">
        <v>13</v>
      </c>
      <c r="L24" s="33">
        <v>8309.1</v>
      </c>
      <c r="M24" s="33">
        <v>1495.6</v>
      </c>
      <c r="N24" s="33">
        <v>9804.7000000000007</v>
      </c>
      <c r="R24"/>
      <c r="S24"/>
      <c r="T24"/>
      <c r="U24"/>
      <c r="V24"/>
      <c r="X24" s="23">
        <v>45937</v>
      </c>
      <c r="Y24" s="17">
        <v>2</v>
      </c>
      <c r="Z24" s="17">
        <v>9727.56</v>
      </c>
      <c r="AA24" s="17">
        <v>1750.96</v>
      </c>
      <c r="AB24" s="17">
        <v>11478.52</v>
      </c>
      <c r="AD24" s="19" t="s">
        <v>329</v>
      </c>
      <c r="AE24" s="33">
        <v>1</v>
      </c>
      <c r="AF24" s="33">
        <v>2316.61</v>
      </c>
      <c r="AG24" s="33">
        <v>416.99</v>
      </c>
      <c r="AH24" s="33">
        <v>2733.6</v>
      </c>
      <c r="AI24"/>
      <c r="AJ24" s="19" t="s">
        <v>329</v>
      </c>
      <c r="AK24" s="17">
        <v>1</v>
      </c>
      <c r="AL24" s="17">
        <v>2316.61</v>
      </c>
      <c r="AM24" s="17">
        <v>416.99</v>
      </c>
      <c r="AN24" s="17">
        <v>2733.6</v>
      </c>
      <c r="BN24"/>
      <c r="BO24"/>
      <c r="BQ24"/>
      <c r="BR24"/>
      <c r="BS24"/>
      <c r="BT24"/>
      <c r="BU24"/>
      <c r="BV24"/>
      <c r="BW24" s="19" t="s">
        <v>1468</v>
      </c>
      <c r="BX24" s="33">
        <v>18</v>
      </c>
      <c r="BY24"/>
      <c r="BZ24" s="19">
        <v>889</v>
      </c>
      <c r="CA24" s="33">
        <v>1</v>
      </c>
      <c r="CB24"/>
      <c r="CC24" s="19">
        <v>3149</v>
      </c>
      <c r="CD24" s="33">
        <v>2</v>
      </c>
      <c r="CF24"/>
      <c r="CG24"/>
      <c r="CH24"/>
      <c r="CL24" s="19">
        <v>6123</v>
      </c>
      <c r="CM24" s="33">
        <v>3</v>
      </c>
      <c r="CO24" s="30" t="s">
        <v>1256</v>
      </c>
      <c r="CP24" s="33">
        <v>1</v>
      </c>
    </row>
    <row r="25" spans="4:94" ht="15">
      <c r="G25" s="19" t="s">
        <v>1266</v>
      </c>
      <c r="H25" s="33">
        <v>423.73</v>
      </c>
      <c r="J25" s="19" t="s">
        <v>526</v>
      </c>
      <c r="K25" s="33">
        <v>13</v>
      </c>
      <c r="L25" s="33">
        <v>5136.9700000000012</v>
      </c>
      <c r="M25" s="33">
        <v>924.6400000000001</v>
      </c>
      <c r="N25" s="33">
        <v>6061.6100000000006</v>
      </c>
      <c r="R25"/>
      <c r="S25"/>
      <c r="T25"/>
      <c r="U25"/>
      <c r="V25"/>
      <c r="X25" s="23">
        <v>45939</v>
      </c>
      <c r="Y25" s="17">
        <v>1</v>
      </c>
      <c r="Z25" s="17">
        <v>317.5</v>
      </c>
      <c r="AA25" s="17">
        <v>57.15</v>
      </c>
      <c r="AB25" s="17">
        <v>374.65</v>
      </c>
      <c r="AD25" s="19" t="s">
        <v>326</v>
      </c>
      <c r="AE25" s="33">
        <v>1</v>
      </c>
      <c r="AF25" s="33">
        <v>1934.24</v>
      </c>
      <c r="AG25" s="33">
        <v>348.16</v>
      </c>
      <c r="AH25" s="33">
        <v>2282.4</v>
      </c>
      <c r="AI25"/>
      <c r="AJ25" s="19" t="s">
        <v>326</v>
      </c>
      <c r="AK25" s="17">
        <v>1</v>
      </c>
      <c r="AL25" s="17">
        <v>1934.24</v>
      </c>
      <c r="AM25" s="17">
        <v>348.16</v>
      </c>
      <c r="AN25" s="17">
        <v>2282.4</v>
      </c>
      <c r="BN25"/>
      <c r="BO25"/>
      <c r="BQ25"/>
      <c r="BR25"/>
      <c r="BS25"/>
      <c r="BT25"/>
      <c r="BU25"/>
      <c r="BV25"/>
      <c r="BW25" s="19" t="s">
        <v>1582</v>
      </c>
      <c r="BX25" s="33">
        <v>1</v>
      </c>
      <c r="BY25"/>
      <c r="BZ25" s="19">
        <v>890</v>
      </c>
      <c r="CA25" s="33">
        <v>1</v>
      </c>
      <c r="CB25"/>
      <c r="CC25" s="19">
        <v>3157</v>
      </c>
      <c r="CD25" s="33">
        <v>3</v>
      </c>
      <c r="CF25"/>
      <c r="CG25"/>
      <c r="CH25"/>
      <c r="CL25" s="19">
        <v>1151</v>
      </c>
      <c r="CM25" s="33">
        <v>3</v>
      </c>
      <c r="CO25" s="30" t="s">
        <v>1273</v>
      </c>
      <c r="CP25" s="33">
        <v>1</v>
      </c>
    </row>
    <row r="26" spans="4:94" ht="15">
      <c r="D26" s="26" t="s">
        <v>248</v>
      </c>
      <c r="G26" s="19" t="s">
        <v>1267</v>
      </c>
      <c r="H26" s="33">
        <v>423.73</v>
      </c>
      <c r="J26" s="19" t="s">
        <v>533</v>
      </c>
      <c r="K26" s="33">
        <v>9</v>
      </c>
      <c r="L26" s="33">
        <v>3304.2900000000004</v>
      </c>
      <c r="M26" s="33">
        <v>594.7700000000001</v>
      </c>
      <c r="N26" s="33">
        <v>3899.0600000000004</v>
      </c>
      <c r="R26"/>
      <c r="S26"/>
      <c r="T26"/>
      <c r="U26"/>
      <c r="V26"/>
      <c r="X26" s="23">
        <v>45940</v>
      </c>
      <c r="Y26" s="17">
        <v>2</v>
      </c>
      <c r="Z26" s="17">
        <v>556.01</v>
      </c>
      <c r="AA26" s="17">
        <v>100.08</v>
      </c>
      <c r="AB26" s="17">
        <v>656.08999999999992</v>
      </c>
      <c r="AD26" s="19" t="s">
        <v>325</v>
      </c>
      <c r="AE26" s="33">
        <v>1</v>
      </c>
      <c r="AF26" s="33">
        <v>3740.42</v>
      </c>
      <c r="AG26" s="33">
        <v>673.28</v>
      </c>
      <c r="AH26" s="33">
        <v>4413.7</v>
      </c>
      <c r="AI26"/>
      <c r="AJ26" s="19" t="s">
        <v>325</v>
      </c>
      <c r="AK26" s="17">
        <v>1</v>
      </c>
      <c r="AL26" s="17">
        <v>3740.42</v>
      </c>
      <c r="AM26" s="17">
        <v>673.28</v>
      </c>
      <c r="AN26" s="17">
        <v>4413.7</v>
      </c>
      <c r="BN26"/>
      <c r="BO26"/>
      <c r="BQ26"/>
      <c r="BR26"/>
      <c r="BW26" s="19" t="s">
        <v>52</v>
      </c>
      <c r="BX26" s="33">
        <v>790</v>
      </c>
      <c r="BZ26" s="19">
        <v>891</v>
      </c>
      <c r="CA26" s="33">
        <v>1</v>
      </c>
      <c r="CC26" s="19">
        <v>3168</v>
      </c>
      <c r="CD26" s="33">
        <v>4</v>
      </c>
      <c r="CF26"/>
      <c r="CG26"/>
      <c r="CL26" s="19">
        <v>1150</v>
      </c>
      <c r="CM26" s="33">
        <v>1</v>
      </c>
      <c r="CO26" s="30" t="s">
        <v>1247</v>
      </c>
      <c r="CP26" s="33">
        <v>1</v>
      </c>
    </row>
    <row r="27" spans="4:94" ht="15">
      <c r="G27" s="19" t="s">
        <v>1268</v>
      </c>
      <c r="H27" s="33">
        <v>1230</v>
      </c>
      <c r="J27" s="19" t="s">
        <v>1246</v>
      </c>
      <c r="K27" s="33">
        <v>3</v>
      </c>
      <c r="L27" s="33">
        <v>514.4</v>
      </c>
      <c r="M27" s="33">
        <v>92.6</v>
      </c>
      <c r="N27" s="33">
        <v>607</v>
      </c>
      <c r="R27"/>
      <c r="S27"/>
      <c r="T27"/>
      <c r="U27"/>
      <c r="V27"/>
      <c r="X27" s="23">
        <v>45941</v>
      </c>
      <c r="Y27" s="17">
        <v>1</v>
      </c>
      <c r="Z27" s="17">
        <v>79.75</v>
      </c>
      <c r="AA27" s="17">
        <v>14.36</v>
      </c>
      <c r="AB27" s="17">
        <v>94.11</v>
      </c>
      <c r="AD27" s="19" t="s">
        <v>324</v>
      </c>
      <c r="AE27" s="33">
        <v>1</v>
      </c>
      <c r="AF27" s="33">
        <v>3056.19</v>
      </c>
      <c r="AG27" s="33">
        <v>550.11</v>
      </c>
      <c r="AH27" s="33">
        <v>3606.3</v>
      </c>
      <c r="AI27"/>
      <c r="AJ27" s="19" t="s">
        <v>324</v>
      </c>
      <c r="AK27" s="17">
        <v>1</v>
      </c>
      <c r="AL27" s="17">
        <v>3056.19</v>
      </c>
      <c r="AM27" s="17">
        <v>550.11</v>
      </c>
      <c r="AN27" s="17">
        <v>3606.3</v>
      </c>
      <c r="BN27"/>
      <c r="BO27"/>
      <c r="BQ27"/>
      <c r="BR27"/>
      <c r="BZ27" s="19">
        <v>892</v>
      </c>
      <c r="CA27" s="33">
        <v>1</v>
      </c>
      <c r="CC27" s="19">
        <v>3172</v>
      </c>
      <c r="CD27" s="33">
        <v>2</v>
      </c>
      <c r="CF27"/>
      <c r="CG27"/>
      <c r="CL27" s="19">
        <v>1149</v>
      </c>
      <c r="CM27" s="33">
        <v>3</v>
      </c>
      <c r="CO27" s="30" t="s">
        <v>1253</v>
      </c>
      <c r="CP27" s="33">
        <v>1</v>
      </c>
    </row>
    <row r="28" spans="4:94" ht="15">
      <c r="D28" s="18" t="s">
        <v>51</v>
      </c>
      <c r="E28" s="17" t="s">
        <v>247</v>
      </c>
      <c r="G28" s="19" t="s">
        <v>1270</v>
      </c>
      <c r="H28" s="33">
        <v>44.97</v>
      </c>
      <c r="J28" s="19" t="s">
        <v>401</v>
      </c>
      <c r="K28" s="33">
        <v>2</v>
      </c>
      <c r="L28" s="33">
        <v>330.51</v>
      </c>
      <c r="M28" s="33">
        <v>59.489999999999995</v>
      </c>
      <c r="N28" s="33">
        <v>390</v>
      </c>
      <c r="R28"/>
      <c r="S28"/>
      <c r="T28"/>
      <c r="U28"/>
      <c r="V28"/>
      <c r="X28" s="23">
        <v>45943</v>
      </c>
      <c r="Y28" s="17">
        <v>13</v>
      </c>
      <c r="Z28" s="17">
        <v>9789.74</v>
      </c>
      <c r="AA28" s="17">
        <v>1762.1699999999996</v>
      </c>
      <c r="AB28" s="17">
        <v>11551.91</v>
      </c>
      <c r="AD28" s="19" t="s">
        <v>322</v>
      </c>
      <c r="AE28" s="33">
        <v>1</v>
      </c>
      <c r="AF28" s="33">
        <v>6</v>
      </c>
      <c r="AG28" s="33">
        <v>1.08</v>
      </c>
      <c r="AH28" s="33">
        <v>7.08</v>
      </c>
      <c r="AI28"/>
      <c r="AJ28" s="19" t="s">
        <v>322</v>
      </c>
      <c r="AK28" s="17">
        <v>1</v>
      </c>
      <c r="AL28" s="17">
        <v>6</v>
      </c>
      <c r="AM28" s="17">
        <v>1.08</v>
      </c>
      <c r="AN28" s="17">
        <v>7.08</v>
      </c>
      <c r="BN28"/>
      <c r="BO28"/>
      <c r="BQ28"/>
      <c r="BR28"/>
      <c r="BZ28" s="19">
        <v>893</v>
      </c>
      <c r="CA28" s="33">
        <v>1</v>
      </c>
      <c r="CC28" s="19">
        <v>3185</v>
      </c>
      <c r="CD28" s="33">
        <v>3</v>
      </c>
      <c r="CF28"/>
      <c r="CG28"/>
      <c r="CL28" s="19">
        <v>1177</v>
      </c>
      <c r="CM28" s="33">
        <v>2</v>
      </c>
      <c r="CO28" s="30" t="s">
        <v>1242</v>
      </c>
      <c r="CP28" s="33">
        <v>1</v>
      </c>
    </row>
    <row r="29" spans="4:94" ht="15">
      <c r="D29" s="19" t="s">
        <v>263</v>
      </c>
      <c r="E29" s="33">
        <v>1</v>
      </c>
      <c r="G29" s="19" t="s">
        <v>1271</v>
      </c>
      <c r="H29" s="33">
        <v>210</v>
      </c>
      <c r="J29" s="19" t="s">
        <v>406</v>
      </c>
      <c r="K29" s="33">
        <v>4</v>
      </c>
      <c r="L29" s="33">
        <v>42.88</v>
      </c>
      <c r="M29" s="33">
        <v>7.7200000000000006</v>
      </c>
      <c r="N29" s="33">
        <v>50.6</v>
      </c>
      <c r="R29"/>
      <c r="S29"/>
      <c r="T29"/>
      <c r="U29"/>
      <c r="V29"/>
      <c r="X29" s="23">
        <v>45944</v>
      </c>
      <c r="Y29" s="17">
        <v>8</v>
      </c>
      <c r="Z29" s="17">
        <v>8278.61</v>
      </c>
      <c r="AA29" s="17">
        <v>1490.15</v>
      </c>
      <c r="AB29" s="17">
        <v>9768.76</v>
      </c>
      <c r="AD29" s="19" t="s">
        <v>321</v>
      </c>
      <c r="AE29" s="33">
        <v>1</v>
      </c>
      <c r="AF29" s="33">
        <v>1463.05</v>
      </c>
      <c r="AG29" s="33">
        <v>263.35000000000002</v>
      </c>
      <c r="AH29" s="33">
        <v>1726.4</v>
      </c>
      <c r="AI29"/>
      <c r="AJ29" s="19" t="s">
        <v>321</v>
      </c>
      <c r="AK29" s="17">
        <v>1</v>
      </c>
      <c r="AL29" s="17">
        <v>1463.05</v>
      </c>
      <c r="AM29" s="17">
        <v>263.35000000000002</v>
      </c>
      <c r="AN29" s="17">
        <v>1726.4</v>
      </c>
      <c r="BN29"/>
      <c r="BO29"/>
      <c r="BQ29"/>
      <c r="BR29"/>
      <c r="BZ29" s="19">
        <v>894</v>
      </c>
      <c r="CA29" s="33">
        <v>1</v>
      </c>
      <c r="CC29" s="19">
        <v>3188</v>
      </c>
      <c r="CD29" s="33">
        <v>2</v>
      </c>
      <c r="CF29"/>
      <c r="CG29"/>
      <c r="CL29" s="19">
        <v>385</v>
      </c>
      <c r="CM29" s="33">
        <v>19</v>
      </c>
      <c r="CO29" s="30" t="s">
        <v>1266</v>
      </c>
      <c r="CP29" s="33">
        <v>1</v>
      </c>
    </row>
    <row r="30" spans="4:94" ht="15">
      <c r="D30" s="19" t="s">
        <v>268</v>
      </c>
      <c r="E30" s="33">
        <v>1</v>
      </c>
      <c r="G30" s="19" t="s">
        <v>1272</v>
      </c>
      <c r="H30" s="33">
        <v>450</v>
      </c>
      <c r="J30" s="19" t="s">
        <v>547</v>
      </c>
      <c r="K30" s="33">
        <v>3</v>
      </c>
      <c r="L30" s="33">
        <v>445.82</v>
      </c>
      <c r="M30" s="33">
        <v>80.25</v>
      </c>
      <c r="N30" s="33">
        <v>526.06999999999994</v>
      </c>
      <c r="R30"/>
      <c r="S30"/>
      <c r="T30"/>
      <c r="U30"/>
      <c r="V30"/>
      <c r="X30" s="23">
        <v>45945</v>
      </c>
      <c r="Y30" s="17">
        <v>46</v>
      </c>
      <c r="Z30" s="17">
        <v>54309.66</v>
      </c>
      <c r="AA30" s="17">
        <v>9775.75</v>
      </c>
      <c r="AB30" s="17">
        <v>64085.409999999996</v>
      </c>
      <c r="AD30" s="19" t="s">
        <v>320</v>
      </c>
      <c r="AE30" s="33">
        <v>1</v>
      </c>
      <c r="AF30" s="33">
        <v>1174.24</v>
      </c>
      <c r="AG30" s="33">
        <v>211.36</v>
      </c>
      <c r="AH30" s="33">
        <v>1385.6</v>
      </c>
      <c r="AI30"/>
      <c r="AJ30" s="19" t="s">
        <v>320</v>
      </c>
      <c r="AK30" s="17">
        <v>1</v>
      </c>
      <c r="AL30" s="17">
        <v>1174.24</v>
      </c>
      <c r="AM30" s="17">
        <v>211.36</v>
      </c>
      <c r="AN30" s="17">
        <v>1385.6</v>
      </c>
      <c r="BN30"/>
      <c r="BO30"/>
      <c r="BQ30"/>
      <c r="BR30"/>
      <c r="BZ30" s="19">
        <v>895</v>
      </c>
      <c r="CA30" s="33">
        <v>1</v>
      </c>
      <c r="CC30" s="19">
        <v>3190</v>
      </c>
      <c r="CD30" s="33">
        <v>2</v>
      </c>
      <c r="CF30"/>
      <c r="CG30"/>
      <c r="CL30" s="19">
        <v>1166</v>
      </c>
      <c r="CM30" s="33">
        <v>9</v>
      </c>
      <c r="CO30" s="30" t="s">
        <v>1245</v>
      </c>
      <c r="CP30" s="33">
        <v>1</v>
      </c>
    </row>
    <row r="31" spans="4:94" ht="15">
      <c r="D31" s="19" t="s">
        <v>296</v>
      </c>
      <c r="E31" s="33">
        <v>1</v>
      </c>
      <c r="G31" s="19" t="s">
        <v>1273</v>
      </c>
      <c r="H31" s="33">
        <v>100</v>
      </c>
      <c r="J31" s="19" t="s">
        <v>415</v>
      </c>
      <c r="K31" s="33">
        <v>72</v>
      </c>
      <c r="L31" s="33">
        <v>79713.209999999992</v>
      </c>
      <c r="M31" s="33">
        <v>14348.350000000002</v>
      </c>
      <c r="N31" s="33">
        <v>94061.559999999983</v>
      </c>
      <c r="R31"/>
      <c r="S31"/>
      <c r="T31"/>
      <c r="U31"/>
      <c r="V31"/>
      <c r="X31" s="19" t="s">
        <v>52</v>
      </c>
      <c r="Y31" s="17">
        <v>457</v>
      </c>
      <c r="Z31" s="17">
        <v>361701.79000000015</v>
      </c>
      <c r="AA31" s="17">
        <v>65106.26999999999</v>
      </c>
      <c r="AB31" s="17">
        <v>426808.05999999965</v>
      </c>
      <c r="AD31" s="19" t="s">
        <v>318</v>
      </c>
      <c r="AE31" s="33">
        <v>1</v>
      </c>
      <c r="AF31" s="33">
        <v>7.5</v>
      </c>
      <c r="AG31" s="33">
        <v>1.35</v>
      </c>
      <c r="AH31" s="33">
        <v>8.85</v>
      </c>
      <c r="AI31"/>
      <c r="AJ31" s="19" t="s">
        <v>318</v>
      </c>
      <c r="AK31" s="17">
        <v>1</v>
      </c>
      <c r="AL31" s="17">
        <v>7.5</v>
      </c>
      <c r="AM31" s="17">
        <v>1.35</v>
      </c>
      <c r="AN31" s="17">
        <v>8.85</v>
      </c>
      <c r="BN31"/>
      <c r="BO31"/>
      <c r="BQ31"/>
      <c r="BR31"/>
      <c r="BZ31" s="19">
        <v>896</v>
      </c>
      <c r="CA31" s="33">
        <v>1</v>
      </c>
      <c r="CC31" s="19" t="s">
        <v>53</v>
      </c>
      <c r="CD31" s="33"/>
      <c r="CF31"/>
      <c r="CG31"/>
      <c r="CL31" s="19">
        <v>1165</v>
      </c>
      <c r="CM31" s="33">
        <v>9</v>
      </c>
      <c r="CO31" s="30" t="s">
        <v>1264</v>
      </c>
      <c r="CP31" s="33">
        <v>1</v>
      </c>
    </row>
    <row r="32" spans="4:94" ht="15">
      <c r="D32" s="19" t="s">
        <v>299</v>
      </c>
      <c r="E32" s="33">
        <v>1</v>
      </c>
      <c r="G32" s="19" t="s">
        <v>1274</v>
      </c>
      <c r="H32" s="33">
        <v>32.5</v>
      </c>
      <c r="J32" s="19" t="s">
        <v>561</v>
      </c>
      <c r="K32" s="33">
        <v>2</v>
      </c>
      <c r="L32" s="33">
        <v>6.48</v>
      </c>
      <c r="M32" s="33">
        <v>1.17</v>
      </c>
      <c r="N32" s="33">
        <v>7.65</v>
      </c>
      <c r="R32"/>
      <c r="S32"/>
      <c r="T32"/>
      <c r="U32"/>
      <c r="V32"/>
      <c r="X32"/>
      <c r="Y32"/>
      <c r="Z32"/>
      <c r="AA32"/>
      <c r="AB32"/>
      <c r="AD32" s="19" t="s">
        <v>317</v>
      </c>
      <c r="AE32" s="33">
        <v>1</v>
      </c>
      <c r="AF32" s="33">
        <v>2213.98</v>
      </c>
      <c r="AG32" s="33">
        <v>398.52</v>
      </c>
      <c r="AH32" s="33">
        <v>2612.5</v>
      </c>
      <c r="AI32"/>
      <c r="AJ32" s="19" t="s">
        <v>317</v>
      </c>
      <c r="AK32" s="17">
        <v>1</v>
      </c>
      <c r="AL32" s="17">
        <v>2213.98</v>
      </c>
      <c r="AM32" s="17">
        <v>398.52</v>
      </c>
      <c r="AN32" s="17">
        <v>2612.5</v>
      </c>
      <c r="BN32"/>
      <c r="BO32"/>
      <c r="BQ32"/>
      <c r="BR32"/>
      <c r="BZ32" s="19">
        <v>897</v>
      </c>
      <c r="CA32" s="33">
        <v>1</v>
      </c>
      <c r="CC32" s="19">
        <v>3306</v>
      </c>
      <c r="CD32" s="33">
        <v>4</v>
      </c>
      <c r="CF32"/>
      <c r="CG32"/>
      <c r="CL32" s="19">
        <v>1164</v>
      </c>
      <c r="CM32" s="33">
        <v>9</v>
      </c>
      <c r="CO32" s="30" t="s">
        <v>1244</v>
      </c>
      <c r="CP32" s="33">
        <v>1</v>
      </c>
    </row>
    <row r="33" spans="4:94" ht="15">
      <c r="D33" s="19" t="s">
        <v>300</v>
      </c>
      <c r="E33" s="33">
        <v>1</v>
      </c>
      <c r="G33" s="19" t="s">
        <v>1278</v>
      </c>
      <c r="H33" s="33">
        <v>1000</v>
      </c>
      <c r="J33" s="19" t="s">
        <v>442</v>
      </c>
      <c r="K33" s="33">
        <v>4</v>
      </c>
      <c r="L33" s="33">
        <v>257.2</v>
      </c>
      <c r="M33" s="33">
        <v>46.3</v>
      </c>
      <c r="N33" s="33">
        <v>303.5</v>
      </c>
      <c r="R33"/>
      <c r="S33"/>
      <c r="T33"/>
      <c r="U33"/>
      <c r="V33"/>
      <c r="X33"/>
      <c r="Y33"/>
      <c r="Z33"/>
      <c r="AA33"/>
      <c r="AB33"/>
      <c r="AD33" s="19" t="s">
        <v>314</v>
      </c>
      <c r="AE33" s="33">
        <v>1</v>
      </c>
      <c r="AF33" s="33">
        <v>1820</v>
      </c>
      <c r="AG33" s="33">
        <v>327.60000000000002</v>
      </c>
      <c r="AH33" s="33">
        <v>2147.6</v>
      </c>
      <c r="AI33"/>
      <c r="AJ33" s="19" t="s">
        <v>314</v>
      </c>
      <c r="AK33" s="17">
        <v>1</v>
      </c>
      <c r="AL33" s="17">
        <v>1820</v>
      </c>
      <c r="AM33" s="17">
        <v>327.60000000000002</v>
      </c>
      <c r="AN33" s="17">
        <v>2147.6</v>
      </c>
      <c r="BN33"/>
      <c r="BO33"/>
      <c r="BQ33"/>
      <c r="BR33"/>
      <c r="BZ33" s="19">
        <v>898</v>
      </c>
      <c r="CA33" s="33">
        <v>1</v>
      </c>
      <c r="CC33" s="19">
        <v>3324</v>
      </c>
      <c r="CD33" s="33">
        <v>1</v>
      </c>
      <c r="CL33" s="19">
        <v>432</v>
      </c>
      <c r="CM33" s="33">
        <v>3</v>
      </c>
      <c r="CO33" s="30" t="s">
        <v>1250</v>
      </c>
      <c r="CP33" s="33">
        <v>1</v>
      </c>
    </row>
    <row r="34" spans="4:94" ht="15">
      <c r="D34" s="19" t="s">
        <v>301</v>
      </c>
      <c r="E34" s="33">
        <v>1</v>
      </c>
      <c r="G34" s="19" t="s">
        <v>1299</v>
      </c>
      <c r="H34" s="33">
        <v>166659.18000000011</v>
      </c>
      <c r="J34" s="19" t="s">
        <v>447</v>
      </c>
      <c r="K34" s="33">
        <v>2</v>
      </c>
      <c r="L34" s="33">
        <v>34.49</v>
      </c>
      <c r="M34" s="33">
        <v>6.21</v>
      </c>
      <c r="N34" s="33">
        <v>40.700000000000003</v>
      </c>
      <c r="R34"/>
      <c r="S34"/>
      <c r="T34"/>
      <c r="U34"/>
      <c r="V34"/>
      <c r="X34"/>
      <c r="Y34"/>
      <c r="Z34"/>
      <c r="AA34"/>
      <c r="AB34"/>
      <c r="AD34" s="19" t="s">
        <v>313</v>
      </c>
      <c r="AE34" s="33">
        <v>1</v>
      </c>
      <c r="AF34" s="33">
        <v>1571.02</v>
      </c>
      <c r="AG34" s="33">
        <v>282.77999999999997</v>
      </c>
      <c r="AH34" s="33">
        <v>1853.8</v>
      </c>
      <c r="AI34"/>
      <c r="AJ34" s="19" t="s">
        <v>313</v>
      </c>
      <c r="AK34" s="17">
        <v>1</v>
      </c>
      <c r="AL34" s="17">
        <v>1571.02</v>
      </c>
      <c r="AM34" s="17">
        <v>282.77999999999997</v>
      </c>
      <c r="AN34" s="17">
        <v>1853.8</v>
      </c>
      <c r="BN34"/>
      <c r="BO34"/>
      <c r="BQ34"/>
      <c r="BR34"/>
      <c r="BZ34" s="19">
        <v>899</v>
      </c>
      <c r="CA34" s="33">
        <v>1</v>
      </c>
      <c r="CC34" s="19">
        <v>3317</v>
      </c>
      <c r="CD34" s="33">
        <v>2</v>
      </c>
      <c r="CL34" s="19">
        <v>1148</v>
      </c>
      <c r="CM34" s="33">
        <v>2</v>
      </c>
      <c r="CO34" s="30" t="s">
        <v>1254</v>
      </c>
      <c r="CP34" s="33">
        <v>1</v>
      </c>
    </row>
    <row r="35" spans="4:94" ht="15">
      <c r="D35" s="19" t="s">
        <v>302</v>
      </c>
      <c r="E35" s="33">
        <v>1</v>
      </c>
      <c r="G35" s="19" t="s">
        <v>1300</v>
      </c>
      <c r="H35" s="33">
        <v>177646.78000000003</v>
      </c>
      <c r="J35" s="19" t="s">
        <v>457</v>
      </c>
      <c r="K35" s="33">
        <v>2</v>
      </c>
      <c r="L35" s="33">
        <v>23.67</v>
      </c>
      <c r="M35" s="33">
        <v>4.2699999999999996</v>
      </c>
      <c r="N35" s="33">
        <v>27.939999999999998</v>
      </c>
      <c r="R35"/>
      <c r="S35"/>
      <c r="T35"/>
      <c r="U35"/>
      <c r="V35"/>
      <c r="X35"/>
      <c r="Y35"/>
      <c r="Z35"/>
      <c r="AA35"/>
      <c r="AB35"/>
      <c r="AD35" s="19" t="s">
        <v>312</v>
      </c>
      <c r="AE35" s="33">
        <v>1</v>
      </c>
      <c r="AF35" s="33">
        <v>3741.1</v>
      </c>
      <c r="AG35" s="33">
        <v>673.4</v>
      </c>
      <c r="AH35" s="33">
        <v>4414.5</v>
      </c>
      <c r="AI35"/>
      <c r="AJ35" s="19" t="s">
        <v>312</v>
      </c>
      <c r="AK35" s="17">
        <v>1</v>
      </c>
      <c r="AL35" s="17">
        <v>3741.1</v>
      </c>
      <c r="AM35" s="17">
        <v>673.4</v>
      </c>
      <c r="AN35" s="17">
        <v>4414.5</v>
      </c>
      <c r="BN35"/>
      <c r="BO35"/>
      <c r="BQ35"/>
      <c r="BR35"/>
      <c r="BZ35" s="19">
        <v>900</v>
      </c>
      <c r="CA35" s="33">
        <v>1</v>
      </c>
      <c r="CC35" s="19">
        <v>3288</v>
      </c>
      <c r="CD35" s="33">
        <v>3</v>
      </c>
      <c r="CL35" s="19">
        <v>1147</v>
      </c>
      <c r="CM35" s="33">
        <v>4</v>
      </c>
      <c r="CO35" s="30" t="s">
        <v>1262</v>
      </c>
      <c r="CP35" s="33">
        <v>2</v>
      </c>
    </row>
    <row r="36" spans="4:94" ht="15">
      <c r="D36" s="19" t="s">
        <v>303</v>
      </c>
      <c r="E36" s="33">
        <v>1</v>
      </c>
      <c r="G36" s="19" t="s">
        <v>1301</v>
      </c>
      <c r="H36" s="33">
        <v>594.16</v>
      </c>
      <c r="J36" s="19" t="s">
        <v>462</v>
      </c>
      <c r="K36" s="33">
        <v>7</v>
      </c>
      <c r="L36" s="33">
        <v>3497.96</v>
      </c>
      <c r="M36" s="33">
        <v>629.64</v>
      </c>
      <c r="N36" s="33">
        <v>4127.6000000000004</v>
      </c>
      <c r="R36"/>
      <c r="S36"/>
      <c r="T36"/>
      <c r="U36"/>
      <c r="V36"/>
      <c r="X36"/>
      <c r="Y36"/>
      <c r="Z36"/>
      <c r="AA36"/>
      <c r="AB36"/>
      <c r="AD36" s="19" t="s">
        <v>311</v>
      </c>
      <c r="AE36" s="33">
        <v>1</v>
      </c>
      <c r="AF36" s="33">
        <v>1400</v>
      </c>
      <c r="AG36" s="33">
        <v>252</v>
      </c>
      <c r="AH36" s="33">
        <v>1652</v>
      </c>
      <c r="AI36"/>
      <c r="AJ36" s="19" t="s">
        <v>311</v>
      </c>
      <c r="AK36" s="17">
        <v>1</v>
      </c>
      <c r="AL36" s="17">
        <v>1400</v>
      </c>
      <c r="AM36" s="17">
        <v>252</v>
      </c>
      <c r="AN36" s="17">
        <v>1652</v>
      </c>
      <c r="BN36"/>
      <c r="BO36"/>
      <c r="BQ36"/>
      <c r="BR36"/>
      <c r="BZ36" s="19">
        <v>901</v>
      </c>
      <c r="CA36" s="33">
        <v>1</v>
      </c>
      <c r="CC36" s="19">
        <v>3318</v>
      </c>
      <c r="CD36" s="33">
        <v>2</v>
      </c>
      <c r="CL36" s="19">
        <v>463</v>
      </c>
      <c r="CM36" s="33">
        <v>3</v>
      </c>
      <c r="CO36" s="30" t="s">
        <v>1267</v>
      </c>
      <c r="CP36" s="33">
        <v>1</v>
      </c>
    </row>
    <row r="37" spans="4:94" ht="15">
      <c r="D37" s="19" t="s">
        <v>304</v>
      </c>
      <c r="E37" s="33">
        <v>1</v>
      </c>
      <c r="G37" s="19" t="s">
        <v>1302</v>
      </c>
      <c r="H37" s="33">
        <v>5543.22</v>
      </c>
      <c r="J37" s="19" t="s">
        <v>566</v>
      </c>
      <c r="K37" s="33">
        <v>8</v>
      </c>
      <c r="L37" s="33">
        <v>3592.9700000000003</v>
      </c>
      <c r="M37" s="33">
        <v>646.73</v>
      </c>
      <c r="N37" s="33">
        <v>4239.7000000000007</v>
      </c>
      <c r="R37"/>
      <c r="S37"/>
      <c r="T37"/>
      <c r="U37"/>
      <c r="V37"/>
      <c r="X37"/>
      <c r="Y37"/>
      <c r="Z37"/>
      <c r="AA37"/>
      <c r="AB37"/>
      <c r="AD37" s="19" t="s">
        <v>309</v>
      </c>
      <c r="AE37" s="33">
        <v>1</v>
      </c>
      <c r="AF37" s="33">
        <v>33.9</v>
      </c>
      <c r="AG37" s="33">
        <v>6.1</v>
      </c>
      <c r="AH37" s="33">
        <v>40</v>
      </c>
      <c r="AI37"/>
      <c r="AJ37" s="19" t="s">
        <v>309</v>
      </c>
      <c r="AK37" s="17">
        <v>1</v>
      </c>
      <c r="AL37" s="17">
        <v>33.9</v>
      </c>
      <c r="AM37" s="17">
        <v>6.1</v>
      </c>
      <c r="AN37" s="17">
        <v>40</v>
      </c>
      <c r="BN37"/>
      <c r="BO37"/>
      <c r="BQ37"/>
      <c r="BR37"/>
      <c r="BZ37" s="19">
        <v>902</v>
      </c>
      <c r="CA37" s="33">
        <v>1</v>
      </c>
      <c r="CC37" s="19">
        <v>3316</v>
      </c>
      <c r="CD37" s="33">
        <v>1</v>
      </c>
      <c r="CL37" s="19">
        <v>1136</v>
      </c>
      <c r="CM37" s="33">
        <v>64</v>
      </c>
      <c r="CO37" s="30" t="s">
        <v>1259</v>
      </c>
      <c r="CP37" s="33">
        <v>1</v>
      </c>
    </row>
    <row r="38" spans="4:94" ht="15">
      <c r="D38" s="19" t="s">
        <v>269</v>
      </c>
      <c r="E38" s="33">
        <v>1</v>
      </c>
      <c r="G38" s="19" t="s">
        <v>1303</v>
      </c>
      <c r="H38" s="33">
        <v>18964.509999999998</v>
      </c>
      <c r="J38" s="19" t="s">
        <v>485</v>
      </c>
      <c r="K38" s="33">
        <v>8</v>
      </c>
      <c r="L38" s="33">
        <v>128.87</v>
      </c>
      <c r="M38" s="33">
        <v>23.200000000000003</v>
      </c>
      <c r="N38" s="33">
        <v>152.07</v>
      </c>
      <c r="R38"/>
      <c r="S38"/>
      <c r="T38"/>
      <c r="U38"/>
      <c r="V38"/>
      <c r="X38"/>
      <c r="Y38"/>
      <c r="Z38"/>
      <c r="AA38"/>
      <c r="AB38"/>
      <c r="AD38" s="19" t="s">
        <v>308</v>
      </c>
      <c r="AE38" s="33">
        <v>1</v>
      </c>
      <c r="AF38" s="33">
        <v>256.61</v>
      </c>
      <c r="AG38" s="33">
        <v>46.19</v>
      </c>
      <c r="AH38" s="33">
        <v>302.8</v>
      </c>
      <c r="AI38"/>
      <c r="AJ38" s="19" t="s">
        <v>308</v>
      </c>
      <c r="AK38" s="17">
        <v>1</v>
      </c>
      <c r="AL38" s="17">
        <v>256.61</v>
      </c>
      <c r="AM38" s="17">
        <v>46.19</v>
      </c>
      <c r="AN38" s="17">
        <v>302.8</v>
      </c>
      <c r="BN38"/>
      <c r="BO38"/>
      <c r="BQ38"/>
      <c r="BR38"/>
      <c r="BZ38" s="19">
        <v>903</v>
      </c>
      <c r="CA38" s="33">
        <v>1</v>
      </c>
      <c r="CC38" s="19">
        <v>3023</v>
      </c>
      <c r="CD38" s="33">
        <v>11</v>
      </c>
      <c r="CL38" s="19">
        <v>418</v>
      </c>
      <c r="CM38" s="33">
        <v>20</v>
      </c>
      <c r="CO38" s="30" t="s">
        <v>1272</v>
      </c>
      <c r="CP38" s="33">
        <v>1</v>
      </c>
    </row>
    <row r="39" spans="4:94" ht="15">
      <c r="D39" s="19" t="s">
        <v>272</v>
      </c>
      <c r="E39" s="33">
        <v>1</v>
      </c>
      <c r="G39" s="19" t="s">
        <v>1304</v>
      </c>
      <c r="H39" s="33">
        <v>17320.669999999998</v>
      </c>
      <c r="J39" s="19" t="s">
        <v>490</v>
      </c>
      <c r="K39" s="33">
        <v>10</v>
      </c>
      <c r="L39" s="33">
        <v>290.33999999999997</v>
      </c>
      <c r="M39" s="33">
        <v>52.260000000000005</v>
      </c>
      <c r="N39" s="33">
        <v>342.59999999999997</v>
      </c>
      <c r="R39"/>
      <c r="S39"/>
      <c r="T39"/>
      <c r="U39"/>
      <c r="V39"/>
      <c r="X39"/>
      <c r="Y39"/>
      <c r="Z39"/>
      <c r="AA39"/>
      <c r="AB39"/>
      <c r="AD39" s="19" t="s">
        <v>305</v>
      </c>
      <c r="AE39" s="33">
        <v>1</v>
      </c>
      <c r="AF39" s="33">
        <v>369.41</v>
      </c>
      <c r="AG39" s="33">
        <v>66.489999999999995</v>
      </c>
      <c r="AH39" s="33">
        <v>435.9</v>
      </c>
      <c r="AI39"/>
      <c r="AJ39" s="19" t="s">
        <v>305</v>
      </c>
      <c r="AK39" s="17">
        <v>1</v>
      </c>
      <c r="AL39" s="17">
        <v>369.41</v>
      </c>
      <c r="AM39" s="17">
        <v>66.489999999999995</v>
      </c>
      <c r="AN39" s="17">
        <v>435.9</v>
      </c>
      <c r="BN39"/>
      <c r="BO39"/>
      <c r="BQ39"/>
      <c r="BR39"/>
      <c r="BZ39" s="19">
        <v>904</v>
      </c>
      <c r="CA39" s="33">
        <v>1</v>
      </c>
      <c r="CC39" s="19">
        <v>3079</v>
      </c>
      <c r="CD39" s="33">
        <v>17</v>
      </c>
      <c r="CL39" s="19">
        <v>390</v>
      </c>
      <c r="CM39" s="33">
        <v>41</v>
      </c>
      <c r="CO39" s="30" t="s">
        <v>1271</v>
      </c>
      <c r="CP39" s="33">
        <v>1</v>
      </c>
    </row>
    <row r="40" spans="4:94" ht="15">
      <c r="D40" s="19" t="s">
        <v>273</v>
      </c>
      <c r="E40" s="33">
        <v>1</v>
      </c>
      <c r="G40" s="19" t="s">
        <v>1305</v>
      </c>
      <c r="H40" s="33">
        <v>800</v>
      </c>
      <c r="J40" s="19" t="s">
        <v>501</v>
      </c>
      <c r="K40" s="33">
        <v>2</v>
      </c>
      <c r="L40" s="33">
        <v>9.9499999999999993</v>
      </c>
      <c r="M40" s="33">
        <v>1.79</v>
      </c>
      <c r="N40" s="33">
        <v>11.74</v>
      </c>
      <c r="R40"/>
      <c r="S40"/>
      <c r="T40"/>
      <c r="U40"/>
      <c r="V40"/>
      <c r="X40"/>
      <c r="Y40"/>
      <c r="Z40"/>
      <c r="AA40"/>
      <c r="AB40"/>
      <c r="AD40" s="19" t="s">
        <v>304</v>
      </c>
      <c r="AE40" s="33">
        <v>1</v>
      </c>
      <c r="AF40" s="33">
        <v>2880.59</v>
      </c>
      <c r="AG40" s="33">
        <v>518.51</v>
      </c>
      <c r="AH40" s="33">
        <v>3399.1</v>
      </c>
      <c r="AI40"/>
      <c r="AJ40" s="19" t="s">
        <v>304</v>
      </c>
      <c r="AK40" s="17">
        <v>1</v>
      </c>
      <c r="AL40" s="17">
        <v>2880.59</v>
      </c>
      <c r="AM40" s="17">
        <v>518.51</v>
      </c>
      <c r="AN40" s="17">
        <v>3399.1</v>
      </c>
      <c r="BN40"/>
      <c r="BO40"/>
      <c r="BQ40"/>
      <c r="BR40"/>
      <c r="BZ40" s="19">
        <v>905</v>
      </c>
      <c r="CA40" s="33">
        <v>1</v>
      </c>
      <c r="CC40" s="19">
        <v>2952</v>
      </c>
      <c r="CD40" s="33">
        <v>4</v>
      </c>
      <c r="CL40" s="19">
        <v>1146</v>
      </c>
      <c r="CM40" s="33">
        <v>3</v>
      </c>
      <c r="CO40" s="30" t="s">
        <v>1299</v>
      </c>
      <c r="CP40" s="33">
        <v>97</v>
      </c>
    </row>
    <row r="41" spans="4:94" ht="15">
      <c r="D41" s="19" t="s">
        <v>274</v>
      </c>
      <c r="E41" s="33">
        <v>1</v>
      </c>
      <c r="G41" s="19" t="s">
        <v>1306</v>
      </c>
      <c r="H41" s="33">
        <v>3029.08</v>
      </c>
      <c r="J41" s="19" t="s">
        <v>514</v>
      </c>
      <c r="K41" s="33">
        <v>4</v>
      </c>
      <c r="L41" s="33">
        <v>626.88</v>
      </c>
      <c r="M41" s="33">
        <v>112.83</v>
      </c>
      <c r="N41" s="33">
        <v>739.71</v>
      </c>
      <c r="R41"/>
      <c r="S41"/>
      <c r="T41"/>
      <c r="U41"/>
      <c r="V41"/>
      <c r="X41"/>
      <c r="Y41"/>
      <c r="Z41"/>
      <c r="AA41"/>
      <c r="AB41"/>
      <c r="AD41" s="19" t="s">
        <v>303</v>
      </c>
      <c r="AE41" s="33">
        <v>1</v>
      </c>
      <c r="AF41" s="33">
        <v>6305.08</v>
      </c>
      <c r="AG41" s="33">
        <v>1134.9100000000001</v>
      </c>
      <c r="AH41" s="33">
        <v>7439.99</v>
      </c>
      <c r="AI41"/>
      <c r="AJ41" s="19" t="s">
        <v>303</v>
      </c>
      <c r="AK41" s="17">
        <v>1</v>
      </c>
      <c r="AL41" s="17">
        <v>6305.08</v>
      </c>
      <c r="AM41" s="17">
        <v>1134.9100000000001</v>
      </c>
      <c r="AN41" s="17">
        <v>7439.99</v>
      </c>
      <c r="BN41"/>
      <c r="BO41"/>
      <c r="BQ41"/>
      <c r="BR41"/>
      <c r="BZ41" s="19">
        <v>906</v>
      </c>
      <c r="CA41" s="33">
        <v>1</v>
      </c>
      <c r="CC41" s="19">
        <v>2912</v>
      </c>
      <c r="CD41" s="33">
        <v>2</v>
      </c>
      <c r="CL41" s="19">
        <v>1176</v>
      </c>
      <c r="CM41" s="33">
        <v>2</v>
      </c>
      <c r="CO41" s="30" t="s">
        <v>1300</v>
      </c>
      <c r="CP41" s="33">
        <v>96</v>
      </c>
    </row>
    <row r="42" spans="4:94" ht="15">
      <c r="D42" s="19" t="s">
        <v>275</v>
      </c>
      <c r="E42" s="33">
        <v>1</v>
      </c>
      <c r="G42" s="19" t="s">
        <v>1307</v>
      </c>
      <c r="H42" s="33">
        <v>1230</v>
      </c>
      <c r="J42" s="19" t="s">
        <v>596</v>
      </c>
      <c r="K42" s="33">
        <v>2</v>
      </c>
      <c r="L42" s="33">
        <v>51.01</v>
      </c>
      <c r="M42" s="33">
        <v>9.18</v>
      </c>
      <c r="N42" s="33">
        <v>60.19</v>
      </c>
      <c r="R42"/>
      <c r="S42"/>
      <c r="T42"/>
      <c r="U42"/>
      <c r="V42"/>
      <c r="X42"/>
      <c r="Y42"/>
      <c r="Z42"/>
      <c r="AA42"/>
      <c r="AB42"/>
      <c r="AD42" s="19" t="s">
        <v>302</v>
      </c>
      <c r="AE42" s="33">
        <v>1</v>
      </c>
      <c r="AF42" s="33">
        <v>1000</v>
      </c>
      <c r="AG42" s="33">
        <v>180</v>
      </c>
      <c r="AH42" s="33">
        <v>1180</v>
      </c>
      <c r="AI42"/>
      <c r="AJ42" s="19" t="s">
        <v>302</v>
      </c>
      <c r="AK42" s="17">
        <v>1</v>
      </c>
      <c r="AL42" s="17">
        <v>1000</v>
      </c>
      <c r="AM42" s="17">
        <v>180</v>
      </c>
      <c r="AN42" s="17">
        <v>1180</v>
      </c>
      <c r="BN42"/>
      <c r="BO42"/>
      <c r="BQ42"/>
      <c r="BR42"/>
      <c r="BZ42" s="19">
        <v>907</v>
      </c>
      <c r="CA42" s="33">
        <v>1</v>
      </c>
      <c r="CC42" s="19">
        <v>3171</v>
      </c>
      <c r="CD42" s="33">
        <v>3</v>
      </c>
      <c r="CL42" s="19">
        <v>1145</v>
      </c>
      <c r="CM42" s="33">
        <v>4</v>
      </c>
      <c r="CO42" s="30" t="s">
        <v>1303</v>
      </c>
      <c r="CP42" s="33">
        <v>16</v>
      </c>
    </row>
    <row r="43" spans="4:94" ht="15">
      <c r="D43" s="19" t="s">
        <v>278</v>
      </c>
      <c r="E43" s="33">
        <v>1</v>
      </c>
      <c r="G43" s="19" t="s">
        <v>1308</v>
      </c>
      <c r="H43" s="33">
        <v>1241</v>
      </c>
      <c r="J43" s="19" t="s">
        <v>601</v>
      </c>
      <c r="K43" s="33">
        <v>4</v>
      </c>
      <c r="L43" s="33">
        <v>1648.8000000000002</v>
      </c>
      <c r="M43" s="33">
        <v>296.78999999999996</v>
      </c>
      <c r="N43" s="33">
        <v>1945.59</v>
      </c>
      <c r="R43"/>
      <c r="S43"/>
      <c r="T43"/>
      <c r="U43"/>
      <c r="V43"/>
      <c r="X43"/>
      <c r="Y43"/>
      <c r="Z43"/>
      <c r="AA43"/>
      <c r="AB43"/>
      <c r="AD43" s="19" t="s">
        <v>301</v>
      </c>
      <c r="AE43" s="33">
        <v>1</v>
      </c>
      <c r="AF43" s="33">
        <v>1600</v>
      </c>
      <c r="AG43" s="33">
        <v>288</v>
      </c>
      <c r="AH43" s="33">
        <v>1888</v>
      </c>
      <c r="AI43"/>
      <c r="AJ43" s="19" t="s">
        <v>301</v>
      </c>
      <c r="AK43" s="17">
        <v>1</v>
      </c>
      <c r="AL43" s="17">
        <v>1600</v>
      </c>
      <c r="AM43" s="17">
        <v>288</v>
      </c>
      <c r="AN43" s="17">
        <v>1888</v>
      </c>
      <c r="BN43"/>
      <c r="BO43"/>
      <c r="BQ43"/>
      <c r="BR43"/>
      <c r="BZ43" s="19">
        <v>908</v>
      </c>
      <c r="CA43" s="33">
        <v>1</v>
      </c>
      <c r="CC43" s="19">
        <v>3104</v>
      </c>
      <c r="CD43" s="33">
        <v>2</v>
      </c>
      <c r="CL43" s="19">
        <v>1144</v>
      </c>
      <c r="CM43" s="33">
        <v>2</v>
      </c>
      <c r="CO43" s="30" t="s">
        <v>1307</v>
      </c>
      <c r="CP43" s="33">
        <v>1</v>
      </c>
    </row>
    <row r="44" spans="4:94" ht="15">
      <c r="D44" s="19" t="s">
        <v>305</v>
      </c>
      <c r="E44" s="33">
        <v>1</v>
      </c>
      <c r="G44" s="19" t="s">
        <v>1309</v>
      </c>
      <c r="H44" s="33">
        <v>400</v>
      </c>
      <c r="J44" s="19" t="s">
        <v>591</v>
      </c>
      <c r="K44" s="33">
        <v>2</v>
      </c>
      <c r="L44" s="33">
        <v>338.05</v>
      </c>
      <c r="M44" s="33">
        <v>60.849999999999994</v>
      </c>
      <c r="N44" s="33">
        <v>398.9</v>
      </c>
      <c r="R44"/>
      <c r="S44"/>
      <c r="T44"/>
      <c r="U44"/>
      <c r="V44"/>
      <c r="X44"/>
      <c r="Y44"/>
      <c r="Z44"/>
      <c r="AA44"/>
      <c r="AB44"/>
      <c r="AD44" s="19" t="s">
        <v>300</v>
      </c>
      <c r="AE44" s="33">
        <v>1</v>
      </c>
      <c r="AF44" s="33">
        <v>150</v>
      </c>
      <c r="AG44" s="33">
        <v>27</v>
      </c>
      <c r="AH44" s="33">
        <v>177</v>
      </c>
      <c r="AI44"/>
      <c r="AJ44" s="19" t="s">
        <v>300</v>
      </c>
      <c r="AK44" s="17">
        <v>1</v>
      </c>
      <c r="AL44" s="17">
        <v>150</v>
      </c>
      <c r="AM44" s="17">
        <v>27</v>
      </c>
      <c r="AN44" s="17">
        <v>177</v>
      </c>
      <c r="BN44"/>
      <c r="BO44"/>
      <c r="BQ44"/>
      <c r="BR44"/>
      <c r="BZ44" s="19">
        <v>909</v>
      </c>
      <c r="CA44" s="33">
        <v>1</v>
      </c>
      <c r="CC44" s="19">
        <v>3055</v>
      </c>
      <c r="CD44" s="33">
        <v>2</v>
      </c>
      <c r="CL44" s="19">
        <v>1116</v>
      </c>
      <c r="CM44" s="33">
        <v>11</v>
      </c>
      <c r="CO44" s="30" t="s">
        <v>1308</v>
      </c>
      <c r="CP44" s="33">
        <v>1</v>
      </c>
    </row>
    <row r="45" spans="4:94" ht="15">
      <c r="D45" s="19" t="s">
        <v>308</v>
      </c>
      <c r="E45" s="33">
        <v>1</v>
      </c>
      <c r="G45" s="19" t="s">
        <v>1310</v>
      </c>
      <c r="H45" s="33">
        <v>2941.83</v>
      </c>
      <c r="J45" s="19" t="s">
        <v>610</v>
      </c>
      <c r="K45" s="33">
        <v>7</v>
      </c>
      <c r="L45" s="33">
        <v>165.62</v>
      </c>
      <c r="M45" s="33">
        <v>29.82</v>
      </c>
      <c r="N45" s="33">
        <v>195.44</v>
      </c>
      <c r="R45"/>
      <c r="S45"/>
      <c r="T45"/>
      <c r="U45"/>
      <c r="V45"/>
      <c r="X45"/>
      <c r="Y45"/>
      <c r="Z45"/>
      <c r="AA45"/>
      <c r="AB45"/>
      <c r="AD45" s="19" t="s">
        <v>299</v>
      </c>
      <c r="AE45" s="33">
        <v>1</v>
      </c>
      <c r="AF45" s="33">
        <v>84.5</v>
      </c>
      <c r="AG45" s="33">
        <v>15.21</v>
      </c>
      <c r="AH45" s="33">
        <v>99.71</v>
      </c>
      <c r="AI45"/>
      <c r="AJ45" s="19" t="s">
        <v>299</v>
      </c>
      <c r="AK45" s="17">
        <v>1</v>
      </c>
      <c r="AL45" s="17">
        <v>84.5</v>
      </c>
      <c r="AM45" s="17">
        <v>15.21</v>
      </c>
      <c r="AN45" s="17">
        <v>99.71</v>
      </c>
      <c r="BN45"/>
      <c r="BO45"/>
      <c r="BQ45"/>
      <c r="BR45"/>
      <c r="BZ45" s="19">
        <v>910</v>
      </c>
      <c r="CA45" s="33">
        <v>1</v>
      </c>
      <c r="CC45" s="19">
        <v>3297</v>
      </c>
      <c r="CD45" s="33">
        <v>1</v>
      </c>
      <c r="CL45" s="19">
        <v>1143</v>
      </c>
      <c r="CM45" s="33">
        <v>2</v>
      </c>
      <c r="CO45" s="30" t="s">
        <v>1309</v>
      </c>
      <c r="CP45" s="33">
        <v>1</v>
      </c>
    </row>
    <row r="46" spans="4:94" ht="15">
      <c r="D46" s="19" t="s">
        <v>309</v>
      </c>
      <c r="E46" s="33">
        <v>1</v>
      </c>
      <c r="G46" s="19" t="s">
        <v>1311</v>
      </c>
      <c r="H46" s="33">
        <v>391.08</v>
      </c>
      <c r="J46" s="19" t="s">
        <v>617</v>
      </c>
      <c r="K46" s="33">
        <v>2</v>
      </c>
      <c r="L46" s="33">
        <v>653.80999999999995</v>
      </c>
      <c r="M46" s="33">
        <v>117.69</v>
      </c>
      <c r="N46" s="33">
        <v>771.5</v>
      </c>
      <c r="R46"/>
      <c r="S46"/>
      <c r="T46"/>
      <c r="U46"/>
      <c r="V46"/>
      <c r="X46"/>
      <c r="Y46"/>
      <c r="Z46"/>
      <c r="AA46"/>
      <c r="AB46"/>
      <c r="AD46" s="19" t="s">
        <v>296</v>
      </c>
      <c r="AE46" s="33">
        <v>1</v>
      </c>
      <c r="AF46" s="33">
        <v>14.5</v>
      </c>
      <c r="AG46" s="33">
        <v>2.61</v>
      </c>
      <c r="AH46" s="33">
        <v>17.11</v>
      </c>
      <c r="AI46"/>
      <c r="AJ46" s="19" t="s">
        <v>296</v>
      </c>
      <c r="AK46" s="17">
        <v>1</v>
      </c>
      <c r="AL46" s="17">
        <v>14.5</v>
      </c>
      <c r="AM46" s="17">
        <v>2.61</v>
      </c>
      <c r="AN46" s="17">
        <v>17.11</v>
      </c>
      <c r="BN46"/>
      <c r="BO46"/>
      <c r="BQ46"/>
      <c r="BR46"/>
      <c r="BZ46" s="19">
        <v>911</v>
      </c>
      <c r="CA46" s="33">
        <v>1</v>
      </c>
      <c r="CC46" s="19">
        <v>3206</v>
      </c>
      <c r="CD46" s="33">
        <v>4</v>
      </c>
      <c r="CL46" s="19">
        <v>396</v>
      </c>
      <c r="CM46" s="33">
        <v>7</v>
      </c>
      <c r="CO46" s="30" t="s">
        <v>1310</v>
      </c>
      <c r="CP46" s="33">
        <v>4</v>
      </c>
    </row>
    <row r="47" spans="4:94" ht="15">
      <c r="D47" s="19" t="s">
        <v>311</v>
      </c>
      <c r="E47" s="33">
        <v>1</v>
      </c>
      <c r="G47" s="19" t="s">
        <v>1312</v>
      </c>
      <c r="H47" s="33">
        <v>373.05</v>
      </c>
      <c r="J47" s="19" t="s">
        <v>622</v>
      </c>
      <c r="K47" s="33">
        <v>2</v>
      </c>
      <c r="L47" s="33">
        <v>88.31</v>
      </c>
      <c r="M47" s="33">
        <v>15.89</v>
      </c>
      <c r="N47" s="33">
        <v>104.2</v>
      </c>
      <c r="R47"/>
      <c r="S47"/>
      <c r="T47"/>
      <c r="U47"/>
      <c r="V47"/>
      <c r="X47"/>
      <c r="Y47"/>
      <c r="Z47"/>
      <c r="AA47"/>
      <c r="AB47"/>
      <c r="AD47" s="19" t="s">
        <v>2228</v>
      </c>
      <c r="AE47" s="33">
        <v>1</v>
      </c>
      <c r="AF47" s="33">
        <v>2124.4899999999998</v>
      </c>
      <c r="AG47" s="33">
        <v>382.41</v>
      </c>
      <c r="AH47" s="33">
        <v>2506.9</v>
      </c>
      <c r="AI47"/>
      <c r="AJ47" s="19" t="s">
        <v>371</v>
      </c>
      <c r="AK47" s="17">
        <v>1</v>
      </c>
      <c r="AL47" s="17">
        <v>4123.66</v>
      </c>
      <c r="AM47" s="17">
        <v>742.26</v>
      </c>
      <c r="AN47" s="17">
        <v>4865.92</v>
      </c>
      <c r="BN47"/>
      <c r="BO47"/>
      <c r="BQ47"/>
      <c r="BR47"/>
      <c r="BZ47" s="19">
        <v>912</v>
      </c>
      <c r="CA47" s="33">
        <v>1</v>
      </c>
      <c r="CC47" s="19">
        <v>3154</v>
      </c>
      <c r="CD47" s="33">
        <v>2</v>
      </c>
      <c r="CL47" s="19">
        <v>1174</v>
      </c>
      <c r="CM47" s="33">
        <v>8</v>
      </c>
      <c r="CO47" s="30" t="s">
        <v>1311</v>
      </c>
      <c r="CP47" s="33">
        <v>1</v>
      </c>
    </row>
    <row r="48" spans="4:94" ht="15">
      <c r="D48" s="19" t="s">
        <v>312</v>
      </c>
      <c r="E48" s="33">
        <v>1</v>
      </c>
      <c r="G48" s="19" t="s">
        <v>1313</v>
      </c>
      <c r="H48" s="33">
        <v>1303.3599999999999</v>
      </c>
      <c r="J48" s="19" t="s">
        <v>674</v>
      </c>
      <c r="K48" s="33">
        <v>4</v>
      </c>
      <c r="L48" s="33">
        <v>13431.189999999999</v>
      </c>
      <c r="M48" s="33">
        <v>2417.6099999999997</v>
      </c>
      <c r="N48" s="33">
        <v>15848.800000000001</v>
      </c>
      <c r="R48"/>
      <c r="S48"/>
      <c r="T48"/>
      <c r="U48"/>
      <c r="V48"/>
      <c r="X48"/>
      <c r="Y48"/>
      <c r="Z48"/>
      <c r="AA48"/>
      <c r="AB48"/>
      <c r="AD48" s="19" t="s">
        <v>2229</v>
      </c>
      <c r="AE48" s="33">
        <v>1</v>
      </c>
      <c r="AF48" s="33">
        <v>3.05</v>
      </c>
      <c r="AG48" s="33">
        <v>0.55000000000000004</v>
      </c>
      <c r="AH48" s="33">
        <v>3.6</v>
      </c>
      <c r="AI48"/>
      <c r="AJ48" s="19" t="s">
        <v>367</v>
      </c>
      <c r="AK48" s="17">
        <v>1</v>
      </c>
      <c r="AL48" s="17">
        <v>73.47</v>
      </c>
      <c r="AM48" s="17">
        <v>13.22</v>
      </c>
      <c r="AN48" s="17">
        <v>86.69</v>
      </c>
      <c r="BN48"/>
      <c r="BO48"/>
      <c r="BQ48"/>
      <c r="BR48"/>
      <c r="BZ48" s="19">
        <v>913</v>
      </c>
      <c r="CA48" s="33">
        <v>2</v>
      </c>
      <c r="CC48" s="19">
        <v>3269</v>
      </c>
      <c r="CD48" s="33">
        <v>2</v>
      </c>
      <c r="CL48" s="19">
        <v>1142</v>
      </c>
      <c r="CM48" s="33">
        <v>8</v>
      </c>
      <c r="CO48" s="30" t="s">
        <v>1312</v>
      </c>
      <c r="CP48" s="33">
        <v>2</v>
      </c>
    </row>
    <row r="49" spans="4:94" ht="15">
      <c r="D49" s="19" t="s">
        <v>313</v>
      </c>
      <c r="E49" s="33">
        <v>1</v>
      </c>
      <c r="G49" s="19" t="s">
        <v>1314</v>
      </c>
      <c r="H49" s="33">
        <v>975.75</v>
      </c>
      <c r="J49" s="19" t="s">
        <v>627</v>
      </c>
      <c r="K49" s="33">
        <v>23</v>
      </c>
      <c r="L49" s="33">
        <v>17369.179999999997</v>
      </c>
      <c r="M49" s="33">
        <v>3126.4399999999996</v>
      </c>
      <c r="N49" s="33">
        <v>20495.619999999995</v>
      </c>
      <c r="R49"/>
      <c r="S49"/>
      <c r="T49"/>
      <c r="U49"/>
      <c r="V49"/>
      <c r="X49"/>
      <c r="Y49"/>
      <c r="Z49"/>
      <c r="AA49"/>
      <c r="AB49"/>
      <c r="AD49" s="19" t="s">
        <v>2230</v>
      </c>
      <c r="AE49" s="33">
        <v>1</v>
      </c>
      <c r="AF49" s="33">
        <v>4.32</v>
      </c>
      <c r="AG49" s="33">
        <v>0.78</v>
      </c>
      <c r="AH49" s="33">
        <v>5.0999999999999996</v>
      </c>
      <c r="AI49"/>
      <c r="AJ49" s="19" t="s">
        <v>364</v>
      </c>
      <c r="AK49" s="17">
        <v>1</v>
      </c>
      <c r="AL49" s="17">
        <v>79.75</v>
      </c>
      <c r="AM49" s="17">
        <v>14.36</v>
      </c>
      <c r="AN49" s="17">
        <v>94.11</v>
      </c>
      <c r="BN49"/>
      <c r="BO49"/>
      <c r="BQ49"/>
      <c r="BR49"/>
      <c r="BZ49" s="19">
        <v>914</v>
      </c>
      <c r="CA49" s="33">
        <v>1</v>
      </c>
      <c r="CC49" s="19">
        <v>3249</v>
      </c>
      <c r="CD49" s="33">
        <v>2</v>
      </c>
      <c r="CL49" s="19">
        <v>1130</v>
      </c>
      <c r="CM49" s="33">
        <v>10</v>
      </c>
      <c r="CO49" s="30" t="s">
        <v>1313</v>
      </c>
      <c r="CP49" s="33">
        <v>4</v>
      </c>
    </row>
    <row r="50" spans="4:94" ht="15">
      <c r="D50" s="19" t="s">
        <v>279</v>
      </c>
      <c r="E50" s="33">
        <v>1</v>
      </c>
      <c r="G50" s="19" t="s">
        <v>1315</v>
      </c>
      <c r="H50" s="33">
        <v>1303.3599999999999</v>
      </c>
      <c r="J50" s="19" t="s">
        <v>732</v>
      </c>
      <c r="K50" s="33">
        <v>2</v>
      </c>
      <c r="L50" s="33">
        <v>53.39</v>
      </c>
      <c r="M50" s="33">
        <v>9.61</v>
      </c>
      <c r="N50" s="33">
        <v>63</v>
      </c>
      <c r="R50"/>
      <c r="S50"/>
      <c r="T50"/>
      <c r="U50"/>
      <c r="V50"/>
      <c r="X50"/>
      <c r="Y50"/>
      <c r="Z50"/>
      <c r="AA50"/>
      <c r="AB50"/>
      <c r="AD50" s="19" t="s">
        <v>2231</v>
      </c>
      <c r="AE50" s="33">
        <v>1</v>
      </c>
      <c r="AF50" s="33">
        <v>169.32</v>
      </c>
      <c r="AG50" s="33">
        <v>30.48</v>
      </c>
      <c r="AH50" s="33">
        <v>199.8</v>
      </c>
      <c r="AI50"/>
      <c r="AJ50" s="19" t="s">
        <v>351</v>
      </c>
      <c r="AK50" s="17">
        <v>1</v>
      </c>
      <c r="AL50" s="17">
        <v>652.20000000000005</v>
      </c>
      <c r="AM50" s="17">
        <v>117.4</v>
      </c>
      <c r="AN50" s="17">
        <v>769.6</v>
      </c>
      <c r="BN50"/>
      <c r="BO50"/>
      <c r="BQ50"/>
      <c r="BR50"/>
      <c r="BZ50" s="19">
        <v>915</v>
      </c>
      <c r="CA50" s="33">
        <v>1</v>
      </c>
      <c r="CC50" s="19">
        <v>3205</v>
      </c>
      <c r="CD50" s="33">
        <v>6</v>
      </c>
      <c r="CL50" s="19">
        <v>1141</v>
      </c>
      <c r="CM50" s="33">
        <v>2</v>
      </c>
      <c r="CO50" s="30" t="s">
        <v>1314</v>
      </c>
      <c r="CP50" s="33">
        <v>3</v>
      </c>
    </row>
    <row r="51" spans="4:94" ht="15">
      <c r="D51" s="19" t="s">
        <v>282</v>
      </c>
      <c r="E51" s="33">
        <v>1</v>
      </c>
      <c r="G51" s="19" t="s">
        <v>1316</v>
      </c>
      <c r="H51" s="33">
        <v>14653.170000000002</v>
      </c>
      <c r="J51" s="19" t="s">
        <v>737</v>
      </c>
      <c r="K51" s="33">
        <v>2</v>
      </c>
      <c r="L51" s="33">
        <v>373.72</v>
      </c>
      <c r="M51" s="33">
        <v>67.28</v>
      </c>
      <c r="N51" s="33">
        <v>441</v>
      </c>
      <c r="R51"/>
      <c r="S51"/>
      <c r="T51"/>
      <c r="U51"/>
      <c r="V51"/>
      <c r="X51"/>
      <c r="Y51"/>
      <c r="Z51"/>
      <c r="AA51"/>
      <c r="AB51"/>
      <c r="AD51" s="19" t="s">
        <v>2232</v>
      </c>
      <c r="AE51" s="33">
        <v>1</v>
      </c>
      <c r="AF51" s="33">
        <v>206.95</v>
      </c>
      <c r="AG51" s="33">
        <v>37.25</v>
      </c>
      <c r="AH51" s="33">
        <v>244.2</v>
      </c>
      <c r="AI51"/>
      <c r="AJ51" s="19" t="s">
        <v>350</v>
      </c>
      <c r="AK51" s="17">
        <v>1</v>
      </c>
      <c r="AL51" s="17">
        <v>638.30999999999995</v>
      </c>
      <c r="AM51" s="17">
        <v>114.9</v>
      </c>
      <c r="AN51" s="17">
        <v>753.21</v>
      </c>
      <c r="BN51"/>
      <c r="BO51"/>
      <c r="BQ51"/>
      <c r="BR51"/>
      <c r="BZ51" s="19">
        <v>916</v>
      </c>
      <c r="CA51" s="33">
        <v>1</v>
      </c>
      <c r="CC51" s="19">
        <v>3063</v>
      </c>
      <c r="CD51" s="33">
        <v>3</v>
      </c>
      <c r="CL51" s="19">
        <v>1140</v>
      </c>
      <c r="CM51" s="33">
        <v>4</v>
      </c>
      <c r="CO51" s="30" t="s">
        <v>1315</v>
      </c>
      <c r="CP51" s="33">
        <v>4</v>
      </c>
    </row>
    <row r="52" spans="4:94" ht="15">
      <c r="D52" s="19" t="s">
        <v>283</v>
      </c>
      <c r="E52" s="33">
        <v>1</v>
      </c>
      <c r="G52" s="19" t="s">
        <v>1317</v>
      </c>
      <c r="H52" s="33">
        <v>200</v>
      </c>
      <c r="J52" s="19" t="s">
        <v>742</v>
      </c>
      <c r="K52" s="33">
        <v>7</v>
      </c>
      <c r="L52" s="33">
        <v>4250.6799999999994</v>
      </c>
      <c r="M52" s="33">
        <v>765.13000000000011</v>
      </c>
      <c r="N52" s="33">
        <v>5015.8099999999995</v>
      </c>
      <c r="R52"/>
      <c r="S52"/>
      <c r="T52"/>
      <c r="U52"/>
      <c r="V52"/>
      <c r="X52"/>
      <c r="Y52"/>
      <c r="Z52"/>
      <c r="AA52"/>
      <c r="AB52"/>
      <c r="AD52" s="19" t="s">
        <v>2233</v>
      </c>
      <c r="AE52" s="33">
        <v>1</v>
      </c>
      <c r="AF52" s="33">
        <v>789.66</v>
      </c>
      <c r="AG52" s="33">
        <v>142.13999999999999</v>
      </c>
      <c r="AH52" s="33">
        <v>931.8</v>
      </c>
      <c r="AI52"/>
      <c r="AJ52" s="19" t="s">
        <v>349</v>
      </c>
      <c r="AK52" s="17">
        <v>1</v>
      </c>
      <c r="AL52" s="17">
        <v>1800</v>
      </c>
      <c r="AM52" s="17">
        <v>324</v>
      </c>
      <c r="AN52" s="17">
        <v>2124</v>
      </c>
      <c r="BN52"/>
      <c r="BO52"/>
      <c r="BQ52"/>
      <c r="BR52"/>
      <c r="BZ52" s="19">
        <v>917</v>
      </c>
      <c r="CA52" s="33">
        <v>1</v>
      </c>
      <c r="CC52" s="19">
        <v>3271</v>
      </c>
      <c r="CD52" s="33">
        <v>6</v>
      </c>
      <c r="CL52" s="19">
        <v>1175</v>
      </c>
      <c r="CM52" s="33">
        <v>2</v>
      </c>
      <c r="CO52" s="30" t="s">
        <v>1316</v>
      </c>
      <c r="CP52" s="33">
        <v>14</v>
      </c>
    </row>
    <row r="53" spans="4:94" ht="15">
      <c r="D53" s="19" t="s">
        <v>284</v>
      </c>
      <c r="E53" s="33">
        <v>1</v>
      </c>
      <c r="G53" s="19" t="s">
        <v>1319</v>
      </c>
      <c r="H53" s="33">
        <v>60.04</v>
      </c>
      <c r="J53" s="19" t="s">
        <v>747</v>
      </c>
      <c r="K53" s="33">
        <v>2</v>
      </c>
      <c r="L53" s="33">
        <v>192.07</v>
      </c>
      <c r="M53" s="33">
        <v>34.57</v>
      </c>
      <c r="N53" s="33">
        <v>226.64</v>
      </c>
      <c r="R53"/>
      <c r="S53"/>
      <c r="T53"/>
      <c r="U53"/>
      <c r="V53"/>
      <c r="X53"/>
      <c r="Y53"/>
      <c r="Z53"/>
      <c r="AA53"/>
      <c r="AB53"/>
      <c r="AD53" s="19" t="s">
        <v>2234</v>
      </c>
      <c r="AE53" s="33">
        <v>1</v>
      </c>
      <c r="AF53" s="33">
        <v>1866.36</v>
      </c>
      <c r="AG53" s="33">
        <v>335.94</v>
      </c>
      <c r="AH53" s="33">
        <v>2202.3000000000002</v>
      </c>
      <c r="AI53"/>
      <c r="AJ53" s="19" t="s">
        <v>348</v>
      </c>
      <c r="AK53" s="17">
        <v>1</v>
      </c>
      <c r="AL53" s="17">
        <v>1000</v>
      </c>
      <c r="AM53" s="17">
        <v>180</v>
      </c>
      <c r="AN53" s="17">
        <v>1180</v>
      </c>
      <c r="BN53"/>
      <c r="BO53"/>
      <c r="BQ53"/>
      <c r="BR53"/>
      <c r="BZ53" s="19">
        <v>918</v>
      </c>
      <c r="CA53" s="33">
        <v>1</v>
      </c>
      <c r="CC53" s="19">
        <v>3281</v>
      </c>
      <c r="CD53" s="33">
        <v>3</v>
      </c>
      <c r="CL53" s="19">
        <v>421</v>
      </c>
      <c r="CM53" s="33">
        <v>4</v>
      </c>
      <c r="CO53" s="30" t="s">
        <v>1317</v>
      </c>
      <c r="CP53" s="33">
        <v>1</v>
      </c>
    </row>
    <row r="54" spans="4:94" ht="15">
      <c r="D54" s="19" t="s">
        <v>314</v>
      </c>
      <c r="E54" s="33">
        <v>1</v>
      </c>
      <c r="G54" s="19" t="s">
        <v>1320</v>
      </c>
      <c r="H54" s="33">
        <v>31.14</v>
      </c>
      <c r="J54" s="19" t="s">
        <v>720</v>
      </c>
      <c r="K54" s="33">
        <v>2</v>
      </c>
      <c r="L54" s="33">
        <v>1744.3200000000002</v>
      </c>
      <c r="M54" s="33">
        <v>313.98</v>
      </c>
      <c r="N54" s="33">
        <v>2058.3000000000002</v>
      </c>
      <c r="R54"/>
      <c r="S54"/>
      <c r="T54"/>
      <c r="U54"/>
      <c r="V54"/>
      <c r="X54"/>
      <c r="Y54"/>
      <c r="Z54"/>
      <c r="AA54"/>
      <c r="AB54"/>
      <c r="AD54" s="19" t="s">
        <v>2235</v>
      </c>
      <c r="AE54" s="33">
        <v>1</v>
      </c>
      <c r="AF54" s="33">
        <v>61.02</v>
      </c>
      <c r="AG54" s="33">
        <v>10.98</v>
      </c>
      <c r="AH54" s="33">
        <v>72</v>
      </c>
      <c r="AI54"/>
      <c r="AJ54" s="19" t="s">
        <v>347</v>
      </c>
      <c r="AK54" s="17">
        <v>1</v>
      </c>
      <c r="AL54" s="17">
        <v>500</v>
      </c>
      <c r="AM54" s="17">
        <v>90</v>
      </c>
      <c r="AN54" s="17">
        <v>590</v>
      </c>
      <c r="BN54"/>
      <c r="BO54"/>
      <c r="BQ54"/>
      <c r="BR54"/>
      <c r="BZ54" s="19">
        <v>919</v>
      </c>
      <c r="CA54" s="33">
        <v>1</v>
      </c>
      <c r="CC54" s="19">
        <v>2856</v>
      </c>
      <c r="CD54" s="33">
        <v>5</v>
      </c>
      <c r="CL54" s="19">
        <v>1139</v>
      </c>
      <c r="CM54" s="33">
        <v>2</v>
      </c>
      <c r="CO54" s="30" t="s">
        <v>1319</v>
      </c>
      <c r="CP54" s="33">
        <v>4</v>
      </c>
    </row>
    <row r="55" spans="4:94" ht="15">
      <c r="D55" s="19" t="s">
        <v>317</v>
      </c>
      <c r="E55" s="33">
        <v>1</v>
      </c>
      <c r="G55" s="19" t="s">
        <v>1322</v>
      </c>
      <c r="H55" s="33">
        <v>1200</v>
      </c>
      <c r="J55" s="19" t="s">
        <v>725</v>
      </c>
      <c r="K55" s="33">
        <v>3</v>
      </c>
      <c r="L55" s="33">
        <v>456.15999999999997</v>
      </c>
      <c r="M55" s="33">
        <v>82.1</v>
      </c>
      <c r="N55" s="33">
        <v>538.26</v>
      </c>
      <c r="R55"/>
      <c r="S55"/>
      <c r="T55"/>
      <c r="U55"/>
      <c r="V55"/>
      <c r="X55"/>
      <c r="Y55"/>
      <c r="Z55"/>
      <c r="AA55"/>
      <c r="AB55"/>
      <c r="AD55" s="19" t="s">
        <v>2236</v>
      </c>
      <c r="AE55" s="33">
        <v>1</v>
      </c>
      <c r="AF55" s="33">
        <v>65.08</v>
      </c>
      <c r="AG55" s="33">
        <v>11.71</v>
      </c>
      <c r="AH55" s="33">
        <v>76.790000000000006</v>
      </c>
      <c r="AI55"/>
      <c r="AJ55" s="19" t="s">
        <v>333</v>
      </c>
      <c r="AK55" s="17">
        <v>1</v>
      </c>
      <c r="AL55" s="17">
        <v>60</v>
      </c>
      <c r="AM55" s="17">
        <v>10.8</v>
      </c>
      <c r="AN55" s="17">
        <v>70.8</v>
      </c>
      <c r="BN55"/>
      <c r="BO55"/>
      <c r="BQ55"/>
      <c r="BR55"/>
      <c r="BZ55" s="19">
        <v>920</v>
      </c>
      <c r="CA55" s="33">
        <v>1</v>
      </c>
      <c r="CC55" s="19">
        <v>3014</v>
      </c>
      <c r="CD55" s="33">
        <v>5</v>
      </c>
      <c r="CL55" s="19">
        <v>1173</v>
      </c>
      <c r="CM55" s="33">
        <v>7</v>
      </c>
      <c r="CO55" s="30" t="s">
        <v>1320</v>
      </c>
      <c r="CP55" s="33">
        <v>3</v>
      </c>
    </row>
    <row r="56" spans="4:94" ht="15">
      <c r="D56" s="19" t="s">
        <v>318</v>
      </c>
      <c r="E56" s="33">
        <v>1</v>
      </c>
      <c r="G56" s="19" t="s">
        <v>1323</v>
      </c>
      <c r="H56" s="33">
        <v>1200</v>
      </c>
      <c r="J56" s="19" t="s">
        <v>756</v>
      </c>
      <c r="K56" s="33">
        <v>5</v>
      </c>
      <c r="L56" s="33">
        <v>12374.59</v>
      </c>
      <c r="M56" s="33">
        <v>2227.42</v>
      </c>
      <c r="N56" s="33">
        <v>14602.009999999998</v>
      </c>
      <c r="R56"/>
      <c r="S56"/>
      <c r="T56"/>
      <c r="U56"/>
      <c r="V56"/>
      <c r="X56"/>
      <c r="Y56"/>
      <c r="Z56"/>
      <c r="AA56"/>
      <c r="AB56"/>
      <c r="AD56" s="19" t="s">
        <v>2237</v>
      </c>
      <c r="AE56" s="33">
        <v>1</v>
      </c>
      <c r="AF56" s="33">
        <v>51.86</v>
      </c>
      <c r="AG56" s="33">
        <v>9.33</v>
      </c>
      <c r="AH56" s="33">
        <v>61.19</v>
      </c>
      <c r="AI56"/>
      <c r="AJ56" s="19" t="s">
        <v>295</v>
      </c>
      <c r="AK56" s="17">
        <v>1</v>
      </c>
      <c r="AL56" s="17">
        <v>904.65</v>
      </c>
      <c r="AM56" s="17">
        <v>162.84</v>
      </c>
      <c r="AN56" s="17">
        <v>1067.49</v>
      </c>
      <c r="BN56"/>
      <c r="BO56"/>
      <c r="BQ56"/>
      <c r="BR56"/>
      <c r="BZ56" s="19">
        <v>921</v>
      </c>
      <c r="CA56" s="33">
        <v>2</v>
      </c>
      <c r="CC56" s="19">
        <v>3225</v>
      </c>
      <c r="CD56" s="33">
        <v>2</v>
      </c>
      <c r="CL56" s="19">
        <v>1172</v>
      </c>
      <c r="CM56" s="33">
        <v>2</v>
      </c>
      <c r="CO56" s="30" t="s">
        <v>1322</v>
      </c>
      <c r="CP56" s="33">
        <v>2</v>
      </c>
    </row>
    <row r="57" spans="4:94" ht="15">
      <c r="D57" s="19" t="s">
        <v>320</v>
      </c>
      <c r="E57" s="33">
        <v>1</v>
      </c>
      <c r="G57" s="19" t="s">
        <v>1326</v>
      </c>
      <c r="H57" s="33">
        <v>600</v>
      </c>
      <c r="J57" s="19" t="s">
        <v>785</v>
      </c>
      <c r="K57" s="33">
        <v>2</v>
      </c>
      <c r="L57" s="33">
        <v>156.44</v>
      </c>
      <c r="M57" s="33">
        <v>28.160000000000004</v>
      </c>
      <c r="N57" s="33">
        <v>184.60000000000002</v>
      </c>
      <c r="R57"/>
      <c r="S57"/>
      <c r="T57"/>
      <c r="U57"/>
      <c r="V57"/>
      <c r="X57"/>
      <c r="Y57"/>
      <c r="Z57"/>
      <c r="AA57"/>
      <c r="AB57"/>
      <c r="AD57" s="19" t="s">
        <v>2238</v>
      </c>
      <c r="AE57" s="33">
        <v>1</v>
      </c>
      <c r="AF57" s="33">
        <v>63.39</v>
      </c>
      <c r="AG57" s="33">
        <v>11.41</v>
      </c>
      <c r="AH57" s="33">
        <v>74.8</v>
      </c>
      <c r="AI57"/>
      <c r="AJ57" s="19" t="s">
        <v>294</v>
      </c>
      <c r="AK57" s="17">
        <v>1</v>
      </c>
      <c r="AL57" s="17">
        <v>988.4</v>
      </c>
      <c r="AM57" s="17">
        <v>177.91</v>
      </c>
      <c r="AN57" s="17">
        <v>1166.31</v>
      </c>
      <c r="BN57"/>
      <c r="BO57"/>
      <c r="BQ57"/>
      <c r="BR57"/>
      <c r="BZ57" s="19">
        <v>922</v>
      </c>
      <c r="CA57" s="33">
        <v>1</v>
      </c>
      <c r="CC57" s="19">
        <v>3198</v>
      </c>
      <c r="CD57" s="33">
        <v>5</v>
      </c>
      <c r="CL57" s="19">
        <v>1138</v>
      </c>
      <c r="CM57" s="33">
        <v>2</v>
      </c>
      <c r="CO57" s="30" t="s">
        <v>1323</v>
      </c>
      <c r="CP57" s="33">
        <v>1</v>
      </c>
    </row>
    <row r="58" spans="4:94" ht="15">
      <c r="D58" s="19" t="s">
        <v>321</v>
      </c>
      <c r="E58" s="33">
        <v>1</v>
      </c>
      <c r="G58" s="19" t="s">
        <v>1327</v>
      </c>
      <c r="H58" s="33">
        <v>1200</v>
      </c>
      <c r="J58" s="19" t="s">
        <v>901</v>
      </c>
      <c r="K58" s="33">
        <v>2</v>
      </c>
      <c r="L58" s="33">
        <v>79.66</v>
      </c>
      <c r="M58" s="33">
        <v>14.34</v>
      </c>
      <c r="N58" s="33">
        <v>94</v>
      </c>
      <c r="R58"/>
      <c r="S58"/>
      <c r="T58"/>
      <c r="U58"/>
      <c r="V58"/>
      <c r="X58"/>
      <c r="Y58"/>
      <c r="Z58"/>
      <c r="AA58"/>
      <c r="AB58"/>
      <c r="AD58" s="19" t="s">
        <v>2239</v>
      </c>
      <c r="AE58" s="33">
        <v>1</v>
      </c>
      <c r="AF58" s="33">
        <v>1400</v>
      </c>
      <c r="AG58" s="33">
        <v>252</v>
      </c>
      <c r="AH58" s="33">
        <v>1652</v>
      </c>
      <c r="AI58"/>
      <c r="AJ58" s="19" t="s">
        <v>293</v>
      </c>
      <c r="AK58" s="17">
        <v>1</v>
      </c>
      <c r="AL58" s="17">
        <v>1630.51</v>
      </c>
      <c r="AM58" s="17">
        <v>293.49</v>
      </c>
      <c r="AN58" s="17">
        <v>1924</v>
      </c>
      <c r="BN58"/>
      <c r="BO58"/>
      <c r="BQ58"/>
      <c r="BR58"/>
      <c r="BZ58" s="19">
        <v>923</v>
      </c>
      <c r="CA58" s="33">
        <v>1</v>
      </c>
      <c r="CC58" s="19">
        <v>3250</v>
      </c>
      <c r="CD58" s="33">
        <v>2</v>
      </c>
      <c r="CL58" s="19">
        <v>1171</v>
      </c>
      <c r="CM58" s="33">
        <v>4</v>
      </c>
      <c r="CO58" s="30" t="s">
        <v>1326</v>
      </c>
      <c r="CP58" s="33">
        <v>1</v>
      </c>
    </row>
    <row r="59" spans="4:94" ht="15">
      <c r="D59" s="19" t="s">
        <v>322</v>
      </c>
      <c r="E59" s="33">
        <v>1</v>
      </c>
      <c r="G59" s="19" t="s">
        <v>1328</v>
      </c>
      <c r="H59" s="33">
        <v>1200</v>
      </c>
      <c r="J59" s="19" t="s">
        <v>916</v>
      </c>
      <c r="K59" s="33">
        <v>2</v>
      </c>
      <c r="L59" s="33">
        <v>31.61</v>
      </c>
      <c r="M59" s="33">
        <v>5.69</v>
      </c>
      <c r="N59" s="33">
        <v>37.299999999999997</v>
      </c>
      <c r="R59"/>
      <c r="S59"/>
      <c r="T59"/>
      <c r="U59"/>
      <c r="V59"/>
      <c r="X59"/>
      <c r="Y59"/>
      <c r="Z59"/>
      <c r="AA59"/>
      <c r="AB59"/>
      <c r="AD59" s="19" t="s">
        <v>2240</v>
      </c>
      <c r="AE59" s="33">
        <v>1</v>
      </c>
      <c r="AF59" s="33">
        <v>22.5</v>
      </c>
      <c r="AG59" s="33">
        <v>4.05</v>
      </c>
      <c r="AH59" s="33">
        <v>26.55</v>
      </c>
      <c r="AI59"/>
      <c r="AJ59" s="19" t="s">
        <v>292</v>
      </c>
      <c r="AK59" s="17">
        <v>1</v>
      </c>
      <c r="AL59" s="17">
        <v>300</v>
      </c>
      <c r="AM59" s="17">
        <v>54</v>
      </c>
      <c r="AN59" s="17">
        <v>354</v>
      </c>
      <c r="BN59"/>
      <c r="BO59"/>
      <c r="BQ59"/>
      <c r="BR59"/>
      <c r="BZ59" s="19">
        <v>924</v>
      </c>
      <c r="CA59" s="33">
        <v>1</v>
      </c>
      <c r="CC59" s="19">
        <v>3098</v>
      </c>
      <c r="CD59" s="33">
        <v>2</v>
      </c>
      <c r="CL59" s="19">
        <v>1137</v>
      </c>
      <c r="CM59" s="33">
        <v>23</v>
      </c>
      <c r="CO59" s="30" t="s">
        <v>1327</v>
      </c>
      <c r="CP59" s="33">
        <v>1</v>
      </c>
    </row>
    <row r="60" spans="4:94" ht="15">
      <c r="D60" s="19" t="s">
        <v>324</v>
      </c>
      <c r="E60" s="33">
        <v>1</v>
      </c>
      <c r="G60" s="19" t="s">
        <v>1329</v>
      </c>
      <c r="H60" s="33">
        <v>1885.17</v>
      </c>
      <c r="J60" s="19" t="s">
        <v>848</v>
      </c>
      <c r="K60" s="33">
        <v>2</v>
      </c>
      <c r="L60" s="33">
        <v>84.490000000000009</v>
      </c>
      <c r="M60" s="33">
        <v>15.21</v>
      </c>
      <c r="N60" s="33">
        <v>99.7</v>
      </c>
      <c r="R60"/>
      <c r="S60"/>
      <c r="T60"/>
      <c r="U60"/>
      <c r="V60"/>
      <c r="X60"/>
      <c r="Y60"/>
      <c r="Z60"/>
      <c r="AA60"/>
      <c r="AB60"/>
      <c r="AD60" s="19" t="s">
        <v>2241</v>
      </c>
      <c r="AE60" s="33">
        <v>1</v>
      </c>
      <c r="AF60" s="33">
        <v>306.89999999999998</v>
      </c>
      <c r="AG60" s="33">
        <v>55.24</v>
      </c>
      <c r="AH60" s="33">
        <v>362.14</v>
      </c>
      <c r="AI60"/>
      <c r="AJ60" s="19" t="s">
        <v>291</v>
      </c>
      <c r="AK60" s="17">
        <v>1</v>
      </c>
      <c r="AL60" s="17">
        <v>100</v>
      </c>
      <c r="AM60" s="17">
        <v>18</v>
      </c>
      <c r="AN60" s="17">
        <v>118</v>
      </c>
      <c r="BN60"/>
      <c r="BO60"/>
      <c r="BQ60"/>
      <c r="BR60"/>
      <c r="BZ60" s="19">
        <v>925</v>
      </c>
      <c r="CA60" s="33">
        <v>1</v>
      </c>
      <c r="CC60" s="19">
        <v>3222</v>
      </c>
      <c r="CD60" s="33">
        <v>1</v>
      </c>
      <c r="CL60" s="19">
        <v>1170</v>
      </c>
      <c r="CM60" s="33">
        <v>2</v>
      </c>
      <c r="CO60" s="30" t="s">
        <v>1328</v>
      </c>
      <c r="CP60" s="33">
        <v>1</v>
      </c>
    </row>
    <row r="61" spans="4:94" ht="15">
      <c r="D61" s="19" t="s">
        <v>325</v>
      </c>
      <c r="E61" s="33">
        <v>1</v>
      </c>
      <c r="G61" s="19" t="s">
        <v>1330</v>
      </c>
      <c r="H61" s="33">
        <v>300</v>
      </c>
      <c r="J61" s="19" t="s">
        <v>921</v>
      </c>
      <c r="K61" s="33">
        <v>3</v>
      </c>
      <c r="L61" s="33">
        <v>1722.02</v>
      </c>
      <c r="M61" s="33">
        <v>309.96000000000004</v>
      </c>
      <c r="N61" s="33">
        <v>2031.98</v>
      </c>
      <c r="R61"/>
      <c r="S61"/>
      <c r="T61"/>
      <c r="U61"/>
      <c r="V61"/>
      <c r="X61"/>
      <c r="Y61"/>
      <c r="Z61"/>
      <c r="AA61"/>
      <c r="AB61"/>
      <c r="AD61" s="19" t="s">
        <v>2242</v>
      </c>
      <c r="AE61" s="33">
        <v>1</v>
      </c>
      <c r="AF61" s="33">
        <v>392.03</v>
      </c>
      <c r="AG61" s="33">
        <v>70.569999999999993</v>
      </c>
      <c r="AH61" s="33">
        <v>462.6</v>
      </c>
      <c r="AI61"/>
      <c r="AJ61" s="19" t="s">
        <v>290</v>
      </c>
      <c r="AK61" s="17">
        <v>1</v>
      </c>
      <c r="AL61" s="17">
        <v>100</v>
      </c>
      <c r="AM61" s="17">
        <v>18</v>
      </c>
      <c r="AN61" s="17">
        <v>118</v>
      </c>
      <c r="BN61"/>
      <c r="BO61"/>
      <c r="BQ61"/>
      <c r="BR61"/>
      <c r="BZ61" s="19">
        <v>926</v>
      </c>
      <c r="CA61" s="33">
        <v>1</v>
      </c>
      <c r="CC61" s="19">
        <v>3035</v>
      </c>
      <c r="CD61" s="33">
        <v>10</v>
      </c>
      <c r="CL61" s="19">
        <v>1169</v>
      </c>
      <c r="CM61" s="33">
        <v>2</v>
      </c>
      <c r="CO61" s="30" t="s">
        <v>1329</v>
      </c>
      <c r="CP61" s="33">
        <v>1</v>
      </c>
    </row>
    <row r="62" spans="4:94" ht="15">
      <c r="D62" s="19" t="s">
        <v>285</v>
      </c>
      <c r="E62" s="33">
        <v>1</v>
      </c>
      <c r="G62" s="19" t="s">
        <v>1331</v>
      </c>
      <c r="H62" s="33">
        <v>930</v>
      </c>
      <c r="J62" s="19" t="s">
        <v>942</v>
      </c>
      <c r="K62" s="33">
        <v>2</v>
      </c>
      <c r="L62" s="33">
        <v>170.85</v>
      </c>
      <c r="M62" s="33">
        <v>30.75</v>
      </c>
      <c r="N62" s="33">
        <v>201.6</v>
      </c>
      <c r="R62"/>
      <c r="S62"/>
      <c r="T62"/>
      <c r="U62"/>
      <c r="V62"/>
      <c r="X62"/>
      <c r="Y62"/>
      <c r="Z62"/>
      <c r="AA62"/>
      <c r="AB62"/>
      <c r="AD62" s="19" t="s">
        <v>2243</v>
      </c>
      <c r="AE62" s="33">
        <v>1</v>
      </c>
      <c r="AF62" s="33">
        <v>6786.37</v>
      </c>
      <c r="AG62" s="33">
        <v>1221.55</v>
      </c>
      <c r="AH62" s="33">
        <v>8007.92</v>
      </c>
      <c r="AI62"/>
      <c r="AJ62" s="19" t="s">
        <v>289</v>
      </c>
      <c r="AK62" s="17">
        <v>1</v>
      </c>
      <c r="AL62" s="17">
        <v>2687.46</v>
      </c>
      <c r="AM62" s="17">
        <v>483.74</v>
      </c>
      <c r="AN62" s="17">
        <v>3171.2</v>
      </c>
      <c r="BN62"/>
      <c r="BO62"/>
      <c r="BQ62"/>
      <c r="BR62"/>
      <c r="BZ62" s="19">
        <v>927</v>
      </c>
      <c r="CA62" s="33">
        <v>1</v>
      </c>
      <c r="CC62" s="19">
        <v>3071</v>
      </c>
      <c r="CD62" s="33">
        <v>1</v>
      </c>
      <c r="CL62" s="19">
        <v>1168</v>
      </c>
      <c r="CM62" s="33">
        <v>7</v>
      </c>
      <c r="CO62" s="30" t="s">
        <v>1330</v>
      </c>
      <c r="CP62" s="33">
        <v>3</v>
      </c>
    </row>
    <row r="63" spans="4:94" ht="15">
      <c r="D63" s="19" t="s">
        <v>288</v>
      </c>
      <c r="E63" s="33">
        <v>1</v>
      </c>
      <c r="G63" s="19" t="s">
        <v>1332</v>
      </c>
      <c r="H63" s="33">
        <v>600</v>
      </c>
      <c r="J63" s="19" t="s">
        <v>971</v>
      </c>
      <c r="K63" s="33">
        <v>6</v>
      </c>
      <c r="L63" s="33">
        <v>2410.5100000000002</v>
      </c>
      <c r="M63" s="33">
        <v>433.89</v>
      </c>
      <c r="N63" s="33">
        <v>2844.3999999999996</v>
      </c>
      <c r="R63"/>
      <c r="S63"/>
      <c r="T63"/>
      <c r="U63"/>
      <c r="V63"/>
      <c r="X63"/>
      <c r="Y63"/>
      <c r="Z63"/>
      <c r="AA63"/>
      <c r="AB63"/>
      <c r="AD63" s="19" t="s">
        <v>2244</v>
      </c>
      <c r="AE63" s="33">
        <v>1</v>
      </c>
      <c r="AF63" s="33">
        <v>7812.63</v>
      </c>
      <c r="AG63" s="33">
        <v>1406.27</v>
      </c>
      <c r="AH63" s="33">
        <v>9218.9</v>
      </c>
      <c r="AI63"/>
      <c r="AJ63" s="19" t="s">
        <v>288</v>
      </c>
      <c r="AK63" s="17">
        <v>1</v>
      </c>
      <c r="AL63" s="17">
        <v>6</v>
      </c>
      <c r="AM63" s="17">
        <v>1.08</v>
      </c>
      <c r="AN63" s="17">
        <v>7.08</v>
      </c>
      <c r="BN63"/>
      <c r="BO63"/>
      <c r="BQ63"/>
      <c r="BR63"/>
      <c r="BZ63" s="19">
        <v>928</v>
      </c>
      <c r="CA63" s="33">
        <v>1</v>
      </c>
      <c r="CC63" s="19">
        <v>2929</v>
      </c>
      <c r="CD63" s="33">
        <v>4</v>
      </c>
      <c r="CL63" s="19">
        <v>1135</v>
      </c>
      <c r="CM63" s="33">
        <v>2</v>
      </c>
      <c r="CO63" s="30" t="s">
        <v>1331</v>
      </c>
      <c r="CP63" s="33">
        <v>1</v>
      </c>
    </row>
    <row r="64" spans="4:94" ht="15">
      <c r="D64" s="19" t="s">
        <v>289</v>
      </c>
      <c r="E64" s="33">
        <v>1</v>
      </c>
      <c r="G64" s="19" t="s">
        <v>1333</v>
      </c>
      <c r="H64" s="33">
        <v>600</v>
      </c>
      <c r="J64" s="19" t="s">
        <v>1031</v>
      </c>
      <c r="K64" s="33">
        <v>8</v>
      </c>
      <c r="L64" s="33">
        <v>18917.64</v>
      </c>
      <c r="M64" s="33">
        <v>3405.1800000000003</v>
      </c>
      <c r="N64" s="33">
        <v>22322.82</v>
      </c>
      <c r="R64"/>
      <c r="S64"/>
      <c r="T64"/>
      <c r="U64"/>
      <c r="V64"/>
      <c r="X64"/>
      <c r="Y64"/>
      <c r="Z64"/>
      <c r="AA64"/>
      <c r="AB64"/>
      <c r="AD64" s="19" t="s">
        <v>2245</v>
      </c>
      <c r="AE64" s="33">
        <v>1</v>
      </c>
      <c r="AF64" s="33">
        <v>300</v>
      </c>
      <c r="AG64" s="33">
        <v>54</v>
      </c>
      <c r="AH64" s="33">
        <v>354</v>
      </c>
      <c r="AI64"/>
      <c r="AJ64" s="19" t="s">
        <v>285</v>
      </c>
      <c r="AK64" s="17">
        <v>1</v>
      </c>
      <c r="AL64" s="17">
        <v>30</v>
      </c>
      <c r="AM64" s="17">
        <v>5.4</v>
      </c>
      <c r="AN64" s="17">
        <v>35.4</v>
      </c>
      <c r="BN64"/>
      <c r="BO64"/>
      <c r="BQ64"/>
      <c r="BR64"/>
      <c r="BZ64" s="19">
        <v>929</v>
      </c>
      <c r="CA64" s="33">
        <v>1</v>
      </c>
      <c r="CC64" s="19">
        <v>3124</v>
      </c>
      <c r="CD64" s="33">
        <v>4</v>
      </c>
      <c r="CL64" s="19">
        <v>1167</v>
      </c>
      <c r="CM64" s="33">
        <v>2</v>
      </c>
      <c r="CO64" s="30" t="s">
        <v>1332</v>
      </c>
      <c r="CP64" s="33">
        <v>1</v>
      </c>
    </row>
    <row r="65" spans="4:94" ht="15">
      <c r="D65" s="19" t="s">
        <v>290</v>
      </c>
      <c r="E65" s="33">
        <v>1</v>
      </c>
      <c r="G65" s="19" t="s">
        <v>1334</v>
      </c>
      <c r="H65" s="33">
        <v>12319.239999999998</v>
      </c>
      <c r="J65" s="19" t="s">
        <v>1036</v>
      </c>
      <c r="K65" s="33">
        <v>3</v>
      </c>
      <c r="L65" s="33">
        <v>884.06999999999994</v>
      </c>
      <c r="M65" s="33">
        <v>159.13</v>
      </c>
      <c r="N65" s="33">
        <v>1043.2</v>
      </c>
      <c r="R65"/>
      <c r="S65"/>
      <c r="T65"/>
      <c r="U65"/>
      <c r="V65"/>
      <c r="X65"/>
      <c r="Y65"/>
      <c r="Z65"/>
      <c r="AA65"/>
      <c r="AB65"/>
      <c r="AD65" s="19" t="s">
        <v>2246</v>
      </c>
      <c r="AE65" s="33">
        <v>1</v>
      </c>
      <c r="AF65" s="33">
        <v>200</v>
      </c>
      <c r="AG65" s="33">
        <v>36</v>
      </c>
      <c r="AH65" s="33">
        <v>236</v>
      </c>
      <c r="AI65"/>
      <c r="AJ65" s="19" t="s">
        <v>284</v>
      </c>
      <c r="AK65" s="17">
        <v>1</v>
      </c>
      <c r="AL65" s="17">
        <v>943.14</v>
      </c>
      <c r="AM65" s="17">
        <v>169.77</v>
      </c>
      <c r="AN65" s="17">
        <v>1112.9100000000001</v>
      </c>
      <c r="BN65"/>
      <c r="BO65"/>
      <c r="BQ65"/>
      <c r="BR65"/>
      <c r="BZ65" s="19">
        <v>930</v>
      </c>
      <c r="CA65" s="33">
        <v>1</v>
      </c>
      <c r="CC65" s="19">
        <v>3070</v>
      </c>
      <c r="CD65" s="33">
        <v>3</v>
      </c>
      <c r="CL65" s="19">
        <v>1134</v>
      </c>
      <c r="CM65" s="33">
        <v>2</v>
      </c>
      <c r="CO65" s="30" t="s">
        <v>1333</v>
      </c>
      <c r="CP65" s="33">
        <v>1</v>
      </c>
    </row>
    <row r="66" spans="4:94" ht="15">
      <c r="D66" s="19" t="s">
        <v>291</v>
      </c>
      <c r="E66" s="33">
        <v>1</v>
      </c>
      <c r="G66" s="19" t="s">
        <v>1335</v>
      </c>
      <c r="H66" s="33">
        <v>3100</v>
      </c>
      <c r="J66" s="19" t="s">
        <v>1043</v>
      </c>
      <c r="K66" s="33">
        <v>2</v>
      </c>
      <c r="L66" s="33">
        <v>2.46</v>
      </c>
      <c r="M66" s="33">
        <v>0.44</v>
      </c>
      <c r="N66" s="33">
        <v>2.9</v>
      </c>
      <c r="R66"/>
      <c r="S66"/>
      <c r="T66"/>
      <c r="U66"/>
      <c r="V66"/>
      <c r="X66"/>
      <c r="Y66"/>
      <c r="Z66"/>
      <c r="AA66"/>
      <c r="AB66"/>
      <c r="AD66" s="19" t="s">
        <v>2247</v>
      </c>
      <c r="AE66" s="33">
        <v>1</v>
      </c>
      <c r="AF66" s="33">
        <v>200</v>
      </c>
      <c r="AG66" s="33">
        <v>36</v>
      </c>
      <c r="AH66" s="33">
        <v>236</v>
      </c>
      <c r="AI66"/>
      <c r="AJ66" s="19" t="s">
        <v>283</v>
      </c>
      <c r="AK66" s="17">
        <v>1</v>
      </c>
      <c r="AL66" s="17">
        <v>785.59</v>
      </c>
      <c r="AM66" s="17">
        <v>141.41</v>
      </c>
      <c r="AN66" s="17">
        <v>927</v>
      </c>
      <c r="BN66"/>
      <c r="BO66"/>
      <c r="BQ66"/>
      <c r="BR66"/>
      <c r="BZ66" s="19">
        <v>931</v>
      </c>
      <c r="CA66" s="33">
        <v>1</v>
      </c>
      <c r="CC66" s="19">
        <v>3177</v>
      </c>
      <c r="CD66" s="33">
        <v>7</v>
      </c>
      <c r="CL66" s="19">
        <v>1133</v>
      </c>
      <c r="CM66" s="33">
        <v>3</v>
      </c>
      <c r="CO66" s="30" t="s">
        <v>1334</v>
      </c>
      <c r="CP66" s="33">
        <v>14</v>
      </c>
    </row>
    <row r="67" spans="4:94" ht="15">
      <c r="D67" s="19" t="s">
        <v>292</v>
      </c>
      <c r="E67" s="33">
        <v>1</v>
      </c>
      <c r="G67" s="19" t="s">
        <v>1336</v>
      </c>
      <c r="H67" s="33">
        <v>150</v>
      </c>
      <c r="J67" s="19" t="s">
        <v>1022</v>
      </c>
      <c r="K67" s="33">
        <v>4</v>
      </c>
      <c r="L67" s="33">
        <v>3433</v>
      </c>
      <c r="M67" s="33">
        <v>617.94000000000005</v>
      </c>
      <c r="N67" s="33">
        <v>4050.9399999999996</v>
      </c>
      <c r="R67"/>
      <c r="S67"/>
      <c r="T67"/>
      <c r="U67"/>
      <c r="V67"/>
      <c r="X67"/>
      <c r="Y67"/>
      <c r="Z67"/>
      <c r="AA67"/>
      <c r="AB67"/>
      <c r="AD67" s="19" t="s">
        <v>2248</v>
      </c>
      <c r="AE67" s="33">
        <v>1</v>
      </c>
      <c r="AF67" s="33">
        <v>2.5</v>
      </c>
      <c r="AG67" s="33">
        <v>0.45</v>
      </c>
      <c r="AH67" s="33">
        <v>2.95</v>
      </c>
      <c r="AI67"/>
      <c r="AJ67" s="19" t="s">
        <v>282</v>
      </c>
      <c r="AK67" s="17">
        <v>1</v>
      </c>
      <c r="AL67" s="17">
        <v>300</v>
      </c>
      <c r="AM67" s="17">
        <v>54</v>
      </c>
      <c r="AN67" s="17">
        <v>354</v>
      </c>
      <c r="BN67"/>
      <c r="BO67"/>
      <c r="BQ67"/>
      <c r="BR67"/>
      <c r="BZ67" s="19">
        <v>932</v>
      </c>
      <c r="CA67" s="33">
        <v>1</v>
      </c>
      <c r="CC67" s="19">
        <v>3165</v>
      </c>
      <c r="CD67" s="33">
        <v>6</v>
      </c>
      <c r="CL67" s="19">
        <v>1132</v>
      </c>
      <c r="CM67" s="33">
        <v>5</v>
      </c>
      <c r="CO67" s="30" t="s">
        <v>1335</v>
      </c>
      <c r="CP67" s="33">
        <v>1</v>
      </c>
    </row>
    <row r="68" spans="4:94" ht="15">
      <c r="D68" s="19" t="s">
        <v>293</v>
      </c>
      <c r="E68" s="33">
        <v>1</v>
      </c>
      <c r="G68" s="19" t="s">
        <v>1337</v>
      </c>
      <c r="H68" s="33">
        <v>150</v>
      </c>
      <c r="J68" s="19" t="s">
        <v>1387</v>
      </c>
      <c r="K68" s="33">
        <v>4</v>
      </c>
      <c r="L68" s="33">
        <v>235.3</v>
      </c>
      <c r="M68" s="33">
        <v>42.36</v>
      </c>
      <c r="N68" s="33">
        <v>277.66000000000003</v>
      </c>
      <c r="R68"/>
      <c r="S68"/>
      <c r="T68"/>
      <c r="U68"/>
      <c r="V68"/>
      <c r="X68"/>
      <c r="Y68"/>
      <c r="Z68"/>
      <c r="AA68"/>
      <c r="AB68"/>
      <c r="AD68" s="19" t="s">
        <v>2249</v>
      </c>
      <c r="AE68" s="33">
        <v>1</v>
      </c>
      <c r="AF68" s="33">
        <v>200</v>
      </c>
      <c r="AG68" s="33">
        <v>36</v>
      </c>
      <c r="AH68" s="33">
        <v>236</v>
      </c>
      <c r="AI68"/>
      <c r="AJ68" s="19" t="s">
        <v>279</v>
      </c>
      <c r="AK68" s="17">
        <v>1</v>
      </c>
      <c r="AL68" s="17">
        <v>63</v>
      </c>
      <c r="AM68" s="17">
        <v>11.34</v>
      </c>
      <c r="AN68" s="17">
        <v>74.34</v>
      </c>
      <c r="BN68"/>
      <c r="BO68"/>
      <c r="BQ68"/>
      <c r="BR68"/>
      <c r="BZ68" s="19">
        <v>933</v>
      </c>
      <c r="CA68" s="33">
        <v>3</v>
      </c>
      <c r="CC68" s="19">
        <v>2972</v>
      </c>
      <c r="CD68" s="33">
        <v>16</v>
      </c>
      <c r="CL68" s="19">
        <v>1131</v>
      </c>
      <c r="CM68" s="33">
        <v>2</v>
      </c>
      <c r="CO68" s="30" t="s">
        <v>1336</v>
      </c>
      <c r="CP68" s="33">
        <v>1</v>
      </c>
    </row>
    <row r="69" spans="4:94" ht="15">
      <c r="D69" s="19" t="s">
        <v>294</v>
      </c>
      <c r="E69" s="33">
        <v>1</v>
      </c>
      <c r="G69" s="19" t="s">
        <v>1338</v>
      </c>
      <c r="H69" s="33">
        <v>600</v>
      </c>
      <c r="J69" s="19" t="s">
        <v>1065</v>
      </c>
      <c r="K69" s="33">
        <v>2</v>
      </c>
      <c r="L69" s="33">
        <v>220.69</v>
      </c>
      <c r="M69" s="33">
        <v>39.729999999999997</v>
      </c>
      <c r="N69" s="33">
        <v>260.42</v>
      </c>
      <c r="R69"/>
      <c r="S69"/>
      <c r="T69"/>
      <c r="U69"/>
      <c r="V69"/>
      <c r="X69"/>
      <c r="Y69"/>
      <c r="Z69"/>
      <c r="AA69"/>
      <c r="AB69"/>
      <c r="AD69" s="19" t="s">
        <v>2250</v>
      </c>
      <c r="AE69" s="33">
        <v>1</v>
      </c>
      <c r="AF69" s="33">
        <v>3130.76</v>
      </c>
      <c r="AG69" s="33">
        <v>563.54</v>
      </c>
      <c r="AH69" s="33">
        <v>3694.3</v>
      </c>
      <c r="AI69"/>
      <c r="AJ69" s="19" t="s">
        <v>278</v>
      </c>
      <c r="AK69" s="17">
        <v>1</v>
      </c>
      <c r="AL69" s="17">
        <v>18.309999999999999</v>
      </c>
      <c r="AM69" s="17">
        <v>3.3</v>
      </c>
      <c r="AN69" s="17">
        <v>21.61</v>
      </c>
      <c r="BN69"/>
      <c r="BO69"/>
      <c r="BQ69"/>
      <c r="BR69"/>
      <c r="BZ69" s="19">
        <v>934</v>
      </c>
      <c r="CA69" s="33">
        <v>4</v>
      </c>
      <c r="CC69" s="19">
        <v>3158</v>
      </c>
      <c r="CD69" s="33">
        <v>3</v>
      </c>
      <c r="CL69" s="19">
        <v>1163</v>
      </c>
      <c r="CM69" s="33">
        <v>2</v>
      </c>
      <c r="CO69" s="30" t="s">
        <v>1337</v>
      </c>
      <c r="CP69" s="33">
        <v>1</v>
      </c>
    </row>
    <row r="70" spans="4:94" ht="15">
      <c r="D70" s="19" t="s">
        <v>295</v>
      </c>
      <c r="E70" s="33">
        <v>1</v>
      </c>
      <c r="G70" s="19" t="s">
        <v>1339</v>
      </c>
      <c r="H70" s="33">
        <v>1200</v>
      </c>
      <c r="J70" s="19" t="s">
        <v>1275</v>
      </c>
      <c r="K70" s="33">
        <v>2</v>
      </c>
      <c r="L70" s="33">
        <v>313.91000000000003</v>
      </c>
      <c r="M70" s="33">
        <v>56.5</v>
      </c>
      <c r="N70" s="33">
        <v>370.41</v>
      </c>
      <c r="R70"/>
      <c r="S70"/>
      <c r="T70"/>
      <c r="U70"/>
      <c r="V70"/>
      <c r="X70"/>
      <c r="Y70"/>
      <c r="Z70"/>
      <c r="AA70"/>
      <c r="AB70"/>
      <c r="AD70" s="19" t="s">
        <v>2251</v>
      </c>
      <c r="AE70" s="33">
        <v>1</v>
      </c>
      <c r="AF70" s="33">
        <v>1000</v>
      </c>
      <c r="AG70" s="33">
        <v>180</v>
      </c>
      <c r="AH70" s="33">
        <v>1180</v>
      </c>
      <c r="AI70"/>
      <c r="AJ70" s="19" t="s">
        <v>275</v>
      </c>
      <c r="AK70" s="17">
        <v>1</v>
      </c>
      <c r="AL70" s="17">
        <v>25.93</v>
      </c>
      <c r="AM70" s="17">
        <v>4.67</v>
      </c>
      <c r="AN70" s="17">
        <v>30.6</v>
      </c>
      <c r="BN70"/>
      <c r="BO70"/>
      <c r="BQ70"/>
      <c r="BR70"/>
      <c r="BZ70" s="19">
        <v>935</v>
      </c>
      <c r="CA70" s="33">
        <v>4</v>
      </c>
      <c r="CC70" s="19">
        <v>3134</v>
      </c>
      <c r="CD70" s="33">
        <v>10</v>
      </c>
      <c r="CL70" s="19">
        <v>1162</v>
      </c>
      <c r="CM70" s="33">
        <v>2</v>
      </c>
      <c r="CO70" s="30" t="s">
        <v>1338</v>
      </c>
      <c r="CP70" s="33">
        <v>2</v>
      </c>
    </row>
    <row r="71" spans="4:94" ht="15">
      <c r="D71" s="19" t="s">
        <v>326</v>
      </c>
      <c r="E71" s="33">
        <v>1</v>
      </c>
      <c r="G71" s="19" t="s">
        <v>1340</v>
      </c>
      <c r="H71" s="33">
        <v>1500</v>
      </c>
      <c r="J71" s="19" t="s">
        <v>1080</v>
      </c>
      <c r="K71" s="33">
        <v>3</v>
      </c>
      <c r="L71" s="33">
        <v>4969.33</v>
      </c>
      <c r="M71" s="33">
        <v>894.48</v>
      </c>
      <c r="N71" s="33">
        <v>5863.8099999999995</v>
      </c>
      <c r="R71"/>
      <c r="S71"/>
      <c r="T71"/>
      <c r="U71"/>
      <c r="V71"/>
      <c r="X71"/>
      <c r="Y71"/>
      <c r="Z71"/>
      <c r="AA71"/>
      <c r="AB71"/>
      <c r="AD71" s="19" t="s">
        <v>2252</v>
      </c>
      <c r="AE71" s="33">
        <v>1</v>
      </c>
      <c r="AF71" s="33">
        <v>1500</v>
      </c>
      <c r="AG71" s="33">
        <v>270</v>
      </c>
      <c r="AH71" s="33">
        <v>1770</v>
      </c>
      <c r="AI71"/>
      <c r="AJ71" s="19" t="s">
        <v>274</v>
      </c>
      <c r="AK71" s="17">
        <v>1</v>
      </c>
      <c r="AL71" s="17">
        <v>1340.25</v>
      </c>
      <c r="AM71" s="17">
        <v>241.25</v>
      </c>
      <c r="AN71" s="17">
        <v>1581.5</v>
      </c>
      <c r="BN71"/>
      <c r="BO71"/>
      <c r="BQ71"/>
      <c r="BR71"/>
      <c r="BZ71" s="19">
        <v>936</v>
      </c>
      <c r="CA71" s="33">
        <v>3</v>
      </c>
      <c r="CC71" s="19">
        <v>3176</v>
      </c>
      <c r="CD71" s="33">
        <v>6</v>
      </c>
      <c r="CL71" s="19">
        <v>1129</v>
      </c>
      <c r="CM71" s="33">
        <v>2</v>
      </c>
      <c r="CO71" s="30" t="s">
        <v>1339</v>
      </c>
      <c r="CP71" s="33">
        <v>1</v>
      </c>
    </row>
    <row r="72" spans="4:94" ht="15">
      <c r="D72" s="19" t="s">
        <v>329</v>
      </c>
      <c r="E72" s="33">
        <v>1</v>
      </c>
      <c r="G72" s="19" t="s">
        <v>1341</v>
      </c>
      <c r="H72" s="33">
        <v>1575</v>
      </c>
      <c r="J72" s="19" t="s">
        <v>1136</v>
      </c>
      <c r="K72" s="33">
        <v>2</v>
      </c>
      <c r="L72" s="33">
        <v>102.66</v>
      </c>
      <c r="M72" s="33">
        <v>18.48</v>
      </c>
      <c r="N72" s="33">
        <v>121.14000000000001</v>
      </c>
      <c r="R72"/>
      <c r="S72"/>
      <c r="T72"/>
      <c r="U72"/>
      <c r="V72"/>
      <c r="X72"/>
      <c r="Y72"/>
      <c r="Z72"/>
      <c r="AA72"/>
      <c r="AB72"/>
      <c r="AD72" s="19" t="s">
        <v>2253</v>
      </c>
      <c r="AE72" s="33">
        <v>1</v>
      </c>
      <c r="AF72" s="33">
        <v>1271.19</v>
      </c>
      <c r="AG72" s="33">
        <v>228.81</v>
      </c>
      <c r="AH72" s="33">
        <v>1500</v>
      </c>
      <c r="AI72"/>
      <c r="AJ72" s="19" t="s">
        <v>273</v>
      </c>
      <c r="AK72" s="17">
        <v>1</v>
      </c>
      <c r="AL72" s="17">
        <v>1688.56</v>
      </c>
      <c r="AM72" s="17">
        <v>303.94</v>
      </c>
      <c r="AN72" s="17">
        <v>1992.5</v>
      </c>
      <c r="BN72"/>
      <c r="BO72"/>
      <c r="BQ72"/>
      <c r="BR72"/>
      <c r="BZ72" s="19">
        <v>937</v>
      </c>
      <c r="CA72" s="33">
        <v>4</v>
      </c>
      <c r="CC72" s="19">
        <v>3230</v>
      </c>
      <c r="CD72" s="33">
        <v>4</v>
      </c>
      <c r="CL72" s="19">
        <v>1123</v>
      </c>
      <c r="CM72" s="33">
        <v>3</v>
      </c>
      <c r="CO72" s="30" t="s">
        <v>1340</v>
      </c>
      <c r="CP72" s="33">
        <v>2</v>
      </c>
    </row>
    <row r="73" spans="4:94" ht="15">
      <c r="D73" s="19" t="s">
        <v>330</v>
      </c>
      <c r="E73" s="33">
        <v>1</v>
      </c>
      <c r="G73" s="19" t="s">
        <v>1343</v>
      </c>
      <c r="H73" s="33">
        <v>2080</v>
      </c>
      <c r="J73" s="19" t="s">
        <v>1141</v>
      </c>
      <c r="K73" s="33">
        <v>2</v>
      </c>
      <c r="L73" s="33">
        <v>107.92</v>
      </c>
      <c r="M73" s="33">
        <v>19.43</v>
      </c>
      <c r="N73" s="33">
        <v>127.35</v>
      </c>
      <c r="R73"/>
      <c r="S73"/>
      <c r="T73"/>
      <c r="U73"/>
      <c r="V73"/>
      <c r="X73"/>
      <c r="Y73"/>
      <c r="Z73"/>
      <c r="AA73"/>
      <c r="AB73"/>
      <c r="AD73" s="19" t="s">
        <v>2254</v>
      </c>
      <c r="AE73" s="33">
        <v>1</v>
      </c>
      <c r="AF73" s="33">
        <v>5</v>
      </c>
      <c r="AG73" s="33">
        <v>0.9</v>
      </c>
      <c r="AH73" s="33">
        <v>5.9</v>
      </c>
      <c r="AI73"/>
      <c r="AJ73" s="19" t="s">
        <v>272</v>
      </c>
      <c r="AK73" s="17">
        <v>1</v>
      </c>
      <c r="AL73" s="17">
        <v>100</v>
      </c>
      <c r="AM73" s="17">
        <v>18</v>
      </c>
      <c r="AN73" s="17">
        <v>118</v>
      </c>
      <c r="BN73"/>
      <c r="BO73"/>
      <c r="BQ73"/>
      <c r="BR73"/>
      <c r="BZ73" s="19">
        <v>938</v>
      </c>
      <c r="CA73" s="33">
        <v>2</v>
      </c>
      <c r="CC73" s="19">
        <v>3197</v>
      </c>
      <c r="CD73" s="33">
        <v>3</v>
      </c>
      <c r="CL73" s="19">
        <v>1161</v>
      </c>
      <c r="CM73" s="33">
        <v>2</v>
      </c>
      <c r="CO73" s="30" t="s">
        <v>1341</v>
      </c>
      <c r="CP73" s="33">
        <v>1</v>
      </c>
    </row>
    <row r="74" spans="4:94" ht="15">
      <c r="D74" s="19" t="s">
        <v>332</v>
      </c>
      <c r="E74" s="33">
        <v>1</v>
      </c>
      <c r="G74" s="19" t="s">
        <v>1344</v>
      </c>
      <c r="H74" s="33">
        <v>800</v>
      </c>
      <c r="J74" s="19" t="s">
        <v>1091</v>
      </c>
      <c r="K74" s="33">
        <v>4</v>
      </c>
      <c r="L74" s="33">
        <v>326.18</v>
      </c>
      <c r="M74" s="33">
        <v>58.71</v>
      </c>
      <c r="N74" s="33">
        <v>384.89</v>
      </c>
      <c r="R74"/>
      <c r="S74"/>
      <c r="T74"/>
      <c r="U74"/>
      <c r="V74"/>
      <c r="X74"/>
      <c r="Y74"/>
      <c r="Z74"/>
      <c r="AA74"/>
      <c r="AB74"/>
      <c r="AD74" s="19" t="s">
        <v>2255</v>
      </c>
      <c r="AE74" s="33">
        <v>1</v>
      </c>
      <c r="AF74" s="33">
        <v>15.5</v>
      </c>
      <c r="AG74" s="33">
        <v>2.79</v>
      </c>
      <c r="AH74" s="33">
        <v>18.29</v>
      </c>
      <c r="AI74"/>
      <c r="AJ74" s="19" t="s">
        <v>269</v>
      </c>
      <c r="AK74" s="17">
        <v>1</v>
      </c>
      <c r="AL74" s="17">
        <v>2701</v>
      </c>
      <c r="AM74" s="17">
        <v>486.18</v>
      </c>
      <c r="AN74" s="17">
        <v>3187.18</v>
      </c>
      <c r="BN74"/>
      <c r="BO74"/>
      <c r="BQ74"/>
      <c r="BR74"/>
      <c r="BZ74" s="19">
        <v>939</v>
      </c>
      <c r="CA74" s="33">
        <v>3</v>
      </c>
      <c r="CC74" s="19">
        <v>3037</v>
      </c>
      <c r="CD74" s="33">
        <v>2</v>
      </c>
      <c r="CL74" s="19">
        <v>1127</v>
      </c>
      <c r="CM74" s="33">
        <v>6</v>
      </c>
      <c r="CO74" s="30" t="s">
        <v>1343</v>
      </c>
      <c r="CP74" s="33">
        <v>1</v>
      </c>
    </row>
    <row r="75" spans="4:94" ht="15">
      <c r="D75" s="19" t="s">
        <v>336</v>
      </c>
      <c r="E75" s="33">
        <v>1</v>
      </c>
      <c r="G75" s="19" t="s">
        <v>1345</v>
      </c>
      <c r="H75" s="33">
        <v>910</v>
      </c>
      <c r="J75" s="19" t="s">
        <v>1146</v>
      </c>
      <c r="K75" s="33">
        <v>2</v>
      </c>
      <c r="L75" s="33">
        <v>291.81</v>
      </c>
      <c r="M75" s="33">
        <v>52.519999999999996</v>
      </c>
      <c r="N75" s="33">
        <v>344.33</v>
      </c>
      <c r="R75"/>
      <c r="S75"/>
      <c r="T75"/>
      <c r="U75"/>
      <c r="V75"/>
      <c r="X75"/>
      <c r="Y75"/>
      <c r="Z75"/>
      <c r="AA75"/>
      <c r="AB75"/>
      <c r="AD75" s="19" t="s">
        <v>2256</v>
      </c>
      <c r="AE75" s="33">
        <v>1</v>
      </c>
      <c r="AF75" s="33">
        <v>2054.4899999999998</v>
      </c>
      <c r="AG75" s="33">
        <v>369.81</v>
      </c>
      <c r="AH75" s="33">
        <v>2424.3000000000002</v>
      </c>
      <c r="AI75"/>
      <c r="AJ75" s="19" t="s">
        <v>268</v>
      </c>
      <c r="AK75" s="17">
        <v>1</v>
      </c>
      <c r="AL75" s="17">
        <v>41.14</v>
      </c>
      <c r="AM75" s="17">
        <v>7.41</v>
      </c>
      <c r="AN75" s="17">
        <v>48.55</v>
      </c>
      <c r="BN75"/>
      <c r="BO75"/>
      <c r="BQ75"/>
      <c r="BR75"/>
      <c r="BZ75" s="19">
        <v>940</v>
      </c>
      <c r="CA75" s="33">
        <v>4</v>
      </c>
      <c r="CC75" s="19">
        <v>3182</v>
      </c>
      <c r="CD75" s="33">
        <v>2</v>
      </c>
      <c r="CL75" s="19">
        <v>449</v>
      </c>
      <c r="CM75" s="33">
        <v>2</v>
      </c>
      <c r="CO75" s="30" t="s">
        <v>1344</v>
      </c>
      <c r="CP75" s="33">
        <v>1</v>
      </c>
    </row>
    <row r="76" spans="4:94" ht="15">
      <c r="D76" s="19" t="s">
        <v>339</v>
      </c>
      <c r="E76" s="33">
        <v>1</v>
      </c>
      <c r="G76" s="19" t="s">
        <v>1346</v>
      </c>
      <c r="H76" s="33">
        <v>2163.5100000000002</v>
      </c>
      <c r="J76" s="19" t="s">
        <v>1096</v>
      </c>
      <c r="K76" s="33">
        <v>2</v>
      </c>
      <c r="L76" s="33">
        <v>291.81</v>
      </c>
      <c r="M76" s="33">
        <v>52.519999999999996</v>
      </c>
      <c r="N76" s="33">
        <v>344.33</v>
      </c>
      <c r="R76"/>
      <c r="S76"/>
      <c r="T76"/>
      <c r="U76"/>
      <c r="V76"/>
      <c r="X76"/>
      <c r="Y76"/>
      <c r="Z76"/>
      <c r="AA76"/>
      <c r="AB76"/>
      <c r="AD76" s="19" t="s">
        <v>2257</v>
      </c>
      <c r="AE76" s="33">
        <v>1</v>
      </c>
      <c r="AF76" s="33">
        <v>25</v>
      </c>
      <c r="AG76" s="33">
        <v>4.5</v>
      </c>
      <c r="AH76" s="33">
        <v>29.5</v>
      </c>
      <c r="AI76"/>
      <c r="AJ76" s="19" t="s">
        <v>263</v>
      </c>
      <c r="AK76" s="17">
        <v>1</v>
      </c>
      <c r="AL76" s="17">
        <v>12.2</v>
      </c>
      <c r="AM76" s="17">
        <v>2.2000000000000002</v>
      </c>
      <c r="AN76" s="17">
        <v>14.4</v>
      </c>
      <c r="BN76"/>
      <c r="BO76"/>
      <c r="BQ76"/>
      <c r="BR76"/>
      <c r="BZ76" s="19">
        <v>941</v>
      </c>
      <c r="CA76" s="33">
        <v>1</v>
      </c>
      <c r="CC76" s="19">
        <v>3090</v>
      </c>
      <c r="CD76" s="33">
        <v>2</v>
      </c>
      <c r="CL76" s="19">
        <v>1159</v>
      </c>
      <c r="CM76" s="33">
        <v>3</v>
      </c>
      <c r="CO76" s="30" t="s">
        <v>1345</v>
      </c>
      <c r="CP76" s="33">
        <v>1</v>
      </c>
    </row>
    <row r="77" spans="4:94" ht="15">
      <c r="D77" s="19" t="s">
        <v>333</v>
      </c>
      <c r="E77" s="33">
        <v>1</v>
      </c>
      <c r="G77" s="19" t="s">
        <v>1347</v>
      </c>
      <c r="H77" s="33">
        <v>1127.8800000000001</v>
      </c>
      <c r="J77" s="19" t="s">
        <v>1151</v>
      </c>
      <c r="K77" s="33">
        <v>12</v>
      </c>
      <c r="L77" s="33">
        <v>20384.489999999998</v>
      </c>
      <c r="M77" s="33">
        <v>3669.2</v>
      </c>
      <c r="N77" s="33">
        <v>24053.69</v>
      </c>
      <c r="R77"/>
      <c r="S77"/>
      <c r="T77"/>
      <c r="U77"/>
      <c r="V77"/>
      <c r="X77"/>
      <c r="Y77"/>
      <c r="Z77"/>
      <c r="AA77"/>
      <c r="AB77"/>
      <c r="AD77" s="19" t="s">
        <v>2258</v>
      </c>
      <c r="AE77" s="33">
        <v>1</v>
      </c>
      <c r="AF77" s="33">
        <v>119</v>
      </c>
      <c r="AG77" s="33">
        <v>21.42</v>
      </c>
      <c r="AH77" s="33">
        <v>140.41999999999999</v>
      </c>
      <c r="AI77"/>
      <c r="AJ77" s="19" t="s">
        <v>1211</v>
      </c>
      <c r="AK77" s="17">
        <v>1</v>
      </c>
      <c r="AL77" s="17">
        <v>84.07</v>
      </c>
      <c r="AM77" s="17">
        <v>15.13</v>
      </c>
      <c r="AN77" s="17">
        <v>99.2</v>
      </c>
      <c r="BN77"/>
      <c r="BO77"/>
      <c r="BQ77"/>
      <c r="BR77"/>
      <c r="BZ77" s="19">
        <v>942</v>
      </c>
      <c r="CA77" s="33">
        <v>2</v>
      </c>
      <c r="CC77" s="19">
        <v>3106</v>
      </c>
      <c r="CD77" s="33">
        <v>3</v>
      </c>
      <c r="CL77" s="19">
        <v>1158</v>
      </c>
      <c r="CM77" s="33">
        <v>2</v>
      </c>
      <c r="CO77" s="30" t="s">
        <v>1346</v>
      </c>
      <c r="CP77" s="33">
        <v>3</v>
      </c>
    </row>
    <row r="78" spans="4:94" ht="15">
      <c r="D78" s="19" t="s">
        <v>340</v>
      </c>
      <c r="E78" s="33">
        <v>1</v>
      </c>
      <c r="G78" s="19" t="s">
        <v>1348</v>
      </c>
      <c r="H78" s="33">
        <v>20.99</v>
      </c>
      <c r="J78" s="19" t="s">
        <v>1117</v>
      </c>
      <c r="K78" s="33">
        <v>2</v>
      </c>
      <c r="L78" s="33">
        <v>118.9</v>
      </c>
      <c r="M78" s="33">
        <v>21.4</v>
      </c>
      <c r="N78" s="33">
        <v>140.30000000000001</v>
      </c>
      <c r="R78"/>
      <c r="S78"/>
      <c r="T78"/>
      <c r="U78"/>
      <c r="V78"/>
      <c r="X78"/>
      <c r="Y78"/>
      <c r="Z78"/>
      <c r="AA78"/>
      <c r="AB78"/>
      <c r="AD78" s="19" t="s">
        <v>2259</v>
      </c>
      <c r="AE78" s="33">
        <v>1</v>
      </c>
      <c r="AF78" s="33">
        <v>160.35</v>
      </c>
      <c r="AG78" s="33">
        <v>28.86</v>
      </c>
      <c r="AH78" s="33">
        <v>189.21</v>
      </c>
      <c r="AI78"/>
      <c r="AJ78" s="19" t="s">
        <v>1208</v>
      </c>
      <c r="AK78" s="17">
        <v>1</v>
      </c>
      <c r="AL78" s="17">
        <v>129.15</v>
      </c>
      <c r="AM78" s="17">
        <v>23.25</v>
      </c>
      <c r="AN78" s="17">
        <v>152.4</v>
      </c>
      <c r="BN78"/>
      <c r="BO78"/>
      <c r="BQ78"/>
      <c r="BR78"/>
      <c r="BZ78" s="19">
        <v>943</v>
      </c>
      <c r="CA78" s="33">
        <v>1</v>
      </c>
      <c r="CC78" s="19">
        <v>3150</v>
      </c>
      <c r="CD78" s="33">
        <v>2</v>
      </c>
      <c r="CL78" s="19">
        <v>1126</v>
      </c>
      <c r="CM78" s="33">
        <v>4</v>
      </c>
      <c r="CO78" s="30" t="s">
        <v>1347</v>
      </c>
      <c r="CP78" s="33">
        <v>2</v>
      </c>
    </row>
    <row r="79" spans="4:94" ht="15">
      <c r="D79" s="19" t="s">
        <v>343</v>
      </c>
      <c r="E79" s="33">
        <v>1</v>
      </c>
      <c r="G79" s="19" t="s">
        <v>1349</v>
      </c>
      <c r="H79" s="33">
        <v>525.17999999999995</v>
      </c>
      <c r="J79" s="19" t="s">
        <v>1160</v>
      </c>
      <c r="K79" s="33">
        <v>2</v>
      </c>
      <c r="L79" s="33">
        <v>64.31</v>
      </c>
      <c r="M79" s="33">
        <v>11.57</v>
      </c>
      <c r="N79" s="33">
        <v>75.88</v>
      </c>
      <c r="R79"/>
      <c r="S79"/>
      <c r="T79"/>
      <c r="U79"/>
      <c r="V79"/>
      <c r="X79"/>
      <c r="Y79"/>
      <c r="Z79"/>
      <c r="AA79"/>
      <c r="AB79"/>
      <c r="AD79" s="19" t="s">
        <v>2260</v>
      </c>
      <c r="AE79" s="33">
        <v>1</v>
      </c>
      <c r="AF79" s="33">
        <v>24</v>
      </c>
      <c r="AG79" s="33">
        <v>4.32</v>
      </c>
      <c r="AH79" s="33">
        <v>28.32</v>
      </c>
      <c r="AI79"/>
      <c r="AJ79" s="19" t="s">
        <v>1206</v>
      </c>
      <c r="AK79" s="17">
        <v>1</v>
      </c>
      <c r="AL79" s="17">
        <v>3056.78</v>
      </c>
      <c r="AM79" s="17">
        <v>550.22</v>
      </c>
      <c r="AN79" s="17">
        <v>3607</v>
      </c>
      <c r="BN79"/>
      <c r="BO79"/>
      <c r="BQ79"/>
      <c r="BR79"/>
      <c r="BZ79" s="19">
        <v>944</v>
      </c>
      <c r="CA79" s="33">
        <v>1</v>
      </c>
      <c r="CC79" s="19">
        <v>3227</v>
      </c>
      <c r="CD79" s="33">
        <v>2</v>
      </c>
      <c r="CL79" s="19">
        <v>1125</v>
      </c>
      <c r="CM79" s="33">
        <v>3</v>
      </c>
      <c r="CO79" s="30" t="s">
        <v>1348</v>
      </c>
      <c r="CP79" s="33">
        <v>1</v>
      </c>
    </row>
    <row r="80" spans="4:94" ht="15">
      <c r="D80" s="19" t="s">
        <v>344</v>
      </c>
      <c r="E80" s="33">
        <v>1</v>
      </c>
      <c r="G80" s="19" t="s">
        <v>1350</v>
      </c>
      <c r="H80" s="33">
        <v>100</v>
      </c>
      <c r="J80" s="19" t="s">
        <v>1126</v>
      </c>
      <c r="K80" s="33">
        <v>2</v>
      </c>
      <c r="L80" s="33">
        <v>19.670000000000002</v>
      </c>
      <c r="M80" s="33">
        <v>3.53</v>
      </c>
      <c r="N80" s="33">
        <v>23.2</v>
      </c>
      <c r="R80"/>
      <c r="S80"/>
      <c r="T80"/>
      <c r="U80"/>
      <c r="V80"/>
      <c r="X80"/>
      <c r="Y80"/>
      <c r="Z80"/>
      <c r="AA80"/>
      <c r="AB80"/>
      <c r="AD80" s="19" t="s">
        <v>2261</v>
      </c>
      <c r="AE80" s="33">
        <v>1</v>
      </c>
      <c r="AF80" s="33">
        <v>76</v>
      </c>
      <c r="AG80" s="33">
        <v>13.68</v>
      </c>
      <c r="AH80" s="33">
        <v>89.68</v>
      </c>
      <c r="AI80"/>
      <c r="AJ80" s="19" t="s">
        <v>1204</v>
      </c>
      <c r="AK80" s="17">
        <v>1</v>
      </c>
      <c r="AL80" s="17">
        <v>3774.66</v>
      </c>
      <c r="AM80" s="17">
        <v>679.44</v>
      </c>
      <c r="AN80" s="17">
        <v>4454.1000000000004</v>
      </c>
      <c r="BN80"/>
      <c r="BO80"/>
      <c r="BQ80"/>
      <c r="BR80"/>
      <c r="BZ80" s="19">
        <v>945</v>
      </c>
      <c r="CA80" s="33">
        <v>1</v>
      </c>
      <c r="CC80" s="19">
        <v>3057</v>
      </c>
      <c r="CD80" s="33">
        <v>2</v>
      </c>
      <c r="CL80" s="19">
        <v>1157</v>
      </c>
      <c r="CM80" s="33">
        <v>4</v>
      </c>
      <c r="CO80" s="30" t="s">
        <v>1349</v>
      </c>
      <c r="CP80" s="33">
        <v>1</v>
      </c>
    </row>
    <row r="81" spans="4:94" ht="15">
      <c r="D81" s="19" t="s">
        <v>345</v>
      </c>
      <c r="E81" s="33">
        <v>1</v>
      </c>
      <c r="G81" s="19" t="s">
        <v>1351</v>
      </c>
      <c r="H81" s="33">
        <v>100</v>
      </c>
      <c r="J81" s="19" t="s">
        <v>1191</v>
      </c>
      <c r="K81" s="33">
        <v>3</v>
      </c>
      <c r="L81" s="33">
        <v>952.2</v>
      </c>
      <c r="M81" s="33">
        <v>171.39999999999998</v>
      </c>
      <c r="N81" s="33">
        <v>1123.5999999999999</v>
      </c>
      <c r="R81"/>
      <c r="S81"/>
      <c r="T81"/>
      <c r="U81"/>
      <c r="V81"/>
      <c r="X81"/>
      <c r="Y81"/>
      <c r="Z81"/>
      <c r="AA81"/>
      <c r="AB81"/>
      <c r="AD81" s="19" t="s">
        <v>2262</v>
      </c>
      <c r="AE81" s="33">
        <v>1</v>
      </c>
      <c r="AF81" s="33">
        <v>4588.6400000000003</v>
      </c>
      <c r="AG81" s="33">
        <v>825.96</v>
      </c>
      <c r="AH81" s="33">
        <v>5414.6</v>
      </c>
      <c r="AI81"/>
      <c r="AJ81" s="19" t="s">
        <v>1202</v>
      </c>
      <c r="AK81" s="17">
        <v>1</v>
      </c>
      <c r="AL81" s="17">
        <v>100</v>
      </c>
      <c r="AM81" s="17">
        <v>18</v>
      </c>
      <c r="AN81" s="17">
        <v>118</v>
      </c>
      <c r="BN81"/>
      <c r="BO81"/>
      <c r="BQ81"/>
      <c r="BR81"/>
      <c r="BZ81" s="19">
        <v>946</v>
      </c>
      <c r="CA81" s="33">
        <v>1</v>
      </c>
      <c r="CC81" s="19">
        <v>3121</v>
      </c>
      <c r="CD81" s="33">
        <v>2</v>
      </c>
      <c r="CL81" s="19">
        <v>1122</v>
      </c>
      <c r="CM81" s="33">
        <v>2</v>
      </c>
      <c r="CO81" s="30" t="s">
        <v>1350</v>
      </c>
      <c r="CP81" s="33">
        <v>1</v>
      </c>
    </row>
    <row r="82" spans="4:94" ht="15">
      <c r="D82" s="19" t="s">
        <v>346</v>
      </c>
      <c r="E82" s="33">
        <v>1</v>
      </c>
      <c r="G82" s="19" t="s">
        <v>1352</v>
      </c>
      <c r="H82" s="33">
        <v>1400</v>
      </c>
      <c r="J82" s="19" t="s">
        <v>1198</v>
      </c>
      <c r="K82" s="33">
        <v>2</v>
      </c>
      <c r="L82" s="33">
        <v>501.27</v>
      </c>
      <c r="M82" s="33">
        <v>90.22999999999999</v>
      </c>
      <c r="N82" s="33">
        <v>591.5</v>
      </c>
      <c r="R82"/>
      <c r="S82"/>
      <c r="T82"/>
      <c r="U82"/>
      <c r="V82"/>
      <c r="X82"/>
      <c r="Y82"/>
      <c r="Z82"/>
      <c r="AA82"/>
      <c r="AB82"/>
      <c r="AD82" s="19" t="s">
        <v>2263</v>
      </c>
      <c r="AE82" s="33">
        <v>1</v>
      </c>
      <c r="AF82" s="33">
        <v>6713.73</v>
      </c>
      <c r="AG82" s="33">
        <v>1208.47</v>
      </c>
      <c r="AH82" s="33">
        <v>7922.2</v>
      </c>
      <c r="AI82"/>
      <c r="AJ82" s="19" t="s">
        <v>1200</v>
      </c>
      <c r="AK82" s="17">
        <v>1</v>
      </c>
      <c r="AL82" s="17">
        <v>177.59</v>
      </c>
      <c r="AM82" s="17">
        <v>31.97</v>
      </c>
      <c r="AN82" s="17">
        <v>209.56</v>
      </c>
      <c r="BN82"/>
      <c r="BO82"/>
      <c r="BQ82"/>
      <c r="BR82"/>
      <c r="BZ82" s="19">
        <v>947</v>
      </c>
      <c r="CA82" s="33">
        <v>1</v>
      </c>
      <c r="CC82" s="19">
        <v>3191</v>
      </c>
      <c r="CD82" s="33">
        <v>4</v>
      </c>
      <c r="CL82" s="19">
        <v>1121</v>
      </c>
      <c r="CM82" s="33">
        <v>2</v>
      </c>
      <c r="CO82" s="30" t="s">
        <v>1351</v>
      </c>
      <c r="CP82" s="33">
        <v>1</v>
      </c>
    </row>
    <row r="83" spans="4:94" ht="15">
      <c r="D83" s="19" t="s">
        <v>347</v>
      </c>
      <c r="E83" s="33">
        <v>1</v>
      </c>
      <c r="G83" s="19" t="s">
        <v>1353</v>
      </c>
      <c r="H83" s="33">
        <v>1400</v>
      </c>
      <c r="J83" s="19" t="s">
        <v>1209</v>
      </c>
      <c r="K83" s="33">
        <v>2</v>
      </c>
      <c r="L83" s="33">
        <v>213.22</v>
      </c>
      <c r="M83" s="33">
        <v>38.380000000000003</v>
      </c>
      <c r="N83" s="33">
        <v>251.60000000000002</v>
      </c>
      <c r="R83"/>
      <c r="S83"/>
      <c r="T83"/>
      <c r="U83"/>
      <c r="V83"/>
      <c r="X83"/>
      <c r="Y83"/>
      <c r="Z83"/>
      <c r="AA83"/>
      <c r="AB83"/>
      <c r="AD83" s="19" t="s">
        <v>2264</v>
      </c>
      <c r="AE83" s="33">
        <v>1</v>
      </c>
      <c r="AF83" s="33">
        <v>19.32</v>
      </c>
      <c r="AG83" s="33">
        <v>3.48</v>
      </c>
      <c r="AH83" s="33">
        <v>22.8</v>
      </c>
      <c r="AI83"/>
      <c r="AJ83" s="19" t="s">
        <v>1197</v>
      </c>
      <c r="AK83" s="17">
        <v>1</v>
      </c>
      <c r="AL83" s="17">
        <v>323.68</v>
      </c>
      <c r="AM83" s="17">
        <v>58.26</v>
      </c>
      <c r="AN83" s="17">
        <v>381.94</v>
      </c>
      <c r="BN83"/>
      <c r="BO83"/>
      <c r="BQ83"/>
      <c r="BR83"/>
      <c r="BZ83" s="19">
        <v>948</v>
      </c>
      <c r="CA83" s="33">
        <v>1</v>
      </c>
      <c r="CC83" s="19">
        <v>2471</v>
      </c>
      <c r="CD83" s="33">
        <v>8</v>
      </c>
      <c r="CL83" s="19">
        <v>1120</v>
      </c>
      <c r="CM83" s="33">
        <v>2</v>
      </c>
      <c r="CO83" s="30" t="s">
        <v>1352</v>
      </c>
      <c r="CP83" s="33">
        <v>1</v>
      </c>
    </row>
    <row r="84" spans="4:94" ht="15">
      <c r="D84" s="19" t="s">
        <v>348</v>
      </c>
      <c r="E84" s="33">
        <v>1</v>
      </c>
      <c r="G84" s="19" t="s">
        <v>1354</v>
      </c>
      <c r="H84" s="33">
        <v>2400</v>
      </c>
      <c r="J84" s="19" t="s">
        <v>1318</v>
      </c>
      <c r="K84" s="33">
        <v>12</v>
      </c>
      <c r="L84" s="33">
        <v>206.47</v>
      </c>
      <c r="M84" s="33">
        <v>37.169999999999995</v>
      </c>
      <c r="N84" s="33">
        <v>243.63999999999996</v>
      </c>
      <c r="R84"/>
      <c r="S84"/>
      <c r="T84"/>
      <c r="U84"/>
      <c r="V84"/>
      <c r="X84"/>
      <c r="Y84"/>
      <c r="Z84"/>
      <c r="AA84"/>
      <c r="AB84"/>
      <c r="AD84" s="19" t="s">
        <v>2265</v>
      </c>
      <c r="AE84" s="33">
        <v>1</v>
      </c>
      <c r="AF84" s="33">
        <v>35.42</v>
      </c>
      <c r="AG84" s="33">
        <v>6.38</v>
      </c>
      <c r="AH84" s="33">
        <v>41.8</v>
      </c>
      <c r="AI84"/>
      <c r="AJ84" s="19" t="s">
        <v>1195</v>
      </c>
      <c r="AK84" s="17">
        <v>1</v>
      </c>
      <c r="AL84" s="17">
        <v>343.47</v>
      </c>
      <c r="AM84" s="17">
        <v>61.83</v>
      </c>
      <c r="AN84" s="17">
        <v>405.3</v>
      </c>
      <c r="BN84"/>
      <c r="BO84"/>
      <c r="BQ84"/>
      <c r="BR84"/>
      <c r="BZ84" s="19">
        <v>949</v>
      </c>
      <c r="CA84" s="33">
        <v>2</v>
      </c>
      <c r="CC84" s="19">
        <v>3141</v>
      </c>
      <c r="CD84" s="33">
        <v>3</v>
      </c>
      <c r="CL84" s="19">
        <v>1119</v>
      </c>
      <c r="CM84" s="33">
        <v>3</v>
      </c>
      <c r="CO84" s="30" t="s">
        <v>1353</v>
      </c>
      <c r="CP84" s="33">
        <v>1</v>
      </c>
    </row>
    <row r="85" spans="4:94" ht="15">
      <c r="D85" s="19" t="s">
        <v>349</v>
      </c>
      <c r="E85" s="33">
        <v>1</v>
      </c>
      <c r="G85" s="19" t="s">
        <v>1355</v>
      </c>
      <c r="H85" s="33">
        <v>800</v>
      </c>
      <c r="J85" s="19" t="s">
        <v>1321</v>
      </c>
      <c r="K85" s="33">
        <v>36</v>
      </c>
      <c r="L85" s="33">
        <v>36907.96</v>
      </c>
      <c r="M85" s="33">
        <v>6643.42</v>
      </c>
      <c r="N85" s="33">
        <v>43551.38</v>
      </c>
      <c r="R85"/>
      <c r="S85"/>
      <c r="T85"/>
      <c r="U85"/>
      <c r="V85"/>
      <c r="X85"/>
      <c r="Y85"/>
      <c r="Z85"/>
      <c r="AA85"/>
      <c r="AB85"/>
      <c r="AD85" s="19" t="s">
        <v>2266</v>
      </c>
      <c r="AE85" s="33">
        <v>1</v>
      </c>
      <c r="AF85" s="33">
        <v>134.91999999999999</v>
      </c>
      <c r="AG85" s="33">
        <v>24.29</v>
      </c>
      <c r="AH85" s="33">
        <v>159.21</v>
      </c>
      <c r="AI85"/>
      <c r="AJ85" s="19" t="s">
        <v>1193</v>
      </c>
      <c r="AK85" s="17">
        <v>1</v>
      </c>
      <c r="AL85" s="17">
        <v>598.73</v>
      </c>
      <c r="AM85" s="17">
        <v>107.77</v>
      </c>
      <c r="AN85" s="17">
        <v>706.5</v>
      </c>
      <c r="BN85"/>
      <c r="BO85"/>
      <c r="BQ85"/>
      <c r="BR85"/>
      <c r="BZ85" s="19">
        <v>950</v>
      </c>
      <c r="CA85" s="33">
        <v>1</v>
      </c>
      <c r="CC85" s="19">
        <v>2616</v>
      </c>
      <c r="CD85" s="33">
        <v>2</v>
      </c>
      <c r="CL85" s="19">
        <v>1156</v>
      </c>
      <c r="CM85" s="33">
        <v>2</v>
      </c>
      <c r="CO85" s="30" t="s">
        <v>1354</v>
      </c>
      <c r="CP85" s="33">
        <v>1</v>
      </c>
    </row>
    <row r="86" spans="4:94" ht="15">
      <c r="D86" s="19" t="s">
        <v>350</v>
      </c>
      <c r="E86" s="33">
        <v>1</v>
      </c>
      <c r="G86" s="19" t="s">
        <v>1356</v>
      </c>
      <c r="H86" s="33">
        <v>800</v>
      </c>
      <c r="J86" s="19" t="s">
        <v>1324</v>
      </c>
      <c r="K86" s="33">
        <v>3</v>
      </c>
      <c r="L86" s="33">
        <v>789.89</v>
      </c>
      <c r="M86" s="33">
        <v>142.18</v>
      </c>
      <c r="N86" s="33">
        <v>932.07</v>
      </c>
      <c r="R86"/>
      <c r="S86"/>
      <c r="T86"/>
      <c r="U86"/>
      <c r="V86"/>
      <c r="X86"/>
      <c r="Y86"/>
      <c r="Z86"/>
      <c r="AA86"/>
      <c r="AB86"/>
      <c r="AD86" s="19" t="s">
        <v>2267</v>
      </c>
      <c r="AE86" s="33">
        <v>1</v>
      </c>
      <c r="AF86" s="33">
        <v>188.73</v>
      </c>
      <c r="AG86" s="33">
        <v>33.97</v>
      </c>
      <c r="AH86" s="33">
        <v>222.7</v>
      </c>
      <c r="AI86"/>
      <c r="AJ86" s="19" t="s">
        <v>1190</v>
      </c>
      <c r="AK86" s="17">
        <v>1</v>
      </c>
      <c r="AL86" s="17">
        <v>10</v>
      </c>
      <c r="AM86" s="17">
        <v>1.8</v>
      </c>
      <c r="AN86" s="17">
        <v>11.8</v>
      </c>
      <c r="BN86"/>
      <c r="BO86"/>
      <c r="BQ86"/>
      <c r="BR86"/>
      <c r="BZ86" s="19">
        <v>951</v>
      </c>
      <c r="CA86" s="33">
        <v>1</v>
      </c>
      <c r="CC86" s="19">
        <v>3050</v>
      </c>
      <c r="CD86" s="33">
        <v>4</v>
      </c>
      <c r="CL86" s="19">
        <v>411</v>
      </c>
      <c r="CM86" s="33">
        <v>2</v>
      </c>
      <c r="CO86" s="30" t="s">
        <v>1355</v>
      </c>
      <c r="CP86" s="33">
        <v>1</v>
      </c>
    </row>
    <row r="87" spans="4:94" ht="15">
      <c r="D87" s="19" t="s">
        <v>351</v>
      </c>
      <c r="E87" s="33">
        <v>1</v>
      </c>
      <c r="G87" s="19" t="s">
        <v>1357</v>
      </c>
      <c r="H87" s="33">
        <v>800</v>
      </c>
      <c r="J87" s="19" t="s">
        <v>1325</v>
      </c>
      <c r="K87" s="33">
        <v>11</v>
      </c>
      <c r="L87" s="33">
        <v>715.12999999999988</v>
      </c>
      <c r="M87" s="33">
        <v>128.72</v>
      </c>
      <c r="N87" s="33">
        <v>843.85</v>
      </c>
      <c r="R87"/>
      <c r="S87"/>
      <c r="T87"/>
      <c r="U87"/>
      <c r="V87"/>
      <c r="X87"/>
      <c r="Y87"/>
      <c r="Z87"/>
      <c r="AA87"/>
      <c r="AB87"/>
      <c r="AD87" s="19" t="s">
        <v>2268</v>
      </c>
      <c r="AE87" s="33">
        <v>1</v>
      </c>
      <c r="AF87" s="33">
        <v>545.16999999999996</v>
      </c>
      <c r="AG87" s="33">
        <v>98.13</v>
      </c>
      <c r="AH87" s="33">
        <v>643.29999999999995</v>
      </c>
      <c r="AI87"/>
      <c r="AJ87" s="19" t="s">
        <v>1162</v>
      </c>
      <c r="AK87" s="17">
        <v>1</v>
      </c>
      <c r="AL87" s="17">
        <v>24.58</v>
      </c>
      <c r="AM87" s="17">
        <v>4.42</v>
      </c>
      <c r="AN87" s="17">
        <v>29</v>
      </c>
      <c r="BN87"/>
      <c r="BO87"/>
      <c r="BQ87"/>
      <c r="BR87"/>
      <c r="BZ87" s="19">
        <v>952</v>
      </c>
      <c r="CA87" s="33">
        <v>1</v>
      </c>
      <c r="CC87" s="19">
        <v>3015</v>
      </c>
      <c r="CD87" s="33">
        <v>2</v>
      </c>
      <c r="CL87" s="19">
        <v>1118</v>
      </c>
      <c r="CM87" s="33">
        <v>4</v>
      </c>
      <c r="CO87" s="30" t="s">
        <v>1356</v>
      </c>
      <c r="CP87" s="33">
        <v>1</v>
      </c>
    </row>
    <row r="88" spans="4:94" ht="15">
      <c r="D88" s="19" t="s">
        <v>352</v>
      </c>
      <c r="E88" s="33">
        <v>1</v>
      </c>
      <c r="G88" s="19" t="s">
        <v>1358</v>
      </c>
      <c r="H88" s="33">
        <v>2200</v>
      </c>
      <c r="J88" s="19" t="s">
        <v>1342</v>
      </c>
      <c r="K88" s="33">
        <v>2</v>
      </c>
      <c r="L88" s="33">
        <v>434.21000000000004</v>
      </c>
      <c r="M88" s="33">
        <v>78.150000000000006</v>
      </c>
      <c r="N88" s="33">
        <v>512.36</v>
      </c>
      <c r="R88"/>
      <c r="S88"/>
      <c r="T88"/>
      <c r="U88"/>
      <c r="V88"/>
      <c r="X88"/>
      <c r="Y88"/>
      <c r="Z88"/>
      <c r="AA88"/>
      <c r="AB88"/>
      <c r="AD88" s="19" t="s">
        <v>2269</v>
      </c>
      <c r="AE88" s="33">
        <v>1</v>
      </c>
      <c r="AF88" s="33">
        <v>713.05</v>
      </c>
      <c r="AG88" s="33">
        <v>128.35</v>
      </c>
      <c r="AH88" s="33">
        <v>841.4</v>
      </c>
      <c r="AI88"/>
      <c r="AJ88" s="19" t="s">
        <v>1159</v>
      </c>
      <c r="AK88" s="17">
        <v>1</v>
      </c>
      <c r="AL88" s="17">
        <v>39.729999999999997</v>
      </c>
      <c r="AM88" s="17">
        <v>7.15</v>
      </c>
      <c r="AN88" s="17">
        <v>46.88</v>
      </c>
      <c r="BN88"/>
      <c r="BO88"/>
      <c r="BQ88"/>
      <c r="BR88"/>
      <c r="BZ88" s="19">
        <v>953</v>
      </c>
      <c r="CA88" s="33">
        <v>1</v>
      </c>
      <c r="CC88" s="19">
        <v>3156</v>
      </c>
      <c r="CD88" s="33">
        <v>2</v>
      </c>
      <c r="CL88" s="19">
        <v>1155</v>
      </c>
      <c r="CM88" s="33">
        <v>2</v>
      </c>
      <c r="CO88" s="30" t="s">
        <v>1357</v>
      </c>
      <c r="CP88" s="33">
        <v>1</v>
      </c>
    </row>
    <row r="89" spans="4:94" ht="15">
      <c r="D89" s="19" t="s">
        <v>354</v>
      </c>
      <c r="E89" s="33">
        <v>1</v>
      </c>
      <c r="G89" s="19" t="s">
        <v>1359</v>
      </c>
      <c r="H89" s="33">
        <v>600</v>
      </c>
      <c r="J89" s="19" t="s">
        <v>1386</v>
      </c>
      <c r="K89" s="33">
        <v>3</v>
      </c>
      <c r="L89" s="33">
        <v>3096.4</v>
      </c>
      <c r="M89" s="33">
        <v>557.35</v>
      </c>
      <c r="N89" s="33">
        <v>3653.75</v>
      </c>
      <c r="R89"/>
      <c r="S89"/>
      <c r="T89"/>
      <c r="U89"/>
      <c r="V89"/>
      <c r="X89"/>
      <c r="Y89"/>
      <c r="Z89"/>
      <c r="AA89"/>
      <c r="AB89"/>
      <c r="AD89" s="19" t="s">
        <v>2270</v>
      </c>
      <c r="AE89" s="33">
        <v>1</v>
      </c>
      <c r="AF89" s="33">
        <v>9</v>
      </c>
      <c r="AG89" s="33">
        <v>1.62</v>
      </c>
      <c r="AH89" s="33">
        <v>10.62</v>
      </c>
      <c r="AI89"/>
      <c r="AJ89" s="19" t="s">
        <v>1157</v>
      </c>
      <c r="AK89" s="17">
        <v>1</v>
      </c>
      <c r="AL89" s="17">
        <v>545.08000000000004</v>
      </c>
      <c r="AM89" s="17">
        <v>98.12</v>
      </c>
      <c r="AN89" s="17">
        <v>643.20000000000005</v>
      </c>
      <c r="BN89"/>
      <c r="BO89"/>
      <c r="BQ89"/>
      <c r="BR89"/>
      <c r="BZ89" s="19">
        <v>954</v>
      </c>
      <c r="CA89" s="33">
        <v>1</v>
      </c>
      <c r="CC89" s="19">
        <v>3162</v>
      </c>
      <c r="CD89" s="33">
        <v>2</v>
      </c>
      <c r="CL89" s="19">
        <v>1117</v>
      </c>
      <c r="CM89" s="33">
        <v>2</v>
      </c>
      <c r="CO89" s="30" t="s">
        <v>1358</v>
      </c>
      <c r="CP89" s="33">
        <v>1</v>
      </c>
    </row>
    <row r="90" spans="4:94" ht="15">
      <c r="D90" s="19" t="s">
        <v>355</v>
      </c>
      <c r="E90" s="33">
        <v>1</v>
      </c>
      <c r="G90" s="19" t="s">
        <v>1360</v>
      </c>
      <c r="H90" s="33">
        <v>660</v>
      </c>
      <c r="J90" s="19" t="s">
        <v>1388</v>
      </c>
      <c r="K90" s="33">
        <v>2</v>
      </c>
      <c r="L90" s="33">
        <v>680.25</v>
      </c>
      <c r="M90" s="33">
        <v>122.44</v>
      </c>
      <c r="N90" s="33">
        <v>802.69</v>
      </c>
      <c r="R90"/>
      <c r="S90"/>
      <c r="T90"/>
      <c r="U90"/>
      <c r="V90"/>
      <c r="X90"/>
      <c r="Y90"/>
      <c r="Z90"/>
      <c r="AA90"/>
      <c r="AB90"/>
      <c r="AD90" s="19" t="s">
        <v>2271</v>
      </c>
      <c r="AE90" s="33">
        <v>1</v>
      </c>
      <c r="AF90" s="33">
        <v>23.39</v>
      </c>
      <c r="AG90" s="33">
        <v>4.21</v>
      </c>
      <c r="AH90" s="33">
        <v>27.6</v>
      </c>
      <c r="AI90"/>
      <c r="AJ90" s="19" t="s">
        <v>1155</v>
      </c>
      <c r="AK90" s="17">
        <v>1</v>
      </c>
      <c r="AL90" s="17">
        <v>889.65</v>
      </c>
      <c r="AM90" s="17">
        <v>160.13999999999999</v>
      </c>
      <c r="AN90" s="17">
        <v>1049.79</v>
      </c>
      <c r="BN90"/>
      <c r="BO90"/>
      <c r="BQ90"/>
      <c r="BR90"/>
      <c r="BZ90" s="19">
        <v>955</v>
      </c>
      <c r="CA90" s="33">
        <v>2</v>
      </c>
      <c r="CC90" s="19">
        <v>3127</v>
      </c>
      <c r="CD90" s="33">
        <v>2</v>
      </c>
      <c r="CL90" s="19">
        <v>405</v>
      </c>
      <c r="CM90" s="33">
        <v>12</v>
      </c>
      <c r="CO90" s="30" t="s">
        <v>1359</v>
      </c>
      <c r="CP90" s="33">
        <v>1</v>
      </c>
    </row>
    <row r="91" spans="4:94" ht="15">
      <c r="D91" s="19" t="s">
        <v>356</v>
      </c>
      <c r="E91" s="33">
        <v>1</v>
      </c>
      <c r="G91" s="19" t="s">
        <v>1361</v>
      </c>
      <c r="H91" s="33">
        <v>1000</v>
      </c>
      <c r="J91" s="19" t="s">
        <v>1393</v>
      </c>
      <c r="K91" s="33">
        <v>4</v>
      </c>
      <c r="L91" s="33">
        <v>4469.7</v>
      </c>
      <c r="M91" s="33">
        <v>804.55</v>
      </c>
      <c r="N91" s="33">
        <v>5274.25</v>
      </c>
      <c r="R91"/>
      <c r="S91"/>
      <c r="T91"/>
      <c r="U91"/>
      <c r="V91"/>
      <c r="X91"/>
      <c r="Y91"/>
      <c r="Z91"/>
      <c r="AA91"/>
      <c r="AB91"/>
      <c r="AD91" s="19" t="s">
        <v>2272</v>
      </c>
      <c r="AE91" s="33">
        <v>1</v>
      </c>
      <c r="AF91" s="33">
        <v>41.53</v>
      </c>
      <c r="AG91" s="33">
        <v>7.48</v>
      </c>
      <c r="AH91" s="33">
        <v>49.01</v>
      </c>
      <c r="AJ91" s="19" t="s">
        <v>1153</v>
      </c>
      <c r="AK91" s="17">
        <v>1</v>
      </c>
      <c r="AL91" s="17">
        <v>460.17</v>
      </c>
      <c r="AM91" s="17">
        <v>82.83</v>
      </c>
      <c r="AN91" s="17">
        <v>543</v>
      </c>
      <c r="BN91"/>
      <c r="BO91"/>
      <c r="BQ91"/>
      <c r="BR91"/>
      <c r="BZ91" s="19">
        <v>956</v>
      </c>
      <c r="CA91" s="33">
        <v>1</v>
      </c>
      <c r="CC91" s="19">
        <v>3060</v>
      </c>
      <c r="CD91" s="33">
        <v>1</v>
      </c>
      <c r="CL91" s="19">
        <v>1115</v>
      </c>
      <c r="CM91" s="33">
        <v>2</v>
      </c>
      <c r="CO91" s="30" t="s">
        <v>1360</v>
      </c>
      <c r="CP91" s="33">
        <v>1</v>
      </c>
    </row>
    <row r="92" spans="4:94" ht="15">
      <c r="D92" s="19" t="s">
        <v>357</v>
      </c>
      <c r="E92" s="33">
        <v>1</v>
      </c>
      <c r="G92" s="19" t="s">
        <v>1362</v>
      </c>
      <c r="H92" s="33">
        <v>1400</v>
      </c>
      <c r="J92" s="19" t="s">
        <v>1409</v>
      </c>
      <c r="K92" s="33">
        <v>6</v>
      </c>
      <c r="L92" s="33">
        <v>8425.7999999999993</v>
      </c>
      <c r="M92" s="33">
        <v>1516.6399999999999</v>
      </c>
      <c r="N92" s="33">
        <v>9942.4399999999987</v>
      </c>
      <c r="R92"/>
      <c r="S92"/>
      <c r="T92"/>
      <c r="U92"/>
      <c r="V92"/>
      <c r="X92"/>
      <c r="Y92"/>
      <c r="Z92"/>
      <c r="AA92"/>
      <c r="AB92"/>
      <c r="AD92" s="19" t="s">
        <v>2273</v>
      </c>
      <c r="AE92" s="33">
        <v>1</v>
      </c>
      <c r="AF92" s="33">
        <v>134.24</v>
      </c>
      <c r="AG92" s="33">
        <v>24.16</v>
      </c>
      <c r="AH92" s="33">
        <v>158.4</v>
      </c>
      <c r="AJ92" s="19" t="s">
        <v>1150</v>
      </c>
      <c r="AK92" s="17">
        <v>1</v>
      </c>
      <c r="AL92" s="17">
        <v>757.54</v>
      </c>
      <c r="AM92" s="17">
        <v>136.36000000000001</v>
      </c>
      <c r="AN92" s="17">
        <v>893.9</v>
      </c>
      <c r="BN92"/>
      <c r="BO92"/>
      <c r="BQ92"/>
      <c r="BR92"/>
      <c r="BZ92" s="19">
        <v>957</v>
      </c>
      <c r="CA92" s="33">
        <v>1</v>
      </c>
      <c r="CC92" s="19">
        <v>3319</v>
      </c>
      <c r="CD92" s="33">
        <v>6</v>
      </c>
      <c r="CL92" s="19">
        <v>1154</v>
      </c>
      <c r="CM92" s="33">
        <v>2</v>
      </c>
      <c r="CO92" s="30" t="s">
        <v>1361</v>
      </c>
      <c r="CP92" s="33">
        <v>1</v>
      </c>
    </row>
    <row r="93" spans="4:94" ht="15">
      <c r="D93" s="19" t="s">
        <v>360</v>
      </c>
      <c r="E93" s="33">
        <v>1</v>
      </c>
      <c r="G93" s="19" t="s">
        <v>1363</v>
      </c>
      <c r="H93" s="33">
        <v>1400</v>
      </c>
      <c r="J93" s="19" t="s">
        <v>1416</v>
      </c>
      <c r="K93" s="33">
        <v>2</v>
      </c>
      <c r="L93" s="33">
        <v>629.66</v>
      </c>
      <c r="M93" s="33">
        <v>113.34</v>
      </c>
      <c r="N93" s="33">
        <v>743</v>
      </c>
      <c r="R93"/>
      <c r="S93"/>
      <c r="T93"/>
      <c r="U93"/>
      <c r="V93"/>
      <c r="X93"/>
      <c r="Y93"/>
      <c r="Z93"/>
      <c r="AA93"/>
      <c r="AB93"/>
      <c r="AD93" s="19" t="s">
        <v>2274</v>
      </c>
      <c r="AE93" s="33">
        <v>1</v>
      </c>
      <c r="AF93" s="33">
        <v>245.25</v>
      </c>
      <c r="AG93" s="33">
        <v>44.15</v>
      </c>
      <c r="AH93" s="33">
        <v>289.39999999999998</v>
      </c>
      <c r="AJ93" s="19" t="s">
        <v>1148</v>
      </c>
      <c r="AK93" s="17">
        <v>1</v>
      </c>
      <c r="AL93" s="17">
        <v>182.75</v>
      </c>
      <c r="AM93" s="17">
        <v>32.89</v>
      </c>
      <c r="AN93" s="17">
        <v>215.64</v>
      </c>
      <c r="BN93"/>
      <c r="BO93"/>
      <c r="BQ93"/>
      <c r="BR93"/>
      <c r="BZ93" s="19">
        <v>958</v>
      </c>
      <c r="CA93" s="33">
        <v>1</v>
      </c>
      <c r="CC93" s="19">
        <v>3301</v>
      </c>
      <c r="CD93" s="33">
        <v>3</v>
      </c>
      <c r="CL93" s="19">
        <v>1114</v>
      </c>
      <c r="CM93" s="33">
        <v>2</v>
      </c>
      <c r="CO93" s="30" t="s">
        <v>1362</v>
      </c>
      <c r="CP93" s="33">
        <v>1</v>
      </c>
    </row>
    <row r="94" spans="4:94" ht="15">
      <c r="D94" s="19" t="s">
        <v>361</v>
      </c>
      <c r="E94" s="33">
        <v>1</v>
      </c>
      <c r="G94" s="19" t="s">
        <v>1364</v>
      </c>
      <c r="H94" s="33">
        <v>720</v>
      </c>
      <c r="J94" s="19" t="s">
        <v>1424</v>
      </c>
      <c r="K94" s="33">
        <v>3</v>
      </c>
      <c r="L94" s="33">
        <v>1230</v>
      </c>
      <c r="M94" s="33">
        <v>221.4</v>
      </c>
      <c r="N94" s="33">
        <v>1451.4</v>
      </c>
      <c r="R94"/>
      <c r="S94"/>
      <c r="T94"/>
      <c r="U94"/>
      <c r="V94"/>
      <c r="X94"/>
      <c r="Y94"/>
      <c r="Z94"/>
      <c r="AA94"/>
      <c r="AB94"/>
      <c r="AD94" s="19" t="s">
        <v>2275</v>
      </c>
      <c r="AE94" s="33">
        <v>1</v>
      </c>
      <c r="AF94" s="33">
        <v>820.51</v>
      </c>
      <c r="AG94" s="33">
        <v>147.69</v>
      </c>
      <c r="AH94" s="33">
        <v>968.2</v>
      </c>
      <c r="AJ94" s="19" t="s">
        <v>1145</v>
      </c>
      <c r="AK94" s="17">
        <v>1</v>
      </c>
      <c r="AL94" s="17">
        <v>109.06</v>
      </c>
      <c r="AM94" s="17">
        <v>19.63</v>
      </c>
      <c r="AN94" s="17">
        <v>128.69</v>
      </c>
      <c r="BN94"/>
      <c r="BO94"/>
      <c r="BQ94"/>
      <c r="BR94"/>
      <c r="BZ94" s="19">
        <v>959</v>
      </c>
      <c r="CA94" s="33">
        <v>1</v>
      </c>
      <c r="CC94" s="19">
        <v>3300</v>
      </c>
      <c r="CD94" s="33">
        <v>2</v>
      </c>
      <c r="CL94" s="19">
        <v>441</v>
      </c>
      <c r="CM94" s="33">
        <v>3</v>
      </c>
      <c r="CO94" s="30" t="s">
        <v>1363</v>
      </c>
      <c r="CP94" s="33">
        <v>1</v>
      </c>
    </row>
    <row r="95" spans="4:94" ht="15">
      <c r="D95" s="19" t="s">
        <v>363</v>
      </c>
      <c r="E95" s="33">
        <v>1</v>
      </c>
      <c r="G95" s="19" t="s">
        <v>1365</v>
      </c>
      <c r="H95" s="33">
        <v>720</v>
      </c>
      <c r="J95" s="19" t="s">
        <v>1454</v>
      </c>
      <c r="K95" s="33">
        <v>8</v>
      </c>
      <c r="L95" s="33">
        <v>2005.2</v>
      </c>
      <c r="M95" s="33">
        <v>360.92999999999995</v>
      </c>
      <c r="N95" s="33">
        <v>2366.13</v>
      </c>
      <c r="R95"/>
      <c r="S95"/>
      <c r="T95"/>
      <c r="U95"/>
      <c r="V95"/>
      <c r="X95"/>
      <c r="Y95"/>
      <c r="Z95"/>
      <c r="AA95"/>
      <c r="AB95"/>
      <c r="AD95" s="19" t="s">
        <v>2276</v>
      </c>
      <c r="AE95" s="33">
        <v>1</v>
      </c>
      <c r="AF95" s="33">
        <v>1172.3699999999999</v>
      </c>
      <c r="AG95" s="33">
        <v>211.03</v>
      </c>
      <c r="AH95" s="33">
        <v>1383.4</v>
      </c>
      <c r="AJ95" s="19" t="s">
        <v>1143</v>
      </c>
      <c r="AK95" s="17">
        <v>1</v>
      </c>
      <c r="AL95" s="17">
        <v>41.47</v>
      </c>
      <c r="AM95" s="17">
        <v>7.47</v>
      </c>
      <c r="AN95" s="17">
        <v>48.94</v>
      </c>
      <c r="BN95"/>
      <c r="BO95"/>
      <c r="BQ95"/>
      <c r="BR95"/>
      <c r="BZ95" s="19">
        <v>960</v>
      </c>
      <c r="CA95" s="33">
        <v>1</v>
      </c>
      <c r="CC95" s="19">
        <v>3260</v>
      </c>
      <c r="CD95" s="33">
        <v>3</v>
      </c>
      <c r="CL95" s="19">
        <v>1153</v>
      </c>
      <c r="CM95" s="33">
        <v>2</v>
      </c>
      <c r="CO95" s="30" t="s">
        <v>1364</v>
      </c>
      <c r="CP95" s="33">
        <v>1</v>
      </c>
    </row>
    <row r="96" spans="4:94" ht="15">
      <c r="D96" s="19" t="s">
        <v>364</v>
      </c>
      <c r="E96" s="33">
        <v>1</v>
      </c>
      <c r="G96" s="19" t="s">
        <v>1366</v>
      </c>
      <c r="H96" s="33">
        <v>209.66</v>
      </c>
      <c r="J96" s="19" t="s">
        <v>1457</v>
      </c>
      <c r="K96" s="33">
        <v>9</v>
      </c>
      <c r="L96" s="33">
        <v>6115.59</v>
      </c>
      <c r="M96" s="33">
        <v>1100.81</v>
      </c>
      <c r="N96" s="33">
        <v>7216.4000000000015</v>
      </c>
      <c r="R96"/>
      <c r="S96"/>
      <c r="T96"/>
      <c r="U96"/>
      <c r="V96"/>
      <c r="X96"/>
      <c r="Y96"/>
      <c r="Z96"/>
      <c r="AA96"/>
      <c r="AB96"/>
      <c r="AD96" s="19" t="s">
        <v>2277</v>
      </c>
      <c r="AE96" s="33">
        <v>1</v>
      </c>
      <c r="AF96" s="33">
        <v>35.08</v>
      </c>
      <c r="AG96" s="33">
        <v>6.31</v>
      </c>
      <c r="AH96" s="33">
        <v>41.39</v>
      </c>
      <c r="AJ96" s="19" t="s">
        <v>1140</v>
      </c>
      <c r="AK96" s="17">
        <v>1</v>
      </c>
      <c r="AL96" s="17">
        <v>66.45</v>
      </c>
      <c r="AM96" s="17">
        <v>11.96</v>
      </c>
      <c r="AN96" s="17">
        <v>78.41</v>
      </c>
      <c r="BN96"/>
      <c r="BO96"/>
      <c r="BQ96"/>
      <c r="BR96"/>
      <c r="BZ96" s="19">
        <v>961</v>
      </c>
      <c r="CA96" s="33">
        <v>1</v>
      </c>
      <c r="CC96" s="19">
        <v>3207</v>
      </c>
      <c r="CD96" s="33">
        <v>2</v>
      </c>
      <c r="CL96" s="19">
        <v>1113</v>
      </c>
      <c r="CM96" s="33">
        <v>4</v>
      </c>
      <c r="CO96" s="30" t="s">
        <v>1365</v>
      </c>
      <c r="CP96" s="33">
        <v>1</v>
      </c>
    </row>
    <row r="97" spans="4:94" ht="15">
      <c r="D97" s="19" t="s">
        <v>367</v>
      </c>
      <c r="E97" s="33">
        <v>1</v>
      </c>
      <c r="G97" s="19" t="s">
        <v>1367</v>
      </c>
      <c r="H97" s="33">
        <v>976.5</v>
      </c>
      <c r="J97" s="19" t="s">
        <v>1489</v>
      </c>
      <c r="K97" s="33">
        <v>2</v>
      </c>
      <c r="L97" s="33">
        <v>492.46000000000004</v>
      </c>
      <c r="M97" s="33">
        <v>88.64</v>
      </c>
      <c r="N97" s="33">
        <v>581.09999999999991</v>
      </c>
      <c r="R97"/>
      <c r="S97"/>
      <c r="T97"/>
      <c r="U97"/>
      <c r="V97"/>
      <c r="X97"/>
      <c r="Y97"/>
      <c r="Z97"/>
      <c r="AA97"/>
      <c r="AB97"/>
      <c r="AD97" s="19" t="s">
        <v>2278</v>
      </c>
      <c r="AE97" s="33">
        <v>1</v>
      </c>
      <c r="AF97" s="33">
        <v>37.119999999999997</v>
      </c>
      <c r="AG97" s="33">
        <v>6.68</v>
      </c>
      <c r="AH97" s="33">
        <v>43.8</v>
      </c>
      <c r="AJ97" s="19" t="s">
        <v>1138</v>
      </c>
      <c r="AK97" s="17">
        <v>1</v>
      </c>
      <c r="AL97" s="17">
        <v>43</v>
      </c>
      <c r="AM97" s="17">
        <v>7.74</v>
      </c>
      <c r="AN97" s="17">
        <v>50.74</v>
      </c>
      <c r="BN97"/>
      <c r="BO97"/>
      <c r="BQ97"/>
      <c r="BR97"/>
      <c r="BZ97" s="19">
        <v>962</v>
      </c>
      <c r="CA97" s="33">
        <v>1</v>
      </c>
      <c r="CC97" s="19">
        <v>3173</v>
      </c>
      <c r="CD97" s="33">
        <v>3</v>
      </c>
      <c r="CL97" s="19">
        <v>1152</v>
      </c>
      <c r="CM97" s="33">
        <v>2</v>
      </c>
      <c r="CO97" s="30" t="s">
        <v>1366</v>
      </c>
      <c r="CP97" s="33">
        <v>1</v>
      </c>
    </row>
    <row r="98" spans="4:94" ht="15">
      <c r="D98" s="19" t="s">
        <v>368</v>
      </c>
      <c r="E98" s="33">
        <v>1</v>
      </c>
      <c r="G98" s="19" t="s">
        <v>1368</v>
      </c>
      <c r="H98" s="33">
        <v>970</v>
      </c>
      <c r="J98" s="19" t="s">
        <v>1496</v>
      </c>
      <c r="K98" s="33">
        <v>2</v>
      </c>
      <c r="L98" s="33">
        <v>1717.63</v>
      </c>
      <c r="M98" s="33">
        <v>309.16999999999996</v>
      </c>
      <c r="N98" s="33">
        <v>2026.8</v>
      </c>
      <c r="R98"/>
      <c r="S98"/>
      <c r="T98"/>
      <c r="U98"/>
      <c r="V98"/>
      <c r="X98"/>
      <c r="Y98"/>
      <c r="Z98"/>
      <c r="AA98"/>
      <c r="AB98"/>
      <c r="AD98" s="19" t="s">
        <v>2279</v>
      </c>
      <c r="AE98" s="33">
        <v>1</v>
      </c>
      <c r="AF98" s="33">
        <v>73.73</v>
      </c>
      <c r="AG98" s="33">
        <v>13.27</v>
      </c>
      <c r="AH98" s="33">
        <v>87</v>
      </c>
      <c r="AJ98" s="19" t="s">
        <v>1135</v>
      </c>
      <c r="AK98" s="17">
        <v>1</v>
      </c>
      <c r="AL98" s="17">
        <v>59.66</v>
      </c>
      <c r="AM98" s="17">
        <v>10.74</v>
      </c>
      <c r="AN98" s="17">
        <v>70.400000000000006</v>
      </c>
      <c r="BN98"/>
      <c r="BO98"/>
      <c r="BQ98"/>
      <c r="BR98"/>
      <c r="BZ98" s="19">
        <v>963</v>
      </c>
      <c r="CA98" s="33">
        <v>1</v>
      </c>
      <c r="CC98" s="19">
        <v>3175</v>
      </c>
      <c r="CD98" s="33">
        <v>2</v>
      </c>
      <c r="CL98" s="19">
        <v>5214</v>
      </c>
      <c r="CM98" s="33">
        <v>6</v>
      </c>
      <c r="CO98" s="30" t="s">
        <v>1367</v>
      </c>
      <c r="CP98" s="33">
        <v>1</v>
      </c>
    </row>
    <row r="99" spans="4:94" ht="15">
      <c r="D99" s="19" t="s">
        <v>370</v>
      </c>
      <c r="E99" s="33">
        <v>1</v>
      </c>
      <c r="G99" s="19" t="s">
        <v>1369</v>
      </c>
      <c r="H99" s="33">
        <v>2551.0300000000002</v>
      </c>
      <c r="J99" s="19" t="s">
        <v>1502</v>
      </c>
      <c r="K99" s="33">
        <v>3</v>
      </c>
      <c r="L99" s="33">
        <v>4240.74</v>
      </c>
      <c r="M99" s="33">
        <v>763.32999999999993</v>
      </c>
      <c r="N99" s="33">
        <v>5004.07</v>
      </c>
      <c r="R99"/>
      <c r="S99"/>
      <c r="T99"/>
      <c r="U99"/>
      <c r="V99"/>
      <c r="X99"/>
      <c r="Y99"/>
      <c r="Z99"/>
      <c r="AA99"/>
      <c r="AB99"/>
      <c r="AD99" s="19" t="s">
        <v>2280</v>
      </c>
      <c r="AE99" s="33">
        <v>1</v>
      </c>
      <c r="AF99" s="33">
        <v>128.72999999999999</v>
      </c>
      <c r="AG99" s="33">
        <v>23.17</v>
      </c>
      <c r="AH99" s="33">
        <v>151.9</v>
      </c>
      <c r="AJ99" s="19" t="s">
        <v>1133</v>
      </c>
      <c r="AK99" s="17">
        <v>1</v>
      </c>
      <c r="AL99" s="17">
        <v>59.15</v>
      </c>
      <c r="AM99" s="17">
        <v>10.65</v>
      </c>
      <c r="AN99" s="17">
        <v>69.8</v>
      </c>
      <c r="BN99"/>
      <c r="BO99"/>
      <c r="BQ99"/>
      <c r="BR99"/>
      <c r="BZ99" s="19">
        <v>964</v>
      </c>
      <c r="CA99" s="33">
        <v>1</v>
      </c>
      <c r="CC99" s="19">
        <v>3155</v>
      </c>
      <c r="CD99" s="33">
        <v>2</v>
      </c>
      <c r="CL99" s="19">
        <v>6833</v>
      </c>
      <c r="CM99" s="33">
        <v>1</v>
      </c>
      <c r="CO99" s="30" t="s">
        <v>1368</v>
      </c>
      <c r="CP99" s="33">
        <v>1</v>
      </c>
    </row>
    <row r="100" spans="4:94" ht="15">
      <c r="D100" s="19" t="s">
        <v>371</v>
      </c>
      <c r="E100" s="33">
        <v>1</v>
      </c>
      <c r="G100" s="19" t="s">
        <v>1370</v>
      </c>
      <c r="H100" s="33">
        <v>1594.55</v>
      </c>
      <c r="J100" s="19" t="s">
        <v>1511</v>
      </c>
      <c r="K100" s="33">
        <v>2</v>
      </c>
      <c r="L100" s="33">
        <v>652.54999999999995</v>
      </c>
      <c r="M100" s="33">
        <v>117.46000000000001</v>
      </c>
      <c r="N100" s="33">
        <v>770.01</v>
      </c>
      <c r="R100"/>
      <c r="S100"/>
      <c r="T100"/>
      <c r="U100"/>
      <c r="V100"/>
      <c r="X100"/>
      <c r="Y100"/>
      <c r="Z100"/>
      <c r="AA100"/>
      <c r="AB100"/>
      <c r="AD100" s="19" t="s">
        <v>2281</v>
      </c>
      <c r="AE100" s="33">
        <v>1</v>
      </c>
      <c r="AF100" s="33">
        <v>93.22</v>
      </c>
      <c r="AG100" s="33">
        <v>16.78</v>
      </c>
      <c r="AH100" s="33">
        <v>110</v>
      </c>
      <c r="AJ100" s="19" t="s">
        <v>1130</v>
      </c>
      <c r="AK100" s="17">
        <v>1</v>
      </c>
      <c r="AL100" s="17">
        <v>113.39</v>
      </c>
      <c r="AM100" s="17">
        <v>20.41</v>
      </c>
      <c r="AN100" s="17">
        <v>133.80000000000001</v>
      </c>
      <c r="BN100"/>
      <c r="BO100"/>
      <c r="BQ100"/>
      <c r="BR100"/>
      <c r="BZ100" s="19">
        <v>965</v>
      </c>
      <c r="CA100" s="33">
        <v>1</v>
      </c>
      <c r="CC100" s="19">
        <v>3235</v>
      </c>
      <c r="CD100" s="33">
        <v>3</v>
      </c>
      <c r="CL100" s="19">
        <v>5354</v>
      </c>
      <c r="CM100" s="33">
        <v>1</v>
      </c>
      <c r="CO100" s="30" t="s">
        <v>1369</v>
      </c>
      <c r="CP100" s="33">
        <v>1</v>
      </c>
    </row>
    <row r="101" spans="4:94" ht="15">
      <c r="D101" s="19" t="s">
        <v>374</v>
      </c>
      <c r="E101" s="33">
        <v>1</v>
      </c>
      <c r="G101" s="19" t="s">
        <v>1371</v>
      </c>
      <c r="H101" s="33">
        <v>83.53</v>
      </c>
      <c r="J101" s="19" t="s">
        <v>1517</v>
      </c>
      <c r="K101" s="33">
        <v>2</v>
      </c>
      <c r="L101" s="33">
        <v>93.98</v>
      </c>
      <c r="M101" s="33">
        <v>16.920000000000002</v>
      </c>
      <c r="N101" s="33">
        <v>110.9</v>
      </c>
      <c r="R101"/>
      <c r="S101"/>
      <c r="T101"/>
      <c r="U101"/>
      <c r="V101"/>
      <c r="X101"/>
      <c r="Y101"/>
      <c r="Z101"/>
      <c r="AA101"/>
      <c r="AB101"/>
      <c r="AD101" s="19" t="s">
        <v>2282</v>
      </c>
      <c r="AE101" s="33">
        <v>1</v>
      </c>
      <c r="AF101" s="33">
        <v>1057.33</v>
      </c>
      <c r="AG101" s="33">
        <v>190.32</v>
      </c>
      <c r="AH101" s="33">
        <v>1247.6500000000001</v>
      </c>
      <c r="AJ101" s="19" t="s">
        <v>1045</v>
      </c>
      <c r="AK101" s="17">
        <v>1</v>
      </c>
      <c r="AL101" s="17">
        <v>1.02</v>
      </c>
      <c r="AM101" s="17">
        <v>0.18</v>
      </c>
      <c r="AN101" s="17">
        <v>1.2</v>
      </c>
      <c r="BN101"/>
      <c r="BO101"/>
      <c r="BQ101"/>
      <c r="BR101"/>
      <c r="BZ101" s="19">
        <v>966</v>
      </c>
      <c r="CA101" s="33">
        <v>1</v>
      </c>
      <c r="CC101" s="19">
        <v>3142</v>
      </c>
      <c r="CD101" s="33">
        <v>2</v>
      </c>
      <c r="CL101" s="19">
        <v>6660</v>
      </c>
      <c r="CM101" s="33">
        <v>3</v>
      </c>
      <c r="CO101" s="30" t="s">
        <v>1370</v>
      </c>
      <c r="CP101" s="33">
        <v>1</v>
      </c>
    </row>
    <row r="102" spans="4:94" ht="15">
      <c r="D102" s="19" t="s">
        <v>375</v>
      </c>
      <c r="E102" s="33">
        <v>1</v>
      </c>
      <c r="G102" s="19" t="s">
        <v>1372</v>
      </c>
      <c r="H102" s="33">
        <v>4737.62</v>
      </c>
      <c r="J102" s="19" t="s">
        <v>1522</v>
      </c>
      <c r="K102" s="33">
        <v>6</v>
      </c>
      <c r="L102" s="33">
        <v>5529.36</v>
      </c>
      <c r="M102" s="33">
        <v>995.29</v>
      </c>
      <c r="N102" s="33">
        <v>6524.65</v>
      </c>
      <c r="R102"/>
      <c r="S102"/>
      <c r="T102"/>
      <c r="U102"/>
      <c r="V102"/>
      <c r="X102"/>
      <c r="Y102"/>
      <c r="Z102"/>
      <c r="AA102"/>
      <c r="AB102"/>
      <c r="AD102" s="19" t="s">
        <v>2283</v>
      </c>
      <c r="AE102" s="33">
        <v>1</v>
      </c>
      <c r="AF102" s="33">
        <v>799.53</v>
      </c>
      <c r="AG102" s="33">
        <v>143.91999999999999</v>
      </c>
      <c r="AH102" s="33">
        <v>943.45</v>
      </c>
      <c r="AJ102" s="19" t="s">
        <v>1042</v>
      </c>
      <c r="AK102" s="17">
        <v>1</v>
      </c>
      <c r="AL102" s="17">
        <v>1.44</v>
      </c>
      <c r="AM102" s="17">
        <v>0.26</v>
      </c>
      <c r="AN102" s="17">
        <v>1.7</v>
      </c>
      <c r="BN102"/>
      <c r="BO102"/>
      <c r="BQ102"/>
      <c r="BR102"/>
      <c r="BZ102" s="19">
        <v>967</v>
      </c>
      <c r="CA102" s="33">
        <v>1</v>
      </c>
      <c r="CC102" s="19">
        <v>3193</v>
      </c>
      <c r="CD102" s="33">
        <v>1</v>
      </c>
      <c r="CL102" s="19">
        <v>5597</v>
      </c>
      <c r="CM102" s="33">
        <v>17</v>
      </c>
      <c r="CO102" s="30" t="s">
        <v>1371</v>
      </c>
      <c r="CP102" s="33">
        <v>1</v>
      </c>
    </row>
    <row r="103" spans="4:94" ht="15">
      <c r="D103" s="19" t="s">
        <v>378</v>
      </c>
      <c r="E103" s="33">
        <v>1</v>
      </c>
      <c r="G103" s="19" t="s">
        <v>1373</v>
      </c>
      <c r="H103" s="33">
        <v>2961.31</v>
      </c>
      <c r="J103" s="19" t="s">
        <v>1524</v>
      </c>
      <c r="K103" s="33">
        <v>1</v>
      </c>
      <c r="L103" s="33">
        <v>900</v>
      </c>
      <c r="M103" s="33">
        <v>162</v>
      </c>
      <c r="N103" s="33">
        <v>1062</v>
      </c>
      <c r="R103"/>
      <c r="S103"/>
      <c r="T103"/>
      <c r="U103"/>
      <c r="V103"/>
      <c r="X103"/>
      <c r="Y103"/>
      <c r="Z103"/>
      <c r="AA103"/>
      <c r="AB103"/>
      <c r="AD103" s="19" t="s">
        <v>2284</v>
      </c>
      <c r="AE103" s="33">
        <v>1</v>
      </c>
      <c r="AF103" s="33">
        <v>62.5</v>
      </c>
      <c r="AG103" s="33">
        <v>11.25</v>
      </c>
      <c r="AH103" s="33">
        <v>73.75</v>
      </c>
      <c r="AJ103" s="19" t="s">
        <v>1040</v>
      </c>
      <c r="AK103" s="17">
        <v>1</v>
      </c>
      <c r="AL103" s="17">
        <v>338.9</v>
      </c>
      <c r="AM103" s="17">
        <v>61</v>
      </c>
      <c r="AN103" s="17">
        <v>399.9</v>
      </c>
      <c r="BN103"/>
      <c r="BO103"/>
      <c r="BQ103"/>
      <c r="BR103"/>
      <c r="BZ103" s="19">
        <v>968</v>
      </c>
      <c r="CA103" s="33">
        <v>1</v>
      </c>
      <c r="CC103" s="19">
        <v>3200</v>
      </c>
      <c r="CD103" s="33">
        <v>1</v>
      </c>
      <c r="CL103" s="19">
        <v>6580</v>
      </c>
      <c r="CM103" s="33">
        <v>4</v>
      </c>
      <c r="CO103" s="30" t="s">
        <v>1372</v>
      </c>
      <c r="CP103" s="33">
        <v>1</v>
      </c>
    </row>
    <row r="104" spans="4:94" ht="15">
      <c r="D104" s="19" t="s">
        <v>380</v>
      </c>
      <c r="E104" s="33">
        <v>1</v>
      </c>
      <c r="G104" s="19" t="s">
        <v>1374</v>
      </c>
      <c r="H104" s="33">
        <v>390</v>
      </c>
      <c r="J104" s="19" t="s">
        <v>1530</v>
      </c>
      <c r="K104" s="33">
        <v>3</v>
      </c>
      <c r="L104" s="33">
        <v>645</v>
      </c>
      <c r="M104" s="33">
        <v>116.10000000000001</v>
      </c>
      <c r="N104" s="33">
        <v>761.1</v>
      </c>
      <c r="R104"/>
      <c r="S104"/>
      <c r="T104"/>
      <c r="U104"/>
      <c r="V104"/>
      <c r="X104"/>
      <c r="Y104"/>
      <c r="Z104"/>
      <c r="AA104"/>
      <c r="AB104"/>
      <c r="AD104" s="19" t="s">
        <v>2285</v>
      </c>
      <c r="AE104" s="33">
        <v>1</v>
      </c>
      <c r="AF104" s="33">
        <v>590</v>
      </c>
      <c r="AG104" s="33">
        <v>106.2</v>
      </c>
      <c r="AH104" s="33">
        <v>696.2</v>
      </c>
      <c r="AJ104" s="19" t="s">
        <v>1038</v>
      </c>
      <c r="AK104" s="17">
        <v>1</v>
      </c>
      <c r="AL104" s="17">
        <v>530.16999999999996</v>
      </c>
      <c r="AM104" s="17">
        <v>95.43</v>
      </c>
      <c r="AN104" s="17">
        <v>625.6</v>
      </c>
      <c r="BN104"/>
      <c r="BO104"/>
      <c r="BQ104"/>
      <c r="BR104"/>
      <c r="BZ104" s="19">
        <v>969</v>
      </c>
      <c r="CA104" s="33">
        <v>1</v>
      </c>
      <c r="CC104" s="19">
        <v>3252</v>
      </c>
      <c r="CD104" s="33">
        <v>2</v>
      </c>
      <c r="CL104" s="19">
        <v>5088</v>
      </c>
      <c r="CM104" s="33">
        <v>2</v>
      </c>
      <c r="CO104" s="30" t="s">
        <v>1373</v>
      </c>
      <c r="CP104" s="33">
        <v>1</v>
      </c>
    </row>
    <row r="105" spans="4:94" ht="15">
      <c r="D105" s="19" t="s">
        <v>382</v>
      </c>
      <c r="E105" s="33">
        <v>1</v>
      </c>
      <c r="G105" s="19" t="s">
        <v>1375</v>
      </c>
      <c r="H105" s="33">
        <v>920</v>
      </c>
      <c r="J105" s="19" t="s">
        <v>1553</v>
      </c>
      <c r="K105" s="33">
        <v>6</v>
      </c>
      <c r="L105" s="33">
        <v>147.97</v>
      </c>
      <c r="M105" s="33">
        <v>26.64</v>
      </c>
      <c r="N105" s="33">
        <v>174.60999999999999</v>
      </c>
      <c r="R105"/>
      <c r="S105"/>
      <c r="T105"/>
      <c r="U105"/>
      <c r="V105"/>
      <c r="X105"/>
      <c r="Y105"/>
      <c r="Z105"/>
      <c r="AA105"/>
      <c r="AB105"/>
      <c r="AD105" s="19" t="s">
        <v>2286</v>
      </c>
      <c r="AE105" s="33">
        <v>1</v>
      </c>
      <c r="AF105" s="33">
        <v>300</v>
      </c>
      <c r="AG105" s="33">
        <v>54</v>
      </c>
      <c r="AH105" s="33">
        <v>354</v>
      </c>
      <c r="AJ105" s="19" t="s">
        <v>1035</v>
      </c>
      <c r="AK105" s="17">
        <v>1</v>
      </c>
      <c r="AL105" s="17">
        <v>15</v>
      </c>
      <c r="AM105" s="17">
        <v>2.7</v>
      </c>
      <c r="AN105" s="17">
        <v>17.7</v>
      </c>
      <c r="BN105"/>
      <c r="BO105"/>
      <c r="BQ105"/>
      <c r="BR105"/>
      <c r="BZ105" s="19">
        <v>970</v>
      </c>
      <c r="CA105" s="33">
        <v>1</v>
      </c>
      <c r="CC105" s="19">
        <v>3215</v>
      </c>
      <c r="CD105" s="33">
        <v>3</v>
      </c>
      <c r="CL105" s="19">
        <v>6056</v>
      </c>
      <c r="CM105" s="33">
        <v>3</v>
      </c>
      <c r="CO105" s="30" t="s">
        <v>1374</v>
      </c>
      <c r="CP105" s="33">
        <v>1</v>
      </c>
    </row>
    <row r="106" spans="4:94" ht="15">
      <c r="D106" s="19" t="s">
        <v>384</v>
      </c>
      <c r="E106" s="33">
        <v>1</v>
      </c>
      <c r="G106" s="19" t="s">
        <v>1376</v>
      </c>
      <c r="H106" s="33">
        <v>1800</v>
      </c>
      <c r="J106" s="19" t="s">
        <v>1492</v>
      </c>
      <c r="K106" s="33">
        <v>2</v>
      </c>
      <c r="L106" s="33">
        <v>492.46000000000004</v>
      </c>
      <c r="M106" s="33">
        <v>88.64</v>
      </c>
      <c r="N106" s="33">
        <v>581.09999999999991</v>
      </c>
      <c r="R106"/>
      <c r="S106"/>
      <c r="T106"/>
      <c r="U106"/>
      <c r="V106"/>
      <c r="X106"/>
      <c r="Y106"/>
      <c r="Z106"/>
      <c r="AA106"/>
      <c r="AB106"/>
      <c r="AD106" s="19" t="s">
        <v>2287</v>
      </c>
      <c r="AE106" s="33">
        <v>1</v>
      </c>
      <c r="AF106" s="33">
        <v>7.5</v>
      </c>
      <c r="AG106" s="33">
        <v>1.35</v>
      </c>
      <c r="AH106" s="33">
        <v>8.85</v>
      </c>
      <c r="AJ106" s="19" t="s">
        <v>1033</v>
      </c>
      <c r="AK106" s="17">
        <v>1</v>
      </c>
      <c r="AL106" s="17">
        <v>947.12</v>
      </c>
      <c r="AM106" s="17">
        <v>170.48</v>
      </c>
      <c r="AN106" s="17">
        <v>1117.5999999999999</v>
      </c>
      <c r="BN106"/>
      <c r="BO106"/>
      <c r="BQ106"/>
      <c r="BR106"/>
      <c r="BZ106" s="19">
        <v>971</v>
      </c>
      <c r="CA106" s="33">
        <v>1</v>
      </c>
      <c r="CC106" s="19">
        <v>3163</v>
      </c>
      <c r="CD106" s="33">
        <v>3</v>
      </c>
      <c r="CL106" s="19">
        <v>5822</v>
      </c>
      <c r="CM106" s="33">
        <v>2</v>
      </c>
      <c r="CO106" s="30" t="s">
        <v>1375</v>
      </c>
      <c r="CP106" s="33">
        <v>1</v>
      </c>
    </row>
    <row r="107" spans="4:94" ht="15">
      <c r="D107" s="19" t="s">
        <v>386</v>
      </c>
      <c r="E107" s="33">
        <v>1</v>
      </c>
      <c r="G107" s="19" t="s">
        <v>1377</v>
      </c>
      <c r="H107" s="33">
        <v>800</v>
      </c>
      <c r="J107" s="19" t="s">
        <v>1569</v>
      </c>
      <c r="K107" s="33">
        <v>9</v>
      </c>
      <c r="L107" s="33">
        <v>5743.23</v>
      </c>
      <c r="M107" s="33">
        <v>1033.77</v>
      </c>
      <c r="N107" s="33">
        <v>6777</v>
      </c>
      <c r="R107"/>
      <c r="S107"/>
      <c r="T107"/>
      <c r="U107"/>
      <c r="V107"/>
      <c r="X107"/>
      <c r="Y107"/>
      <c r="Z107"/>
      <c r="AA107"/>
      <c r="AB107"/>
      <c r="AD107" s="19" t="s">
        <v>2288</v>
      </c>
      <c r="AE107" s="33">
        <v>1</v>
      </c>
      <c r="AF107" s="33">
        <v>1898.43</v>
      </c>
      <c r="AG107" s="33">
        <v>341.72</v>
      </c>
      <c r="AH107" s="33">
        <v>2240.15</v>
      </c>
      <c r="AJ107" s="19" t="s">
        <v>1030</v>
      </c>
      <c r="AK107" s="17">
        <v>1</v>
      </c>
      <c r="AL107" s="17">
        <v>1599.66</v>
      </c>
      <c r="AM107" s="17">
        <v>287.94</v>
      </c>
      <c r="AN107" s="17">
        <v>1887.6</v>
      </c>
      <c r="BN107"/>
      <c r="BO107"/>
      <c r="BQ107"/>
      <c r="BR107"/>
      <c r="BZ107" s="19">
        <v>972</v>
      </c>
      <c r="CA107" s="33">
        <v>1</v>
      </c>
      <c r="CC107" s="19">
        <v>3174</v>
      </c>
      <c r="CD107" s="33">
        <v>2</v>
      </c>
      <c r="CL107" s="19">
        <v>5611</v>
      </c>
      <c r="CM107" s="33">
        <v>2</v>
      </c>
      <c r="CO107" s="30" t="s">
        <v>1376</v>
      </c>
      <c r="CP107" s="33">
        <v>1</v>
      </c>
    </row>
    <row r="108" spans="4:94" ht="15">
      <c r="D108" s="19" t="s">
        <v>388</v>
      </c>
      <c r="E108" s="33">
        <v>1</v>
      </c>
      <c r="G108" s="19" t="s">
        <v>1378</v>
      </c>
      <c r="H108" s="33">
        <v>800</v>
      </c>
      <c r="J108" s="19" t="s">
        <v>1577</v>
      </c>
      <c r="K108" s="33">
        <v>3</v>
      </c>
      <c r="L108" s="33">
        <v>1230</v>
      </c>
      <c r="M108" s="33">
        <v>221.4</v>
      </c>
      <c r="N108" s="33">
        <v>1451.4</v>
      </c>
      <c r="R108"/>
      <c r="S108"/>
      <c r="T108"/>
      <c r="U108"/>
      <c r="V108"/>
      <c r="X108"/>
      <c r="Y108"/>
      <c r="Z108"/>
      <c r="AA108"/>
      <c r="AB108"/>
      <c r="AD108" s="19" t="s">
        <v>2289</v>
      </c>
      <c r="AE108" s="33">
        <v>1</v>
      </c>
      <c r="AF108" s="33">
        <v>982.08</v>
      </c>
      <c r="AG108" s="33">
        <v>176.77</v>
      </c>
      <c r="AH108" s="33">
        <v>1158.8499999999999</v>
      </c>
      <c r="AJ108" s="19" t="s">
        <v>948</v>
      </c>
      <c r="AK108" s="17">
        <v>1</v>
      </c>
      <c r="AL108" s="17">
        <v>511.53</v>
      </c>
      <c r="AM108" s="17">
        <v>92.07</v>
      </c>
      <c r="AN108" s="17">
        <v>603.6</v>
      </c>
      <c r="BN108"/>
      <c r="BO108"/>
      <c r="BQ108"/>
      <c r="BR108"/>
      <c r="BZ108" s="19">
        <v>973</v>
      </c>
      <c r="CA108" s="33">
        <v>1</v>
      </c>
      <c r="CC108" s="19">
        <v>3195</v>
      </c>
      <c r="CD108" s="33">
        <v>3</v>
      </c>
      <c r="CL108" s="19">
        <v>6085</v>
      </c>
      <c r="CM108" s="33">
        <v>9</v>
      </c>
      <c r="CO108" s="30" t="s">
        <v>1377</v>
      </c>
      <c r="CP108" s="33">
        <v>1</v>
      </c>
    </row>
    <row r="109" spans="4:94" ht="15">
      <c r="D109" s="19" t="s">
        <v>391</v>
      </c>
      <c r="E109" s="33">
        <v>1</v>
      </c>
      <c r="G109" s="19" t="s">
        <v>1379</v>
      </c>
      <c r="H109" s="33">
        <v>800</v>
      </c>
      <c r="J109" s="19" t="s">
        <v>1586</v>
      </c>
      <c r="K109" s="33">
        <v>5</v>
      </c>
      <c r="L109" s="33">
        <v>870</v>
      </c>
      <c r="M109" s="33">
        <v>156.60000000000002</v>
      </c>
      <c r="N109" s="33">
        <v>1026.6000000000001</v>
      </c>
      <c r="R109"/>
      <c r="S109"/>
      <c r="T109"/>
      <c r="U109"/>
      <c r="V109"/>
      <c r="X109"/>
      <c r="Y109"/>
      <c r="Z109"/>
      <c r="AA109"/>
      <c r="AB109"/>
      <c r="AD109" s="19" t="s">
        <v>2290</v>
      </c>
      <c r="AE109" s="33">
        <v>1</v>
      </c>
      <c r="AF109" s="33">
        <v>590</v>
      </c>
      <c r="AG109" s="33">
        <v>106.2</v>
      </c>
      <c r="AH109" s="33">
        <v>696.2</v>
      </c>
      <c r="AJ109" s="19" t="s">
        <v>946</v>
      </c>
      <c r="AK109" s="17">
        <v>1</v>
      </c>
      <c r="AL109" s="17">
        <v>518.80999999999995</v>
      </c>
      <c r="AM109" s="17">
        <v>93.39</v>
      </c>
      <c r="AN109" s="17">
        <v>612.20000000000005</v>
      </c>
      <c r="BN109"/>
      <c r="BO109"/>
      <c r="BQ109"/>
      <c r="BR109"/>
      <c r="BZ109" s="19">
        <v>974</v>
      </c>
      <c r="CA109" s="33">
        <v>1</v>
      </c>
      <c r="CC109" s="19">
        <v>3275</v>
      </c>
      <c r="CD109" s="33">
        <v>2</v>
      </c>
      <c r="CL109" s="19">
        <v>6695</v>
      </c>
      <c r="CM109" s="33">
        <v>4</v>
      </c>
      <c r="CO109" s="30" t="s">
        <v>1378</v>
      </c>
      <c r="CP109" s="33">
        <v>1</v>
      </c>
    </row>
    <row r="110" spans="4:94" ht="15">
      <c r="D110" s="19" t="s">
        <v>393</v>
      </c>
      <c r="E110" s="33">
        <v>1</v>
      </c>
      <c r="G110" s="19" t="s">
        <v>1380</v>
      </c>
      <c r="H110" s="33">
        <v>2000</v>
      </c>
      <c r="J110" s="19" t="s">
        <v>1597</v>
      </c>
      <c r="K110" s="33">
        <v>5</v>
      </c>
      <c r="L110" s="33">
        <v>1960</v>
      </c>
      <c r="M110" s="33">
        <v>352.8</v>
      </c>
      <c r="N110" s="33">
        <v>2312.7999999999997</v>
      </c>
      <c r="R110"/>
      <c r="S110"/>
      <c r="T110"/>
      <c r="U110"/>
      <c r="V110"/>
      <c r="X110"/>
      <c r="Y110"/>
      <c r="Z110"/>
      <c r="AA110"/>
      <c r="AB110"/>
      <c r="AD110" s="19" t="s">
        <v>2291</v>
      </c>
      <c r="AE110" s="33">
        <v>1</v>
      </c>
      <c r="AF110" s="33">
        <v>300</v>
      </c>
      <c r="AG110" s="33">
        <v>54</v>
      </c>
      <c r="AH110" s="33">
        <v>354</v>
      </c>
      <c r="AJ110" s="19" t="s">
        <v>944</v>
      </c>
      <c r="AK110" s="17">
        <v>1</v>
      </c>
      <c r="AL110" s="17">
        <v>61.02</v>
      </c>
      <c r="AM110" s="17">
        <v>10.98</v>
      </c>
      <c r="AN110" s="17">
        <v>72</v>
      </c>
      <c r="BN110"/>
      <c r="BO110"/>
      <c r="BQ110"/>
      <c r="BR110"/>
      <c r="BZ110" s="19">
        <v>975</v>
      </c>
      <c r="CA110" s="33">
        <v>1</v>
      </c>
      <c r="CC110" s="19">
        <v>3025</v>
      </c>
      <c r="CD110" s="33">
        <v>3</v>
      </c>
      <c r="CL110" s="19">
        <v>6723</v>
      </c>
      <c r="CM110" s="33">
        <v>3</v>
      </c>
      <c r="CO110" s="30" t="s">
        <v>1379</v>
      </c>
      <c r="CP110" s="33">
        <v>1</v>
      </c>
    </row>
    <row r="111" spans="4:94" ht="15">
      <c r="D111" s="19" t="s">
        <v>396</v>
      </c>
      <c r="E111" s="33">
        <v>1</v>
      </c>
      <c r="G111" s="19" t="s">
        <v>1381</v>
      </c>
      <c r="H111" s="33">
        <v>1200</v>
      </c>
      <c r="J111" s="19" t="s">
        <v>1617</v>
      </c>
      <c r="K111" s="33">
        <v>2</v>
      </c>
      <c r="L111" s="33">
        <v>2430</v>
      </c>
      <c r="M111" s="33">
        <v>437.4</v>
      </c>
      <c r="N111" s="33">
        <v>2867.4</v>
      </c>
      <c r="R111"/>
      <c r="S111"/>
      <c r="T111"/>
      <c r="U111"/>
      <c r="V111"/>
      <c r="AD111" s="19" t="s">
        <v>2292</v>
      </c>
      <c r="AE111" s="33">
        <v>1</v>
      </c>
      <c r="AF111" s="33">
        <v>7.5</v>
      </c>
      <c r="AG111" s="33">
        <v>1.35</v>
      </c>
      <c r="AH111" s="33">
        <v>8.85</v>
      </c>
      <c r="AJ111" s="19" t="s">
        <v>941</v>
      </c>
      <c r="AK111" s="17">
        <v>1</v>
      </c>
      <c r="AL111" s="17">
        <v>109.83</v>
      </c>
      <c r="AM111" s="17">
        <v>19.77</v>
      </c>
      <c r="AN111" s="17">
        <v>129.6</v>
      </c>
      <c r="BN111"/>
      <c r="BO111"/>
      <c r="BQ111"/>
      <c r="BR111"/>
      <c r="BZ111" s="19">
        <v>976</v>
      </c>
      <c r="CA111" s="33">
        <v>1</v>
      </c>
      <c r="CC111" s="19">
        <v>3074</v>
      </c>
      <c r="CD111" s="33">
        <v>7</v>
      </c>
      <c r="CL111" s="19">
        <v>5498</v>
      </c>
      <c r="CM111" s="33">
        <v>6</v>
      </c>
      <c r="CO111" s="30" t="s">
        <v>1380</v>
      </c>
      <c r="CP111" s="33">
        <v>1</v>
      </c>
    </row>
    <row r="112" spans="4:94" ht="15">
      <c r="D112" s="19" t="s">
        <v>398</v>
      </c>
      <c r="E112" s="33">
        <v>1</v>
      </c>
      <c r="G112" s="19" t="s">
        <v>1382</v>
      </c>
      <c r="H112" s="33">
        <v>5200</v>
      </c>
      <c r="J112" s="19" t="s">
        <v>1622</v>
      </c>
      <c r="K112" s="33">
        <v>1</v>
      </c>
      <c r="L112" s="33">
        <v>30</v>
      </c>
      <c r="M112" s="33">
        <v>5.4</v>
      </c>
      <c r="N112" s="33">
        <v>35.4</v>
      </c>
      <c r="R112"/>
      <c r="S112"/>
      <c r="T112"/>
      <c r="U112"/>
      <c r="V112"/>
      <c r="AD112" s="19" t="s">
        <v>2293</v>
      </c>
      <c r="AE112" s="33">
        <v>1</v>
      </c>
      <c r="AF112" s="33">
        <v>1898.43</v>
      </c>
      <c r="AG112" s="33">
        <v>341.72</v>
      </c>
      <c r="AH112" s="33">
        <v>2240.15</v>
      </c>
      <c r="AJ112" s="19" t="s">
        <v>918</v>
      </c>
      <c r="AK112" s="17">
        <v>1</v>
      </c>
      <c r="AL112" s="17">
        <v>12.2</v>
      </c>
      <c r="AM112" s="17">
        <v>2.2000000000000002</v>
      </c>
      <c r="AN112" s="17">
        <v>14.4</v>
      </c>
      <c r="BN112"/>
      <c r="BO112"/>
      <c r="BQ112"/>
      <c r="BR112"/>
      <c r="BZ112" s="19">
        <v>977</v>
      </c>
      <c r="CA112" s="33">
        <v>1</v>
      </c>
      <c r="CC112" s="19">
        <v>3135</v>
      </c>
      <c r="CD112" s="33">
        <v>2</v>
      </c>
      <c r="CL112" s="19">
        <v>5613</v>
      </c>
      <c r="CM112" s="33">
        <v>9</v>
      </c>
      <c r="CO112" s="30" t="s">
        <v>1381</v>
      </c>
      <c r="CP112" s="33">
        <v>1</v>
      </c>
    </row>
    <row r="113" spans="4:94" ht="15">
      <c r="D113" s="19" t="s">
        <v>518</v>
      </c>
      <c r="E113" s="33">
        <v>1</v>
      </c>
      <c r="G113" s="19" t="s">
        <v>1383</v>
      </c>
      <c r="H113" s="33">
        <v>450</v>
      </c>
      <c r="J113" s="19" t="s">
        <v>1625</v>
      </c>
      <c r="K113" s="33">
        <v>1</v>
      </c>
      <c r="L113" s="33">
        <v>3500</v>
      </c>
      <c r="M113" s="33">
        <v>630</v>
      </c>
      <c r="N113" s="33">
        <v>4130</v>
      </c>
      <c r="R113"/>
      <c r="S113"/>
      <c r="T113"/>
      <c r="U113"/>
      <c r="V113"/>
      <c r="AD113" s="19" t="s">
        <v>2294</v>
      </c>
      <c r="AE113" s="33">
        <v>1</v>
      </c>
      <c r="AF113" s="33">
        <v>982.08</v>
      </c>
      <c r="AG113" s="33">
        <v>176.77</v>
      </c>
      <c r="AH113" s="33">
        <v>1158.8499999999999</v>
      </c>
      <c r="AJ113" s="19" t="s">
        <v>915</v>
      </c>
      <c r="AK113" s="17">
        <v>1</v>
      </c>
      <c r="AL113" s="17">
        <v>19.41</v>
      </c>
      <c r="AM113" s="17">
        <v>3.49</v>
      </c>
      <c r="AN113" s="17">
        <v>22.9</v>
      </c>
      <c r="BN113"/>
      <c r="BO113"/>
      <c r="BQ113"/>
      <c r="BR113"/>
      <c r="BZ113" s="19">
        <v>978</v>
      </c>
      <c r="CA113" s="33">
        <v>1</v>
      </c>
      <c r="CC113" s="19">
        <v>3196</v>
      </c>
      <c r="CD113" s="33">
        <v>3</v>
      </c>
      <c r="CL113" s="19">
        <v>5284</v>
      </c>
      <c r="CM113" s="33">
        <v>3</v>
      </c>
      <c r="CO113" s="30" t="s">
        <v>1382</v>
      </c>
      <c r="CP113" s="33">
        <v>1</v>
      </c>
    </row>
    <row r="114" spans="4:94" ht="15">
      <c r="D114" s="19" t="s">
        <v>521</v>
      </c>
      <c r="E114" s="33">
        <v>1</v>
      </c>
      <c r="G114" s="19" t="s">
        <v>1384</v>
      </c>
      <c r="H114" s="33">
        <v>3400</v>
      </c>
      <c r="J114" s="19" t="s">
        <v>1630</v>
      </c>
      <c r="K114" s="33">
        <v>10</v>
      </c>
      <c r="L114" s="33">
        <v>18171.5</v>
      </c>
      <c r="M114" s="33">
        <v>3270.87</v>
      </c>
      <c r="N114" s="33">
        <v>21442.37</v>
      </c>
      <c r="R114"/>
      <c r="S114"/>
      <c r="T114"/>
      <c r="U114"/>
      <c r="V114"/>
      <c r="AD114" s="19" t="s">
        <v>2295</v>
      </c>
      <c r="AE114" s="33">
        <v>1</v>
      </c>
      <c r="AF114" s="33">
        <v>100</v>
      </c>
      <c r="AG114" s="33">
        <v>18</v>
      </c>
      <c r="AH114" s="33">
        <v>118</v>
      </c>
      <c r="AJ114" s="19" t="s">
        <v>913</v>
      </c>
      <c r="AK114" s="17">
        <v>1</v>
      </c>
      <c r="AL114" s="17">
        <v>238.98</v>
      </c>
      <c r="AM114" s="17">
        <v>43.02</v>
      </c>
      <c r="AN114" s="17">
        <v>282</v>
      </c>
      <c r="BN114"/>
      <c r="BO114"/>
      <c r="BQ114"/>
      <c r="BR114"/>
      <c r="BZ114" s="19">
        <v>979</v>
      </c>
      <c r="CA114" s="33">
        <v>1</v>
      </c>
      <c r="CC114" s="19">
        <v>3211</v>
      </c>
      <c r="CD114" s="33">
        <v>3</v>
      </c>
      <c r="CL114" s="19">
        <v>5305</v>
      </c>
      <c r="CM114" s="33">
        <v>3</v>
      </c>
      <c r="CO114" s="30" t="s">
        <v>1383</v>
      </c>
      <c r="CP114" s="33">
        <v>1</v>
      </c>
    </row>
    <row r="115" spans="4:94" ht="15">
      <c r="D115" s="19" t="s">
        <v>523</v>
      </c>
      <c r="E115" s="33">
        <v>1</v>
      </c>
      <c r="G115" s="19" t="s">
        <v>1385</v>
      </c>
      <c r="H115" s="33">
        <v>3400</v>
      </c>
      <c r="J115" s="19" t="s">
        <v>1636</v>
      </c>
      <c r="K115" s="33">
        <v>6</v>
      </c>
      <c r="L115" s="33">
        <v>230.04000000000002</v>
      </c>
      <c r="M115" s="33">
        <v>41.4</v>
      </c>
      <c r="N115" s="33">
        <v>271.44</v>
      </c>
      <c r="R115"/>
      <c r="S115"/>
      <c r="T115"/>
      <c r="U115"/>
      <c r="V115"/>
      <c r="AD115" s="19" t="s">
        <v>2296</v>
      </c>
      <c r="AE115" s="33">
        <v>1</v>
      </c>
      <c r="AF115" s="33">
        <v>1500</v>
      </c>
      <c r="AG115" s="33">
        <v>270</v>
      </c>
      <c r="AH115" s="33">
        <v>1770</v>
      </c>
      <c r="AJ115" s="19" t="s">
        <v>911</v>
      </c>
      <c r="AK115" s="17">
        <v>1</v>
      </c>
      <c r="AL115" s="17">
        <v>281.61</v>
      </c>
      <c r="AM115" s="17">
        <v>50.69</v>
      </c>
      <c r="AN115" s="17">
        <v>332.3</v>
      </c>
      <c r="BN115"/>
      <c r="BO115"/>
      <c r="BQ115"/>
      <c r="BR115"/>
      <c r="BZ115" s="19">
        <v>980</v>
      </c>
      <c r="CA115" s="33">
        <v>1</v>
      </c>
      <c r="CC115" s="19">
        <v>3280</v>
      </c>
      <c r="CD115" s="33">
        <v>3</v>
      </c>
      <c r="CL115" s="19">
        <v>5425</v>
      </c>
      <c r="CM115" s="33">
        <v>5</v>
      </c>
      <c r="CO115" s="30" t="s">
        <v>1384</v>
      </c>
      <c r="CP115" s="33">
        <v>1</v>
      </c>
    </row>
    <row r="116" spans="4:94" ht="15">
      <c r="D116" s="19" t="s">
        <v>525</v>
      </c>
      <c r="E116" s="33">
        <v>1</v>
      </c>
      <c r="G116" s="19" t="s">
        <v>1389</v>
      </c>
      <c r="H116" s="33">
        <v>100</v>
      </c>
      <c r="J116" s="19" t="s">
        <v>1640</v>
      </c>
      <c r="K116" s="33">
        <v>13</v>
      </c>
      <c r="L116" s="33">
        <v>1075.25</v>
      </c>
      <c r="M116" s="33">
        <v>193.54000000000002</v>
      </c>
      <c r="N116" s="33">
        <v>1268.7900000000004</v>
      </c>
      <c r="R116"/>
      <c r="S116"/>
      <c r="T116"/>
      <c r="U116"/>
      <c r="V116"/>
      <c r="AD116" s="19" t="s">
        <v>2297</v>
      </c>
      <c r="AE116" s="33">
        <v>1</v>
      </c>
      <c r="AF116" s="33">
        <v>421.61</v>
      </c>
      <c r="AG116" s="33">
        <v>75.89</v>
      </c>
      <c r="AH116" s="33">
        <v>497.5</v>
      </c>
      <c r="AJ116" s="19" t="s">
        <v>909</v>
      </c>
      <c r="AK116" s="17">
        <v>1</v>
      </c>
      <c r="AL116" s="17">
        <v>660</v>
      </c>
      <c r="AM116" s="17">
        <v>118.8</v>
      </c>
      <c r="AN116" s="17">
        <v>778.8</v>
      </c>
      <c r="BN116"/>
      <c r="BO116"/>
      <c r="BQ116"/>
      <c r="BR116"/>
      <c r="BZ116" s="19">
        <v>981</v>
      </c>
      <c r="CA116" s="33">
        <v>1</v>
      </c>
      <c r="CC116" s="19">
        <v>3302</v>
      </c>
      <c r="CD116" s="33">
        <v>2</v>
      </c>
      <c r="CL116" s="19">
        <v>5521</v>
      </c>
      <c r="CM116" s="33">
        <v>2</v>
      </c>
      <c r="CO116" s="30" t="s">
        <v>1385</v>
      </c>
      <c r="CP116" s="33">
        <v>1</v>
      </c>
    </row>
    <row r="117" spans="4:94" ht="15">
      <c r="D117" s="19" t="s">
        <v>528</v>
      </c>
      <c r="E117" s="33">
        <v>1</v>
      </c>
      <c r="G117" s="19" t="s">
        <v>1390</v>
      </c>
      <c r="H117" s="33">
        <v>109.06</v>
      </c>
      <c r="J117" s="19" t="s">
        <v>1661</v>
      </c>
      <c r="K117" s="33">
        <v>7</v>
      </c>
      <c r="L117" s="33">
        <v>773.23</v>
      </c>
      <c r="M117" s="33">
        <v>139.18</v>
      </c>
      <c r="N117" s="33">
        <v>912.41</v>
      </c>
      <c r="R117"/>
      <c r="S117"/>
      <c r="T117"/>
      <c r="U117"/>
      <c r="V117"/>
      <c r="AD117" s="19" t="s">
        <v>2298</v>
      </c>
      <c r="AE117" s="33">
        <v>1</v>
      </c>
      <c r="AF117" s="33">
        <v>2750</v>
      </c>
      <c r="AG117" s="33">
        <v>495</v>
      </c>
      <c r="AH117" s="33">
        <v>3245</v>
      </c>
      <c r="AJ117" s="19" t="s">
        <v>907</v>
      </c>
      <c r="AK117" s="17">
        <v>1</v>
      </c>
      <c r="AL117" s="17">
        <v>600</v>
      </c>
      <c r="AM117" s="17">
        <v>108</v>
      </c>
      <c r="AN117" s="17">
        <v>708</v>
      </c>
      <c r="BN117"/>
      <c r="BO117"/>
      <c r="BQ117"/>
      <c r="BR117"/>
      <c r="BZ117" s="19">
        <v>982</v>
      </c>
      <c r="CA117" s="33">
        <v>1</v>
      </c>
      <c r="CC117" s="19">
        <v>3277</v>
      </c>
      <c r="CD117" s="33">
        <v>4</v>
      </c>
      <c r="CL117" s="19">
        <v>5519</v>
      </c>
      <c r="CM117" s="33">
        <v>8</v>
      </c>
      <c r="CO117" s="30" t="s">
        <v>1389</v>
      </c>
      <c r="CP117" s="33">
        <v>1</v>
      </c>
    </row>
    <row r="118" spans="4:94" ht="15">
      <c r="D118" s="19" t="s">
        <v>530</v>
      </c>
      <c r="E118" s="33">
        <v>1</v>
      </c>
      <c r="G118" s="19" t="s">
        <v>1391</v>
      </c>
      <c r="H118" s="33">
        <v>182.75</v>
      </c>
      <c r="J118" s="19" t="s">
        <v>1665</v>
      </c>
      <c r="K118" s="33">
        <v>4</v>
      </c>
      <c r="L118" s="33">
        <v>1830</v>
      </c>
      <c r="M118" s="33">
        <v>329.4</v>
      </c>
      <c r="N118" s="33">
        <v>2159.4</v>
      </c>
      <c r="R118"/>
      <c r="S118"/>
      <c r="T118"/>
      <c r="U118"/>
      <c r="V118"/>
      <c r="AD118" s="19" t="s">
        <v>2299</v>
      </c>
      <c r="AE118" s="33">
        <v>1</v>
      </c>
      <c r="AF118" s="33">
        <v>52.75</v>
      </c>
      <c r="AG118" s="33">
        <v>9.5</v>
      </c>
      <c r="AH118" s="33">
        <v>62.25</v>
      </c>
      <c r="AJ118" s="19" t="s">
        <v>905</v>
      </c>
      <c r="AK118" s="17">
        <v>1</v>
      </c>
      <c r="AL118" s="17">
        <v>65</v>
      </c>
      <c r="AM118" s="17">
        <v>11.7</v>
      </c>
      <c r="AN118" s="17">
        <v>76.7</v>
      </c>
      <c r="BN118"/>
      <c r="BO118"/>
      <c r="BQ118"/>
      <c r="BR118"/>
      <c r="BZ118" s="19">
        <v>983</v>
      </c>
      <c r="CA118" s="33">
        <v>1</v>
      </c>
      <c r="CC118" s="19">
        <v>3278</v>
      </c>
      <c r="CD118" s="33">
        <v>3</v>
      </c>
      <c r="CL118" s="19">
        <v>5546</v>
      </c>
      <c r="CM118" s="33">
        <v>2</v>
      </c>
      <c r="CO118" s="30" t="s">
        <v>1390</v>
      </c>
      <c r="CP118" s="33">
        <v>1</v>
      </c>
    </row>
    <row r="119" spans="4:94" ht="15">
      <c r="D119" s="19" t="s">
        <v>532</v>
      </c>
      <c r="E119" s="33">
        <v>1</v>
      </c>
      <c r="G119" s="19" t="s">
        <v>1392</v>
      </c>
      <c r="H119" s="33">
        <v>1500</v>
      </c>
      <c r="J119" s="19" t="s">
        <v>1670</v>
      </c>
      <c r="K119" s="33">
        <v>8</v>
      </c>
      <c r="L119" s="33">
        <v>10435.68</v>
      </c>
      <c r="M119" s="33">
        <v>1878.43</v>
      </c>
      <c r="N119" s="33">
        <v>12314.11</v>
      </c>
      <c r="R119"/>
      <c r="S119"/>
      <c r="T119"/>
      <c r="U119"/>
      <c r="V119"/>
      <c r="AD119" s="19" t="s">
        <v>2300</v>
      </c>
      <c r="AE119" s="33">
        <v>1</v>
      </c>
      <c r="AF119" s="33">
        <v>80.510000000000005</v>
      </c>
      <c r="AG119" s="33">
        <v>14.49</v>
      </c>
      <c r="AH119" s="33">
        <v>95</v>
      </c>
      <c r="AJ119" s="19" t="s">
        <v>903</v>
      </c>
      <c r="AK119" s="17">
        <v>1</v>
      </c>
      <c r="AL119" s="17">
        <v>32.880000000000003</v>
      </c>
      <c r="AM119" s="17">
        <v>5.92</v>
      </c>
      <c r="AN119" s="17">
        <v>38.799999999999997</v>
      </c>
      <c r="BN119"/>
      <c r="BO119"/>
      <c r="BQ119"/>
      <c r="BR119"/>
      <c r="BZ119" s="19">
        <v>984</v>
      </c>
      <c r="CA119" s="33">
        <v>1</v>
      </c>
      <c r="CC119" s="19">
        <v>3264</v>
      </c>
      <c r="CD119" s="33">
        <v>4</v>
      </c>
      <c r="CL119" s="19">
        <v>6616</v>
      </c>
      <c r="CM119" s="33">
        <v>1</v>
      </c>
      <c r="CO119" s="30" t="s">
        <v>1391</v>
      </c>
      <c r="CP119" s="33">
        <v>1</v>
      </c>
    </row>
    <row r="120" spans="4:94" ht="15">
      <c r="D120" s="19" t="s">
        <v>535</v>
      </c>
      <c r="E120" s="33">
        <v>1</v>
      </c>
      <c r="G120" s="19" t="s">
        <v>1394</v>
      </c>
      <c r="H120" s="33">
        <v>3400</v>
      </c>
      <c r="J120" s="19" t="s">
        <v>1673</v>
      </c>
      <c r="K120" s="33">
        <v>8</v>
      </c>
      <c r="L120" s="33">
        <v>10435.68</v>
      </c>
      <c r="M120" s="33">
        <v>1878.43</v>
      </c>
      <c r="N120" s="33">
        <v>12314.11</v>
      </c>
      <c r="R120"/>
      <c r="S120"/>
      <c r="T120"/>
      <c r="U120"/>
      <c r="V120"/>
      <c r="AD120" s="19" t="s">
        <v>2301</v>
      </c>
      <c r="AE120" s="33">
        <v>1</v>
      </c>
      <c r="AF120" s="33">
        <v>3083.1</v>
      </c>
      <c r="AG120" s="33">
        <v>554.96</v>
      </c>
      <c r="AH120" s="33">
        <v>3638.06</v>
      </c>
      <c r="AJ120" s="19" t="s">
        <v>900</v>
      </c>
      <c r="AK120" s="17">
        <v>1</v>
      </c>
      <c r="AL120" s="17">
        <v>46.78</v>
      </c>
      <c r="AM120" s="17">
        <v>8.42</v>
      </c>
      <c r="AN120" s="17">
        <v>55.2</v>
      </c>
      <c r="BN120"/>
      <c r="BO120"/>
      <c r="BQ120"/>
      <c r="BR120"/>
      <c r="BZ120" s="19">
        <v>985</v>
      </c>
      <c r="CA120" s="33">
        <v>1</v>
      </c>
      <c r="CC120" s="19">
        <v>3349</v>
      </c>
      <c r="CD120" s="33">
        <v>3</v>
      </c>
      <c r="CL120" s="19">
        <v>6240</v>
      </c>
      <c r="CM120" s="33">
        <v>1</v>
      </c>
      <c r="CO120" s="30" t="s">
        <v>1392</v>
      </c>
      <c r="CP120" s="33">
        <v>1</v>
      </c>
    </row>
    <row r="121" spans="4:94" ht="15">
      <c r="D121" s="19" t="s">
        <v>537</v>
      </c>
      <c r="E121" s="33">
        <v>1</v>
      </c>
      <c r="G121" s="19" t="s">
        <v>1395</v>
      </c>
      <c r="H121" s="33">
        <v>450</v>
      </c>
      <c r="J121" s="19" t="s">
        <v>1703</v>
      </c>
      <c r="K121" s="33">
        <v>3</v>
      </c>
      <c r="L121" s="33">
        <v>2384.66</v>
      </c>
      <c r="M121" s="33">
        <v>429.24</v>
      </c>
      <c r="N121" s="33">
        <v>2813.9</v>
      </c>
      <c r="R121"/>
      <c r="S121"/>
      <c r="T121"/>
      <c r="U121"/>
      <c r="V121"/>
      <c r="AD121" s="19" t="s">
        <v>2302</v>
      </c>
      <c r="AE121" s="33">
        <v>1</v>
      </c>
      <c r="AF121" s="33">
        <v>2447.71</v>
      </c>
      <c r="AG121" s="33">
        <v>440.59</v>
      </c>
      <c r="AH121" s="33">
        <v>2888.3</v>
      </c>
      <c r="AJ121" s="19" t="s">
        <v>898</v>
      </c>
      <c r="AK121" s="17">
        <v>1</v>
      </c>
      <c r="AL121" s="17">
        <v>5.07</v>
      </c>
      <c r="AM121" s="17">
        <v>0.91</v>
      </c>
      <c r="AN121" s="17">
        <v>5.98</v>
      </c>
      <c r="BN121"/>
      <c r="BO121"/>
      <c r="BQ121"/>
      <c r="BR121"/>
      <c r="BZ121" s="19">
        <v>990</v>
      </c>
      <c r="CA121" s="33">
        <v>1</v>
      </c>
      <c r="CC121" s="19" t="s">
        <v>52</v>
      </c>
      <c r="CD121" s="33">
        <v>388</v>
      </c>
      <c r="CL121" s="19">
        <v>5606</v>
      </c>
      <c r="CM121" s="33">
        <v>10</v>
      </c>
      <c r="CO121" s="30" t="s">
        <v>1394</v>
      </c>
      <c r="CP121" s="33">
        <v>1</v>
      </c>
    </row>
    <row r="122" spans="4:94" ht="15">
      <c r="D122" s="19" t="s">
        <v>539</v>
      </c>
      <c r="E122" s="33">
        <v>1</v>
      </c>
      <c r="G122" s="19" t="s">
        <v>1396</v>
      </c>
      <c r="H122" s="33">
        <v>3700</v>
      </c>
      <c r="J122" s="19" t="s">
        <v>1732</v>
      </c>
      <c r="K122" s="33">
        <v>3</v>
      </c>
      <c r="L122" s="33">
        <v>1919.36</v>
      </c>
      <c r="M122" s="33">
        <v>345.49</v>
      </c>
      <c r="N122" s="33">
        <v>2264.8500000000004</v>
      </c>
      <c r="R122"/>
      <c r="S122"/>
      <c r="T122"/>
      <c r="U122"/>
      <c r="V122"/>
      <c r="AD122" s="19" t="s">
        <v>2303</v>
      </c>
      <c r="AE122" s="33">
        <v>4</v>
      </c>
      <c r="AF122" s="33">
        <v>1830</v>
      </c>
      <c r="AG122" s="33">
        <v>329.4</v>
      </c>
      <c r="AH122" s="33">
        <v>2159.4</v>
      </c>
      <c r="AJ122" s="19" t="s">
        <v>896</v>
      </c>
      <c r="AK122" s="17">
        <v>1</v>
      </c>
      <c r="AL122" s="17">
        <v>5.99</v>
      </c>
      <c r="AM122" s="17">
        <v>1.08</v>
      </c>
      <c r="AN122" s="17">
        <v>7.07</v>
      </c>
      <c r="BN122"/>
      <c r="BO122"/>
      <c r="BQ122"/>
      <c r="BR122"/>
      <c r="BZ122" s="19">
        <v>992</v>
      </c>
      <c r="CA122" s="33">
        <v>2</v>
      </c>
      <c r="CL122" s="19">
        <v>5080</v>
      </c>
      <c r="CM122" s="33">
        <v>6</v>
      </c>
      <c r="CO122" s="30" t="s">
        <v>1395</v>
      </c>
      <c r="CP122" s="33">
        <v>1</v>
      </c>
    </row>
    <row r="123" spans="4:94" ht="15">
      <c r="D123" s="19" t="s">
        <v>542</v>
      </c>
      <c r="E123" s="33">
        <v>1</v>
      </c>
      <c r="G123" s="19" t="s">
        <v>1399</v>
      </c>
      <c r="H123" s="33">
        <v>320</v>
      </c>
      <c r="J123" s="19" t="s">
        <v>1606</v>
      </c>
      <c r="K123" s="33">
        <v>5</v>
      </c>
      <c r="L123" s="33">
        <v>675.17000000000007</v>
      </c>
      <c r="M123" s="33">
        <v>121.53</v>
      </c>
      <c r="N123" s="33">
        <v>796.69999999999993</v>
      </c>
      <c r="R123"/>
      <c r="S123"/>
      <c r="T123"/>
      <c r="U123"/>
      <c r="V123"/>
      <c r="AD123" s="19" t="s">
        <v>2304</v>
      </c>
      <c r="AE123" s="33">
        <v>4</v>
      </c>
      <c r="AF123" s="33">
        <v>330</v>
      </c>
      <c r="AG123" s="33">
        <v>59.4</v>
      </c>
      <c r="AH123" s="33">
        <v>389.4</v>
      </c>
      <c r="AJ123" s="19" t="s">
        <v>894</v>
      </c>
      <c r="AK123" s="17">
        <v>1</v>
      </c>
      <c r="AL123" s="17">
        <v>126.8</v>
      </c>
      <c r="AM123" s="17">
        <v>22.82</v>
      </c>
      <c r="AN123" s="17">
        <v>149.62</v>
      </c>
      <c r="BN123"/>
      <c r="BO123"/>
      <c r="BQ123"/>
      <c r="BR123"/>
      <c r="BZ123" s="19">
        <v>993</v>
      </c>
      <c r="CA123" s="33">
        <v>3</v>
      </c>
      <c r="CL123" s="19">
        <v>416</v>
      </c>
      <c r="CM123" s="33">
        <v>13</v>
      </c>
      <c r="CO123" s="30" t="s">
        <v>1396</v>
      </c>
      <c r="CP123" s="33">
        <v>1</v>
      </c>
    </row>
    <row r="124" spans="4:94" ht="15">
      <c r="D124" s="19" t="s">
        <v>544</v>
      </c>
      <c r="E124" s="33">
        <v>1</v>
      </c>
      <c r="G124" s="19" t="s">
        <v>1405</v>
      </c>
      <c r="H124" s="33">
        <v>10160</v>
      </c>
      <c r="J124" s="19" t="s">
        <v>1758</v>
      </c>
      <c r="K124" s="33">
        <v>2</v>
      </c>
      <c r="L124" s="33">
        <v>72.199999999999989</v>
      </c>
      <c r="M124" s="33">
        <v>12.989999999999998</v>
      </c>
      <c r="N124" s="33">
        <v>85.19</v>
      </c>
      <c r="R124"/>
      <c r="S124"/>
      <c r="T124"/>
      <c r="U124"/>
      <c r="V124"/>
      <c r="AD124" s="19" t="s">
        <v>2305</v>
      </c>
      <c r="AE124" s="33">
        <v>2</v>
      </c>
      <c r="AF124" s="33">
        <v>2640</v>
      </c>
      <c r="AG124" s="33">
        <v>475.2</v>
      </c>
      <c r="AH124" s="33">
        <v>3115.2</v>
      </c>
      <c r="AJ124" s="19" t="s">
        <v>892</v>
      </c>
      <c r="AK124" s="17">
        <v>1</v>
      </c>
      <c r="AL124" s="17">
        <v>149.69</v>
      </c>
      <c r="AM124" s="17">
        <v>26.94</v>
      </c>
      <c r="AN124" s="17">
        <v>176.63</v>
      </c>
      <c r="BN124"/>
      <c r="BO124"/>
      <c r="BQ124"/>
      <c r="BR124"/>
      <c r="BZ124" s="19">
        <v>1786</v>
      </c>
      <c r="CA124" s="33">
        <v>100</v>
      </c>
      <c r="CL124" s="19">
        <v>6104</v>
      </c>
      <c r="CM124" s="33">
        <v>7</v>
      </c>
      <c r="CO124" s="30" t="s">
        <v>1405</v>
      </c>
      <c r="CP124" s="33">
        <v>12</v>
      </c>
    </row>
    <row r="125" spans="4:94" ht="15">
      <c r="D125" s="19" t="s">
        <v>400</v>
      </c>
      <c r="E125" s="33">
        <v>1</v>
      </c>
      <c r="G125" s="19" t="s">
        <v>1407</v>
      </c>
      <c r="H125" s="33">
        <v>19556.95</v>
      </c>
      <c r="J125" s="19" t="s">
        <v>1768</v>
      </c>
      <c r="K125" s="33">
        <v>3</v>
      </c>
      <c r="L125" s="33">
        <v>1267.2199999999998</v>
      </c>
      <c r="M125" s="33">
        <v>228.1</v>
      </c>
      <c r="N125" s="33">
        <v>1495.32</v>
      </c>
      <c r="R125"/>
      <c r="S125"/>
      <c r="T125"/>
      <c r="U125"/>
      <c r="V125"/>
      <c r="AD125" s="19" t="s">
        <v>2306</v>
      </c>
      <c r="AE125" s="33">
        <v>1</v>
      </c>
      <c r="AF125" s="33">
        <v>30</v>
      </c>
      <c r="AG125" s="33">
        <v>5.4</v>
      </c>
      <c r="AH125" s="33">
        <v>35.4</v>
      </c>
      <c r="AJ125" s="19" t="s">
        <v>890</v>
      </c>
      <c r="AK125" s="17">
        <v>1</v>
      </c>
      <c r="AL125" s="17">
        <v>126.8</v>
      </c>
      <c r="AM125" s="17">
        <v>22.82</v>
      </c>
      <c r="AN125" s="17">
        <v>149.62</v>
      </c>
      <c r="BN125"/>
      <c r="BO125"/>
      <c r="BQ125"/>
      <c r="BR125"/>
      <c r="BZ125" s="19">
        <v>216</v>
      </c>
      <c r="CA125" s="33">
        <v>105</v>
      </c>
      <c r="CL125" s="19">
        <v>5445</v>
      </c>
      <c r="CM125" s="33">
        <v>8</v>
      </c>
      <c r="CO125" s="30" t="s">
        <v>1407</v>
      </c>
      <c r="CP125" s="33">
        <v>26</v>
      </c>
    </row>
    <row r="126" spans="4:94" ht="15">
      <c r="D126" s="19" t="s">
        <v>403</v>
      </c>
      <c r="E126" s="33">
        <v>1</v>
      </c>
      <c r="G126" s="19" t="s">
        <v>1410</v>
      </c>
      <c r="H126" s="33">
        <v>10800</v>
      </c>
      <c r="J126" s="19" t="s">
        <v>1773</v>
      </c>
      <c r="K126" s="33">
        <v>2</v>
      </c>
      <c r="L126" s="33">
        <v>323.64999999999998</v>
      </c>
      <c r="M126" s="33">
        <v>58.26</v>
      </c>
      <c r="N126" s="33">
        <v>381.90999999999997</v>
      </c>
      <c r="R126"/>
      <c r="S126"/>
      <c r="T126"/>
      <c r="U126"/>
      <c r="V126"/>
      <c r="AD126" s="19" t="s">
        <v>2307</v>
      </c>
      <c r="AE126" s="33">
        <v>1</v>
      </c>
      <c r="AF126" s="33">
        <v>3500</v>
      </c>
      <c r="AG126" s="33">
        <v>630</v>
      </c>
      <c r="AH126" s="33">
        <v>4130</v>
      </c>
      <c r="AJ126" s="19" t="s">
        <v>888</v>
      </c>
      <c r="AK126" s="17">
        <v>1</v>
      </c>
      <c r="AL126" s="17">
        <v>149.69</v>
      </c>
      <c r="AM126" s="17">
        <v>26.94</v>
      </c>
      <c r="AN126" s="17">
        <v>176.63</v>
      </c>
      <c r="BN126"/>
      <c r="BO126"/>
      <c r="BQ126"/>
      <c r="BR126"/>
      <c r="BZ126" s="19">
        <v>2316</v>
      </c>
      <c r="CA126" s="33">
        <v>3</v>
      </c>
      <c r="CL126" s="19">
        <v>435</v>
      </c>
      <c r="CM126" s="33">
        <v>16</v>
      </c>
      <c r="CO126" s="30" t="s">
        <v>1410</v>
      </c>
      <c r="CP126" s="33">
        <v>8</v>
      </c>
    </row>
    <row r="127" spans="4:94" ht="15">
      <c r="D127" s="19" t="s">
        <v>405</v>
      </c>
      <c r="E127" s="33">
        <v>1</v>
      </c>
      <c r="G127" s="19" t="s">
        <v>44</v>
      </c>
      <c r="H127" s="33">
        <v>-824.2</v>
      </c>
      <c r="J127" s="19" t="s">
        <v>1779</v>
      </c>
      <c r="K127" s="33">
        <v>2</v>
      </c>
      <c r="L127" s="33">
        <v>54.74</v>
      </c>
      <c r="M127" s="33">
        <v>9.86</v>
      </c>
      <c r="N127" s="33">
        <v>64.599999999999994</v>
      </c>
      <c r="R127"/>
      <c r="S127"/>
      <c r="T127"/>
      <c r="U127"/>
      <c r="V127"/>
      <c r="AD127" s="19" t="s">
        <v>2308</v>
      </c>
      <c r="AE127" s="33">
        <v>1</v>
      </c>
      <c r="AF127" s="33">
        <v>30</v>
      </c>
      <c r="AG127" s="33">
        <v>5.4</v>
      </c>
      <c r="AH127" s="33">
        <v>35.4</v>
      </c>
      <c r="AJ127" s="19" t="s">
        <v>886</v>
      </c>
      <c r="AK127" s="17">
        <v>1</v>
      </c>
      <c r="AL127" s="17">
        <v>248.53</v>
      </c>
      <c r="AM127" s="17">
        <v>44.73</v>
      </c>
      <c r="AN127" s="17">
        <v>293.26</v>
      </c>
      <c r="BN127"/>
      <c r="BO127"/>
      <c r="BQ127"/>
      <c r="BR127"/>
      <c r="BZ127" s="19">
        <v>2317</v>
      </c>
      <c r="CA127" s="33">
        <v>8</v>
      </c>
      <c r="CL127" s="19">
        <v>5984</v>
      </c>
      <c r="CM127" s="33">
        <v>3</v>
      </c>
      <c r="CO127" s="30" t="s">
        <v>1526</v>
      </c>
      <c r="CP127" s="33">
        <v>8</v>
      </c>
    </row>
    <row r="128" spans="4:94" ht="15">
      <c r="D128" s="19" t="s">
        <v>408</v>
      </c>
      <c r="E128" s="33">
        <v>1</v>
      </c>
      <c r="G128" s="19" t="s">
        <v>1504</v>
      </c>
      <c r="H128" s="33">
        <v>868.1</v>
      </c>
      <c r="J128" s="19" t="s">
        <v>1781</v>
      </c>
      <c r="K128" s="33">
        <v>2</v>
      </c>
      <c r="L128" s="33">
        <v>11302.369999999999</v>
      </c>
      <c r="M128" s="33">
        <v>2034.43</v>
      </c>
      <c r="N128" s="33">
        <v>13336.8</v>
      </c>
      <c r="R128"/>
      <c r="S128"/>
      <c r="T128"/>
      <c r="U128"/>
      <c r="V128"/>
      <c r="AD128" s="19" t="s">
        <v>2309</v>
      </c>
      <c r="AE128" s="33">
        <v>2</v>
      </c>
      <c r="AF128" s="33">
        <v>610</v>
      </c>
      <c r="AG128" s="33">
        <v>109.8</v>
      </c>
      <c r="AH128" s="33">
        <v>719.8</v>
      </c>
      <c r="AJ128" s="19" t="s">
        <v>884</v>
      </c>
      <c r="AK128" s="17">
        <v>1</v>
      </c>
      <c r="AL128" s="17">
        <v>293.38</v>
      </c>
      <c r="AM128" s="17">
        <v>52.81</v>
      </c>
      <c r="AN128" s="17">
        <v>346.19</v>
      </c>
      <c r="BN128"/>
      <c r="BO128"/>
      <c r="BQ128"/>
      <c r="BR128"/>
      <c r="BZ128" s="19">
        <v>2314</v>
      </c>
      <c r="CA128" s="33">
        <v>14</v>
      </c>
      <c r="CL128" s="19">
        <v>6249</v>
      </c>
      <c r="CM128" s="33">
        <v>4</v>
      </c>
      <c r="CO128" s="30" t="s">
        <v>1588</v>
      </c>
      <c r="CP128" s="33">
        <v>3</v>
      </c>
    </row>
    <row r="129" spans="4:94" ht="15">
      <c r="D129" s="19" t="s">
        <v>410</v>
      </c>
      <c r="E129" s="33">
        <v>1</v>
      </c>
      <c r="G129" s="19" t="s">
        <v>1526</v>
      </c>
      <c r="H129" s="33">
        <v>3615</v>
      </c>
      <c r="J129" s="19" t="s">
        <v>1787</v>
      </c>
      <c r="K129" s="33">
        <v>8</v>
      </c>
      <c r="L129" s="33">
        <v>602.94000000000005</v>
      </c>
      <c r="M129" s="33">
        <v>108.53</v>
      </c>
      <c r="N129" s="33">
        <v>711.47</v>
      </c>
      <c r="R129"/>
      <c r="S129"/>
      <c r="T129"/>
      <c r="U129"/>
      <c r="V129"/>
      <c r="AD129" s="19" t="s">
        <v>2310</v>
      </c>
      <c r="AE129" s="33">
        <v>1</v>
      </c>
      <c r="AF129" s="33">
        <v>30</v>
      </c>
      <c r="AG129" s="33">
        <v>5.4</v>
      </c>
      <c r="AH129" s="33">
        <v>35.4</v>
      </c>
      <c r="AJ129" s="19" t="s">
        <v>882</v>
      </c>
      <c r="AK129" s="17">
        <v>1</v>
      </c>
      <c r="AL129" s="17">
        <v>18.09</v>
      </c>
      <c r="AM129" s="17">
        <v>3.26</v>
      </c>
      <c r="AN129" s="17">
        <v>21.35</v>
      </c>
      <c r="BN129"/>
      <c r="BO129"/>
      <c r="BQ129"/>
      <c r="BR129"/>
      <c r="BZ129" s="19">
        <v>2324</v>
      </c>
      <c r="CA129" s="33">
        <v>16</v>
      </c>
      <c r="CL129" s="19">
        <v>5554</v>
      </c>
      <c r="CM129" s="33">
        <v>2</v>
      </c>
      <c r="CO129" s="30" t="s">
        <v>2509</v>
      </c>
      <c r="CP129" s="33">
        <v>1</v>
      </c>
    </row>
    <row r="130" spans="4:94" ht="15">
      <c r="D130" s="19" t="s">
        <v>412</v>
      </c>
      <c r="E130" s="33">
        <v>1</v>
      </c>
      <c r="G130" s="19" t="s">
        <v>1588</v>
      </c>
      <c r="H130" s="33">
        <v>810</v>
      </c>
      <c r="J130" s="19" t="s">
        <v>1794</v>
      </c>
      <c r="K130" s="33">
        <v>8</v>
      </c>
      <c r="L130" s="33">
        <v>11101.43</v>
      </c>
      <c r="M130" s="33">
        <v>1998.26</v>
      </c>
      <c r="N130" s="33">
        <v>13099.69</v>
      </c>
      <c r="R130"/>
      <c r="S130"/>
      <c r="T130"/>
      <c r="U130"/>
      <c r="V130"/>
      <c r="AD130" s="19" t="s">
        <v>2311</v>
      </c>
      <c r="AE130" s="33">
        <v>2</v>
      </c>
      <c r="AF130" s="33">
        <v>500</v>
      </c>
      <c r="AG130" s="33">
        <v>90</v>
      </c>
      <c r="AH130" s="33">
        <v>590</v>
      </c>
      <c r="AJ130" s="19" t="s">
        <v>880</v>
      </c>
      <c r="AK130" s="17">
        <v>1</v>
      </c>
      <c r="AL130" s="17">
        <v>21.01</v>
      </c>
      <c r="AM130" s="17">
        <v>3.78</v>
      </c>
      <c r="AN130" s="17">
        <v>24.79</v>
      </c>
      <c r="BN130"/>
      <c r="BO130"/>
      <c r="BQ130"/>
      <c r="BR130"/>
      <c r="BZ130" s="19">
        <v>2315</v>
      </c>
      <c r="CA130" s="33">
        <v>15</v>
      </c>
      <c r="CL130" s="19">
        <v>5825</v>
      </c>
      <c r="CM130" s="33">
        <v>3</v>
      </c>
      <c r="CO130" s="19" t="s">
        <v>163</v>
      </c>
      <c r="CP130" s="33">
        <v>307</v>
      </c>
    </row>
    <row r="131" spans="4:94" ht="15">
      <c r="D131" s="19" t="s">
        <v>546</v>
      </c>
      <c r="E131" s="33">
        <v>1</v>
      </c>
      <c r="G131" s="19" t="s">
        <v>1748</v>
      </c>
      <c r="H131" s="33">
        <v>400</v>
      </c>
      <c r="J131" s="19" t="s">
        <v>1810</v>
      </c>
      <c r="K131" s="33">
        <v>3</v>
      </c>
      <c r="L131" s="33">
        <v>1158.5500000000002</v>
      </c>
      <c r="M131" s="33">
        <v>208.54</v>
      </c>
      <c r="N131" s="33">
        <v>1367.0900000000001</v>
      </c>
      <c r="R131"/>
      <c r="S131"/>
      <c r="T131"/>
      <c r="U131"/>
      <c r="V131"/>
      <c r="AD131" s="19" t="s">
        <v>2312</v>
      </c>
      <c r="AE131" s="33">
        <v>2</v>
      </c>
      <c r="AF131" s="33">
        <v>1000</v>
      </c>
      <c r="AG131" s="33">
        <v>180</v>
      </c>
      <c r="AH131" s="33">
        <v>1180</v>
      </c>
      <c r="AJ131" s="19" t="s">
        <v>878</v>
      </c>
      <c r="AK131" s="17">
        <v>1</v>
      </c>
      <c r="AL131" s="17">
        <v>452.31</v>
      </c>
      <c r="AM131" s="17">
        <v>81.41</v>
      </c>
      <c r="AN131" s="17">
        <v>533.72</v>
      </c>
      <c r="BN131"/>
      <c r="BO131"/>
      <c r="BQ131"/>
      <c r="BR131"/>
      <c r="BZ131" s="19">
        <v>2320</v>
      </c>
      <c r="CA131" s="33">
        <v>3</v>
      </c>
      <c r="CL131" s="19">
        <v>5129</v>
      </c>
      <c r="CM131" s="33">
        <v>2</v>
      </c>
      <c r="CO131" s="30" t="s">
        <v>1248</v>
      </c>
      <c r="CP131" s="33">
        <v>8</v>
      </c>
    </row>
    <row r="132" spans="4:94" ht="15">
      <c r="D132" s="19" t="s">
        <v>549</v>
      </c>
      <c r="E132" s="33">
        <v>1</v>
      </c>
      <c r="G132" s="19" t="s">
        <v>2509</v>
      </c>
      <c r="H132" s="33">
        <v>20</v>
      </c>
      <c r="J132" s="19" t="s">
        <v>1813</v>
      </c>
      <c r="K132" s="33">
        <v>2</v>
      </c>
      <c r="L132" s="33">
        <v>698.93</v>
      </c>
      <c r="M132" s="33">
        <v>125.81</v>
      </c>
      <c r="N132" s="33">
        <v>824.74</v>
      </c>
      <c r="R132"/>
      <c r="S132"/>
      <c r="T132"/>
      <c r="U132"/>
      <c r="V132"/>
      <c r="AD132" s="19" t="s">
        <v>2313</v>
      </c>
      <c r="AE132" s="33">
        <v>1</v>
      </c>
      <c r="AF132" s="33">
        <v>40</v>
      </c>
      <c r="AG132" s="33">
        <v>7.2</v>
      </c>
      <c r="AH132" s="33">
        <v>47.2</v>
      </c>
      <c r="AJ132" s="19" t="s">
        <v>876</v>
      </c>
      <c r="AK132" s="17">
        <v>1</v>
      </c>
      <c r="AL132" s="17">
        <v>525.17999999999995</v>
      </c>
      <c r="AM132" s="17">
        <v>94.53</v>
      </c>
      <c r="AN132" s="17">
        <v>619.71</v>
      </c>
      <c r="BN132"/>
      <c r="BO132"/>
      <c r="BQ132"/>
      <c r="BR132"/>
      <c r="BZ132" s="19">
        <v>2318</v>
      </c>
      <c r="CA132" s="33">
        <v>8</v>
      </c>
      <c r="CL132" s="19">
        <v>5228</v>
      </c>
      <c r="CM132" s="33">
        <v>2</v>
      </c>
      <c r="CO132" s="30" t="s">
        <v>1299</v>
      </c>
      <c r="CP132" s="33">
        <v>100</v>
      </c>
    </row>
    <row r="133" spans="4:94" ht="15">
      <c r="D133" s="19" t="s">
        <v>551</v>
      </c>
      <c r="E133" s="33">
        <v>1</v>
      </c>
      <c r="G133" s="19" t="s">
        <v>52</v>
      </c>
      <c r="H133" s="33">
        <v>573565.91</v>
      </c>
      <c r="J133" s="19" t="s">
        <v>1820</v>
      </c>
      <c r="K133" s="33">
        <v>2</v>
      </c>
      <c r="L133" s="33">
        <v>160.43</v>
      </c>
      <c r="M133" s="33">
        <v>28.87</v>
      </c>
      <c r="N133" s="33">
        <v>189.3</v>
      </c>
      <c r="R133"/>
      <c r="S133"/>
      <c r="T133"/>
      <c r="U133"/>
      <c r="V133"/>
      <c r="AD133" s="19" t="s">
        <v>2314</v>
      </c>
      <c r="AE133" s="33">
        <v>2</v>
      </c>
      <c r="AF133" s="33">
        <v>300</v>
      </c>
      <c r="AG133" s="33">
        <v>54</v>
      </c>
      <c r="AH133" s="33">
        <v>354</v>
      </c>
      <c r="AJ133" s="19" t="s">
        <v>874</v>
      </c>
      <c r="AK133" s="17">
        <v>1</v>
      </c>
      <c r="AL133" s="17">
        <v>452.31</v>
      </c>
      <c r="AM133" s="17">
        <v>81.41</v>
      </c>
      <c r="AN133" s="17">
        <v>533.72</v>
      </c>
      <c r="BN133"/>
      <c r="BO133"/>
      <c r="BQ133"/>
      <c r="BR133"/>
      <c r="BZ133" s="19">
        <v>2342</v>
      </c>
      <c r="CA133" s="33">
        <v>7</v>
      </c>
      <c r="CL133" s="19">
        <v>5084</v>
      </c>
      <c r="CM133" s="33">
        <v>2</v>
      </c>
      <c r="CO133" s="30" t="s">
        <v>1300</v>
      </c>
      <c r="CP133" s="33">
        <v>105</v>
      </c>
    </row>
    <row r="134" spans="4:94" ht="15">
      <c r="D134" s="19" t="s">
        <v>414</v>
      </c>
      <c r="E134" s="33">
        <v>1</v>
      </c>
      <c r="G134"/>
      <c r="H134"/>
      <c r="J134" s="19" t="s">
        <v>1668</v>
      </c>
      <c r="K134" s="33">
        <v>4</v>
      </c>
      <c r="L134" s="33">
        <v>491.52</v>
      </c>
      <c r="M134" s="33">
        <v>88.47</v>
      </c>
      <c r="N134" s="33">
        <v>579.99</v>
      </c>
      <c r="R134"/>
      <c r="S134"/>
      <c r="T134"/>
      <c r="U134"/>
      <c r="V134"/>
      <c r="AD134" s="19" t="s">
        <v>2315</v>
      </c>
      <c r="AE134" s="33">
        <v>5</v>
      </c>
      <c r="AF134" s="33">
        <v>1960</v>
      </c>
      <c r="AG134" s="33">
        <v>352.8</v>
      </c>
      <c r="AH134" s="33">
        <v>2312.7999999999997</v>
      </c>
      <c r="AJ134" s="19" t="s">
        <v>872</v>
      </c>
      <c r="AK134" s="17">
        <v>1</v>
      </c>
      <c r="AL134" s="17">
        <v>525.17999999999995</v>
      </c>
      <c r="AM134" s="17">
        <v>94.53</v>
      </c>
      <c r="AN134" s="17">
        <v>619.71</v>
      </c>
      <c r="BN134"/>
      <c r="BO134"/>
      <c r="BQ134"/>
      <c r="BR134"/>
      <c r="BZ134" s="19">
        <v>1916</v>
      </c>
      <c r="CA134" s="33">
        <v>17</v>
      </c>
      <c r="CL134" s="19">
        <v>388</v>
      </c>
      <c r="CM134" s="33">
        <v>8</v>
      </c>
      <c r="CO134" s="30" t="s">
        <v>1301</v>
      </c>
      <c r="CP134" s="33">
        <v>20</v>
      </c>
    </row>
    <row r="135" spans="4:94" ht="15">
      <c r="D135" s="19" t="s">
        <v>417</v>
      </c>
      <c r="E135" s="33">
        <v>1</v>
      </c>
      <c r="G135"/>
      <c r="H135"/>
      <c r="J135" s="19" t="s">
        <v>1824</v>
      </c>
      <c r="K135" s="33">
        <v>2</v>
      </c>
      <c r="L135" s="33">
        <v>126.1</v>
      </c>
      <c r="M135" s="33">
        <v>22.69</v>
      </c>
      <c r="N135" s="33">
        <v>148.79000000000002</v>
      </c>
      <c r="R135"/>
      <c r="S135"/>
      <c r="T135"/>
      <c r="U135"/>
      <c r="V135"/>
      <c r="AD135" s="19" t="s">
        <v>2316</v>
      </c>
      <c r="AE135" s="33">
        <v>1</v>
      </c>
      <c r="AF135" s="33">
        <v>100</v>
      </c>
      <c r="AG135" s="33">
        <v>18</v>
      </c>
      <c r="AH135" s="33">
        <v>118</v>
      </c>
      <c r="AJ135" s="19" t="s">
        <v>870</v>
      </c>
      <c r="AK135" s="17">
        <v>1</v>
      </c>
      <c r="AL135" s="17">
        <v>886.52</v>
      </c>
      <c r="AM135" s="17">
        <v>159.57</v>
      </c>
      <c r="AN135" s="17">
        <v>1046.0899999999999</v>
      </c>
      <c r="BN135"/>
      <c r="BO135"/>
      <c r="BQ135"/>
      <c r="BR135"/>
      <c r="BZ135" s="19">
        <v>1924</v>
      </c>
      <c r="CA135" s="33">
        <v>12</v>
      </c>
      <c r="CL135" s="19">
        <v>5507</v>
      </c>
      <c r="CM135" s="33">
        <v>8</v>
      </c>
      <c r="CO135" s="30" t="s">
        <v>1302</v>
      </c>
      <c r="CP135" s="33">
        <v>14</v>
      </c>
    </row>
    <row r="136" spans="4:94" ht="15">
      <c r="D136" s="19" t="s">
        <v>419</v>
      </c>
      <c r="E136" s="33">
        <v>1</v>
      </c>
      <c r="G136"/>
      <c r="H136"/>
      <c r="J136" s="19" t="s">
        <v>1834</v>
      </c>
      <c r="K136" s="33">
        <v>3</v>
      </c>
      <c r="L136" s="33">
        <v>85.84</v>
      </c>
      <c r="M136" s="33">
        <v>15.46</v>
      </c>
      <c r="N136" s="33">
        <v>101.3</v>
      </c>
      <c r="R136"/>
      <c r="S136"/>
      <c r="T136"/>
      <c r="U136"/>
      <c r="V136"/>
      <c r="AD136" s="19" t="s">
        <v>2317</v>
      </c>
      <c r="AE136" s="33">
        <v>3</v>
      </c>
      <c r="AF136" s="33">
        <v>570</v>
      </c>
      <c r="AG136" s="33">
        <v>102.60000000000001</v>
      </c>
      <c r="AH136" s="33">
        <v>672.6</v>
      </c>
      <c r="AJ136" s="19" t="s">
        <v>868</v>
      </c>
      <c r="AK136" s="17">
        <v>1</v>
      </c>
      <c r="AL136" s="17">
        <v>1029.3599999999999</v>
      </c>
      <c r="AM136" s="17">
        <v>185.28</v>
      </c>
      <c r="AN136" s="17">
        <v>1214.6400000000001</v>
      </c>
      <c r="BN136"/>
      <c r="BO136"/>
      <c r="BQ136"/>
      <c r="BR136"/>
      <c r="BZ136" s="19">
        <v>1895</v>
      </c>
      <c r="CA136" s="33">
        <v>26</v>
      </c>
      <c r="CL136" s="19">
        <v>5933</v>
      </c>
      <c r="CM136" s="33">
        <v>3</v>
      </c>
      <c r="CO136" s="30" t="s">
        <v>1304</v>
      </c>
      <c r="CP136" s="33">
        <v>15</v>
      </c>
    </row>
    <row r="137" spans="4:94" ht="15">
      <c r="D137" s="19" t="s">
        <v>421</v>
      </c>
      <c r="E137" s="33">
        <v>1</v>
      </c>
      <c r="J137" s="19" t="s">
        <v>1528</v>
      </c>
      <c r="K137" s="33">
        <v>3</v>
      </c>
      <c r="L137" s="33">
        <v>1498.09</v>
      </c>
      <c r="M137" s="33">
        <v>269.65999999999997</v>
      </c>
      <c r="N137" s="33">
        <v>1767.75</v>
      </c>
      <c r="R137"/>
      <c r="S137"/>
      <c r="T137"/>
      <c r="U137"/>
      <c r="V137"/>
      <c r="AD137" s="19" t="s">
        <v>2318</v>
      </c>
      <c r="AE137" s="33">
        <v>4</v>
      </c>
      <c r="AF137" s="33">
        <v>1200</v>
      </c>
      <c r="AG137" s="33">
        <v>216</v>
      </c>
      <c r="AH137" s="33">
        <v>1416</v>
      </c>
      <c r="AJ137" s="19" t="s">
        <v>866</v>
      </c>
      <c r="AK137" s="17">
        <v>1</v>
      </c>
      <c r="AL137" s="17">
        <v>20.99</v>
      </c>
      <c r="AM137" s="17">
        <v>3.78</v>
      </c>
      <c r="AN137" s="17">
        <v>24.77</v>
      </c>
      <c r="BN137"/>
      <c r="BO137"/>
      <c r="BQ137"/>
      <c r="BR137"/>
      <c r="BZ137" s="19">
        <v>223</v>
      </c>
      <c r="CA137" s="33">
        <v>8</v>
      </c>
      <c r="CL137" s="19">
        <v>5539</v>
      </c>
      <c r="CM137" s="33">
        <v>2</v>
      </c>
      <c r="CO137" s="30" t="s">
        <v>1305</v>
      </c>
      <c r="CP137" s="33">
        <v>9</v>
      </c>
    </row>
    <row r="138" spans="4:94" ht="15">
      <c r="D138" s="19" t="s">
        <v>553</v>
      </c>
      <c r="E138" s="33">
        <v>1</v>
      </c>
      <c r="J138" s="19" t="s">
        <v>2442</v>
      </c>
      <c r="K138" s="33">
        <v>2</v>
      </c>
      <c r="L138" s="33">
        <v>343.04999999999995</v>
      </c>
      <c r="M138" s="33">
        <v>61.75</v>
      </c>
      <c r="N138" s="33">
        <v>404.79999999999995</v>
      </c>
      <c r="R138"/>
      <c r="S138"/>
      <c r="T138"/>
      <c r="U138"/>
      <c r="V138"/>
      <c r="AD138" s="19" t="s">
        <v>2319</v>
      </c>
      <c r="AE138" s="33">
        <v>2</v>
      </c>
      <c r="AF138" s="33">
        <v>150</v>
      </c>
      <c r="AG138" s="33">
        <v>27</v>
      </c>
      <c r="AH138" s="33">
        <v>177</v>
      </c>
      <c r="AJ138" s="19" t="s">
        <v>864</v>
      </c>
      <c r="AK138" s="17">
        <v>1</v>
      </c>
      <c r="AL138" s="17">
        <v>24.11</v>
      </c>
      <c r="AM138" s="17">
        <v>4.34</v>
      </c>
      <c r="AN138" s="17">
        <v>28.45</v>
      </c>
      <c r="BN138"/>
      <c r="BO138"/>
      <c r="BQ138"/>
      <c r="BR138"/>
      <c r="BZ138" s="19">
        <v>2344</v>
      </c>
      <c r="CA138" s="33">
        <v>2</v>
      </c>
      <c r="CL138" s="19">
        <v>5600</v>
      </c>
      <c r="CM138" s="33">
        <v>2</v>
      </c>
      <c r="CO138" s="30" t="s">
        <v>1306</v>
      </c>
      <c r="CP138" s="33">
        <v>8</v>
      </c>
    </row>
    <row r="139" spans="4:94" ht="15">
      <c r="D139" s="19" t="s">
        <v>556</v>
      </c>
      <c r="E139" s="33">
        <v>1</v>
      </c>
      <c r="J139" s="19" t="s">
        <v>2444</v>
      </c>
      <c r="K139" s="33">
        <v>10</v>
      </c>
      <c r="L139" s="33">
        <v>6624.12</v>
      </c>
      <c r="M139" s="33">
        <v>1192.33</v>
      </c>
      <c r="N139" s="33">
        <v>7816.4499999999989</v>
      </c>
      <c r="R139"/>
      <c r="S139"/>
      <c r="T139"/>
      <c r="U139"/>
      <c r="V139"/>
      <c r="AD139" s="19" t="s">
        <v>2320</v>
      </c>
      <c r="AE139" s="33">
        <v>1</v>
      </c>
      <c r="AF139" s="33">
        <v>2240.5100000000002</v>
      </c>
      <c r="AG139" s="33">
        <v>403.29</v>
      </c>
      <c r="AH139" s="33">
        <v>2643.8</v>
      </c>
      <c r="AJ139" s="19" t="s">
        <v>862</v>
      </c>
      <c r="AK139" s="17">
        <v>1</v>
      </c>
      <c r="AL139" s="17">
        <v>524.72</v>
      </c>
      <c r="AM139" s="17">
        <v>94.45</v>
      </c>
      <c r="AN139" s="17">
        <v>619.16999999999996</v>
      </c>
      <c r="BN139"/>
      <c r="BO139"/>
      <c r="BQ139"/>
      <c r="BR139"/>
      <c r="BZ139" s="19">
        <v>2274</v>
      </c>
      <c r="CA139" s="33">
        <v>27</v>
      </c>
      <c r="CL139" s="19">
        <v>5974</v>
      </c>
      <c r="CM139" s="33">
        <v>2</v>
      </c>
      <c r="CO139" s="30" t="s">
        <v>1399</v>
      </c>
      <c r="CP139" s="33">
        <v>7</v>
      </c>
    </row>
    <row r="140" spans="4:94" ht="15">
      <c r="D140" s="19" t="s">
        <v>558</v>
      </c>
      <c r="E140" s="33">
        <v>1</v>
      </c>
      <c r="J140" s="19" t="s">
        <v>2448</v>
      </c>
      <c r="K140" s="33">
        <v>2</v>
      </c>
      <c r="L140" s="33">
        <v>192.78</v>
      </c>
      <c r="M140" s="33">
        <v>34.700000000000003</v>
      </c>
      <c r="N140" s="33">
        <v>227.48000000000002</v>
      </c>
      <c r="R140"/>
      <c r="S140"/>
      <c r="T140"/>
      <c r="U140"/>
      <c r="V140"/>
      <c r="AD140" s="19" t="s">
        <v>2321</v>
      </c>
      <c r="AE140" s="33">
        <v>1</v>
      </c>
      <c r="AF140" s="33">
        <v>2016.86</v>
      </c>
      <c r="AG140" s="33">
        <v>363.03</v>
      </c>
      <c r="AH140" s="33">
        <v>2379.89</v>
      </c>
      <c r="AJ140" s="19" t="s">
        <v>860</v>
      </c>
      <c r="AK140" s="17">
        <v>1</v>
      </c>
      <c r="AL140" s="17">
        <v>602.70000000000005</v>
      </c>
      <c r="AM140" s="17">
        <v>108.49</v>
      </c>
      <c r="AN140" s="17">
        <v>711.19</v>
      </c>
      <c r="BN140"/>
      <c r="BO140"/>
      <c r="BQ140"/>
      <c r="BR140"/>
      <c r="BZ140" s="19">
        <v>224</v>
      </c>
      <c r="CA140" s="33">
        <v>6</v>
      </c>
      <c r="CL140" s="19">
        <v>5710</v>
      </c>
      <c r="CM140" s="33">
        <v>6</v>
      </c>
      <c r="CO140" s="30" t="s">
        <v>44</v>
      </c>
      <c r="CP140" s="33">
        <v>2</v>
      </c>
    </row>
    <row r="141" spans="4:94" ht="15">
      <c r="D141" s="19" t="s">
        <v>423</v>
      </c>
      <c r="E141" s="33">
        <v>1</v>
      </c>
      <c r="J141" s="19" t="s">
        <v>2468</v>
      </c>
      <c r="K141" s="33">
        <v>2</v>
      </c>
      <c r="L141" s="33">
        <v>10.33</v>
      </c>
      <c r="M141" s="33">
        <v>1.8599999999999999</v>
      </c>
      <c r="N141" s="33">
        <v>12.190000000000001</v>
      </c>
      <c r="R141"/>
      <c r="S141"/>
      <c r="T141"/>
      <c r="U141"/>
      <c r="V141"/>
      <c r="AD141" s="19" t="s">
        <v>2322</v>
      </c>
      <c r="AE141" s="33">
        <v>1</v>
      </c>
      <c r="AF141" s="33">
        <v>135.86000000000001</v>
      </c>
      <c r="AG141" s="33">
        <v>24.45</v>
      </c>
      <c r="AH141" s="33">
        <v>160.31</v>
      </c>
      <c r="AJ141" s="19" t="s">
        <v>858</v>
      </c>
      <c r="AK141" s="17">
        <v>1</v>
      </c>
      <c r="AL141" s="17">
        <v>524.72</v>
      </c>
      <c r="AM141" s="17">
        <v>94.45</v>
      </c>
      <c r="AN141" s="17">
        <v>619.16999999999996</v>
      </c>
      <c r="BN141"/>
      <c r="BO141"/>
      <c r="BQ141"/>
      <c r="BR141"/>
      <c r="BZ141" s="19">
        <v>2276</v>
      </c>
      <c r="CA141" s="33">
        <v>17</v>
      </c>
      <c r="CL141" s="19">
        <v>5396</v>
      </c>
      <c r="CM141" s="33">
        <v>2</v>
      </c>
      <c r="CO141" s="30" t="s">
        <v>1504</v>
      </c>
      <c r="CP141" s="33">
        <v>17</v>
      </c>
    </row>
    <row r="142" spans="4:94" ht="15">
      <c r="D142" s="19" t="s">
        <v>426</v>
      </c>
      <c r="E142" s="33">
        <v>1</v>
      </c>
      <c r="J142" s="19" t="s">
        <v>2470</v>
      </c>
      <c r="K142" s="33">
        <v>3</v>
      </c>
      <c r="L142" s="33">
        <v>417.17999999999995</v>
      </c>
      <c r="M142" s="33">
        <v>75.099999999999994</v>
      </c>
      <c r="N142" s="33">
        <v>492.28000000000003</v>
      </c>
      <c r="R142"/>
      <c r="S142"/>
      <c r="T142"/>
      <c r="U142"/>
      <c r="V142"/>
      <c r="AD142" s="19" t="s">
        <v>2323</v>
      </c>
      <c r="AE142" s="33">
        <v>1</v>
      </c>
      <c r="AF142" s="33">
        <v>219.88</v>
      </c>
      <c r="AG142" s="33">
        <v>39.58</v>
      </c>
      <c r="AH142" s="33">
        <v>259.45999999999998</v>
      </c>
      <c r="AJ142" s="19" t="s">
        <v>856</v>
      </c>
      <c r="AK142" s="17">
        <v>1</v>
      </c>
      <c r="AL142" s="17">
        <v>602.70000000000005</v>
      </c>
      <c r="AM142" s="17">
        <v>108.49</v>
      </c>
      <c r="AN142" s="17">
        <v>711.19</v>
      </c>
      <c r="BN142"/>
      <c r="BO142"/>
      <c r="BQ142"/>
      <c r="BR142"/>
      <c r="BZ142" s="19">
        <v>2264</v>
      </c>
      <c r="CA142" s="33">
        <v>8</v>
      </c>
      <c r="CL142" s="19">
        <v>6074</v>
      </c>
      <c r="CM142" s="33">
        <v>10</v>
      </c>
      <c r="CO142" s="30" t="s">
        <v>1748</v>
      </c>
      <c r="CP142" s="33">
        <v>2</v>
      </c>
    </row>
    <row r="143" spans="4:94" ht="15">
      <c r="D143" s="19" t="s">
        <v>428</v>
      </c>
      <c r="E143" s="33">
        <v>1</v>
      </c>
      <c r="J143" s="19" t="s">
        <v>2474</v>
      </c>
      <c r="K143" s="33">
        <v>3</v>
      </c>
      <c r="L143" s="33">
        <v>51.6</v>
      </c>
      <c r="M143" s="33">
        <v>9.2800000000000011</v>
      </c>
      <c r="N143" s="33">
        <v>60.88</v>
      </c>
      <c r="R143"/>
      <c r="S143"/>
      <c r="T143"/>
      <c r="U143"/>
      <c r="V143"/>
      <c r="AD143" s="19" t="s">
        <v>2324</v>
      </c>
      <c r="AE143" s="33">
        <v>1</v>
      </c>
      <c r="AF143" s="33">
        <v>193.03</v>
      </c>
      <c r="AG143" s="33">
        <v>34.75</v>
      </c>
      <c r="AH143" s="33">
        <v>227.78</v>
      </c>
      <c r="AJ143" s="19" t="s">
        <v>854</v>
      </c>
      <c r="AK143" s="17">
        <v>1</v>
      </c>
      <c r="AL143" s="17">
        <v>1028.46</v>
      </c>
      <c r="AM143" s="17">
        <v>185.12</v>
      </c>
      <c r="AN143" s="17">
        <v>1213.58</v>
      </c>
      <c r="BN143"/>
      <c r="BO143"/>
      <c r="BQ143"/>
      <c r="BR143"/>
      <c r="BZ143" s="19">
        <v>1788</v>
      </c>
      <c r="CA143" s="33">
        <v>3</v>
      </c>
      <c r="CL143" s="19">
        <v>6149</v>
      </c>
      <c r="CM143" s="33">
        <v>2</v>
      </c>
      <c r="CO143" s="19" t="s">
        <v>52</v>
      </c>
      <c r="CP143" s="33">
        <v>790</v>
      </c>
    </row>
    <row r="144" spans="4:94" ht="15">
      <c r="D144" s="19" t="s">
        <v>430</v>
      </c>
      <c r="E144" s="33">
        <v>1</v>
      </c>
      <c r="J144" s="19" t="s">
        <v>2477</v>
      </c>
      <c r="K144" s="33">
        <v>4</v>
      </c>
      <c r="L144" s="33">
        <v>61.379999999999995</v>
      </c>
      <c r="M144" s="33">
        <v>11.04</v>
      </c>
      <c r="N144" s="33">
        <v>72.42</v>
      </c>
      <c r="R144"/>
      <c r="S144"/>
      <c r="T144"/>
      <c r="U144"/>
      <c r="V144"/>
      <c r="AD144" s="19" t="s">
        <v>2325</v>
      </c>
      <c r="AE144" s="33">
        <v>1</v>
      </c>
      <c r="AF144" s="33">
        <v>100</v>
      </c>
      <c r="AG144" s="33">
        <v>18</v>
      </c>
      <c r="AH144" s="33">
        <v>118</v>
      </c>
      <c r="AJ144" s="19" t="s">
        <v>852</v>
      </c>
      <c r="AK144" s="17">
        <v>1</v>
      </c>
      <c r="AL144" s="17">
        <v>1181.29</v>
      </c>
      <c r="AM144" s="17">
        <v>212.63</v>
      </c>
      <c r="AN144" s="17">
        <v>1393.92</v>
      </c>
      <c r="BN144"/>
      <c r="BO144"/>
      <c r="BQ144"/>
      <c r="BR144"/>
      <c r="BZ144" s="19">
        <v>2322</v>
      </c>
      <c r="CA144" s="33">
        <v>2</v>
      </c>
      <c r="CL144" s="19">
        <v>5658</v>
      </c>
      <c r="CM144" s="33">
        <v>2</v>
      </c>
    </row>
    <row r="145" spans="4:91" ht="15">
      <c r="D145" s="19" t="s">
        <v>432</v>
      </c>
      <c r="E145" s="33">
        <v>1</v>
      </c>
      <c r="J145" s="19" t="s">
        <v>2480</v>
      </c>
      <c r="K145" s="33">
        <v>3</v>
      </c>
      <c r="L145" s="33">
        <v>611.80999999999995</v>
      </c>
      <c r="M145" s="33">
        <v>110.13</v>
      </c>
      <c r="N145" s="33">
        <v>721.93999999999994</v>
      </c>
      <c r="R145"/>
      <c r="S145"/>
      <c r="T145"/>
      <c r="U145"/>
      <c r="V145"/>
      <c r="AD145" s="19" t="s">
        <v>2326</v>
      </c>
      <c r="AE145" s="33">
        <v>1</v>
      </c>
      <c r="AF145" s="33">
        <v>19.829999999999998</v>
      </c>
      <c r="AG145" s="33">
        <v>3.57</v>
      </c>
      <c r="AH145" s="33">
        <v>23.4</v>
      </c>
      <c r="AJ145" s="19" t="s">
        <v>749</v>
      </c>
      <c r="AK145" s="17">
        <v>1</v>
      </c>
      <c r="AL145" s="17">
        <v>95.97</v>
      </c>
      <c r="AM145" s="17">
        <v>17.27</v>
      </c>
      <c r="AN145" s="17">
        <v>113.24</v>
      </c>
      <c r="BN145"/>
      <c r="BO145"/>
      <c r="BQ145"/>
      <c r="BR145"/>
      <c r="BZ145" s="19">
        <v>2261</v>
      </c>
      <c r="CA145" s="33">
        <v>1</v>
      </c>
      <c r="CL145" s="19">
        <v>5553</v>
      </c>
      <c r="CM145" s="33">
        <v>3</v>
      </c>
    </row>
    <row r="146" spans="4:91" ht="15">
      <c r="D146" s="19" t="s">
        <v>434</v>
      </c>
      <c r="E146" s="33">
        <v>1</v>
      </c>
      <c r="J146" s="19" t="s">
        <v>2487</v>
      </c>
      <c r="K146" s="33">
        <v>3</v>
      </c>
      <c r="L146" s="33">
        <v>36.29</v>
      </c>
      <c r="M146" s="33">
        <v>6.5299999999999994</v>
      </c>
      <c r="N146" s="33">
        <v>42.820000000000007</v>
      </c>
      <c r="R146"/>
      <c r="S146"/>
      <c r="T146"/>
      <c r="U146"/>
      <c r="V146"/>
      <c r="AD146" s="19" t="s">
        <v>2327</v>
      </c>
      <c r="AE146" s="33">
        <v>1</v>
      </c>
      <c r="AF146" s="33">
        <v>34.15</v>
      </c>
      <c r="AG146" s="33">
        <v>6.15</v>
      </c>
      <c r="AH146" s="33">
        <v>40.299999999999997</v>
      </c>
      <c r="AJ146" s="19" t="s">
        <v>746</v>
      </c>
      <c r="AK146" s="17">
        <v>1</v>
      </c>
      <c r="AL146" s="17">
        <v>96.1</v>
      </c>
      <c r="AM146" s="17">
        <v>17.3</v>
      </c>
      <c r="AN146" s="17">
        <v>113.4</v>
      </c>
      <c r="BN146"/>
      <c r="BO146"/>
      <c r="BQ146"/>
      <c r="BR146"/>
      <c r="BZ146" s="19" t="s">
        <v>52</v>
      </c>
      <c r="CA146" s="33">
        <v>790</v>
      </c>
      <c r="CL146" s="19">
        <v>5210</v>
      </c>
      <c r="CM146" s="33">
        <v>3</v>
      </c>
    </row>
    <row r="147" spans="4:91" ht="15">
      <c r="D147" s="19" t="s">
        <v>437</v>
      </c>
      <c r="E147" s="33">
        <v>1</v>
      </c>
      <c r="J147" s="19" t="s">
        <v>2490</v>
      </c>
      <c r="K147" s="33">
        <v>3</v>
      </c>
      <c r="L147" s="33">
        <v>199.92000000000002</v>
      </c>
      <c r="M147" s="33">
        <v>35.979999999999997</v>
      </c>
      <c r="N147" s="33">
        <v>235.89999999999998</v>
      </c>
      <c r="R147"/>
      <c r="S147"/>
      <c r="T147"/>
      <c r="U147"/>
      <c r="V147"/>
      <c r="AD147" s="19" t="s">
        <v>2328</v>
      </c>
      <c r="AE147" s="33">
        <v>1</v>
      </c>
      <c r="AF147" s="33">
        <v>95.25</v>
      </c>
      <c r="AG147" s="33">
        <v>17.149999999999999</v>
      </c>
      <c r="AH147" s="33">
        <v>112.4</v>
      </c>
      <c r="AJ147" s="19" t="s">
        <v>744</v>
      </c>
      <c r="AK147" s="17">
        <v>1</v>
      </c>
      <c r="AL147" s="17">
        <v>824.87</v>
      </c>
      <c r="AM147" s="17">
        <v>148.47999999999999</v>
      </c>
      <c r="AN147" s="17">
        <v>973.35</v>
      </c>
      <c r="BN147"/>
      <c r="BO147"/>
      <c r="BQ147"/>
      <c r="BR147"/>
      <c r="CL147" s="19">
        <v>5473</v>
      </c>
      <c r="CM147" s="33">
        <v>4</v>
      </c>
    </row>
    <row r="148" spans="4:91" ht="15">
      <c r="D148" s="19" t="s">
        <v>439</v>
      </c>
      <c r="E148" s="33">
        <v>1</v>
      </c>
      <c r="J148" s="19" t="s">
        <v>52</v>
      </c>
      <c r="K148" s="33">
        <v>790</v>
      </c>
      <c r="L148" s="33">
        <v>573565.90999999875</v>
      </c>
      <c r="M148" s="33">
        <v>103241.76000000014</v>
      </c>
      <c r="N148" s="33">
        <v>676807.67000000109</v>
      </c>
      <c r="R148"/>
      <c r="S148"/>
      <c r="T148"/>
      <c r="U148"/>
      <c r="V148"/>
      <c r="AD148" s="19" t="s">
        <v>2329</v>
      </c>
      <c r="AE148" s="33">
        <v>1</v>
      </c>
      <c r="AF148" s="33">
        <v>136.19</v>
      </c>
      <c r="AG148" s="33">
        <v>24.51</v>
      </c>
      <c r="AH148" s="33">
        <v>160.69999999999999</v>
      </c>
      <c r="AJ148" s="19" t="s">
        <v>741</v>
      </c>
      <c r="AK148" s="17">
        <v>1</v>
      </c>
      <c r="AL148" s="17">
        <v>1346.2</v>
      </c>
      <c r="AM148" s="17">
        <v>242.32</v>
      </c>
      <c r="AN148" s="17">
        <v>1588.52</v>
      </c>
      <c r="BN148"/>
      <c r="BO148"/>
      <c r="BQ148"/>
      <c r="BR148"/>
      <c r="CL148" s="19">
        <v>5601</v>
      </c>
      <c r="CM148" s="33">
        <v>3</v>
      </c>
    </row>
    <row r="149" spans="4:91" ht="15">
      <c r="D149" s="19" t="s">
        <v>560</v>
      </c>
      <c r="E149" s="33">
        <v>1</v>
      </c>
      <c r="R149"/>
      <c r="S149"/>
      <c r="T149"/>
      <c r="U149"/>
      <c r="V149"/>
      <c r="AD149" s="19" t="s">
        <v>2330</v>
      </c>
      <c r="AE149" s="33">
        <v>1</v>
      </c>
      <c r="AF149" s="33">
        <v>125.08</v>
      </c>
      <c r="AG149" s="33">
        <v>22.51</v>
      </c>
      <c r="AH149" s="33">
        <v>147.59</v>
      </c>
      <c r="AJ149" s="19" t="s">
        <v>739</v>
      </c>
      <c r="AK149" s="17">
        <v>1</v>
      </c>
      <c r="AL149" s="17">
        <v>133.47</v>
      </c>
      <c r="AM149" s="17">
        <v>24.03</v>
      </c>
      <c r="AN149" s="17">
        <v>157.5</v>
      </c>
      <c r="BN149"/>
      <c r="BO149"/>
      <c r="BQ149"/>
      <c r="BR149"/>
      <c r="CL149" s="19">
        <v>5490</v>
      </c>
      <c r="CM149" s="33">
        <v>3</v>
      </c>
    </row>
    <row r="150" spans="4:91" ht="15">
      <c r="D150" s="19" t="s">
        <v>563</v>
      </c>
      <c r="E150" s="33">
        <v>1</v>
      </c>
      <c r="R150"/>
      <c r="S150"/>
      <c r="T150"/>
      <c r="U150"/>
      <c r="V150"/>
      <c r="AD150" s="19" t="s">
        <v>2331</v>
      </c>
      <c r="AE150" s="33">
        <v>1</v>
      </c>
      <c r="AF150" s="33">
        <v>164.24</v>
      </c>
      <c r="AG150" s="33">
        <v>29.56</v>
      </c>
      <c r="AH150" s="33">
        <v>193.8</v>
      </c>
      <c r="AJ150" s="19" t="s">
        <v>736</v>
      </c>
      <c r="AK150" s="17">
        <v>1</v>
      </c>
      <c r="AL150" s="17">
        <v>240.25</v>
      </c>
      <c r="AM150" s="17">
        <v>43.25</v>
      </c>
      <c r="AN150" s="17">
        <v>283.5</v>
      </c>
      <c r="BN150"/>
      <c r="BO150"/>
      <c r="BQ150"/>
      <c r="BR150"/>
      <c r="CL150" s="19">
        <v>6601</v>
      </c>
      <c r="CM150" s="33">
        <v>3</v>
      </c>
    </row>
    <row r="151" spans="4:91" ht="15">
      <c r="D151" s="19" t="s">
        <v>441</v>
      </c>
      <c r="E151" s="33">
        <v>1</v>
      </c>
      <c r="R151"/>
      <c r="S151"/>
      <c r="T151"/>
      <c r="U151"/>
      <c r="V151"/>
      <c r="AD151" s="19" t="s">
        <v>2332</v>
      </c>
      <c r="AE151" s="33">
        <v>1</v>
      </c>
      <c r="AF151" s="33">
        <v>667.44</v>
      </c>
      <c r="AG151" s="33">
        <v>120.14</v>
      </c>
      <c r="AH151" s="33">
        <v>787.58</v>
      </c>
      <c r="AJ151" s="19" t="s">
        <v>734</v>
      </c>
      <c r="AK151" s="17">
        <v>1</v>
      </c>
      <c r="AL151" s="17">
        <v>19.07</v>
      </c>
      <c r="AM151" s="17">
        <v>3.43</v>
      </c>
      <c r="AN151" s="17">
        <v>22.5</v>
      </c>
      <c r="BN151"/>
      <c r="BO151"/>
      <c r="BQ151"/>
      <c r="BR151"/>
      <c r="CL151" s="19" t="s">
        <v>52</v>
      </c>
      <c r="CM151" s="33">
        <v>790</v>
      </c>
    </row>
    <row r="152" spans="4:91" ht="15">
      <c r="D152" s="19" t="s">
        <v>444</v>
      </c>
      <c r="E152" s="33">
        <v>1</v>
      </c>
      <c r="R152"/>
      <c r="S152"/>
      <c r="T152"/>
      <c r="U152"/>
      <c r="V152"/>
      <c r="AD152" s="19" t="s">
        <v>2333</v>
      </c>
      <c r="AE152" s="33">
        <v>1</v>
      </c>
      <c r="AF152" s="33">
        <v>888.09</v>
      </c>
      <c r="AG152" s="33">
        <v>159.86000000000001</v>
      </c>
      <c r="AH152" s="33">
        <v>1047.95</v>
      </c>
      <c r="AJ152" s="19" t="s">
        <v>731</v>
      </c>
      <c r="AK152" s="17">
        <v>1</v>
      </c>
      <c r="AL152" s="17">
        <v>34.32</v>
      </c>
      <c r="AM152" s="17">
        <v>6.18</v>
      </c>
      <c r="AN152" s="17">
        <v>40.5</v>
      </c>
      <c r="BN152"/>
      <c r="BO152"/>
      <c r="BQ152"/>
      <c r="BR152"/>
    </row>
    <row r="153" spans="4:91" ht="15">
      <c r="D153" s="19" t="s">
        <v>446</v>
      </c>
      <c r="E153" s="33">
        <v>1</v>
      </c>
      <c r="R153"/>
      <c r="S153"/>
      <c r="T153"/>
      <c r="U153"/>
      <c r="V153"/>
      <c r="AD153" s="19" t="s">
        <v>2334</v>
      </c>
      <c r="AE153" s="33">
        <v>1</v>
      </c>
      <c r="AF153" s="33">
        <v>115</v>
      </c>
      <c r="AG153" s="33">
        <v>20.7</v>
      </c>
      <c r="AH153" s="33">
        <v>135.69999999999999</v>
      </c>
      <c r="AJ153" s="19" t="s">
        <v>680</v>
      </c>
      <c r="AK153" s="17">
        <v>1</v>
      </c>
      <c r="AL153" s="17">
        <v>4611.78</v>
      </c>
      <c r="AM153" s="17">
        <v>830.12</v>
      </c>
      <c r="AN153" s="17">
        <v>5441.9</v>
      </c>
      <c r="BN153"/>
      <c r="BO153"/>
      <c r="BQ153"/>
      <c r="BR153"/>
    </row>
    <row r="154" spans="4:91" ht="15">
      <c r="D154" s="19" t="s">
        <v>449</v>
      </c>
      <c r="E154" s="33">
        <v>1</v>
      </c>
      <c r="R154"/>
      <c r="S154"/>
      <c r="T154"/>
      <c r="U154"/>
      <c r="V154"/>
      <c r="AD154" s="19" t="s">
        <v>2335</v>
      </c>
      <c r="AE154" s="33">
        <v>1</v>
      </c>
      <c r="AF154" s="33">
        <v>19</v>
      </c>
      <c r="AG154" s="33">
        <v>3.42</v>
      </c>
      <c r="AH154" s="33">
        <v>22.42</v>
      </c>
      <c r="AJ154" s="19" t="s">
        <v>678</v>
      </c>
      <c r="AK154" s="17">
        <v>1</v>
      </c>
      <c r="AL154" s="17">
        <v>5235.68</v>
      </c>
      <c r="AM154" s="17">
        <v>942.42</v>
      </c>
      <c r="AN154" s="17">
        <v>6178.1</v>
      </c>
      <c r="BN154"/>
      <c r="BO154"/>
      <c r="BQ154"/>
      <c r="BR154"/>
    </row>
    <row r="155" spans="4:91" ht="15">
      <c r="D155" s="19" t="s">
        <v>451</v>
      </c>
      <c r="E155" s="33">
        <v>1</v>
      </c>
      <c r="R155"/>
      <c r="S155"/>
      <c r="T155"/>
      <c r="U155"/>
      <c r="V155"/>
      <c r="AD155" s="19" t="s">
        <v>2336</v>
      </c>
      <c r="AE155" s="33">
        <v>2</v>
      </c>
      <c r="AF155" s="33">
        <v>615</v>
      </c>
      <c r="AG155" s="33">
        <v>110.7</v>
      </c>
      <c r="AH155" s="33">
        <v>725.7</v>
      </c>
      <c r="AJ155" s="19" t="s">
        <v>676</v>
      </c>
      <c r="AK155" s="17">
        <v>1</v>
      </c>
      <c r="AL155" s="17">
        <v>3100</v>
      </c>
      <c r="AM155" s="17">
        <v>558</v>
      </c>
      <c r="AN155" s="17">
        <v>3658</v>
      </c>
      <c r="BN155"/>
      <c r="BO155"/>
      <c r="BQ155"/>
      <c r="BR155"/>
    </row>
    <row r="156" spans="4:91" ht="15">
      <c r="D156" s="19" t="s">
        <v>454</v>
      </c>
      <c r="E156" s="33">
        <v>1</v>
      </c>
      <c r="R156"/>
      <c r="S156"/>
      <c r="T156"/>
      <c r="U156"/>
      <c r="V156"/>
      <c r="AD156" s="19" t="s">
        <v>2337</v>
      </c>
      <c r="AE156" s="33">
        <v>1</v>
      </c>
      <c r="AF156" s="33">
        <v>30</v>
      </c>
      <c r="AG156" s="33">
        <v>5.4</v>
      </c>
      <c r="AH156" s="33">
        <v>35.4</v>
      </c>
      <c r="AJ156" s="19" t="s">
        <v>673</v>
      </c>
      <c r="AK156" s="17">
        <v>1</v>
      </c>
      <c r="AL156" s="17">
        <v>483.73</v>
      </c>
      <c r="AM156" s="17">
        <v>87.07</v>
      </c>
      <c r="AN156" s="17">
        <v>570.79999999999995</v>
      </c>
      <c r="BN156"/>
      <c r="BO156"/>
      <c r="BQ156"/>
      <c r="BR156"/>
    </row>
    <row r="157" spans="4:91" ht="15">
      <c r="D157" s="19" t="s">
        <v>456</v>
      </c>
      <c r="E157" s="33">
        <v>1</v>
      </c>
      <c r="R157"/>
      <c r="S157"/>
      <c r="T157"/>
      <c r="U157"/>
      <c r="V157"/>
      <c r="AD157" s="19" t="s">
        <v>2338</v>
      </c>
      <c r="AE157" s="33">
        <v>1</v>
      </c>
      <c r="AF157" s="33">
        <v>900</v>
      </c>
      <c r="AG157" s="33">
        <v>162</v>
      </c>
      <c r="AH157" s="33">
        <v>1062</v>
      </c>
      <c r="AJ157" s="19" t="s">
        <v>619</v>
      </c>
      <c r="AK157" s="17">
        <v>1</v>
      </c>
      <c r="AL157" s="17">
        <v>283.73</v>
      </c>
      <c r="AM157" s="17">
        <v>51.07</v>
      </c>
      <c r="AN157" s="17">
        <v>334.8</v>
      </c>
      <c r="BN157"/>
      <c r="BO157"/>
      <c r="BQ157"/>
      <c r="BR157"/>
    </row>
    <row r="158" spans="4:91" ht="15">
      <c r="D158" s="19" t="s">
        <v>459</v>
      </c>
      <c r="E158" s="33">
        <v>1</v>
      </c>
      <c r="R158"/>
      <c r="S158"/>
      <c r="T158"/>
      <c r="U158"/>
      <c r="V158"/>
      <c r="AD158" s="19" t="s">
        <v>2339</v>
      </c>
      <c r="AE158" s="33">
        <v>3</v>
      </c>
      <c r="AF158" s="33">
        <v>3610</v>
      </c>
      <c r="AG158" s="33">
        <v>649.79999999999995</v>
      </c>
      <c r="AH158" s="33">
        <v>4259.8</v>
      </c>
      <c r="AJ158" s="19" t="s">
        <v>616</v>
      </c>
      <c r="AK158" s="17">
        <v>1</v>
      </c>
      <c r="AL158" s="17">
        <v>370.08</v>
      </c>
      <c r="AM158" s="17">
        <v>66.62</v>
      </c>
      <c r="AN158" s="17">
        <v>436.7</v>
      </c>
      <c r="BN158"/>
      <c r="BO158"/>
      <c r="BQ158"/>
      <c r="BR158"/>
    </row>
    <row r="159" spans="4:91" ht="15">
      <c r="D159" s="19" t="s">
        <v>461</v>
      </c>
      <c r="E159" s="33">
        <v>1</v>
      </c>
      <c r="R159"/>
      <c r="S159"/>
      <c r="T159"/>
      <c r="U159"/>
      <c r="V159"/>
      <c r="AD159" s="19" t="s">
        <v>2340</v>
      </c>
      <c r="AE159" s="33">
        <v>1</v>
      </c>
      <c r="AF159" s="33">
        <v>2220</v>
      </c>
      <c r="AG159" s="33">
        <v>399.6</v>
      </c>
      <c r="AH159" s="33">
        <v>2619.6</v>
      </c>
      <c r="AJ159" s="19" t="s">
        <v>614</v>
      </c>
      <c r="AK159" s="17">
        <v>1</v>
      </c>
      <c r="AL159" s="17">
        <v>35.549999999999997</v>
      </c>
      <c r="AM159" s="17">
        <v>6.4</v>
      </c>
      <c r="AN159" s="17">
        <v>41.95</v>
      </c>
      <c r="BN159"/>
      <c r="BO159"/>
      <c r="BQ159"/>
      <c r="BR159"/>
    </row>
    <row r="160" spans="4:91" ht="15">
      <c r="D160" s="19" t="s">
        <v>464</v>
      </c>
      <c r="E160" s="33">
        <v>1</v>
      </c>
      <c r="R160"/>
      <c r="S160"/>
      <c r="T160"/>
      <c r="U160"/>
      <c r="V160"/>
      <c r="AD160" s="19" t="s">
        <v>2341</v>
      </c>
      <c r="AE160" s="33">
        <v>1</v>
      </c>
      <c r="AF160" s="33">
        <v>22.5</v>
      </c>
      <c r="AG160" s="33">
        <v>4.05</v>
      </c>
      <c r="AH160" s="33">
        <v>26.55</v>
      </c>
      <c r="AJ160" s="19" t="s">
        <v>612</v>
      </c>
      <c r="AK160" s="17">
        <v>1</v>
      </c>
      <c r="AL160" s="17">
        <v>4.83</v>
      </c>
      <c r="AM160" s="17">
        <v>0.87</v>
      </c>
      <c r="AN160" s="17">
        <v>5.7</v>
      </c>
      <c r="BN160"/>
      <c r="BO160"/>
      <c r="BQ160"/>
      <c r="BR160"/>
    </row>
    <row r="161" spans="4:70" ht="15">
      <c r="D161" s="19" t="s">
        <v>466</v>
      </c>
      <c r="E161" s="33">
        <v>1</v>
      </c>
      <c r="R161"/>
      <c r="S161"/>
      <c r="T161"/>
      <c r="U161"/>
      <c r="V161"/>
      <c r="AD161" s="19" t="s">
        <v>2342</v>
      </c>
      <c r="AE161" s="33">
        <v>1</v>
      </c>
      <c r="AF161" s="33">
        <v>22.5</v>
      </c>
      <c r="AG161" s="33">
        <v>4.05</v>
      </c>
      <c r="AH161" s="33">
        <v>26.55</v>
      </c>
      <c r="AJ161" s="19" t="s">
        <v>609</v>
      </c>
      <c r="AK161" s="17">
        <v>1</v>
      </c>
      <c r="AL161" s="17">
        <v>32.5</v>
      </c>
      <c r="AM161" s="17">
        <v>5.85</v>
      </c>
      <c r="AN161" s="17">
        <v>38.35</v>
      </c>
      <c r="BN161"/>
      <c r="BO161"/>
      <c r="BQ161"/>
      <c r="BR161"/>
    </row>
    <row r="162" spans="4:70" ht="15">
      <c r="D162" s="19" t="s">
        <v>468</v>
      </c>
      <c r="E162" s="33">
        <v>1</v>
      </c>
      <c r="R162"/>
      <c r="S162"/>
      <c r="T162"/>
      <c r="U162"/>
      <c r="V162"/>
      <c r="AD162" s="19" t="s">
        <v>2343</v>
      </c>
      <c r="AE162" s="33">
        <v>1</v>
      </c>
      <c r="AF162" s="33">
        <v>75</v>
      </c>
      <c r="AG162" s="33">
        <v>13.5</v>
      </c>
      <c r="AH162" s="33">
        <v>88.5</v>
      </c>
      <c r="AJ162" s="19" t="s">
        <v>607</v>
      </c>
      <c r="AK162" s="17">
        <v>1</v>
      </c>
      <c r="AL162" s="17">
        <v>279.66000000000003</v>
      </c>
      <c r="AM162" s="17">
        <v>50.34</v>
      </c>
      <c r="AN162" s="17">
        <v>330</v>
      </c>
      <c r="BN162"/>
      <c r="BO162"/>
      <c r="BQ162"/>
      <c r="BR162"/>
    </row>
    <row r="163" spans="4:70" ht="15">
      <c r="D163" s="19" t="s">
        <v>470</v>
      </c>
      <c r="E163" s="33">
        <v>1</v>
      </c>
      <c r="R163"/>
      <c r="S163"/>
      <c r="T163"/>
      <c r="U163"/>
      <c r="V163"/>
      <c r="AD163" s="19" t="s">
        <v>2344</v>
      </c>
      <c r="AE163" s="33">
        <v>1</v>
      </c>
      <c r="AF163" s="33">
        <v>635.59</v>
      </c>
      <c r="AG163" s="33">
        <v>114.41</v>
      </c>
      <c r="AH163" s="33">
        <v>750</v>
      </c>
      <c r="AJ163" s="19" t="s">
        <v>605</v>
      </c>
      <c r="AK163" s="17">
        <v>1</v>
      </c>
      <c r="AL163" s="17">
        <v>374.24</v>
      </c>
      <c r="AM163" s="17">
        <v>67.36</v>
      </c>
      <c r="AN163" s="17">
        <v>441.6</v>
      </c>
      <c r="BN163"/>
      <c r="BO163"/>
      <c r="BQ163"/>
      <c r="BR163"/>
    </row>
    <row r="164" spans="4:70" ht="15">
      <c r="D164" s="19" t="s">
        <v>565</v>
      </c>
      <c r="E164" s="33">
        <v>1</v>
      </c>
      <c r="R164"/>
      <c r="S164"/>
      <c r="T164"/>
      <c r="U164"/>
      <c r="V164"/>
      <c r="AD164" s="19" t="s">
        <v>2345</v>
      </c>
      <c r="AE164" s="33">
        <v>1</v>
      </c>
      <c r="AF164" s="33">
        <v>14.25</v>
      </c>
      <c r="AG164" s="33">
        <v>2.57</v>
      </c>
      <c r="AH164" s="33">
        <v>16.82</v>
      </c>
      <c r="AJ164" s="19" t="s">
        <v>603</v>
      </c>
      <c r="AK164" s="17">
        <v>1</v>
      </c>
      <c r="AL164" s="17">
        <v>96.1</v>
      </c>
      <c r="AM164" s="17">
        <v>17.3</v>
      </c>
      <c r="AN164" s="17">
        <v>113.4</v>
      </c>
      <c r="BN164"/>
      <c r="BO164"/>
      <c r="BQ164"/>
      <c r="BR164"/>
    </row>
    <row r="165" spans="4:70" ht="15">
      <c r="D165" s="19" t="s">
        <v>568</v>
      </c>
      <c r="E165" s="33">
        <v>1</v>
      </c>
      <c r="R165"/>
      <c r="S165"/>
      <c r="T165"/>
      <c r="U165"/>
      <c r="V165"/>
      <c r="AD165" s="19" t="s">
        <v>2346</v>
      </c>
      <c r="AE165" s="33">
        <v>1</v>
      </c>
      <c r="AF165" s="33">
        <v>1334.56</v>
      </c>
      <c r="AG165" s="33">
        <v>240.22</v>
      </c>
      <c r="AH165" s="33">
        <v>1574.78</v>
      </c>
      <c r="AJ165" s="19" t="s">
        <v>600</v>
      </c>
      <c r="AK165" s="17">
        <v>1</v>
      </c>
      <c r="AL165" s="17">
        <v>117.97</v>
      </c>
      <c r="AM165" s="17">
        <v>21.23</v>
      </c>
      <c r="AN165" s="17">
        <v>139.19999999999999</v>
      </c>
      <c r="BN165"/>
      <c r="BO165"/>
      <c r="BQ165"/>
      <c r="BR165"/>
    </row>
    <row r="166" spans="4:70" ht="15">
      <c r="D166" s="19" t="s">
        <v>570</v>
      </c>
      <c r="E166" s="33">
        <v>1</v>
      </c>
      <c r="R166"/>
      <c r="S166"/>
      <c r="T166"/>
      <c r="U166"/>
      <c r="V166"/>
      <c r="AD166" s="19" t="s">
        <v>2347</v>
      </c>
      <c r="AE166" s="33">
        <v>1</v>
      </c>
      <c r="AF166" s="33">
        <v>1691.19</v>
      </c>
      <c r="AG166" s="33">
        <v>304.41000000000003</v>
      </c>
      <c r="AH166" s="33">
        <v>1995.6</v>
      </c>
      <c r="AJ166" s="19" t="s">
        <v>598</v>
      </c>
      <c r="AK166" s="17">
        <v>1</v>
      </c>
      <c r="AL166" s="17">
        <v>26.45</v>
      </c>
      <c r="AM166" s="17">
        <v>4.76</v>
      </c>
      <c r="AN166" s="17">
        <v>31.21</v>
      </c>
      <c r="BN166"/>
      <c r="BO166"/>
      <c r="BQ166"/>
      <c r="BR166"/>
    </row>
    <row r="167" spans="4:70" ht="15">
      <c r="D167" s="19" t="s">
        <v>572</v>
      </c>
      <c r="E167" s="33">
        <v>1</v>
      </c>
      <c r="R167"/>
      <c r="S167"/>
      <c r="T167"/>
      <c r="U167"/>
      <c r="V167"/>
      <c r="AD167" s="19" t="s">
        <v>2348</v>
      </c>
      <c r="AE167" s="33">
        <v>1</v>
      </c>
      <c r="AF167" s="33">
        <v>740</v>
      </c>
      <c r="AG167" s="33">
        <v>133.19999999999999</v>
      </c>
      <c r="AH167" s="33">
        <v>873.2</v>
      </c>
      <c r="AJ167" s="19" t="s">
        <v>595</v>
      </c>
      <c r="AK167" s="17">
        <v>1</v>
      </c>
      <c r="AL167" s="17">
        <v>24.56</v>
      </c>
      <c r="AM167" s="17">
        <v>4.42</v>
      </c>
      <c r="AN167" s="17">
        <v>28.98</v>
      </c>
      <c r="BN167"/>
      <c r="BO167"/>
      <c r="BQ167"/>
      <c r="BR167"/>
    </row>
    <row r="168" spans="4:70" ht="15">
      <c r="D168" s="19" t="s">
        <v>472</v>
      </c>
      <c r="E168" s="33">
        <v>1</v>
      </c>
      <c r="R168"/>
      <c r="S168"/>
      <c r="T168"/>
      <c r="U168"/>
      <c r="V168"/>
      <c r="AD168" s="19" t="s">
        <v>2349</v>
      </c>
      <c r="AE168" s="33">
        <v>1</v>
      </c>
      <c r="AF168" s="33">
        <v>7.5</v>
      </c>
      <c r="AG168" s="33">
        <v>1.35</v>
      </c>
      <c r="AH168" s="33">
        <v>8.85</v>
      </c>
      <c r="AJ168" s="19" t="s">
        <v>584</v>
      </c>
      <c r="AK168" s="17">
        <v>1</v>
      </c>
      <c r="AL168" s="17">
        <v>930</v>
      </c>
      <c r="AM168" s="17">
        <v>167.4</v>
      </c>
      <c r="AN168" s="17">
        <v>1097.4000000000001</v>
      </c>
      <c r="BN168"/>
      <c r="BO168"/>
      <c r="BQ168"/>
      <c r="BR168"/>
    </row>
    <row r="169" spans="4:70" ht="15">
      <c r="D169" s="19" t="s">
        <v>474</v>
      </c>
      <c r="E169" s="33">
        <v>1</v>
      </c>
      <c r="R169"/>
      <c r="S169"/>
      <c r="T169"/>
      <c r="U169"/>
      <c r="V169"/>
      <c r="AD169" s="19" t="s">
        <v>2350</v>
      </c>
      <c r="AE169" s="33">
        <v>1</v>
      </c>
      <c r="AF169" s="33">
        <v>7.5</v>
      </c>
      <c r="AG169" s="33">
        <v>1.35</v>
      </c>
      <c r="AH169" s="33">
        <v>8.85</v>
      </c>
      <c r="AJ169" s="19" t="s">
        <v>582</v>
      </c>
      <c r="AK169" s="17">
        <v>1</v>
      </c>
      <c r="AL169" s="17">
        <v>100</v>
      </c>
      <c r="AM169" s="17">
        <v>18</v>
      </c>
      <c r="AN169" s="17">
        <v>118</v>
      </c>
      <c r="BN169"/>
      <c r="BO169"/>
      <c r="BQ169"/>
      <c r="BR169"/>
    </row>
    <row r="170" spans="4:70" ht="15">
      <c r="D170" s="19" t="s">
        <v>476</v>
      </c>
      <c r="E170" s="33">
        <v>1</v>
      </c>
      <c r="R170"/>
      <c r="S170"/>
      <c r="T170"/>
      <c r="U170"/>
      <c r="V170"/>
      <c r="AD170" s="19" t="s">
        <v>2351</v>
      </c>
      <c r="AE170" s="33">
        <v>1</v>
      </c>
      <c r="AF170" s="33">
        <v>25</v>
      </c>
      <c r="AG170" s="33">
        <v>4.5</v>
      </c>
      <c r="AH170" s="33">
        <v>29.5</v>
      </c>
      <c r="AJ170" s="19" t="s">
        <v>580</v>
      </c>
      <c r="AK170" s="17">
        <v>1</v>
      </c>
      <c r="AL170" s="17">
        <v>300</v>
      </c>
      <c r="AM170" s="17">
        <v>54</v>
      </c>
      <c r="AN170" s="17">
        <v>354</v>
      </c>
      <c r="BN170"/>
      <c r="BO170"/>
      <c r="BQ170"/>
      <c r="BR170"/>
    </row>
    <row r="171" spans="4:70" ht="15">
      <c r="D171" s="19" t="s">
        <v>478</v>
      </c>
      <c r="E171" s="33">
        <v>1</v>
      </c>
      <c r="R171"/>
      <c r="S171"/>
      <c r="T171"/>
      <c r="U171"/>
      <c r="V171"/>
      <c r="AD171" s="19" t="s">
        <v>2352</v>
      </c>
      <c r="AE171" s="33">
        <v>1</v>
      </c>
      <c r="AF171" s="33">
        <v>211.86</v>
      </c>
      <c r="AG171" s="33">
        <v>38.130000000000003</v>
      </c>
      <c r="AH171" s="33">
        <v>249.99</v>
      </c>
      <c r="AJ171" s="19" t="s">
        <v>578</v>
      </c>
      <c r="AK171" s="17">
        <v>1</v>
      </c>
      <c r="AL171" s="17">
        <v>32</v>
      </c>
      <c r="AM171" s="17">
        <v>5.76</v>
      </c>
      <c r="AN171" s="17">
        <v>37.76</v>
      </c>
      <c r="BN171"/>
      <c r="BO171"/>
      <c r="BQ171"/>
      <c r="BR171"/>
    </row>
    <row r="172" spans="4:70" ht="15">
      <c r="D172" s="19" t="s">
        <v>480</v>
      </c>
      <c r="E172" s="33">
        <v>1</v>
      </c>
      <c r="R172"/>
      <c r="S172"/>
      <c r="T172"/>
      <c r="U172"/>
      <c r="V172"/>
      <c r="AD172" s="19" t="s">
        <v>2353</v>
      </c>
      <c r="AE172" s="33">
        <v>1</v>
      </c>
      <c r="AF172" s="33">
        <v>4.75</v>
      </c>
      <c r="AG172" s="33">
        <v>0.86</v>
      </c>
      <c r="AH172" s="33">
        <v>5.61</v>
      </c>
      <c r="AJ172" s="19" t="s">
        <v>576</v>
      </c>
      <c r="AK172" s="17">
        <v>1</v>
      </c>
      <c r="AL172" s="17">
        <v>2021.19</v>
      </c>
      <c r="AM172" s="17">
        <v>363.81</v>
      </c>
      <c r="AN172" s="17">
        <v>2385</v>
      </c>
      <c r="BN172"/>
      <c r="BO172"/>
      <c r="BQ172"/>
      <c r="BR172"/>
    </row>
    <row r="173" spans="4:70" ht="15">
      <c r="D173" s="19" t="s">
        <v>482</v>
      </c>
      <c r="E173" s="33">
        <v>1</v>
      </c>
      <c r="R173"/>
      <c r="S173"/>
      <c r="T173"/>
      <c r="U173"/>
      <c r="V173"/>
      <c r="AD173" s="19" t="s">
        <v>2354</v>
      </c>
      <c r="AE173" s="33">
        <v>1</v>
      </c>
      <c r="AF173" s="33">
        <v>444.86</v>
      </c>
      <c r="AG173" s="33">
        <v>80.069999999999993</v>
      </c>
      <c r="AH173" s="33">
        <v>524.92999999999995</v>
      </c>
      <c r="AJ173" s="19" t="s">
        <v>574</v>
      </c>
      <c r="AK173" s="17">
        <v>1</v>
      </c>
      <c r="AL173" s="17">
        <v>1885.17</v>
      </c>
      <c r="AM173" s="17">
        <v>339.33</v>
      </c>
      <c r="AN173" s="17">
        <v>2224.5</v>
      </c>
      <c r="BN173"/>
      <c r="BO173"/>
      <c r="BQ173"/>
      <c r="BR173"/>
    </row>
    <row r="174" spans="4:70" ht="15">
      <c r="D174" s="19" t="s">
        <v>574</v>
      </c>
      <c r="E174" s="33">
        <v>1</v>
      </c>
      <c r="R174"/>
      <c r="S174"/>
      <c r="T174"/>
      <c r="U174"/>
      <c r="V174"/>
      <c r="AD174" s="19" t="s">
        <v>2355</v>
      </c>
      <c r="AE174" s="33">
        <v>1</v>
      </c>
      <c r="AF174" s="33">
        <v>563.73</v>
      </c>
      <c r="AG174" s="33">
        <v>101.47</v>
      </c>
      <c r="AH174" s="33">
        <v>665.2</v>
      </c>
      <c r="AJ174" s="19" t="s">
        <v>572</v>
      </c>
      <c r="AK174" s="17">
        <v>1</v>
      </c>
      <c r="AL174" s="17">
        <v>222.71</v>
      </c>
      <c r="AM174" s="17">
        <v>40.090000000000003</v>
      </c>
      <c r="AN174" s="17">
        <v>262.8</v>
      </c>
      <c r="BN174"/>
      <c r="BO174"/>
      <c r="BQ174"/>
      <c r="BR174"/>
    </row>
    <row r="175" spans="4:70" ht="15">
      <c r="D175" s="19" t="s">
        <v>576</v>
      </c>
      <c r="E175" s="33">
        <v>1</v>
      </c>
      <c r="R175"/>
      <c r="S175"/>
      <c r="T175"/>
      <c r="U175"/>
      <c r="V175"/>
      <c r="AD175" s="19" t="s">
        <v>2356</v>
      </c>
      <c r="AE175" s="33">
        <v>1</v>
      </c>
      <c r="AF175" s="33">
        <v>600</v>
      </c>
      <c r="AG175" s="33">
        <v>108</v>
      </c>
      <c r="AH175" s="33">
        <v>708</v>
      </c>
      <c r="AJ175" s="19" t="s">
        <v>570</v>
      </c>
      <c r="AK175" s="17">
        <v>1</v>
      </c>
      <c r="AL175" s="17">
        <v>272.2</v>
      </c>
      <c r="AM175" s="17">
        <v>49</v>
      </c>
      <c r="AN175" s="17">
        <v>321.2</v>
      </c>
      <c r="BN175"/>
      <c r="BO175"/>
      <c r="BQ175"/>
      <c r="BR175"/>
    </row>
    <row r="176" spans="4:70" ht="15">
      <c r="D176" s="19" t="s">
        <v>578</v>
      </c>
      <c r="E176" s="33">
        <v>1</v>
      </c>
      <c r="R176"/>
      <c r="S176"/>
      <c r="T176"/>
      <c r="U176"/>
      <c r="V176"/>
      <c r="AD176" s="19" t="s">
        <v>2357</v>
      </c>
      <c r="AE176" s="33">
        <v>2</v>
      </c>
      <c r="AF176" s="33">
        <v>900</v>
      </c>
      <c r="AG176" s="33">
        <v>162</v>
      </c>
      <c r="AH176" s="33">
        <v>1062</v>
      </c>
      <c r="AJ176" s="19" t="s">
        <v>568</v>
      </c>
      <c r="AK176" s="17">
        <v>1</v>
      </c>
      <c r="AL176" s="17">
        <v>614.24</v>
      </c>
      <c r="AM176" s="17">
        <v>110.56</v>
      </c>
      <c r="AN176" s="17">
        <v>724.8</v>
      </c>
      <c r="BN176"/>
      <c r="BO176"/>
      <c r="BQ176"/>
      <c r="BR176"/>
    </row>
    <row r="177" spans="4:70" ht="15">
      <c r="D177" s="19" t="s">
        <v>580</v>
      </c>
      <c r="E177" s="33">
        <v>1</v>
      </c>
      <c r="R177"/>
      <c r="S177"/>
      <c r="T177"/>
      <c r="U177"/>
      <c r="V177"/>
      <c r="AD177" s="19" t="s">
        <v>2358</v>
      </c>
      <c r="AE177" s="33">
        <v>1</v>
      </c>
      <c r="AF177" s="33">
        <v>400</v>
      </c>
      <c r="AG177" s="33">
        <v>72</v>
      </c>
      <c r="AH177" s="33">
        <v>472</v>
      </c>
      <c r="AJ177" s="19" t="s">
        <v>565</v>
      </c>
      <c r="AK177" s="17">
        <v>1</v>
      </c>
      <c r="AL177" s="17">
        <v>799.58</v>
      </c>
      <c r="AM177" s="17">
        <v>143.91999999999999</v>
      </c>
      <c r="AN177" s="17">
        <v>943.5</v>
      </c>
      <c r="BN177"/>
      <c r="BO177"/>
      <c r="BQ177"/>
      <c r="BR177"/>
    </row>
    <row r="178" spans="4:70" ht="15">
      <c r="D178" s="19" t="s">
        <v>582</v>
      </c>
      <c r="E178" s="33">
        <v>1</v>
      </c>
      <c r="R178"/>
      <c r="S178"/>
      <c r="T178"/>
      <c r="U178"/>
      <c r="V178"/>
      <c r="AD178" s="19" t="s">
        <v>2359</v>
      </c>
      <c r="AE178" s="33">
        <v>1</v>
      </c>
      <c r="AF178" s="33">
        <v>30</v>
      </c>
      <c r="AG178" s="33">
        <v>5.4</v>
      </c>
      <c r="AH178" s="33">
        <v>35.4</v>
      </c>
      <c r="AJ178" s="19" t="s">
        <v>563</v>
      </c>
      <c r="AK178" s="17">
        <v>1</v>
      </c>
      <c r="AL178" s="17">
        <v>3</v>
      </c>
      <c r="AM178" s="17">
        <v>0.54</v>
      </c>
      <c r="AN178" s="17">
        <v>3.54</v>
      </c>
      <c r="BN178"/>
      <c r="BO178"/>
      <c r="BQ178"/>
      <c r="BR178"/>
    </row>
    <row r="179" spans="4:70" ht="15">
      <c r="D179" s="19" t="s">
        <v>584</v>
      </c>
      <c r="E179" s="33">
        <v>1</v>
      </c>
      <c r="R179"/>
      <c r="S179"/>
      <c r="T179"/>
      <c r="U179"/>
      <c r="V179"/>
      <c r="AD179" s="19" t="s">
        <v>2360</v>
      </c>
      <c r="AE179" s="33">
        <v>1</v>
      </c>
      <c r="AF179" s="33">
        <v>600</v>
      </c>
      <c r="AG179" s="33">
        <v>108</v>
      </c>
      <c r="AH179" s="33">
        <v>708</v>
      </c>
      <c r="AJ179" s="19" t="s">
        <v>560</v>
      </c>
      <c r="AK179" s="17">
        <v>1</v>
      </c>
      <c r="AL179" s="17">
        <v>3.48</v>
      </c>
      <c r="AM179" s="17">
        <v>0.63</v>
      </c>
      <c r="AN179" s="17">
        <v>4.1100000000000003</v>
      </c>
      <c r="BN179"/>
      <c r="BO179"/>
      <c r="BQ179"/>
      <c r="BR179"/>
    </row>
    <row r="180" spans="4:70" ht="15">
      <c r="D180" s="19" t="s">
        <v>484</v>
      </c>
      <c r="E180" s="33">
        <v>1</v>
      </c>
      <c r="AD180" s="19" t="s">
        <v>2361</v>
      </c>
      <c r="AE180" s="33">
        <v>1</v>
      </c>
      <c r="AF180" s="33">
        <v>29.66</v>
      </c>
      <c r="AG180" s="33">
        <v>5.34</v>
      </c>
      <c r="AH180" s="33">
        <v>35</v>
      </c>
      <c r="AJ180" s="19" t="s">
        <v>558</v>
      </c>
      <c r="AK180" s="17">
        <v>1</v>
      </c>
      <c r="AL180" s="17">
        <v>7.98</v>
      </c>
      <c r="AM180" s="17">
        <v>1.44</v>
      </c>
      <c r="AN180" s="17">
        <v>9.42</v>
      </c>
      <c r="BN180"/>
      <c r="BO180"/>
      <c r="BQ180"/>
      <c r="BR180"/>
    </row>
    <row r="181" spans="4:70" ht="15">
      <c r="D181" s="19" t="s">
        <v>487</v>
      </c>
      <c r="E181" s="33">
        <v>1</v>
      </c>
      <c r="AD181" s="19" t="s">
        <v>2362</v>
      </c>
      <c r="AE181" s="33">
        <v>1</v>
      </c>
      <c r="AF181" s="33">
        <v>18</v>
      </c>
      <c r="AG181" s="33">
        <v>3.24</v>
      </c>
      <c r="AH181" s="33">
        <v>21.24</v>
      </c>
      <c r="AJ181" s="19" t="s">
        <v>556</v>
      </c>
      <c r="AK181" s="17">
        <v>1</v>
      </c>
      <c r="AL181" s="17">
        <v>8.93</v>
      </c>
      <c r="AM181" s="17">
        <v>1.61</v>
      </c>
      <c r="AN181" s="17">
        <v>10.54</v>
      </c>
      <c r="BN181"/>
      <c r="BO181"/>
      <c r="BQ181"/>
      <c r="BR181"/>
    </row>
    <row r="182" spans="4:70" ht="15">
      <c r="D182" s="19" t="s">
        <v>489</v>
      </c>
      <c r="E182" s="33">
        <v>1</v>
      </c>
      <c r="AD182" s="19" t="s">
        <v>2363</v>
      </c>
      <c r="AE182" s="33">
        <v>6</v>
      </c>
      <c r="AF182" s="33">
        <v>8425.7999999999993</v>
      </c>
      <c r="AG182" s="33">
        <v>1516.6399999999999</v>
      </c>
      <c r="AH182" s="33">
        <v>9942.4399999999987</v>
      </c>
      <c r="AJ182" s="19" t="s">
        <v>553</v>
      </c>
      <c r="AK182" s="17">
        <v>1</v>
      </c>
      <c r="AL182" s="17">
        <v>20</v>
      </c>
      <c r="AM182" s="17">
        <v>3.6</v>
      </c>
      <c r="AN182" s="17">
        <v>23.6</v>
      </c>
      <c r="BN182"/>
      <c r="BO182"/>
      <c r="BQ182"/>
      <c r="BR182"/>
    </row>
    <row r="183" spans="4:70" ht="15">
      <c r="D183" s="19" t="s">
        <v>492</v>
      </c>
      <c r="E183" s="33">
        <v>1</v>
      </c>
      <c r="AD183" s="19" t="s">
        <v>2364</v>
      </c>
      <c r="AE183" s="33">
        <v>2</v>
      </c>
      <c r="AF183" s="33">
        <v>1100</v>
      </c>
      <c r="AG183" s="33">
        <v>198</v>
      </c>
      <c r="AH183" s="33">
        <v>1298</v>
      </c>
      <c r="AJ183" s="19" t="s">
        <v>551</v>
      </c>
      <c r="AK183" s="17">
        <v>1</v>
      </c>
      <c r="AL183" s="17">
        <v>165.5</v>
      </c>
      <c r="AM183" s="17">
        <v>29.79</v>
      </c>
      <c r="AN183" s="17">
        <v>195.29</v>
      </c>
      <c r="BN183"/>
      <c r="BO183"/>
      <c r="BQ183"/>
      <c r="BR183"/>
    </row>
    <row r="184" spans="4:70" ht="15">
      <c r="D184" s="19" t="s">
        <v>494</v>
      </c>
      <c r="E184" s="33">
        <v>1</v>
      </c>
      <c r="AD184" s="19" t="s">
        <v>2365</v>
      </c>
      <c r="AE184" s="33">
        <v>2</v>
      </c>
      <c r="AF184" s="33">
        <v>60</v>
      </c>
      <c r="AG184" s="33">
        <v>10.8</v>
      </c>
      <c r="AH184" s="33">
        <v>70.8</v>
      </c>
      <c r="AJ184" s="19" t="s">
        <v>549</v>
      </c>
      <c r="AK184" s="17">
        <v>1</v>
      </c>
      <c r="AL184" s="17">
        <v>275.32</v>
      </c>
      <c r="AM184" s="17">
        <v>49.56</v>
      </c>
      <c r="AN184" s="17">
        <v>324.88</v>
      </c>
      <c r="BN184"/>
      <c r="BO184"/>
      <c r="BQ184"/>
      <c r="BR184"/>
    </row>
    <row r="185" spans="4:70" ht="15">
      <c r="D185" s="19" t="s">
        <v>496</v>
      </c>
      <c r="E185" s="33">
        <v>1</v>
      </c>
      <c r="AD185" s="19" t="s">
        <v>2512</v>
      </c>
      <c r="AE185" s="33">
        <v>1</v>
      </c>
      <c r="AF185" s="33">
        <v>42</v>
      </c>
      <c r="AG185" s="33">
        <v>7.56</v>
      </c>
      <c r="AH185" s="33">
        <v>49.56</v>
      </c>
      <c r="AJ185" s="19" t="s">
        <v>546</v>
      </c>
      <c r="AK185" s="17">
        <v>1</v>
      </c>
      <c r="AL185" s="17">
        <v>5</v>
      </c>
      <c r="AM185" s="17">
        <v>0.9</v>
      </c>
      <c r="AN185" s="17">
        <v>5.9</v>
      </c>
      <c r="BN185"/>
      <c r="BO185"/>
      <c r="BQ185"/>
      <c r="BR185"/>
    </row>
    <row r="186" spans="4:70" ht="15">
      <c r="D186" s="19" t="s">
        <v>498</v>
      </c>
      <c r="E186" s="33">
        <v>1</v>
      </c>
      <c r="AD186" s="19" t="s">
        <v>2513</v>
      </c>
      <c r="AE186" s="33">
        <v>1</v>
      </c>
      <c r="AF186" s="33">
        <v>56.59</v>
      </c>
      <c r="AG186" s="33">
        <v>10.19</v>
      </c>
      <c r="AH186" s="33">
        <v>66.78</v>
      </c>
      <c r="AJ186" s="19" t="s">
        <v>544</v>
      </c>
      <c r="AK186" s="17">
        <v>1</v>
      </c>
      <c r="AL186" s="17">
        <v>33.47</v>
      </c>
      <c r="AM186" s="17">
        <v>6.03</v>
      </c>
      <c r="AN186" s="17">
        <v>39.5</v>
      </c>
      <c r="BN186"/>
      <c r="BO186"/>
      <c r="BQ186"/>
      <c r="BR186"/>
    </row>
    <row r="187" spans="4:70" ht="15">
      <c r="D187" s="19" t="s">
        <v>500</v>
      </c>
      <c r="E187" s="33">
        <v>1</v>
      </c>
      <c r="AD187" s="19" t="s">
        <v>2514</v>
      </c>
      <c r="AE187" s="33">
        <v>1</v>
      </c>
      <c r="AF187" s="33">
        <v>20</v>
      </c>
      <c r="AG187" s="33">
        <v>3.6</v>
      </c>
      <c r="AH187" s="33">
        <v>23.6</v>
      </c>
      <c r="AJ187" s="19" t="s">
        <v>542</v>
      </c>
      <c r="AK187" s="17">
        <v>1</v>
      </c>
      <c r="AL187" s="17">
        <v>57.2</v>
      </c>
      <c r="AM187" s="17">
        <v>10.3</v>
      </c>
      <c r="AN187" s="17">
        <v>67.5</v>
      </c>
      <c r="BN187"/>
      <c r="BO187"/>
      <c r="BQ187"/>
      <c r="BR187"/>
    </row>
    <row r="188" spans="4:70" ht="15">
      <c r="D188" s="19" t="s">
        <v>503</v>
      </c>
      <c r="E188" s="33">
        <v>1</v>
      </c>
      <c r="AD188" s="19" t="s">
        <v>2515</v>
      </c>
      <c r="AE188" s="33">
        <v>1</v>
      </c>
      <c r="AF188" s="33">
        <v>105</v>
      </c>
      <c r="AG188" s="33">
        <v>18.899999999999999</v>
      </c>
      <c r="AH188" s="33">
        <v>123.9</v>
      </c>
      <c r="AJ188" s="19" t="s">
        <v>539</v>
      </c>
      <c r="AK188" s="17">
        <v>1</v>
      </c>
      <c r="AL188" s="17">
        <v>423.73</v>
      </c>
      <c r="AM188" s="17">
        <v>76.27</v>
      </c>
      <c r="AN188" s="17">
        <v>500</v>
      </c>
      <c r="BN188"/>
      <c r="BO188"/>
      <c r="BQ188"/>
      <c r="BR188"/>
    </row>
    <row r="189" spans="4:70" ht="15">
      <c r="D189" s="19" t="s">
        <v>505</v>
      </c>
      <c r="E189" s="33">
        <v>1</v>
      </c>
      <c r="AD189" s="19" t="s">
        <v>2516</v>
      </c>
      <c r="AE189" s="33">
        <v>1</v>
      </c>
      <c r="AF189" s="33">
        <v>408.15</v>
      </c>
      <c r="AG189" s="33">
        <v>73.47</v>
      </c>
      <c r="AH189" s="33">
        <v>481.62</v>
      </c>
      <c r="AJ189" s="19" t="s">
        <v>537</v>
      </c>
      <c r="AK189" s="17">
        <v>1</v>
      </c>
      <c r="AL189" s="17">
        <v>199.53</v>
      </c>
      <c r="AM189" s="17">
        <v>35.92</v>
      </c>
      <c r="AN189" s="17">
        <v>235.45</v>
      </c>
      <c r="BN189"/>
      <c r="BO189"/>
      <c r="BQ189"/>
      <c r="BR189"/>
    </row>
    <row r="190" spans="4:70" ht="15">
      <c r="D190" s="19" t="s">
        <v>507</v>
      </c>
      <c r="E190" s="33">
        <v>1</v>
      </c>
      <c r="AD190" s="19" t="s">
        <v>2517</v>
      </c>
      <c r="AE190" s="33">
        <v>1</v>
      </c>
      <c r="AF190" s="33">
        <v>543.86</v>
      </c>
      <c r="AG190" s="33">
        <v>97.89</v>
      </c>
      <c r="AH190" s="33">
        <v>641.75</v>
      </c>
      <c r="AJ190" s="19" t="s">
        <v>535</v>
      </c>
      <c r="AK190" s="17">
        <v>1</v>
      </c>
      <c r="AL190" s="17">
        <v>223.36</v>
      </c>
      <c r="AM190" s="17">
        <v>40.21</v>
      </c>
      <c r="AN190" s="17">
        <v>263.57</v>
      </c>
      <c r="BN190"/>
      <c r="BO190"/>
      <c r="BQ190"/>
      <c r="BR190"/>
    </row>
    <row r="191" spans="4:70" ht="15">
      <c r="D191" s="19" t="s">
        <v>509</v>
      </c>
      <c r="E191" s="33">
        <v>1</v>
      </c>
      <c r="AD191" s="19" t="s">
        <v>2518</v>
      </c>
      <c r="AE191" s="33">
        <v>1</v>
      </c>
      <c r="AF191" s="33">
        <v>80</v>
      </c>
      <c r="AG191" s="33">
        <v>14.4</v>
      </c>
      <c r="AH191" s="33">
        <v>94.4</v>
      </c>
      <c r="AJ191" s="19" t="s">
        <v>532</v>
      </c>
      <c r="AK191" s="17">
        <v>1</v>
      </c>
      <c r="AL191" s="17">
        <v>500</v>
      </c>
      <c r="AM191" s="17">
        <v>90</v>
      </c>
      <c r="AN191" s="17">
        <v>590</v>
      </c>
      <c r="BN191"/>
      <c r="BO191"/>
      <c r="BQ191"/>
      <c r="BR191"/>
    </row>
    <row r="192" spans="4:70" ht="15">
      <c r="D192" s="19" t="s">
        <v>511</v>
      </c>
      <c r="E192" s="33">
        <v>1</v>
      </c>
      <c r="AD192" s="19" t="s">
        <v>2519</v>
      </c>
      <c r="AE192" s="33">
        <v>1</v>
      </c>
      <c r="AF192" s="33">
        <v>368.81</v>
      </c>
      <c r="AG192" s="33">
        <v>66.39</v>
      </c>
      <c r="AH192" s="33">
        <v>435.2</v>
      </c>
      <c r="AJ192" s="19" t="s">
        <v>530</v>
      </c>
      <c r="AK192" s="17">
        <v>1</v>
      </c>
      <c r="AL192" s="17">
        <v>199.53</v>
      </c>
      <c r="AM192" s="17">
        <v>35.92</v>
      </c>
      <c r="AN192" s="17">
        <v>235.45</v>
      </c>
      <c r="BN192"/>
      <c r="BO192"/>
      <c r="BQ192"/>
      <c r="BR192"/>
    </row>
    <row r="193" spans="4:70" ht="15">
      <c r="D193" s="19" t="s">
        <v>513</v>
      </c>
      <c r="E193" s="33">
        <v>1</v>
      </c>
      <c r="AD193" s="19" t="s">
        <v>2520</v>
      </c>
      <c r="AE193" s="33">
        <v>1</v>
      </c>
      <c r="AF193" s="33">
        <v>761.36</v>
      </c>
      <c r="AG193" s="33">
        <v>137.04</v>
      </c>
      <c r="AH193" s="33">
        <v>898.4</v>
      </c>
      <c r="AJ193" s="19" t="s">
        <v>528</v>
      </c>
      <c r="AK193" s="17">
        <v>1</v>
      </c>
      <c r="AL193" s="17">
        <v>223.36</v>
      </c>
      <c r="AM193" s="17">
        <v>40.21</v>
      </c>
      <c r="AN193" s="17">
        <v>263.57</v>
      </c>
      <c r="BN193"/>
      <c r="BO193"/>
      <c r="BQ193"/>
      <c r="BR193"/>
    </row>
    <row r="194" spans="4:70" ht="15">
      <c r="D194" s="19" t="s">
        <v>516</v>
      </c>
      <c r="E194" s="33">
        <v>1</v>
      </c>
      <c r="AD194" s="19" t="s">
        <v>2521</v>
      </c>
      <c r="AE194" s="33">
        <v>1</v>
      </c>
      <c r="AF194" s="33">
        <v>450</v>
      </c>
      <c r="AG194" s="33">
        <v>81</v>
      </c>
      <c r="AH194" s="33">
        <v>531</v>
      </c>
      <c r="AJ194" s="19" t="s">
        <v>525</v>
      </c>
      <c r="AK194" s="17">
        <v>1</v>
      </c>
      <c r="AL194" s="17">
        <v>500</v>
      </c>
      <c r="AM194" s="17">
        <v>90</v>
      </c>
      <c r="AN194" s="17">
        <v>590</v>
      </c>
      <c r="BN194"/>
      <c r="BO194"/>
      <c r="BQ194"/>
      <c r="BR194"/>
    </row>
    <row r="195" spans="4:70" ht="15">
      <c r="D195" s="19" t="s">
        <v>586</v>
      </c>
      <c r="E195" s="33">
        <v>1</v>
      </c>
      <c r="AD195" s="19" t="s">
        <v>2522</v>
      </c>
      <c r="AE195" s="33">
        <v>1</v>
      </c>
      <c r="AF195" s="33">
        <v>10</v>
      </c>
      <c r="AG195" s="33">
        <v>1.8</v>
      </c>
      <c r="AH195" s="33">
        <v>11.8</v>
      </c>
      <c r="AJ195" s="19" t="s">
        <v>523</v>
      </c>
      <c r="AK195" s="17">
        <v>1</v>
      </c>
      <c r="AL195" s="17">
        <v>391.08</v>
      </c>
      <c r="AM195" s="17">
        <v>70.39</v>
      </c>
      <c r="AN195" s="17">
        <v>461.47</v>
      </c>
      <c r="BN195"/>
      <c r="BO195"/>
      <c r="BQ195"/>
      <c r="BR195"/>
    </row>
    <row r="196" spans="4:70" ht="15">
      <c r="D196" s="19" t="s">
        <v>588</v>
      </c>
      <c r="E196" s="33">
        <v>1</v>
      </c>
      <c r="AD196" s="19" t="s">
        <v>2523</v>
      </c>
      <c r="AE196" s="33">
        <v>1</v>
      </c>
      <c r="AF196" s="33">
        <v>2</v>
      </c>
      <c r="AG196" s="33">
        <v>0.36</v>
      </c>
      <c r="AH196" s="33">
        <v>2.36</v>
      </c>
      <c r="AJ196" s="19" t="s">
        <v>521</v>
      </c>
      <c r="AK196" s="17">
        <v>1</v>
      </c>
      <c r="AL196" s="17">
        <v>437.8</v>
      </c>
      <c r="AM196" s="17">
        <v>78.8</v>
      </c>
      <c r="AN196" s="17">
        <v>516.6</v>
      </c>
      <c r="BN196"/>
      <c r="BO196"/>
      <c r="BQ196"/>
      <c r="BR196"/>
    </row>
    <row r="197" spans="4:70" ht="15">
      <c r="D197" s="19" t="s">
        <v>595</v>
      </c>
      <c r="E197" s="33">
        <v>1</v>
      </c>
      <c r="AD197" s="19" t="s">
        <v>2524</v>
      </c>
      <c r="AE197" s="33">
        <v>1</v>
      </c>
      <c r="AF197" s="33">
        <v>2.69</v>
      </c>
      <c r="AG197" s="33">
        <v>0.48</v>
      </c>
      <c r="AH197" s="33">
        <v>3.17</v>
      </c>
      <c r="AJ197" s="19" t="s">
        <v>518</v>
      </c>
      <c r="AK197" s="17">
        <v>1</v>
      </c>
      <c r="AL197" s="17">
        <v>980</v>
      </c>
      <c r="AM197" s="17">
        <v>176.4</v>
      </c>
      <c r="AN197" s="17">
        <v>1156.4000000000001</v>
      </c>
      <c r="BN197"/>
      <c r="BO197"/>
      <c r="BQ197"/>
      <c r="BR197"/>
    </row>
    <row r="198" spans="4:70" ht="15">
      <c r="D198" s="19" t="s">
        <v>598</v>
      </c>
      <c r="E198" s="33">
        <v>1</v>
      </c>
      <c r="AD198" s="19" t="s">
        <v>2525</v>
      </c>
      <c r="AE198" s="33">
        <v>1</v>
      </c>
      <c r="AF198" s="33">
        <v>87.97</v>
      </c>
      <c r="AG198" s="33">
        <v>15.83</v>
      </c>
      <c r="AH198" s="33">
        <v>103.8</v>
      </c>
      <c r="AJ198" s="19" t="s">
        <v>391</v>
      </c>
      <c r="AK198" s="17">
        <v>1</v>
      </c>
      <c r="AL198" s="17">
        <v>60</v>
      </c>
      <c r="AM198" s="17">
        <v>10.8</v>
      </c>
      <c r="AN198" s="17">
        <v>70.8</v>
      </c>
      <c r="BN198"/>
      <c r="BO198"/>
      <c r="BQ198"/>
      <c r="BR198"/>
    </row>
    <row r="199" spans="4:70" ht="15">
      <c r="D199" s="19" t="s">
        <v>600</v>
      </c>
      <c r="E199" s="33">
        <v>1</v>
      </c>
      <c r="AD199" s="19" t="s">
        <v>2526</v>
      </c>
      <c r="AE199" s="33">
        <v>1</v>
      </c>
      <c r="AF199" s="33">
        <v>106.95</v>
      </c>
      <c r="AG199" s="33">
        <v>19.25</v>
      </c>
      <c r="AH199" s="33">
        <v>126.2</v>
      </c>
      <c r="AJ199" s="19" t="s">
        <v>388</v>
      </c>
      <c r="AK199" s="17">
        <v>1</v>
      </c>
      <c r="AL199" s="17">
        <v>50.85</v>
      </c>
      <c r="AM199" s="17">
        <v>9.15</v>
      </c>
      <c r="AN199" s="17">
        <v>60</v>
      </c>
      <c r="BN199"/>
      <c r="BO199"/>
      <c r="BQ199"/>
      <c r="BR199"/>
    </row>
    <row r="200" spans="4:70" ht="15">
      <c r="D200" s="19" t="s">
        <v>603</v>
      </c>
      <c r="E200" s="33">
        <v>1</v>
      </c>
      <c r="AD200" s="19" t="s">
        <v>2527</v>
      </c>
      <c r="AE200" s="33">
        <v>1</v>
      </c>
      <c r="AF200" s="33">
        <v>5</v>
      </c>
      <c r="AG200" s="33">
        <v>0.9</v>
      </c>
      <c r="AH200" s="33">
        <v>5.9</v>
      </c>
      <c r="AJ200" s="19" t="s">
        <v>1188</v>
      </c>
      <c r="AK200" s="17">
        <v>1</v>
      </c>
      <c r="AL200" s="17">
        <v>4569.66</v>
      </c>
      <c r="AM200" s="17">
        <v>822.54</v>
      </c>
      <c r="AN200" s="17">
        <v>5392.2</v>
      </c>
      <c r="BN200"/>
      <c r="BO200"/>
      <c r="BQ200"/>
      <c r="BR200"/>
    </row>
    <row r="201" spans="4:70" ht="15">
      <c r="D201" s="19" t="s">
        <v>590</v>
      </c>
      <c r="E201" s="33">
        <v>1</v>
      </c>
      <c r="AD201" s="19" t="s">
        <v>2528</v>
      </c>
      <c r="AE201" s="33">
        <v>1</v>
      </c>
      <c r="AF201" s="33">
        <v>10.68</v>
      </c>
      <c r="AG201" s="33">
        <v>1.92</v>
      </c>
      <c r="AH201" s="33">
        <v>12.6</v>
      </c>
      <c r="AJ201" s="19" t="s">
        <v>1186</v>
      </c>
      <c r="AK201" s="17">
        <v>1</v>
      </c>
      <c r="AL201" s="17">
        <v>3425.85</v>
      </c>
      <c r="AM201" s="17">
        <v>616.65</v>
      </c>
      <c r="AN201" s="17">
        <v>4042.5</v>
      </c>
      <c r="BN201"/>
      <c r="BO201"/>
      <c r="BQ201"/>
      <c r="BR201"/>
    </row>
    <row r="202" spans="4:70" ht="15">
      <c r="D202" s="19" t="s">
        <v>593</v>
      </c>
      <c r="E202" s="33">
        <v>1</v>
      </c>
      <c r="AD202" s="19" t="s">
        <v>2529</v>
      </c>
      <c r="AE202" s="33">
        <v>1</v>
      </c>
      <c r="AF202" s="33">
        <v>18.39</v>
      </c>
      <c r="AG202" s="33">
        <v>3.31</v>
      </c>
      <c r="AH202" s="33">
        <v>21.7</v>
      </c>
      <c r="AJ202" s="19" t="s">
        <v>1184</v>
      </c>
      <c r="AK202" s="17">
        <v>1</v>
      </c>
      <c r="AL202" s="17">
        <v>3700</v>
      </c>
      <c r="AM202" s="17">
        <v>666</v>
      </c>
      <c r="AN202" s="17">
        <v>4366</v>
      </c>
      <c r="BN202"/>
      <c r="BO202"/>
      <c r="BQ202"/>
      <c r="BR202"/>
    </row>
    <row r="203" spans="4:70" ht="15">
      <c r="D203" s="19" t="s">
        <v>605</v>
      </c>
      <c r="E203" s="33">
        <v>1</v>
      </c>
      <c r="AD203" s="19" t="s">
        <v>2530</v>
      </c>
      <c r="AE203" s="33">
        <v>1</v>
      </c>
      <c r="AF203" s="33">
        <v>30</v>
      </c>
      <c r="AG203" s="33">
        <v>5.4</v>
      </c>
      <c r="AH203" s="33">
        <v>35.4</v>
      </c>
      <c r="AJ203" s="19" t="s">
        <v>1182</v>
      </c>
      <c r="AK203" s="17">
        <v>1</v>
      </c>
      <c r="AL203" s="17">
        <v>450</v>
      </c>
      <c r="AM203" s="17">
        <v>81</v>
      </c>
      <c r="AN203" s="17">
        <v>531</v>
      </c>
      <c r="BN203"/>
      <c r="BO203"/>
      <c r="BQ203"/>
      <c r="BR203"/>
    </row>
    <row r="204" spans="4:70" ht="15">
      <c r="D204" s="19" t="s">
        <v>607</v>
      </c>
      <c r="E204" s="33">
        <v>1</v>
      </c>
      <c r="AD204" s="19" t="s">
        <v>2531</v>
      </c>
      <c r="AE204" s="33">
        <v>1</v>
      </c>
      <c r="AF204" s="33">
        <v>26.69</v>
      </c>
      <c r="AG204" s="33">
        <v>4.8</v>
      </c>
      <c r="AH204" s="33">
        <v>31.49</v>
      </c>
      <c r="AJ204" s="19" t="s">
        <v>1180</v>
      </c>
      <c r="AK204" s="17">
        <v>1</v>
      </c>
      <c r="AL204" s="17">
        <v>171</v>
      </c>
      <c r="AM204" s="17">
        <v>30.78</v>
      </c>
      <c r="AN204" s="17">
        <v>201.78</v>
      </c>
      <c r="BN204"/>
      <c r="BO204"/>
      <c r="BQ204"/>
      <c r="BR204"/>
    </row>
    <row r="205" spans="4:70" ht="15">
      <c r="D205" s="19" t="s">
        <v>609</v>
      </c>
      <c r="E205" s="33">
        <v>1</v>
      </c>
      <c r="AD205" s="19" t="s">
        <v>2532</v>
      </c>
      <c r="AE205" s="33">
        <v>1</v>
      </c>
      <c r="AF205" s="33">
        <v>213.5</v>
      </c>
      <c r="AG205" s="33">
        <v>38.43</v>
      </c>
      <c r="AH205" s="33">
        <v>251.93</v>
      </c>
      <c r="AJ205" s="19" t="s">
        <v>1178</v>
      </c>
      <c r="AK205" s="17">
        <v>1</v>
      </c>
      <c r="AL205" s="17">
        <v>2158.64</v>
      </c>
      <c r="AM205" s="17">
        <v>388.56</v>
      </c>
      <c r="AN205" s="17">
        <v>2547.1999999999998</v>
      </c>
      <c r="BN205"/>
      <c r="BO205"/>
      <c r="BQ205"/>
      <c r="BR205"/>
    </row>
    <row r="206" spans="4:70" ht="15">
      <c r="D206" s="19" t="s">
        <v>612</v>
      </c>
      <c r="E206" s="33">
        <v>1</v>
      </c>
      <c r="AD206" s="19" t="s">
        <v>2533</v>
      </c>
      <c r="AE206" s="33">
        <v>1</v>
      </c>
      <c r="AF206" s="33">
        <v>269.73</v>
      </c>
      <c r="AG206" s="33">
        <v>48.55</v>
      </c>
      <c r="AH206" s="33">
        <v>318.27999999999997</v>
      </c>
      <c r="AJ206" s="19" t="s">
        <v>1176</v>
      </c>
      <c r="AK206" s="17">
        <v>1</v>
      </c>
      <c r="AL206" s="17">
        <v>1590.93</v>
      </c>
      <c r="AM206" s="17">
        <v>286.37</v>
      </c>
      <c r="AN206" s="17">
        <v>1877.3</v>
      </c>
      <c r="BN206"/>
      <c r="BO206"/>
      <c r="BQ206"/>
      <c r="BR206"/>
    </row>
    <row r="207" spans="4:70" ht="15">
      <c r="D207" s="19" t="s">
        <v>614</v>
      </c>
      <c r="E207" s="33">
        <v>1</v>
      </c>
      <c r="AD207" s="19" t="s">
        <v>2534</v>
      </c>
      <c r="AE207" s="33">
        <v>1</v>
      </c>
      <c r="AF207" s="33">
        <v>50</v>
      </c>
      <c r="AG207" s="33">
        <v>9</v>
      </c>
      <c r="AH207" s="33">
        <v>59</v>
      </c>
      <c r="AJ207" s="19" t="s">
        <v>1174</v>
      </c>
      <c r="AK207" s="17">
        <v>1</v>
      </c>
      <c r="AL207" s="17">
        <v>3400</v>
      </c>
      <c r="AM207" s="17">
        <v>612</v>
      </c>
      <c r="AN207" s="17">
        <v>4012</v>
      </c>
      <c r="BN207"/>
      <c r="BO207"/>
      <c r="BQ207"/>
      <c r="BR207"/>
    </row>
    <row r="208" spans="4:70" ht="15">
      <c r="D208" s="19" t="s">
        <v>616</v>
      </c>
      <c r="E208" s="33">
        <v>1</v>
      </c>
      <c r="AD208" s="19" t="s">
        <v>2535</v>
      </c>
      <c r="AE208" s="33">
        <v>1</v>
      </c>
      <c r="AF208" s="33">
        <v>702.37</v>
      </c>
      <c r="AG208" s="33">
        <v>126.43</v>
      </c>
      <c r="AH208" s="33">
        <v>828.8</v>
      </c>
      <c r="AJ208" s="19" t="s">
        <v>1172</v>
      </c>
      <c r="AK208" s="17">
        <v>1</v>
      </c>
      <c r="AL208" s="17">
        <v>171</v>
      </c>
      <c r="AM208" s="17">
        <v>30.78</v>
      </c>
      <c r="AN208" s="17">
        <v>201.78</v>
      </c>
      <c r="BN208"/>
      <c r="BO208"/>
      <c r="BQ208"/>
      <c r="BR208"/>
    </row>
    <row r="209" spans="4:70" ht="15">
      <c r="D209" s="19" t="s">
        <v>619</v>
      </c>
      <c r="E209" s="33">
        <v>1</v>
      </c>
      <c r="AD209" s="19" t="s">
        <v>2536</v>
      </c>
      <c r="AE209" s="33">
        <v>1</v>
      </c>
      <c r="AF209" s="33">
        <v>988.14</v>
      </c>
      <c r="AG209" s="33">
        <v>177.87</v>
      </c>
      <c r="AH209" s="33">
        <v>1166.01</v>
      </c>
      <c r="AJ209" s="19" t="s">
        <v>1170</v>
      </c>
      <c r="AK209" s="17">
        <v>1</v>
      </c>
      <c r="AL209" s="17">
        <v>1439.87</v>
      </c>
      <c r="AM209" s="17">
        <v>259.18</v>
      </c>
      <c r="AN209" s="17">
        <v>1699.05</v>
      </c>
      <c r="BN209"/>
      <c r="BO209"/>
      <c r="BQ209"/>
      <c r="BR209"/>
    </row>
    <row r="210" spans="4:70" ht="15">
      <c r="D210" s="19" t="s">
        <v>621</v>
      </c>
      <c r="E210" s="33">
        <v>1</v>
      </c>
      <c r="AD210" s="19" t="s">
        <v>2537</v>
      </c>
      <c r="AE210" s="33">
        <v>1</v>
      </c>
      <c r="AF210" s="33">
        <v>121.5</v>
      </c>
      <c r="AG210" s="33">
        <v>21.87</v>
      </c>
      <c r="AH210" s="33">
        <v>143.37</v>
      </c>
      <c r="AJ210" s="19" t="s">
        <v>1168</v>
      </c>
      <c r="AK210" s="17">
        <v>1</v>
      </c>
      <c r="AL210" s="17">
        <v>2919.83</v>
      </c>
      <c r="AM210" s="17">
        <v>525.57000000000005</v>
      </c>
      <c r="AN210" s="17">
        <v>3445.4</v>
      </c>
      <c r="BN210"/>
      <c r="BO210"/>
      <c r="BQ210"/>
      <c r="BR210"/>
    </row>
    <row r="211" spans="4:70" ht="15">
      <c r="D211" s="19" t="s">
        <v>624</v>
      </c>
      <c r="E211" s="33">
        <v>1</v>
      </c>
      <c r="AD211" s="19" t="s">
        <v>2538</v>
      </c>
      <c r="AE211" s="33">
        <v>1</v>
      </c>
      <c r="AF211" s="33">
        <v>121.73</v>
      </c>
      <c r="AG211" s="33">
        <v>21.91</v>
      </c>
      <c r="AH211" s="33">
        <v>143.63999999999999</v>
      </c>
      <c r="AJ211" s="19" t="s">
        <v>1166</v>
      </c>
      <c r="AK211" s="17">
        <v>1</v>
      </c>
      <c r="AL211" s="17">
        <v>100</v>
      </c>
      <c r="AM211" s="17">
        <v>18</v>
      </c>
      <c r="AN211" s="17">
        <v>118</v>
      </c>
      <c r="BN211"/>
      <c r="BO211"/>
      <c r="BQ211"/>
      <c r="BR211"/>
    </row>
    <row r="212" spans="4:70" ht="15">
      <c r="D212" s="19" t="s">
        <v>673</v>
      </c>
      <c r="E212" s="33">
        <v>1</v>
      </c>
      <c r="AD212" s="19" t="s">
        <v>2539</v>
      </c>
      <c r="AE212" s="33">
        <v>1</v>
      </c>
      <c r="AF212" s="33">
        <v>200</v>
      </c>
      <c r="AG212" s="33">
        <v>36</v>
      </c>
      <c r="AH212" s="33">
        <v>236</v>
      </c>
      <c r="AJ212" s="19" t="s">
        <v>1164</v>
      </c>
      <c r="AK212" s="17">
        <v>1</v>
      </c>
      <c r="AL212" s="17">
        <v>10</v>
      </c>
      <c r="AM212" s="17">
        <v>1.8</v>
      </c>
      <c r="AN212" s="17">
        <v>11.8</v>
      </c>
      <c r="BN212"/>
      <c r="BO212"/>
      <c r="BQ212"/>
      <c r="BR212"/>
    </row>
    <row r="213" spans="4:70" ht="15">
      <c r="D213" s="19" t="s">
        <v>676</v>
      </c>
      <c r="E213" s="33">
        <v>1</v>
      </c>
      <c r="AD213" s="19" t="s">
        <v>2540</v>
      </c>
      <c r="AE213" s="33">
        <v>1</v>
      </c>
      <c r="AF213" s="33">
        <v>94</v>
      </c>
      <c r="AG213" s="33">
        <v>16.920000000000002</v>
      </c>
      <c r="AH213" s="33">
        <v>110.92</v>
      </c>
      <c r="AJ213" s="19" t="s">
        <v>1128</v>
      </c>
      <c r="AK213" s="17">
        <v>1</v>
      </c>
      <c r="AL213" s="17">
        <v>8.14</v>
      </c>
      <c r="AM213" s="17">
        <v>1.46</v>
      </c>
      <c r="AN213" s="17">
        <v>9.6</v>
      </c>
      <c r="BN213"/>
      <c r="BO213"/>
      <c r="BQ213"/>
      <c r="BR213"/>
    </row>
    <row r="214" spans="4:70" ht="15">
      <c r="D214" s="19" t="s">
        <v>678</v>
      </c>
      <c r="E214" s="33">
        <v>1</v>
      </c>
      <c r="AD214" s="19" t="s">
        <v>2541</v>
      </c>
      <c r="AE214" s="33">
        <v>1</v>
      </c>
      <c r="AF214" s="33">
        <v>98.78</v>
      </c>
      <c r="AG214" s="33">
        <v>17.78</v>
      </c>
      <c r="AH214" s="33">
        <v>116.56</v>
      </c>
      <c r="AJ214" s="19" t="s">
        <v>1125</v>
      </c>
      <c r="AK214" s="17">
        <v>1</v>
      </c>
      <c r="AL214" s="17">
        <v>11.53</v>
      </c>
      <c r="AM214" s="17">
        <v>2.0699999999999998</v>
      </c>
      <c r="AN214" s="17">
        <v>13.6</v>
      </c>
      <c r="BN214"/>
      <c r="BO214"/>
      <c r="BQ214"/>
      <c r="BR214"/>
    </row>
    <row r="215" spans="4:70" ht="15">
      <c r="D215" s="19" t="s">
        <v>680</v>
      </c>
      <c r="E215" s="33">
        <v>1</v>
      </c>
      <c r="AD215" s="19" t="s">
        <v>2792</v>
      </c>
      <c r="AE215" s="33">
        <v>3</v>
      </c>
      <c r="AF215" s="33">
        <v>1720</v>
      </c>
      <c r="AG215" s="33">
        <v>309.60000000000002</v>
      </c>
      <c r="AH215" s="33">
        <v>2029.6</v>
      </c>
      <c r="AJ215" s="19" t="s">
        <v>1123</v>
      </c>
      <c r="AK215" s="17">
        <v>1</v>
      </c>
      <c r="AL215" s="17">
        <v>38.81</v>
      </c>
      <c r="AM215" s="17">
        <v>6.99</v>
      </c>
      <c r="AN215" s="17">
        <v>45.8</v>
      </c>
      <c r="BN215"/>
      <c r="BO215"/>
      <c r="BQ215"/>
      <c r="BR215"/>
    </row>
    <row r="216" spans="4:70" ht="15">
      <c r="D216" s="19" t="s">
        <v>626</v>
      </c>
      <c r="E216" s="33">
        <v>1</v>
      </c>
      <c r="AD216" s="19" t="s">
        <v>371</v>
      </c>
      <c r="AE216" s="33">
        <v>1</v>
      </c>
      <c r="AF216" s="33">
        <v>4123.66</v>
      </c>
      <c r="AG216" s="33">
        <v>742.26</v>
      </c>
      <c r="AH216" s="33">
        <v>4865.92</v>
      </c>
      <c r="AJ216" s="19" t="s">
        <v>1121</v>
      </c>
      <c r="AK216" s="17">
        <v>1</v>
      </c>
      <c r="AL216" s="17">
        <v>58.39</v>
      </c>
      <c r="AM216" s="17">
        <v>10.51</v>
      </c>
      <c r="AN216" s="17">
        <v>68.900000000000006</v>
      </c>
      <c r="BN216"/>
      <c r="BO216"/>
      <c r="BQ216"/>
      <c r="BR216"/>
    </row>
    <row r="217" spans="4:70" ht="15">
      <c r="D217" s="19" t="s">
        <v>629</v>
      </c>
      <c r="E217" s="33">
        <v>1</v>
      </c>
      <c r="AD217" s="19" t="s">
        <v>367</v>
      </c>
      <c r="AE217" s="33">
        <v>1</v>
      </c>
      <c r="AF217" s="33">
        <v>73.47</v>
      </c>
      <c r="AG217" s="33">
        <v>13.22</v>
      </c>
      <c r="AH217" s="33">
        <v>86.69</v>
      </c>
      <c r="AJ217" s="19" t="s">
        <v>1119</v>
      </c>
      <c r="AK217" s="17">
        <v>1</v>
      </c>
      <c r="AL217" s="17">
        <v>43.22</v>
      </c>
      <c r="AM217" s="17">
        <v>7.78</v>
      </c>
      <c r="AN217" s="17">
        <v>51</v>
      </c>
      <c r="BN217"/>
      <c r="BO217"/>
      <c r="BQ217"/>
      <c r="BR217"/>
    </row>
    <row r="218" spans="4:70" ht="15">
      <c r="D218" s="19" t="s">
        <v>631</v>
      </c>
      <c r="E218" s="33">
        <v>1</v>
      </c>
      <c r="AD218" s="19" t="s">
        <v>364</v>
      </c>
      <c r="AE218" s="33">
        <v>1</v>
      </c>
      <c r="AF218" s="33">
        <v>79.75</v>
      </c>
      <c r="AG218" s="33">
        <v>14.36</v>
      </c>
      <c r="AH218" s="33">
        <v>94.11</v>
      </c>
      <c r="AJ218" s="19" t="s">
        <v>1116</v>
      </c>
      <c r="AK218" s="17">
        <v>1</v>
      </c>
      <c r="AL218" s="17">
        <v>75.680000000000007</v>
      </c>
      <c r="AM218" s="17">
        <v>13.62</v>
      </c>
      <c r="AN218" s="17">
        <v>89.3</v>
      </c>
      <c r="BN218"/>
      <c r="BO218"/>
      <c r="BQ218"/>
      <c r="BR218"/>
    </row>
    <row r="219" spans="4:70" ht="15">
      <c r="D219" s="19" t="s">
        <v>633</v>
      </c>
      <c r="E219" s="33">
        <v>1</v>
      </c>
      <c r="AD219" s="19" t="s">
        <v>351</v>
      </c>
      <c r="AE219" s="33">
        <v>1</v>
      </c>
      <c r="AF219" s="33">
        <v>652.20000000000005</v>
      </c>
      <c r="AG219" s="33">
        <v>117.4</v>
      </c>
      <c r="AH219" s="33">
        <v>769.6</v>
      </c>
      <c r="AJ219" s="19" t="s">
        <v>1114</v>
      </c>
      <c r="AK219" s="17">
        <v>1</v>
      </c>
      <c r="AL219" s="17">
        <v>102.29</v>
      </c>
      <c r="AM219" s="17">
        <v>18.41</v>
      </c>
      <c r="AN219" s="17">
        <v>120.7</v>
      </c>
      <c r="BN219"/>
      <c r="BO219"/>
      <c r="BQ219"/>
      <c r="BR219"/>
    </row>
    <row r="220" spans="4:70" ht="15">
      <c r="D220" s="19" t="s">
        <v>635</v>
      </c>
      <c r="E220" s="33">
        <v>1</v>
      </c>
      <c r="AD220" s="19" t="s">
        <v>350</v>
      </c>
      <c r="AE220" s="33">
        <v>1</v>
      </c>
      <c r="AF220" s="33">
        <v>638.30999999999995</v>
      </c>
      <c r="AG220" s="33">
        <v>114.9</v>
      </c>
      <c r="AH220" s="33">
        <v>753.21</v>
      </c>
      <c r="AJ220" s="19" t="s">
        <v>1112</v>
      </c>
      <c r="AK220" s="17">
        <v>1</v>
      </c>
      <c r="AL220" s="17">
        <v>170.76</v>
      </c>
      <c r="AM220" s="17">
        <v>30.74</v>
      </c>
      <c r="AN220" s="17">
        <v>201.5</v>
      </c>
      <c r="BN220"/>
      <c r="BO220"/>
      <c r="BQ220"/>
      <c r="BR220"/>
    </row>
    <row r="221" spans="4:70" ht="15">
      <c r="D221" s="19" t="s">
        <v>637</v>
      </c>
      <c r="E221" s="33">
        <v>1</v>
      </c>
      <c r="AD221" s="19" t="s">
        <v>349</v>
      </c>
      <c r="AE221" s="33">
        <v>1</v>
      </c>
      <c r="AF221" s="33">
        <v>1800</v>
      </c>
      <c r="AG221" s="33">
        <v>324</v>
      </c>
      <c r="AH221" s="33">
        <v>2124</v>
      </c>
      <c r="AJ221" s="19" t="s">
        <v>1110</v>
      </c>
      <c r="AK221" s="17">
        <v>1</v>
      </c>
      <c r="AL221" s="17">
        <v>1759.92</v>
      </c>
      <c r="AM221" s="17">
        <v>316.77999999999997</v>
      </c>
      <c r="AN221" s="17">
        <v>2076.6999999999998</v>
      </c>
      <c r="BN221"/>
      <c r="BO221"/>
      <c r="BQ221"/>
      <c r="BR221"/>
    </row>
    <row r="222" spans="4:70" ht="15">
      <c r="D222" s="19" t="s">
        <v>639</v>
      </c>
      <c r="E222" s="33">
        <v>1</v>
      </c>
      <c r="AD222" s="19" t="s">
        <v>348</v>
      </c>
      <c r="AE222" s="33">
        <v>1</v>
      </c>
      <c r="AF222" s="33">
        <v>1000</v>
      </c>
      <c r="AG222" s="33">
        <v>180</v>
      </c>
      <c r="AH222" s="33">
        <v>1180</v>
      </c>
      <c r="AJ222" s="19" t="s">
        <v>1108</v>
      </c>
      <c r="AK222" s="17">
        <v>1</v>
      </c>
      <c r="AL222" s="17">
        <v>2915</v>
      </c>
      <c r="AM222" s="17">
        <v>524.70000000000005</v>
      </c>
      <c r="AN222" s="17">
        <v>3439.7</v>
      </c>
      <c r="BN222"/>
      <c r="BO222"/>
      <c r="BQ222"/>
      <c r="BR222"/>
    </row>
    <row r="223" spans="4:70" ht="15">
      <c r="D223" s="19" t="s">
        <v>641</v>
      </c>
      <c r="E223" s="33">
        <v>1</v>
      </c>
      <c r="AD223" s="19" t="s">
        <v>347</v>
      </c>
      <c r="AE223" s="33">
        <v>1</v>
      </c>
      <c r="AF223" s="33">
        <v>500</v>
      </c>
      <c r="AG223" s="33">
        <v>90</v>
      </c>
      <c r="AH223" s="33">
        <v>590</v>
      </c>
      <c r="AJ223" s="19" t="s">
        <v>1106</v>
      </c>
      <c r="AK223" s="17">
        <v>1</v>
      </c>
      <c r="AL223" s="17">
        <v>1500</v>
      </c>
      <c r="AM223" s="17">
        <v>270</v>
      </c>
      <c r="AN223" s="17">
        <v>1770</v>
      </c>
      <c r="BN223"/>
      <c r="BO223"/>
      <c r="BQ223"/>
      <c r="BR223"/>
    </row>
    <row r="224" spans="4:70" ht="15">
      <c r="D224" s="19" t="s">
        <v>643</v>
      </c>
      <c r="E224" s="33">
        <v>1</v>
      </c>
      <c r="AD224" s="19" t="s">
        <v>333</v>
      </c>
      <c r="AE224" s="33">
        <v>1</v>
      </c>
      <c r="AF224" s="33">
        <v>60</v>
      </c>
      <c r="AG224" s="33">
        <v>10.8</v>
      </c>
      <c r="AH224" s="33">
        <v>70.8</v>
      </c>
      <c r="AJ224" s="19" t="s">
        <v>1104</v>
      </c>
      <c r="AK224" s="17">
        <v>1</v>
      </c>
      <c r="AL224" s="17">
        <v>750</v>
      </c>
      <c r="AM224" s="17">
        <v>135</v>
      </c>
      <c r="AN224" s="17">
        <v>885</v>
      </c>
      <c r="BN224"/>
      <c r="BO224"/>
      <c r="BQ224"/>
      <c r="BR224"/>
    </row>
    <row r="225" spans="4:70" ht="15">
      <c r="D225" s="19" t="s">
        <v>645</v>
      </c>
      <c r="E225" s="33">
        <v>1</v>
      </c>
      <c r="AD225" s="19" t="s">
        <v>295</v>
      </c>
      <c r="AE225" s="33">
        <v>1</v>
      </c>
      <c r="AF225" s="33">
        <v>904.65</v>
      </c>
      <c r="AG225" s="33">
        <v>162.84</v>
      </c>
      <c r="AH225" s="33">
        <v>1067.49</v>
      </c>
      <c r="AJ225" s="19" t="s">
        <v>1102</v>
      </c>
      <c r="AK225" s="17">
        <v>1</v>
      </c>
      <c r="AL225" s="17">
        <v>1000</v>
      </c>
      <c r="AM225" s="17">
        <v>180</v>
      </c>
      <c r="AN225" s="17">
        <v>1180</v>
      </c>
      <c r="BN225"/>
      <c r="BO225"/>
      <c r="BQ225"/>
      <c r="BR225"/>
    </row>
    <row r="226" spans="4:70" ht="15">
      <c r="D226" s="19" t="s">
        <v>647</v>
      </c>
      <c r="E226" s="33">
        <v>1</v>
      </c>
      <c r="AD226" s="19" t="s">
        <v>294</v>
      </c>
      <c r="AE226" s="33">
        <v>1</v>
      </c>
      <c r="AF226" s="33">
        <v>988.4</v>
      </c>
      <c r="AG226" s="33">
        <v>177.91</v>
      </c>
      <c r="AH226" s="33">
        <v>1166.31</v>
      </c>
      <c r="AJ226" s="19" t="s">
        <v>1100</v>
      </c>
      <c r="AK226" s="17">
        <v>1</v>
      </c>
      <c r="AL226" s="17">
        <v>8.5</v>
      </c>
      <c r="AM226" s="17">
        <v>1.53</v>
      </c>
      <c r="AN226" s="17">
        <v>10.029999999999999</v>
      </c>
      <c r="BN226"/>
      <c r="BO226"/>
      <c r="BQ226"/>
      <c r="BR226"/>
    </row>
    <row r="227" spans="4:70" ht="15">
      <c r="D227" s="19" t="s">
        <v>649</v>
      </c>
      <c r="E227" s="33">
        <v>1</v>
      </c>
      <c r="AD227" s="19" t="s">
        <v>293</v>
      </c>
      <c r="AE227" s="33">
        <v>1</v>
      </c>
      <c r="AF227" s="33">
        <v>1630.51</v>
      </c>
      <c r="AG227" s="33">
        <v>293.49</v>
      </c>
      <c r="AH227" s="33">
        <v>1924</v>
      </c>
      <c r="AJ227" s="19" t="s">
        <v>1098</v>
      </c>
      <c r="AK227" s="17">
        <v>1</v>
      </c>
      <c r="AL227" s="17">
        <v>182.75</v>
      </c>
      <c r="AM227" s="17">
        <v>32.89</v>
      </c>
      <c r="AN227" s="17">
        <v>215.64</v>
      </c>
      <c r="BN227"/>
      <c r="BO227"/>
      <c r="BQ227"/>
      <c r="BR227"/>
    </row>
    <row r="228" spans="4:70" ht="15">
      <c r="D228" s="19" t="s">
        <v>651</v>
      </c>
      <c r="E228" s="33">
        <v>1</v>
      </c>
      <c r="AD228" s="19" t="s">
        <v>292</v>
      </c>
      <c r="AE228" s="33">
        <v>1</v>
      </c>
      <c r="AF228" s="33">
        <v>300</v>
      </c>
      <c r="AG228" s="33">
        <v>54</v>
      </c>
      <c r="AH228" s="33">
        <v>354</v>
      </c>
      <c r="AJ228" s="19" t="s">
        <v>1095</v>
      </c>
      <c r="AK228" s="17">
        <v>1</v>
      </c>
      <c r="AL228" s="17">
        <v>109.06</v>
      </c>
      <c r="AM228" s="17">
        <v>19.63</v>
      </c>
      <c r="AN228" s="17">
        <v>128.69</v>
      </c>
      <c r="BN228"/>
      <c r="BO228"/>
      <c r="BQ228"/>
      <c r="BR228"/>
    </row>
    <row r="229" spans="4:70" ht="15">
      <c r="D229" s="19" t="s">
        <v>653</v>
      </c>
      <c r="E229" s="33">
        <v>1</v>
      </c>
      <c r="AD229" s="19" t="s">
        <v>291</v>
      </c>
      <c r="AE229" s="33">
        <v>1</v>
      </c>
      <c r="AF229" s="33">
        <v>100</v>
      </c>
      <c r="AG229" s="33">
        <v>18</v>
      </c>
      <c r="AH229" s="33">
        <v>118</v>
      </c>
      <c r="AJ229" s="19" t="s">
        <v>1093</v>
      </c>
      <c r="AK229" s="17">
        <v>1</v>
      </c>
      <c r="AL229" s="17">
        <v>15.25</v>
      </c>
      <c r="AM229" s="17">
        <v>2.75</v>
      </c>
      <c r="AN229" s="17">
        <v>18</v>
      </c>
      <c r="BN229"/>
      <c r="BO229"/>
      <c r="BQ229"/>
      <c r="BR229"/>
    </row>
    <row r="230" spans="4:70" ht="15">
      <c r="D230" s="19" t="s">
        <v>655</v>
      </c>
      <c r="E230" s="33">
        <v>1</v>
      </c>
      <c r="AD230" s="19" t="s">
        <v>290</v>
      </c>
      <c r="AE230" s="33">
        <v>1</v>
      </c>
      <c r="AF230" s="33">
        <v>100</v>
      </c>
      <c r="AG230" s="33">
        <v>18</v>
      </c>
      <c r="AH230" s="33">
        <v>118</v>
      </c>
      <c r="AJ230" s="19" t="s">
        <v>1090</v>
      </c>
      <c r="AK230" s="17">
        <v>1</v>
      </c>
      <c r="AL230" s="17">
        <v>21.61</v>
      </c>
      <c r="AM230" s="17">
        <v>3.89</v>
      </c>
      <c r="AN230" s="17">
        <v>25.5</v>
      </c>
      <c r="BN230"/>
      <c r="BO230"/>
      <c r="BQ230"/>
      <c r="BR230"/>
    </row>
    <row r="231" spans="4:70" ht="15">
      <c r="D231" s="19" t="s">
        <v>657</v>
      </c>
      <c r="E231" s="33">
        <v>1</v>
      </c>
      <c r="AD231" s="19" t="s">
        <v>289</v>
      </c>
      <c r="AE231" s="33">
        <v>1</v>
      </c>
      <c r="AF231" s="33">
        <v>2687.46</v>
      </c>
      <c r="AG231" s="33">
        <v>483.74</v>
      </c>
      <c r="AH231" s="33">
        <v>3171.2</v>
      </c>
      <c r="AJ231" s="19" t="s">
        <v>1088</v>
      </c>
      <c r="AK231" s="17">
        <v>1</v>
      </c>
      <c r="AL231" s="17">
        <v>133.41999999999999</v>
      </c>
      <c r="AM231" s="17">
        <v>24.02</v>
      </c>
      <c r="AN231" s="17">
        <v>157.44</v>
      </c>
      <c r="BN231"/>
      <c r="BO231"/>
      <c r="BQ231"/>
      <c r="BR231"/>
    </row>
    <row r="232" spans="4:70" ht="15">
      <c r="D232" s="19" t="s">
        <v>659</v>
      </c>
      <c r="E232" s="33">
        <v>1</v>
      </c>
      <c r="AD232" s="19" t="s">
        <v>288</v>
      </c>
      <c r="AE232" s="33">
        <v>1</v>
      </c>
      <c r="AF232" s="33">
        <v>6</v>
      </c>
      <c r="AG232" s="33">
        <v>1.08</v>
      </c>
      <c r="AH232" s="33">
        <v>7.08</v>
      </c>
      <c r="AJ232" s="19" t="s">
        <v>1086</v>
      </c>
      <c r="AK232" s="17">
        <v>1</v>
      </c>
      <c r="AL232" s="17">
        <v>222.31</v>
      </c>
      <c r="AM232" s="17">
        <v>40.01</v>
      </c>
      <c r="AN232" s="17">
        <v>262.32</v>
      </c>
      <c r="BN232"/>
      <c r="BO232"/>
      <c r="BQ232"/>
      <c r="BR232"/>
    </row>
    <row r="233" spans="4:70" ht="15">
      <c r="D233" s="19" t="s">
        <v>661</v>
      </c>
      <c r="E233" s="33">
        <v>1</v>
      </c>
      <c r="AD233" s="19" t="s">
        <v>285</v>
      </c>
      <c r="AE233" s="33">
        <v>1</v>
      </c>
      <c r="AF233" s="33">
        <v>30</v>
      </c>
      <c r="AG233" s="33">
        <v>5.4</v>
      </c>
      <c r="AH233" s="33">
        <v>35.4</v>
      </c>
      <c r="AJ233" s="19" t="s">
        <v>1084</v>
      </c>
      <c r="AK233" s="17">
        <v>1</v>
      </c>
      <c r="AL233" s="17">
        <v>2033.08</v>
      </c>
      <c r="AM233" s="17">
        <v>365.96</v>
      </c>
      <c r="AN233" s="17">
        <v>2399.04</v>
      </c>
      <c r="BN233"/>
      <c r="BO233"/>
      <c r="BQ233"/>
      <c r="BR233"/>
    </row>
    <row r="234" spans="4:70" ht="15">
      <c r="D234" s="19" t="s">
        <v>663</v>
      </c>
      <c r="E234" s="33">
        <v>1</v>
      </c>
      <c r="AD234" s="19" t="s">
        <v>284</v>
      </c>
      <c r="AE234" s="33">
        <v>1</v>
      </c>
      <c r="AF234" s="33">
        <v>943.14</v>
      </c>
      <c r="AG234" s="33">
        <v>169.77</v>
      </c>
      <c r="AH234" s="33">
        <v>1112.9100000000001</v>
      </c>
      <c r="AJ234" s="19" t="s">
        <v>1082</v>
      </c>
      <c r="AK234" s="17">
        <v>1</v>
      </c>
      <c r="AL234" s="17">
        <v>2836.25</v>
      </c>
      <c r="AM234" s="17">
        <v>510.52</v>
      </c>
      <c r="AN234" s="17">
        <v>3346.77</v>
      </c>
      <c r="BN234"/>
      <c r="BO234"/>
      <c r="BQ234"/>
      <c r="BR234"/>
    </row>
    <row r="235" spans="4:70" ht="15">
      <c r="D235" s="19" t="s">
        <v>665</v>
      </c>
      <c r="E235" s="33">
        <v>1</v>
      </c>
      <c r="AD235" s="19" t="s">
        <v>283</v>
      </c>
      <c r="AE235" s="33">
        <v>1</v>
      </c>
      <c r="AF235" s="33">
        <v>785.59</v>
      </c>
      <c r="AG235" s="33">
        <v>141.41</v>
      </c>
      <c r="AH235" s="33">
        <v>927</v>
      </c>
      <c r="AJ235" s="19" t="s">
        <v>1079</v>
      </c>
      <c r="AK235" s="17">
        <v>1</v>
      </c>
      <c r="AL235" s="17">
        <v>100</v>
      </c>
      <c r="AM235" s="17">
        <v>18</v>
      </c>
      <c r="AN235" s="17">
        <v>118</v>
      </c>
      <c r="BN235"/>
      <c r="BO235"/>
      <c r="BQ235"/>
      <c r="BR235"/>
    </row>
    <row r="236" spans="4:70" ht="15">
      <c r="D236" s="19" t="s">
        <v>667</v>
      </c>
      <c r="E236" s="33">
        <v>1</v>
      </c>
      <c r="AD236" s="19" t="s">
        <v>282</v>
      </c>
      <c r="AE236" s="33">
        <v>1</v>
      </c>
      <c r="AF236" s="33">
        <v>300</v>
      </c>
      <c r="AG236" s="33">
        <v>54</v>
      </c>
      <c r="AH236" s="33">
        <v>354</v>
      </c>
      <c r="AJ236" s="19" t="s">
        <v>1077</v>
      </c>
      <c r="AK236" s="17">
        <v>1</v>
      </c>
      <c r="AL236" s="17">
        <v>678.25</v>
      </c>
      <c r="AM236" s="17">
        <v>122.08</v>
      </c>
      <c r="AN236" s="17">
        <v>800.33</v>
      </c>
      <c r="BN236"/>
      <c r="BO236"/>
      <c r="BQ236"/>
      <c r="BR236"/>
    </row>
    <row r="237" spans="4:70" ht="15">
      <c r="D237" s="19" t="s">
        <v>669</v>
      </c>
      <c r="E237" s="33">
        <v>1</v>
      </c>
      <c r="AD237" s="19" t="s">
        <v>279</v>
      </c>
      <c r="AE237" s="33">
        <v>1</v>
      </c>
      <c r="AF237" s="33">
        <v>63</v>
      </c>
      <c r="AG237" s="33">
        <v>11.34</v>
      </c>
      <c r="AH237" s="33">
        <v>74.34</v>
      </c>
      <c r="AJ237" s="19" t="s">
        <v>1074</v>
      </c>
      <c r="AK237" s="17">
        <v>1</v>
      </c>
      <c r="AL237" s="17">
        <v>2</v>
      </c>
      <c r="AM237" s="17">
        <v>0.36</v>
      </c>
      <c r="AN237" s="17">
        <v>2.36</v>
      </c>
      <c r="BN237"/>
      <c r="BO237"/>
      <c r="BQ237"/>
      <c r="BR237"/>
    </row>
    <row r="238" spans="4:70" ht="15">
      <c r="D238" s="19" t="s">
        <v>671</v>
      </c>
      <c r="E238" s="33">
        <v>1</v>
      </c>
      <c r="AD238" s="19" t="s">
        <v>278</v>
      </c>
      <c r="AE238" s="33">
        <v>1</v>
      </c>
      <c r="AF238" s="33">
        <v>18.309999999999999</v>
      </c>
      <c r="AG238" s="33">
        <v>3.3</v>
      </c>
      <c r="AH238" s="33">
        <v>21.61</v>
      </c>
      <c r="AJ238" s="19" t="s">
        <v>1072</v>
      </c>
      <c r="AK238" s="17">
        <v>1</v>
      </c>
      <c r="AL238" s="17">
        <v>311.91000000000003</v>
      </c>
      <c r="AM238" s="17">
        <v>56.14</v>
      </c>
      <c r="AN238" s="17">
        <v>368.05</v>
      </c>
      <c r="BN238"/>
      <c r="BO238"/>
      <c r="BQ238"/>
      <c r="BR238"/>
    </row>
    <row r="239" spans="4:70" ht="15">
      <c r="D239" s="19" t="s">
        <v>684</v>
      </c>
      <c r="E239" s="33">
        <v>1</v>
      </c>
      <c r="AD239" s="19" t="s">
        <v>275</v>
      </c>
      <c r="AE239" s="33">
        <v>1</v>
      </c>
      <c r="AF239" s="33">
        <v>25.93</v>
      </c>
      <c r="AG239" s="33">
        <v>4.67</v>
      </c>
      <c r="AH239" s="33">
        <v>30.6</v>
      </c>
      <c r="AJ239" s="19" t="s">
        <v>1069</v>
      </c>
      <c r="AK239" s="17">
        <v>1</v>
      </c>
      <c r="AL239" s="17">
        <v>2</v>
      </c>
      <c r="AM239" s="17">
        <v>0.36</v>
      </c>
      <c r="AN239" s="17">
        <v>2.36</v>
      </c>
      <c r="BN239"/>
      <c r="BO239"/>
      <c r="BQ239"/>
      <c r="BR239"/>
    </row>
    <row r="240" spans="4:70" ht="15">
      <c r="D240" s="19" t="s">
        <v>686</v>
      </c>
      <c r="E240" s="33">
        <v>1</v>
      </c>
      <c r="AD240" s="19" t="s">
        <v>274</v>
      </c>
      <c r="AE240" s="33">
        <v>1</v>
      </c>
      <c r="AF240" s="33">
        <v>1340.25</v>
      </c>
      <c r="AG240" s="33">
        <v>241.25</v>
      </c>
      <c r="AH240" s="33">
        <v>1581.5</v>
      </c>
      <c r="AJ240" s="19" t="s">
        <v>1067</v>
      </c>
      <c r="AK240" s="17">
        <v>1</v>
      </c>
      <c r="AL240" s="17">
        <v>218.69</v>
      </c>
      <c r="AM240" s="17">
        <v>39.369999999999997</v>
      </c>
      <c r="AN240" s="17">
        <v>258.06</v>
      </c>
      <c r="BN240"/>
      <c r="BO240"/>
      <c r="BQ240"/>
      <c r="BR240"/>
    </row>
    <row r="241" spans="4:70" ht="15">
      <c r="D241" s="19" t="s">
        <v>688</v>
      </c>
      <c r="E241" s="33">
        <v>1</v>
      </c>
      <c r="AD241" s="19" t="s">
        <v>273</v>
      </c>
      <c r="AE241" s="33">
        <v>1</v>
      </c>
      <c r="AF241" s="33">
        <v>1688.56</v>
      </c>
      <c r="AG241" s="33">
        <v>303.94</v>
      </c>
      <c r="AH241" s="33">
        <v>1992.5</v>
      </c>
      <c r="AJ241" s="19" t="s">
        <v>1064</v>
      </c>
      <c r="AK241" s="17">
        <v>1</v>
      </c>
      <c r="AL241" s="17">
        <v>2</v>
      </c>
      <c r="AM241" s="17">
        <v>0.36</v>
      </c>
      <c r="AN241" s="17">
        <v>2.36</v>
      </c>
      <c r="BN241"/>
      <c r="BO241"/>
      <c r="BQ241"/>
      <c r="BR241"/>
    </row>
    <row r="242" spans="4:70" ht="15">
      <c r="D242" s="19" t="s">
        <v>690</v>
      </c>
      <c r="E242" s="33">
        <v>1</v>
      </c>
      <c r="AD242" s="19" t="s">
        <v>272</v>
      </c>
      <c r="AE242" s="33">
        <v>1</v>
      </c>
      <c r="AF242" s="33">
        <v>100</v>
      </c>
      <c r="AG242" s="33">
        <v>18</v>
      </c>
      <c r="AH242" s="33">
        <v>118</v>
      </c>
      <c r="AJ242" s="19" t="s">
        <v>1062</v>
      </c>
      <c r="AK242" s="17">
        <v>1</v>
      </c>
      <c r="AL242" s="17">
        <v>208.23</v>
      </c>
      <c r="AM242" s="17">
        <v>37.479999999999997</v>
      </c>
      <c r="AN242" s="17">
        <v>245.71</v>
      </c>
      <c r="BN242"/>
      <c r="BO242"/>
      <c r="BQ242"/>
      <c r="BR242"/>
    </row>
    <row r="243" spans="4:70" ht="15">
      <c r="D243" s="19" t="s">
        <v>692</v>
      </c>
      <c r="E243" s="33">
        <v>1</v>
      </c>
      <c r="AD243" s="19" t="s">
        <v>269</v>
      </c>
      <c r="AE243" s="33">
        <v>1</v>
      </c>
      <c r="AF243" s="33">
        <v>2701</v>
      </c>
      <c r="AG243" s="33">
        <v>486.18</v>
      </c>
      <c r="AH243" s="33">
        <v>3187.18</v>
      </c>
      <c r="AJ243" s="19" t="s">
        <v>1060</v>
      </c>
      <c r="AK243" s="17">
        <v>1</v>
      </c>
      <c r="AL243" s="17">
        <v>283.79000000000002</v>
      </c>
      <c r="AM243" s="17">
        <v>51.08</v>
      </c>
      <c r="AN243" s="17">
        <v>334.87</v>
      </c>
      <c r="BN243"/>
      <c r="BO243"/>
      <c r="BQ243"/>
      <c r="BR243"/>
    </row>
    <row r="244" spans="4:70" ht="15">
      <c r="D244" s="19" t="s">
        <v>694</v>
      </c>
      <c r="E244" s="33">
        <v>1</v>
      </c>
      <c r="AD244" s="19" t="s">
        <v>268</v>
      </c>
      <c r="AE244" s="33">
        <v>1</v>
      </c>
      <c r="AF244" s="33">
        <v>41.14</v>
      </c>
      <c r="AG244" s="33">
        <v>7.41</v>
      </c>
      <c r="AH244" s="33">
        <v>48.55</v>
      </c>
      <c r="AJ244" s="19" t="s">
        <v>1058</v>
      </c>
      <c r="AK244" s="17">
        <v>1</v>
      </c>
      <c r="AL244" s="17">
        <v>126.36</v>
      </c>
      <c r="AM244" s="17">
        <v>22.74</v>
      </c>
      <c r="AN244" s="17">
        <v>149.1</v>
      </c>
      <c r="BN244"/>
      <c r="BO244"/>
      <c r="BQ244"/>
      <c r="BR244"/>
    </row>
    <row r="245" spans="4:70" ht="15">
      <c r="D245" s="19" t="s">
        <v>696</v>
      </c>
      <c r="E245" s="33">
        <v>1</v>
      </c>
      <c r="AD245" s="19" t="s">
        <v>263</v>
      </c>
      <c r="AE245" s="33">
        <v>1</v>
      </c>
      <c r="AF245" s="33">
        <v>12.2</v>
      </c>
      <c r="AG245" s="33">
        <v>2.2000000000000002</v>
      </c>
      <c r="AH245" s="33">
        <v>14.4</v>
      </c>
      <c r="AJ245" s="19" t="s">
        <v>1056</v>
      </c>
      <c r="AK245" s="17">
        <v>1</v>
      </c>
      <c r="AL245" s="17">
        <v>227.88</v>
      </c>
      <c r="AM245" s="17">
        <v>41.02</v>
      </c>
      <c r="AN245" s="17">
        <v>268.89999999999998</v>
      </c>
      <c r="BN245"/>
      <c r="BO245"/>
      <c r="BQ245"/>
      <c r="BR245"/>
    </row>
    <row r="246" spans="4:70" ht="15">
      <c r="D246" s="19" t="s">
        <v>698</v>
      </c>
      <c r="E246" s="33">
        <v>1</v>
      </c>
      <c r="AD246" s="19" t="s">
        <v>2366</v>
      </c>
      <c r="AE246" s="33">
        <v>1</v>
      </c>
      <c r="AF246" s="33">
        <v>40.89</v>
      </c>
      <c r="AG246" s="33">
        <v>7.36</v>
      </c>
      <c r="AH246" s="33">
        <v>48.25</v>
      </c>
      <c r="AJ246" s="19" t="s">
        <v>1054</v>
      </c>
      <c r="AK246" s="17">
        <v>1</v>
      </c>
      <c r="AL246" s="17">
        <v>50</v>
      </c>
      <c r="AM246" s="17">
        <v>9</v>
      </c>
      <c r="AN246" s="17">
        <v>59</v>
      </c>
      <c r="BN246"/>
      <c r="BO246"/>
      <c r="BQ246"/>
      <c r="BR246"/>
    </row>
    <row r="247" spans="4:70" ht="15">
      <c r="D247" s="19" t="s">
        <v>700</v>
      </c>
      <c r="E247" s="33">
        <v>1</v>
      </c>
      <c r="AD247" s="19" t="s">
        <v>2367</v>
      </c>
      <c r="AE247" s="33">
        <v>1</v>
      </c>
      <c r="AF247" s="33">
        <v>32.5</v>
      </c>
      <c r="AG247" s="33">
        <v>5.85</v>
      </c>
      <c r="AH247" s="33">
        <v>38.35</v>
      </c>
      <c r="AJ247" s="19" t="s">
        <v>1052</v>
      </c>
      <c r="AK247" s="17">
        <v>1</v>
      </c>
      <c r="AL247" s="17">
        <v>1085.76</v>
      </c>
      <c r="AM247" s="17">
        <v>195.44</v>
      </c>
      <c r="AN247" s="17">
        <v>1281.2</v>
      </c>
      <c r="BN247"/>
      <c r="BO247"/>
      <c r="BQ247"/>
      <c r="BR247"/>
    </row>
    <row r="248" spans="4:70" ht="15">
      <c r="D248" s="19" t="s">
        <v>702</v>
      </c>
      <c r="E248" s="33">
        <v>1</v>
      </c>
      <c r="AD248" s="19" t="s">
        <v>2368</v>
      </c>
      <c r="AE248" s="33">
        <v>1</v>
      </c>
      <c r="AF248" s="33">
        <v>575.44000000000005</v>
      </c>
      <c r="AG248" s="33">
        <v>103.58</v>
      </c>
      <c r="AH248" s="33">
        <v>679.02</v>
      </c>
      <c r="AJ248" s="19" t="s">
        <v>1050</v>
      </c>
      <c r="AK248" s="17">
        <v>1</v>
      </c>
      <c r="AL248" s="17">
        <v>1978.14</v>
      </c>
      <c r="AM248" s="17">
        <v>356.06</v>
      </c>
      <c r="AN248" s="17">
        <v>2334.1999999999998</v>
      </c>
      <c r="BN248"/>
      <c r="BO248"/>
      <c r="BQ248"/>
      <c r="BR248"/>
    </row>
    <row r="249" spans="4:70" ht="15">
      <c r="D249" s="19" t="s">
        <v>704</v>
      </c>
      <c r="E249" s="33">
        <v>1</v>
      </c>
      <c r="AD249" s="19" t="s">
        <v>2369</v>
      </c>
      <c r="AE249" s="33">
        <v>1</v>
      </c>
      <c r="AF249" s="33">
        <v>533.11</v>
      </c>
      <c r="AG249" s="33">
        <v>95.96</v>
      </c>
      <c r="AH249" s="33">
        <v>629.07000000000005</v>
      </c>
      <c r="AJ249" s="19" t="s">
        <v>1047</v>
      </c>
      <c r="AK249" s="17">
        <v>1</v>
      </c>
      <c r="AL249" s="17">
        <v>32.5</v>
      </c>
      <c r="AM249" s="17">
        <v>5.85</v>
      </c>
      <c r="AN249" s="17">
        <v>38.35</v>
      </c>
      <c r="BN249"/>
      <c r="BO249"/>
      <c r="BQ249"/>
      <c r="BR249"/>
    </row>
    <row r="250" spans="4:70" ht="15">
      <c r="D250" s="19" t="s">
        <v>706</v>
      </c>
      <c r="E250" s="33">
        <v>1</v>
      </c>
      <c r="AD250" s="19" t="s">
        <v>2370</v>
      </c>
      <c r="AE250" s="33">
        <v>1</v>
      </c>
      <c r="AF250" s="33">
        <v>76.19</v>
      </c>
      <c r="AG250" s="33">
        <v>13.71</v>
      </c>
      <c r="AH250" s="33">
        <v>89.9</v>
      </c>
      <c r="AJ250" s="19" t="s">
        <v>1028</v>
      </c>
      <c r="AK250" s="17">
        <v>1</v>
      </c>
      <c r="AL250" s="17">
        <v>6</v>
      </c>
      <c r="AM250" s="17">
        <v>1.08</v>
      </c>
      <c r="AN250" s="17">
        <v>7.08</v>
      </c>
      <c r="BN250"/>
      <c r="BO250"/>
      <c r="BQ250"/>
      <c r="BR250"/>
    </row>
    <row r="251" spans="4:70" ht="15">
      <c r="D251" s="19" t="s">
        <v>708</v>
      </c>
      <c r="E251" s="33">
        <v>1</v>
      </c>
      <c r="AD251" s="19" t="s">
        <v>2371</v>
      </c>
      <c r="AE251" s="33">
        <v>1</v>
      </c>
      <c r="AF251" s="33">
        <v>84.24</v>
      </c>
      <c r="AG251" s="33">
        <v>15.16</v>
      </c>
      <c r="AH251" s="33">
        <v>99.4</v>
      </c>
      <c r="AJ251" s="19" t="s">
        <v>1026</v>
      </c>
      <c r="AK251" s="17">
        <v>1</v>
      </c>
      <c r="AL251" s="17">
        <v>9.9</v>
      </c>
      <c r="AM251" s="17">
        <v>1.78</v>
      </c>
      <c r="AN251" s="17">
        <v>11.68</v>
      </c>
      <c r="BN251"/>
      <c r="BO251"/>
      <c r="BQ251"/>
      <c r="BR251"/>
    </row>
    <row r="252" spans="4:70" ht="15">
      <c r="D252" s="19" t="s">
        <v>710</v>
      </c>
      <c r="E252" s="33">
        <v>1</v>
      </c>
      <c r="AD252" s="19" t="s">
        <v>2372</v>
      </c>
      <c r="AE252" s="33">
        <v>1</v>
      </c>
      <c r="AF252" s="33">
        <v>50</v>
      </c>
      <c r="AG252" s="33">
        <v>9</v>
      </c>
      <c r="AH252" s="33">
        <v>59</v>
      </c>
      <c r="AJ252" s="19" t="s">
        <v>1024</v>
      </c>
      <c r="AK252" s="17">
        <v>1</v>
      </c>
      <c r="AL252" s="17">
        <v>3400</v>
      </c>
      <c r="AM252" s="17">
        <v>612</v>
      </c>
      <c r="AN252" s="17">
        <v>4012</v>
      </c>
      <c r="BN252"/>
      <c r="BO252"/>
      <c r="BQ252"/>
      <c r="BR252"/>
    </row>
    <row r="253" spans="4:70" ht="15">
      <c r="D253" s="19" t="s">
        <v>712</v>
      </c>
      <c r="E253" s="33">
        <v>1</v>
      </c>
      <c r="AD253" s="19" t="s">
        <v>2373</v>
      </c>
      <c r="AE253" s="33">
        <v>1</v>
      </c>
      <c r="AF253" s="33">
        <v>55.08</v>
      </c>
      <c r="AG253" s="33">
        <v>9.91</v>
      </c>
      <c r="AH253" s="33">
        <v>64.989999999999995</v>
      </c>
      <c r="AJ253" s="19" t="s">
        <v>1021</v>
      </c>
      <c r="AK253" s="17">
        <v>1</v>
      </c>
      <c r="AL253" s="17">
        <v>17.100000000000001</v>
      </c>
      <c r="AM253" s="17">
        <v>3.08</v>
      </c>
      <c r="AN253" s="17">
        <v>20.18</v>
      </c>
      <c r="BN253"/>
      <c r="BO253"/>
      <c r="BQ253"/>
      <c r="BR253"/>
    </row>
    <row r="254" spans="4:70" ht="15">
      <c r="D254" s="19" t="s">
        <v>731</v>
      </c>
      <c r="E254" s="33">
        <v>1</v>
      </c>
      <c r="AD254" s="19" t="s">
        <v>2374</v>
      </c>
      <c r="AE254" s="33">
        <v>1</v>
      </c>
      <c r="AF254" s="33">
        <v>7.46</v>
      </c>
      <c r="AG254" s="33">
        <v>1.34</v>
      </c>
      <c r="AH254" s="33">
        <v>8.8000000000000007</v>
      </c>
      <c r="AJ254" s="19" t="s">
        <v>1019</v>
      </c>
      <c r="AK254" s="17">
        <v>1</v>
      </c>
      <c r="AL254" s="17">
        <v>4262.2</v>
      </c>
      <c r="AM254" s="17">
        <v>767.2</v>
      </c>
      <c r="AN254" s="17">
        <v>5029.3999999999996</v>
      </c>
      <c r="BN254"/>
      <c r="BO254"/>
      <c r="BQ254"/>
      <c r="BR254"/>
    </row>
    <row r="255" spans="4:70" ht="15">
      <c r="D255" s="19" t="s">
        <v>734</v>
      </c>
      <c r="E255" s="33">
        <v>1</v>
      </c>
      <c r="AD255" s="19" t="s">
        <v>2375</v>
      </c>
      <c r="AE255" s="33">
        <v>1</v>
      </c>
      <c r="AF255" s="33">
        <v>4904.1000000000004</v>
      </c>
      <c r="AG255" s="33">
        <v>882.74</v>
      </c>
      <c r="AH255" s="33">
        <v>5786.84</v>
      </c>
      <c r="AJ255" s="19" t="s">
        <v>1017</v>
      </c>
      <c r="AK255" s="17">
        <v>1</v>
      </c>
      <c r="AL255" s="17">
        <v>2862.29</v>
      </c>
      <c r="AM255" s="17">
        <v>515.21</v>
      </c>
      <c r="AN255" s="17">
        <v>3377.5</v>
      </c>
      <c r="BN255"/>
      <c r="BO255"/>
      <c r="BQ255"/>
      <c r="BR255"/>
    </row>
    <row r="256" spans="4:70" ht="15">
      <c r="D256" s="19" t="s">
        <v>736</v>
      </c>
      <c r="E256" s="33">
        <v>1</v>
      </c>
      <c r="AD256" s="19" t="s">
        <v>2376</v>
      </c>
      <c r="AE256" s="33">
        <v>1</v>
      </c>
      <c r="AF256" s="33">
        <v>300</v>
      </c>
      <c r="AG256" s="33">
        <v>54</v>
      </c>
      <c r="AH256" s="33">
        <v>354</v>
      </c>
      <c r="AJ256" s="19" t="s">
        <v>1015</v>
      </c>
      <c r="AK256" s="17">
        <v>1</v>
      </c>
      <c r="AL256" s="17">
        <v>3400</v>
      </c>
      <c r="AM256" s="17">
        <v>612</v>
      </c>
      <c r="AN256" s="17">
        <v>4012</v>
      </c>
      <c r="BN256"/>
      <c r="BO256"/>
      <c r="BQ256"/>
      <c r="BR256"/>
    </row>
    <row r="257" spans="4:70" ht="15">
      <c r="D257" s="19" t="s">
        <v>739</v>
      </c>
      <c r="E257" s="33">
        <v>1</v>
      </c>
      <c r="AD257" s="19" t="s">
        <v>2377</v>
      </c>
      <c r="AE257" s="33">
        <v>1</v>
      </c>
      <c r="AF257" s="33">
        <v>23</v>
      </c>
      <c r="AG257" s="33">
        <v>4.1399999999999997</v>
      </c>
      <c r="AH257" s="33">
        <v>27.14</v>
      </c>
      <c r="AJ257" s="19" t="s">
        <v>1013</v>
      </c>
      <c r="AK257" s="17">
        <v>1</v>
      </c>
      <c r="AL257" s="17">
        <v>450</v>
      </c>
      <c r="AM257" s="17">
        <v>81</v>
      </c>
      <c r="AN257" s="17">
        <v>531</v>
      </c>
      <c r="BN257"/>
      <c r="BO257"/>
      <c r="BQ257"/>
      <c r="BR257"/>
    </row>
    <row r="258" spans="4:70" ht="15">
      <c r="D258" s="19" t="s">
        <v>741</v>
      </c>
      <c r="E258" s="33">
        <v>1</v>
      </c>
      <c r="AD258" s="19" t="s">
        <v>2378</v>
      </c>
      <c r="AE258" s="33">
        <v>1</v>
      </c>
      <c r="AF258" s="33">
        <v>39.76</v>
      </c>
      <c r="AG258" s="33">
        <v>7.16</v>
      </c>
      <c r="AH258" s="33">
        <v>46.92</v>
      </c>
      <c r="AJ258" s="19" t="s">
        <v>1011</v>
      </c>
      <c r="AK258" s="17">
        <v>1</v>
      </c>
      <c r="AL258" s="17">
        <v>202.5</v>
      </c>
      <c r="AM258" s="17">
        <v>36.450000000000003</v>
      </c>
      <c r="AN258" s="17">
        <v>238.95</v>
      </c>
      <c r="BN258"/>
      <c r="BO258"/>
      <c r="BQ258"/>
      <c r="BR258"/>
    </row>
    <row r="259" spans="4:70" ht="15">
      <c r="D259" s="19" t="s">
        <v>744</v>
      </c>
      <c r="E259" s="33">
        <v>1</v>
      </c>
      <c r="AD259" s="19" t="s">
        <v>2379</v>
      </c>
      <c r="AE259" s="33">
        <v>1</v>
      </c>
      <c r="AF259" s="33">
        <v>3578.07</v>
      </c>
      <c r="AG259" s="33">
        <v>644.04999999999995</v>
      </c>
      <c r="AH259" s="33">
        <v>4222.12</v>
      </c>
      <c r="AJ259" s="19" t="s">
        <v>1009</v>
      </c>
      <c r="AK259" s="17">
        <v>1</v>
      </c>
      <c r="AL259" s="17">
        <v>2244.0700000000002</v>
      </c>
      <c r="AM259" s="17">
        <v>403.93</v>
      </c>
      <c r="AN259" s="17">
        <v>2648</v>
      </c>
      <c r="BN259"/>
      <c r="BO259"/>
      <c r="BQ259"/>
      <c r="BR259"/>
    </row>
    <row r="260" spans="4:70" ht="15">
      <c r="D260" s="19" t="s">
        <v>714</v>
      </c>
      <c r="E260" s="33">
        <v>1</v>
      </c>
      <c r="AD260" s="19" t="s">
        <v>2380</v>
      </c>
      <c r="AE260" s="33">
        <v>1</v>
      </c>
      <c r="AF260" s="33">
        <v>4262.74</v>
      </c>
      <c r="AG260" s="33">
        <v>767.29</v>
      </c>
      <c r="AH260" s="33">
        <v>5030.03</v>
      </c>
      <c r="AJ260" s="19" t="s">
        <v>1007</v>
      </c>
      <c r="AK260" s="17">
        <v>1</v>
      </c>
      <c r="AL260" s="17">
        <v>3942.12</v>
      </c>
      <c r="AM260" s="17">
        <v>709.58</v>
      </c>
      <c r="AN260" s="17">
        <v>4651.7</v>
      </c>
      <c r="BN260"/>
      <c r="BO260"/>
      <c r="BQ260"/>
      <c r="BR260"/>
    </row>
    <row r="261" spans="4:70" ht="15">
      <c r="D261" s="19" t="s">
        <v>717</v>
      </c>
      <c r="E261" s="33">
        <v>1</v>
      </c>
      <c r="AD261" s="19" t="s">
        <v>2381</v>
      </c>
      <c r="AE261" s="33">
        <v>1</v>
      </c>
      <c r="AF261" s="33">
        <v>200</v>
      </c>
      <c r="AG261" s="33">
        <v>36</v>
      </c>
      <c r="AH261" s="33">
        <v>236</v>
      </c>
      <c r="AJ261" s="19" t="s">
        <v>1005</v>
      </c>
      <c r="AK261" s="17">
        <v>1</v>
      </c>
      <c r="AL261" s="17">
        <v>5200</v>
      </c>
      <c r="AM261" s="17">
        <v>936</v>
      </c>
      <c r="AN261" s="17">
        <v>6136</v>
      </c>
      <c r="BN261"/>
      <c r="BO261"/>
      <c r="BQ261"/>
      <c r="BR261"/>
    </row>
    <row r="262" spans="4:70" ht="15">
      <c r="D262" s="19" t="s">
        <v>746</v>
      </c>
      <c r="E262" s="33">
        <v>1</v>
      </c>
      <c r="AD262" s="19" t="s">
        <v>2382</v>
      </c>
      <c r="AE262" s="33">
        <v>1</v>
      </c>
      <c r="AF262" s="33">
        <v>1350</v>
      </c>
      <c r="AG262" s="33">
        <v>243</v>
      </c>
      <c r="AH262" s="33">
        <v>1593</v>
      </c>
      <c r="AJ262" s="19" t="s">
        <v>1003</v>
      </c>
      <c r="AK262" s="17">
        <v>1</v>
      </c>
      <c r="AL262" s="17">
        <v>1200</v>
      </c>
      <c r="AM262" s="17">
        <v>216</v>
      </c>
      <c r="AN262" s="17">
        <v>1416</v>
      </c>
      <c r="BN262"/>
      <c r="BO262"/>
      <c r="BQ262"/>
      <c r="BR262"/>
    </row>
    <row r="263" spans="4:70" ht="15">
      <c r="D263" s="19" t="s">
        <v>749</v>
      </c>
      <c r="E263" s="33">
        <v>1</v>
      </c>
      <c r="AD263" s="19" t="s">
        <v>2383</v>
      </c>
      <c r="AE263" s="33">
        <v>1</v>
      </c>
      <c r="AF263" s="33">
        <v>1057.33</v>
      </c>
      <c r="AG263" s="33">
        <v>190.32</v>
      </c>
      <c r="AH263" s="33">
        <v>1247.6500000000001</v>
      </c>
      <c r="AJ263" s="19" t="s">
        <v>1001</v>
      </c>
      <c r="AK263" s="17">
        <v>1</v>
      </c>
      <c r="AL263" s="17">
        <v>2000</v>
      </c>
      <c r="AM263" s="17">
        <v>360</v>
      </c>
      <c r="AN263" s="17">
        <v>2360</v>
      </c>
      <c r="BN263"/>
      <c r="BO263"/>
      <c r="BQ263"/>
      <c r="BR263"/>
    </row>
    <row r="264" spans="4:70" ht="15">
      <c r="D264" s="19" t="s">
        <v>719</v>
      </c>
      <c r="E264" s="33">
        <v>1</v>
      </c>
      <c r="AD264" s="19" t="s">
        <v>2384</v>
      </c>
      <c r="AE264" s="33">
        <v>1</v>
      </c>
      <c r="AF264" s="33">
        <v>799.53</v>
      </c>
      <c r="AG264" s="33">
        <v>143.91999999999999</v>
      </c>
      <c r="AH264" s="33">
        <v>943.45</v>
      </c>
      <c r="AJ264" s="19" t="s">
        <v>999</v>
      </c>
      <c r="AK264" s="17">
        <v>1</v>
      </c>
      <c r="AL264" s="17">
        <v>800</v>
      </c>
      <c r="AM264" s="17">
        <v>144</v>
      </c>
      <c r="AN264" s="17">
        <v>944</v>
      </c>
      <c r="BN264"/>
      <c r="BO264"/>
      <c r="BQ264"/>
      <c r="BR264"/>
    </row>
    <row r="265" spans="4:70" ht="15">
      <c r="D265" s="19" t="s">
        <v>722</v>
      </c>
      <c r="E265" s="33">
        <v>1</v>
      </c>
      <c r="AD265" s="19" t="s">
        <v>2385</v>
      </c>
      <c r="AE265" s="33">
        <v>1</v>
      </c>
      <c r="AF265" s="33">
        <v>62.5</v>
      </c>
      <c r="AG265" s="33">
        <v>11.25</v>
      </c>
      <c r="AH265" s="33">
        <v>73.75</v>
      </c>
      <c r="AJ265" s="19" t="s">
        <v>997</v>
      </c>
      <c r="AK265" s="17">
        <v>1</v>
      </c>
      <c r="AL265" s="17">
        <v>800</v>
      </c>
      <c r="AM265" s="17">
        <v>144</v>
      </c>
      <c r="AN265" s="17">
        <v>944</v>
      </c>
      <c r="BN265"/>
      <c r="BO265"/>
      <c r="BQ265"/>
      <c r="BR265"/>
    </row>
    <row r="266" spans="4:70" ht="15">
      <c r="D266" s="19" t="s">
        <v>724</v>
      </c>
      <c r="E266" s="33">
        <v>1</v>
      </c>
      <c r="AD266" s="19" t="s">
        <v>2386</v>
      </c>
      <c r="AE266" s="33">
        <v>1</v>
      </c>
      <c r="AF266" s="33">
        <v>419.83</v>
      </c>
      <c r="AG266" s="33">
        <v>75.569999999999993</v>
      </c>
      <c r="AH266" s="33">
        <v>495.4</v>
      </c>
      <c r="AJ266" s="19" t="s">
        <v>995</v>
      </c>
      <c r="AK266" s="17">
        <v>1</v>
      </c>
      <c r="AL266" s="17">
        <v>800</v>
      </c>
      <c r="AM266" s="17">
        <v>144</v>
      </c>
      <c r="AN266" s="17">
        <v>944</v>
      </c>
      <c r="BN266"/>
      <c r="BO266"/>
      <c r="BQ266"/>
      <c r="BR266"/>
    </row>
    <row r="267" spans="4:70" ht="15">
      <c r="D267" s="19" t="s">
        <v>727</v>
      </c>
      <c r="E267" s="33">
        <v>1</v>
      </c>
      <c r="AD267" s="19" t="s">
        <v>2387</v>
      </c>
      <c r="AE267" s="33">
        <v>1</v>
      </c>
      <c r="AF267" s="33">
        <v>564.83000000000004</v>
      </c>
      <c r="AG267" s="33">
        <v>101.67</v>
      </c>
      <c r="AH267" s="33">
        <v>666.5</v>
      </c>
      <c r="AJ267" s="19" t="s">
        <v>993</v>
      </c>
      <c r="AK267" s="17">
        <v>1</v>
      </c>
      <c r="AL267" s="17">
        <v>1800</v>
      </c>
      <c r="AM267" s="17">
        <v>324</v>
      </c>
      <c r="AN267" s="17">
        <v>2124</v>
      </c>
      <c r="BN267"/>
      <c r="BO267"/>
      <c r="BQ267"/>
      <c r="BR267"/>
    </row>
    <row r="268" spans="4:70" ht="15">
      <c r="D268" s="19" t="s">
        <v>729</v>
      </c>
      <c r="E268" s="33">
        <v>1</v>
      </c>
      <c r="AD268" s="19" t="s">
        <v>2388</v>
      </c>
      <c r="AE268" s="33">
        <v>1</v>
      </c>
      <c r="AF268" s="33">
        <v>1400</v>
      </c>
      <c r="AG268" s="33">
        <v>252</v>
      </c>
      <c r="AH268" s="33">
        <v>1652</v>
      </c>
      <c r="AJ268" s="19" t="s">
        <v>991</v>
      </c>
      <c r="AK268" s="17">
        <v>1</v>
      </c>
      <c r="AL268" s="17">
        <v>100</v>
      </c>
      <c r="AM268" s="17">
        <v>18</v>
      </c>
      <c r="AN268" s="17">
        <v>118</v>
      </c>
      <c r="BN268"/>
      <c r="BO268"/>
      <c r="BQ268"/>
      <c r="BR268"/>
    </row>
    <row r="269" spans="4:70" ht="15">
      <c r="D269" s="19" t="s">
        <v>682</v>
      </c>
      <c r="E269" s="33">
        <v>1</v>
      </c>
      <c r="AD269" s="19" t="s">
        <v>2389</v>
      </c>
      <c r="AE269" s="33">
        <v>1</v>
      </c>
      <c r="AF269" s="33">
        <v>1500</v>
      </c>
      <c r="AG269" s="33">
        <v>270</v>
      </c>
      <c r="AH269" s="33">
        <v>1770</v>
      </c>
      <c r="AJ269" s="19" t="s">
        <v>989</v>
      </c>
      <c r="AK269" s="17">
        <v>1</v>
      </c>
      <c r="AL269" s="17">
        <v>36.61</v>
      </c>
      <c r="AM269" s="17">
        <v>6.59</v>
      </c>
      <c r="AN269" s="17">
        <v>43.2</v>
      </c>
      <c r="BN269"/>
      <c r="BO269"/>
      <c r="BQ269"/>
      <c r="BR269"/>
    </row>
    <row r="270" spans="4:70" ht="15">
      <c r="D270" s="19" t="s">
        <v>751</v>
      </c>
      <c r="E270" s="33">
        <v>1</v>
      </c>
      <c r="AD270" s="19" t="s">
        <v>2390</v>
      </c>
      <c r="AE270" s="33">
        <v>1</v>
      </c>
      <c r="AF270" s="33">
        <v>421.61</v>
      </c>
      <c r="AG270" s="33">
        <v>75.89</v>
      </c>
      <c r="AH270" s="33">
        <v>497.5</v>
      </c>
      <c r="AJ270" s="19" t="s">
        <v>987</v>
      </c>
      <c r="AK270" s="17">
        <v>1</v>
      </c>
      <c r="AL270" s="17">
        <v>52.54</v>
      </c>
      <c r="AM270" s="17">
        <v>9.4600000000000009</v>
      </c>
      <c r="AN270" s="17">
        <v>62</v>
      </c>
      <c r="BN270"/>
      <c r="BO270"/>
      <c r="BQ270"/>
      <c r="BR270"/>
    </row>
    <row r="271" spans="4:70" ht="15">
      <c r="D271" s="19" t="s">
        <v>753</v>
      </c>
      <c r="E271" s="33">
        <v>1</v>
      </c>
      <c r="AD271" s="19" t="s">
        <v>2391</v>
      </c>
      <c r="AE271" s="33">
        <v>1</v>
      </c>
      <c r="AF271" s="33">
        <v>100</v>
      </c>
      <c r="AG271" s="33">
        <v>18</v>
      </c>
      <c r="AH271" s="33">
        <v>118</v>
      </c>
      <c r="AJ271" s="19" t="s">
        <v>985</v>
      </c>
      <c r="AK271" s="17">
        <v>1</v>
      </c>
      <c r="AL271" s="17">
        <v>586.36</v>
      </c>
      <c r="AM271" s="17">
        <v>105.54</v>
      </c>
      <c r="AN271" s="17">
        <v>691.9</v>
      </c>
      <c r="BN271"/>
      <c r="BO271"/>
      <c r="BQ271"/>
      <c r="BR271"/>
    </row>
    <row r="272" spans="4:70" ht="15">
      <c r="D272" s="19" t="s">
        <v>852</v>
      </c>
      <c r="E272" s="33">
        <v>1</v>
      </c>
      <c r="AD272" s="19" t="s">
        <v>2392</v>
      </c>
      <c r="AE272" s="33">
        <v>1</v>
      </c>
      <c r="AF272" s="33">
        <v>52.75</v>
      </c>
      <c r="AG272" s="33">
        <v>9.5</v>
      </c>
      <c r="AH272" s="33">
        <v>62.25</v>
      </c>
      <c r="AJ272" s="19" t="s">
        <v>983</v>
      </c>
      <c r="AK272" s="17">
        <v>1</v>
      </c>
      <c r="AL272" s="17">
        <v>1200.42</v>
      </c>
      <c r="AM272" s="17">
        <v>216.08</v>
      </c>
      <c r="AN272" s="17">
        <v>1416.5</v>
      </c>
      <c r="BN272"/>
      <c r="BO272"/>
      <c r="BQ272"/>
      <c r="BR272"/>
    </row>
    <row r="273" spans="4:70" ht="15">
      <c r="D273" s="19" t="s">
        <v>854</v>
      </c>
      <c r="E273" s="33">
        <v>1</v>
      </c>
      <c r="AD273" s="19" t="s">
        <v>2393</v>
      </c>
      <c r="AE273" s="33">
        <v>1</v>
      </c>
      <c r="AF273" s="33">
        <v>80.510000000000005</v>
      </c>
      <c r="AG273" s="33">
        <v>14.49</v>
      </c>
      <c r="AH273" s="33">
        <v>95</v>
      </c>
      <c r="AJ273" s="19" t="s">
        <v>981</v>
      </c>
      <c r="AK273" s="17">
        <v>1</v>
      </c>
      <c r="AL273" s="17">
        <v>920</v>
      </c>
      <c r="AM273" s="17">
        <v>165.6</v>
      </c>
      <c r="AN273" s="17">
        <v>1085.5999999999999</v>
      </c>
      <c r="BN273"/>
      <c r="BO273"/>
      <c r="BQ273"/>
      <c r="BR273"/>
    </row>
    <row r="274" spans="4:70" ht="15">
      <c r="D274" s="19" t="s">
        <v>856</v>
      </c>
      <c r="E274" s="33">
        <v>1</v>
      </c>
      <c r="AD274" s="19" t="s">
        <v>2394</v>
      </c>
      <c r="AE274" s="33">
        <v>1</v>
      </c>
      <c r="AF274" s="33">
        <v>3083.1</v>
      </c>
      <c r="AG274" s="33">
        <v>554.96</v>
      </c>
      <c r="AH274" s="33">
        <v>3638.06</v>
      </c>
      <c r="AJ274" s="19" t="s">
        <v>979</v>
      </c>
      <c r="AK274" s="17">
        <v>1</v>
      </c>
      <c r="AL274" s="17">
        <v>450</v>
      </c>
      <c r="AM274" s="17">
        <v>81</v>
      </c>
      <c r="AN274" s="17">
        <v>531</v>
      </c>
      <c r="BN274"/>
      <c r="BO274"/>
      <c r="BQ274"/>
      <c r="BR274"/>
    </row>
    <row r="275" spans="4:70" ht="15">
      <c r="D275" s="19" t="s">
        <v>858</v>
      </c>
      <c r="E275" s="33">
        <v>1</v>
      </c>
      <c r="AD275" s="19" t="s">
        <v>2395</v>
      </c>
      <c r="AE275" s="33">
        <v>1</v>
      </c>
      <c r="AF275" s="33">
        <v>2447.71</v>
      </c>
      <c r="AG275" s="33">
        <v>440.59</v>
      </c>
      <c r="AH275" s="33">
        <v>2888.3</v>
      </c>
      <c r="AJ275" s="19" t="s">
        <v>977</v>
      </c>
      <c r="AK275" s="17">
        <v>1</v>
      </c>
      <c r="AL275" s="17">
        <v>54.75</v>
      </c>
      <c r="AM275" s="17">
        <v>9.85</v>
      </c>
      <c r="AN275" s="17">
        <v>64.599999999999994</v>
      </c>
      <c r="BN275"/>
      <c r="BO275"/>
      <c r="BQ275"/>
      <c r="BR275"/>
    </row>
    <row r="276" spans="4:70" ht="15">
      <c r="D276" s="19" t="s">
        <v>860</v>
      </c>
      <c r="E276" s="33">
        <v>1</v>
      </c>
      <c r="AD276" s="19" t="s">
        <v>2396</v>
      </c>
      <c r="AE276" s="33">
        <v>1</v>
      </c>
      <c r="AF276" s="33">
        <v>2750</v>
      </c>
      <c r="AG276" s="33">
        <v>495</v>
      </c>
      <c r="AH276" s="33">
        <v>3245</v>
      </c>
      <c r="AJ276" s="19" t="s">
        <v>975</v>
      </c>
      <c r="AK276" s="17">
        <v>1</v>
      </c>
      <c r="AL276" s="17">
        <v>92.54</v>
      </c>
      <c r="AM276" s="17">
        <v>16.66</v>
      </c>
      <c r="AN276" s="17">
        <v>109.2</v>
      </c>
      <c r="BN276"/>
      <c r="BO276"/>
      <c r="BQ276"/>
      <c r="BR276"/>
    </row>
    <row r="277" spans="4:70" ht="15">
      <c r="D277" s="19" t="s">
        <v>862</v>
      </c>
      <c r="E277" s="33">
        <v>1</v>
      </c>
      <c r="AD277" s="19" t="s">
        <v>2397</v>
      </c>
      <c r="AE277" s="33">
        <v>1</v>
      </c>
      <c r="AF277" s="33">
        <v>50</v>
      </c>
      <c r="AG277" s="33">
        <v>9</v>
      </c>
      <c r="AH277" s="33">
        <v>59</v>
      </c>
      <c r="AJ277" s="19" t="s">
        <v>973</v>
      </c>
      <c r="AK277" s="17">
        <v>1</v>
      </c>
      <c r="AL277" s="17">
        <v>461.61</v>
      </c>
      <c r="AM277" s="17">
        <v>83.09</v>
      </c>
      <c r="AN277" s="17">
        <v>544.70000000000005</v>
      </c>
      <c r="BN277"/>
      <c r="BO277"/>
      <c r="BQ277"/>
      <c r="BR277"/>
    </row>
    <row r="278" spans="4:70" ht="15">
      <c r="D278" s="19" t="s">
        <v>864</v>
      </c>
      <c r="E278" s="33">
        <v>1</v>
      </c>
      <c r="AD278" s="19" t="s">
        <v>2398</v>
      </c>
      <c r="AE278" s="33">
        <v>1</v>
      </c>
      <c r="AF278" s="33">
        <v>57.1</v>
      </c>
      <c r="AG278" s="33">
        <v>10.28</v>
      </c>
      <c r="AH278" s="33">
        <v>67.38</v>
      </c>
      <c r="AJ278" s="19" t="s">
        <v>970</v>
      </c>
      <c r="AK278" s="17">
        <v>1</v>
      </c>
      <c r="AL278" s="17">
        <v>788.9</v>
      </c>
      <c r="AM278" s="17">
        <v>142</v>
      </c>
      <c r="AN278" s="17">
        <v>930.9</v>
      </c>
      <c r="BN278"/>
      <c r="BO278"/>
      <c r="BQ278"/>
      <c r="BR278"/>
    </row>
    <row r="279" spans="4:70" ht="15">
      <c r="D279" s="19" t="s">
        <v>866</v>
      </c>
      <c r="E279" s="33">
        <v>1</v>
      </c>
      <c r="AD279" s="19" t="s">
        <v>2399</v>
      </c>
      <c r="AE279" s="33">
        <v>1</v>
      </c>
      <c r="AF279" s="33">
        <v>10.51</v>
      </c>
      <c r="AG279" s="33">
        <v>1.89</v>
      </c>
      <c r="AH279" s="33">
        <v>12.4</v>
      </c>
      <c r="AJ279" s="19" t="s">
        <v>968</v>
      </c>
      <c r="AK279" s="17">
        <v>1</v>
      </c>
      <c r="AL279" s="17">
        <v>390</v>
      </c>
      <c r="AM279" s="17">
        <v>70.2</v>
      </c>
      <c r="AN279" s="17">
        <v>460.2</v>
      </c>
      <c r="BN279"/>
      <c r="BO279"/>
      <c r="BQ279"/>
      <c r="BR279"/>
    </row>
    <row r="280" spans="4:70" ht="15">
      <c r="D280" s="19" t="s">
        <v>868</v>
      </c>
      <c r="E280" s="33">
        <v>1</v>
      </c>
      <c r="AD280" s="19" t="s">
        <v>2400</v>
      </c>
      <c r="AE280" s="33">
        <v>1</v>
      </c>
      <c r="AF280" s="33">
        <v>51</v>
      </c>
      <c r="AG280" s="33">
        <v>9.18</v>
      </c>
      <c r="AH280" s="33">
        <v>60.18</v>
      </c>
      <c r="AJ280" s="19" t="s">
        <v>966</v>
      </c>
      <c r="AK280" s="17">
        <v>1</v>
      </c>
      <c r="AL280" s="17">
        <v>2961.31</v>
      </c>
      <c r="AM280" s="17">
        <v>533.03</v>
      </c>
      <c r="AN280" s="17">
        <v>3494.34</v>
      </c>
      <c r="BN280"/>
      <c r="BO280"/>
      <c r="BQ280"/>
      <c r="BR280"/>
    </row>
    <row r="281" spans="4:70" ht="15">
      <c r="D281" s="19" t="s">
        <v>870</v>
      </c>
      <c r="E281" s="33">
        <v>1</v>
      </c>
      <c r="AD281" s="19" t="s">
        <v>2401</v>
      </c>
      <c r="AE281" s="33">
        <v>1</v>
      </c>
      <c r="AF281" s="33">
        <v>2</v>
      </c>
      <c r="AG281" s="33">
        <v>0.36</v>
      </c>
      <c r="AH281" s="33">
        <v>2.36</v>
      </c>
      <c r="AJ281" s="19" t="s">
        <v>964</v>
      </c>
      <c r="AK281" s="17">
        <v>1</v>
      </c>
      <c r="AL281" s="17">
        <v>4737.62</v>
      </c>
      <c r="AM281" s="17">
        <v>852.77</v>
      </c>
      <c r="AN281" s="17">
        <v>5590.39</v>
      </c>
      <c r="BN281"/>
      <c r="BO281"/>
      <c r="BQ281"/>
      <c r="BR281"/>
    </row>
    <row r="282" spans="4:70" ht="15">
      <c r="D282" s="19" t="s">
        <v>872</v>
      </c>
      <c r="E282" s="33">
        <v>1</v>
      </c>
      <c r="AD282" s="19" t="s">
        <v>2402</v>
      </c>
      <c r="AE282" s="33">
        <v>1</v>
      </c>
      <c r="AF282" s="33">
        <v>254.11</v>
      </c>
      <c r="AG282" s="33">
        <v>45.74</v>
      </c>
      <c r="AH282" s="33">
        <v>299.85000000000002</v>
      </c>
      <c r="AJ282" s="19" t="s">
        <v>962</v>
      </c>
      <c r="AK282" s="17">
        <v>1</v>
      </c>
      <c r="AL282" s="17">
        <v>83.53</v>
      </c>
      <c r="AM282" s="17">
        <v>15.03</v>
      </c>
      <c r="AN282" s="17">
        <v>98.56</v>
      </c>
      <c r="BN282"/>
      <c r="BO282"/>
      <c r="BQ282"/>
      <c r="BR282"/>
    </row>
    <row r="283" spans="4:70" ht="15">
      <c r="D283" s="19" t="s">
        <v>874</v>
      </c>
      <c r="E283" s="33">
        <v>1</v>
      </c>
      <c r="AD283" s="19" t="s">
        <v>2403</v>
      </c>
      <c r="AE283" s="33">
        <v>1</v>
      </c>
      <c r="AF283" s="33">
        <v>231.61</v>
      </c>
      <c r="AG283" s="33">
        <v>41.69</v>
      </c>
      <c r="AH283" s="33">
        <v>273.3</v>
      </c>
      <c r="AJ283" s="19" t="s">
        <v>960</v>
      </c>
      <c r="AK283" s="17">
        <v>1</v>
      </c>
      <c r="AL283" s="17">
        <v>1594.55</v>
      </c>
      <c r="AM283" s="17">
        <v>287.02</v>
      </c>
      <c r="AN283" s="17">
        <v>1881.57</v>
      </c>
      <c r="BN283"/>
      <c r="BO283"/>
      <c r="BQ283"/>
      <c r="BR283"/>
    </row>
    <row r="284" spans="4:70" ht="15">
      <c r="D284" s="19" t="s">
        <v>876</v>
      </c>
      <c r="E284" s="33">
        <v>1</v>
      </c>
      <c r="AD284" s="19" t="s">
        <v>2404</v>
      </c>
      <c r="AE284" s="33">
        <v>1</v>
      </c>
      <c r="AF284" s="33">
        <v>107.5</v>
      </c>
      <c r="AG284" s="33">
        <v>19.350000000000001</v>
      </c>
      <c r="AH284" s="33">
        <v>126.85</v>
      </c>
      <c r="AJ284" s="19" t="s">
        <v>958</v>
      </c>
      <c r="AK284" s="17">
        <v>1</v>
      </c>
      <c r="AL284" s="17">
        <v>2551.0300000000002</v>
      </c>
      <c r="AM284" s="17">
        <v>459.18</v>
      </c>
      <c r="AN284" s="17">
        <v>3010.21</v>
      </c>
      <c r="BN284"/>
      <c r="BO284"/>
      <c r="BQ284"/>
      <c r="BR284"/>
    </row>
    <row r="285" spans="4:70" ht="15">
      <c r="D285" s="19" t="s">
        <v>878</v>
      </c>
      <c r="E285" s="33">
        <v>1</v>
      </c>
      <c r="AD285" s="19" t="s">
        <v>2405</v>
      </c>
      <c r="AE285" s="33">
        <v>1</v>
      </c>
      <c r="AF285" s="33">
        <v>9</v>
      </c>
      <c r="AG285" s="33">
        <v>1.62</v>
      </c>
      <c r="AH285" s="33">
        <v>10.62</v>
      </c>
      <c r="AJ285" s="19" t="s">
        <v>956</v>
      </c>
      <c r="AK285" s="17">
        <v>1</v>
      </c>
      <c r="AL285" s="17">
        <v>210</v>
      </c>
      <c r="AM285" s="17">
        <v>37.799999999999997</v>
      </c>
      <c r="AN285" s="17">
        <v>247.8</v>
      </c>
      <c r="BN285"/>
      <c r="BO285"/>
      <c r="BQ285"/>
      <c r="BR285"/>
    </row>
    <row r="286" spans="4:70" ht="15">
      <c r="D286" s="19" t="s">
        <v>880</v>
      </c>
      <c r="E286" s="33">
        <v>1</v>
      </c>
      <c r="AD286" s="19" t="s">
        <v>2406</v>
      </c>
      <c r="AE286" s="33">
        <v>1</v>
      </c>
      <c r="AF286" s="33">
        <v>41</v>
      </c>
      <c r="AG286" s="33">
        <v>7.38</v>
      </c>
      <c r="AH286" s="33">
        <v>48.38</v>
      </c>
      <c r="AJ286" s="19" t="s">
        <v>954</v>
      </c>
      <c r="AK286" s="17">
        <v>1</v>
      </c>
      <c r="AL286" s="17">
        <v>44.97</v>
      </c>
      <c r="AM286" s="17">
        <v>8.1</v>
      </c>
      <c r="AN286" s="17">
        <v>53.07</v>
      </c>
      <c r="BN286"/>
      <c r="BO286"/>
      <c r="BQ286"/>
      <c r="BR286"/>
    </row>
    <row r="287" spans="4:70" ht="15">
      <c r="D287" s="19" t="s">
        <v>882</v>
      </c>
      <c r="E287" s="33">
        <v>1</v>
      </c>
      <c r="AD287" s="19" t="s">
        <v>2407</v>
      </c>
      <c r="AE287" s="33">
        <v>2</v>
      </c>
      <c r="AF287" s="33">
        <v>2430</v>
      </c>
      <c r="AG287" s="33">
        <v>437.4</v>
      </c>
      <c r="AH287" s="33">
        <v>2867.4</v>
      </c>
      <c r="AJ287" s="19" t="s">
        <v>939</v>
      </c>
      <c r="AK287" s="17">
        <v>1</v>
      </c>
      <c r="AL287" s="17">
        <v>56.69</v>
      </c>
      <c r="AM287" s="17">
        <v>10.210000000000001</v>
      </c>
      <c r="AN287" s="17">
        <v>66.900000000000006</v>
      </c>
      <c r="BN287"/>
      <c r="BO287"/>
      <c r="BQ287"/>
      <c r="BR287"/>
    </row>
    <row r="288" spans="4:70" ht="15">
      <c r="D288" s="19" t="s">
        <v>884</v>
      </c>
      <c r="E288" s="33">
        <v>1</v>
      </c>
      <c r="AD288" s="19" t="s">
        <v>2408</v>
      </c>
      <c r="AE288" s="33">
        <v>1</v>
      </c>
      <c r="AF288" s="33">
        <v>300</v>
      </c>
      <c r="AG288" s="33">
        <v>54</v>
      </c>
      <c r="AH288" s="33">
        <v>354</v>
      </c>
      <c r="AJ288" s="19" t="s">
        <v>937</v>
      </c>
      <c r="AK288" s="17">
        <v>1</v>
      </c>
      <c r="AL288" s="17">
        <v>95</v>
      </c>
      <c r="AM288" s="17">
        <v>17.100000000000001</v>
      </c>
      <c r="AN288" s="17">
        <v>112.1</v>
      </c>
      <c r="BN288"/>
      <c r="BO288"/>
      <c r="BQ288"/>
      <c r="BR288"/>
    </row>
    <row r="289" spans="4:70" ht="15">
      <c r="D289" s="19" t="s">
        <v>886</v>
      </c>
      <c r="E289" s="33">
        <v>1</v>
      </c>
      <c r="AD289" s="19" t="s">
        <v>2409</v>
      </c>
      <c r="AE289" s="33">
        <v>3</v>
      </c>
      <c r="AF289" s="33">
        <v>1230</v>
      </c>
      <c r="AG289" s="33">
        <v>221.4</v>
      </c>
      <c r="AH289" s="33">
        <v>1451.4</v>
      </c>
      <c r="AJ289" s="19" t="s">
        <v>935</v>
      </c>
      <c r="AK289" s="17">
        <v>1</v>
      </c>
      <c r="AL289" s="17">
        <v>7.5</v>
      </c>
      <c r="AM289" s="17">
        <v>1.35</v>
      </c>
      <c r="AN289" s="17">
        <v>8.85</v>
      </c>
      <c r="BN289"/>
      <c r="BO289"/>
      <c r="BQ289"/>
      <c r="BR289"/>
    </row>
    <row r="290" spans="4:70" ht="15">
      <c r="D290" s="19" t="s">
        <v>888</v>
      </c>
      <c r="E290" s="33">
        <v>1</v>
      </c>
      <c r="AD290" s="19" t="s">
        <v>2410</v>
      </c>
      <c r="AE290" s="33">
        <v>1</v>
      </c>
      <c r="AF290" s="33">
        <v>203.35</v>
      </c>
      <c r="AG290" s="33">
        <v>36.6</v>
      </c>
      <c r="AH290" s="33">
        <v>239.95</v>
      </c>
      <c r="AJ290" s="19" t="s">
        <v>933</v>
      </c>
      <c r="AK290" s="17">
        <v>1</v>
      </c>
      <c r="AL290" s="17">
        <v>364.66</v>
      </c>
      <c r="AM290" s="17">
        <v>65.64</v>
      </c>
      <c r="AN290" s="17">
        <v>430.3</v>
      </c>
      <c r="BN290"/>
      <c r="BO290"/>
      <c r="BQ290"/>
      <c r="BR290"/>
    </row>
    <row r="291" spans="4:70" ht="15">
      <c r="D291" s="19" t="s">
        <v>890</v>
      </c>
      <c r="E291" s="33">
        <v>1</v>
      </c>
      <c r="AD291" s="19" t="s">
        <v>2411</v>
      </c>
      <c r="AE291" s="33">
        <v>1</v>
      </c>
      <c r="AF291" s="33">
        <v>289.11</v>
      </c>
      <c r="AG291" s="33">
        <v>52.04</v>
      </c>
      <c r="AH291" s="33">
        <v>341.15</v>
      </c>
      <c r="AJ291" s="19" t="s">
        <v>931</v>
      </c>
      <c r="AK291" s="17">
        <v>1</v>
      </c>
      <c r="AL291" s="17">
        <v>933.64</v>
      </c>
      <c r="AM291" s="17">
        <v>168.06</v>
      </c>
      <c r="AN291" s="17">
        <v>1101.7</v>
      </c>
      <c r="BN291"/>
      <c r="BO291"/>
      <c r="BQ291"/>
      <c r="BR291"/>
    </row>
    <row r="292" spans="4:70" ht="15">
      <c r="D292" s="19" t="s">
        <v>892</v>
      </c>
      <c r="E292" s="33">
        <v>1</v>
      </c>
      <c r="AD292" s="19" t="s">
        <v>2412</v>
      </c>
      <c r="AE292" s="33">
        <v>1</v>
      </c>
      <c r="AF292" s="33">
        <v>51.78</v>
      </c>
      <c r="AG292" s="33">
        <v>9.32</v>
      </c>
      <c r="AH292" s="33">
        <v>61.1</v>
      </c>
      <c r="AJ292" s="19" t="s">
        <v>929</v>
      </c>
      <c r="AK292" s="17">
        <v>1</v>
      </c>
      <c r="AL292" s="17">
        <v>300</v>
      </c>
      <c r="AM292" s="17">
        <v>54</v>
      </c>
      <c r="AN292" s="17">
        <v>354</v>
      </c>
      <c r="BN292"/>
      <c r="BO292"/>
      <c r="BQ292"/>
      <c r="BR292"/>
    </row>
    <row r="293" spans="4:70" ht="15">
      <c r="D293" s="19" t="s">
        <v>894</v>
      </c>
      <c r="E293" s="33">
        <v>1</v>
      </c>
      <c r="AD293" s="19" t="s">
        <v>2413</v>
      </c>
      <c r="AE293" s="33">
        <v>1</v>
      </c>
      <c r="AF293" s="33">
        <v>42.2</v>
      </c>
      <c r="AG293" s="33">
        <v>7.6</v>
      </c>
      <c r="AH293" s="33">
        <v>49.8</v>
      </c>
      <c r="AJ293" s="19" t="s">
        <v>850</v>
      </c>
      <c r="AK293" s="17">
        <v>1</v>
      </c>
      <c r="AL293" s="17">
        <v>32.200000000000003</v>
      </c>
      <c r="AM293" s="17">
        <v>5.8</v>
      </c>
      <c r="AN293" s="17">
        <v>38</v>
      </c>
      <c r="BN293"/>
      <c r="BO293"/>
      <c r="BQ293"/>
      <c r="BR293"/>
    </row>
    <row r="294" spans="4:70" ht="15">
      <c r="D294" s="19" t="s">
        <v>896</v>
      </c>
      <c r="E294" s="33">
        <v>1</v>
      </c>
      <c r="AD294" s="19" t="s">
        <v>2414</v>
      </c>
      <c r="AE294" s="33">
        <v>1</v>
      </c>
      <c r="AF294" s="33">
        <v>284.75</v>
      </c>
      <c r="AG294" s="33">
        <v>51.26</v>
      </c>
      <c r="AH294" s="33">
        <v>336.01</v>
      </c>
      <c r="AJ294" s="19" t="s">
        <v>847</v>
      </c>
      <c r="AK294" s="17">
        <v>1</v>
      </c>
      <c r="AL294" s="17">
        <v>52.29</v>
      </c>
      <c r="AM294" s="17">
        <v>9.41</v>
      </c>
      <c r="AN294" s="17">
        <v>61.7</v>
      </c>
      <c r="BN294"/>
      <c r="BO294"/>
      <c r="BQ294"/>
      <c r="BR294"/>
    </row>
    <row r="295" spans="4:70" ht="15">
      <c r="D295" s="19" t="s">
        <v>898</v>
      </c>
      <c r="E295" s="33">
        <v>1</v>
      </c>
      <c r="AD295" s="19" t="s">
        <v>2415</v>
      </c>
      <c r="AE295" s="33">
        <v>1</v>
      </c>
      <c r="AF295" s="33">
        <v>367.8</v>
      </c>
      <c r="AG295" s="33">
        <v>66.2</v>
      </c>
      <c r="AH295" s="33">
        <v>434</v>
      </c>
      <c r="AJ295" s="19" t="s">
        <v>845</v>
      </c>
      <c r="AK295" s="17">
        <v>1</v>
      </c>
      <c r="AL295" s="17">
        <v>20.5</v>
      </c>
      <c r="AM295" s="17">
        <v>3.69</v>
      </c>
      <c r="AN295" s="17">
        <v>24.19</v>
      </c>
      <c r="BN295"/>
      <c r="BO295"/>
      <c r="BQ295"/>
      <c r="BR295"/>
    </row>
    <row r="296" spans="4:70" ht="15">
      <c r="D296" s="19" t="s">
        <v>755</v>
      </c>
      <c r="E296" s="33">
        <v>1</v>
      </c>
      <c r="AD296" s="19" t="s">
        <v>2416</v>
      </c>
      <c r="AE296" s="33">
        <v>1</v>
      </c>
      <c r="AF296" s="33">
        <v>1608.36</v>
      </c>
      <c r="AG296" s="33">
        <v>289.5</v>
      </c>
      <c r="AH296" s="33">
        <v>1897.86</v>
      </c>
      <c r="AJ296" s="19" t="s">
        <v>843</v>
      </c>
      <c r="AK296" s="17">
        <v>1</v>
      </c>
      <c r="AL296" s="17">
        <v>22</v>
      </c>
      <c r="AM296" s="17">
        <v>3.96</v>
      </c>
      <c r="AN296" s="17">
        <v>25.96</v>
      </c>
      <c r="BN296"/>
      <c r="BO296"/>
      <c r="BQ296"/>
      <c r="BR296"/>
    </row>
    <row r="297" spans="4:70" ht="15">
      <c r="D297" s="19" t="s">
        <v>758</v>
      </c>
      <c r="E297" s="33">
        <v>1</v>
      </c>
      <c r="AD297" s="19" t="s">
        <v>2417</v>
      </c>
      <c r="AE297" s="33">
        <v>1</v>
      </c>
      <c r="AF297" s="33">
        <v>2630.88</v>
      </c>
      <c r="AG297" s="33">
        <v>473.56</v>
      </c>
      <c r="AH297" s="33">
        <v>3104.44</v>
      </c>
      <c r="AJ297" s="19" t="s">
        <v>841</v>
      </c>
      <c r="AK297" s="17">
        <v>1</v>
      </c>
      <c r="AL297" s="17">
        <v>1468.68</v>
      </c>
      <c r="AM297" s="17">
        <v>264.36</v>
      </c>
      <c r="AN297" s="17">
        <v>1733.04</v>
      </c>
      <c r="BN297"/>
      <c r="BO297"/>
      <c r="BQ297"/>
      <c r="BR297"/>
    </row>
    <row r="298" spans="4:70" ht="15">
      <c r="D298" s="19" t="s">
        <v>760</v>
      </c>
      <c r="E298" s="33">
        <v>1</v>
      </c>
      <c r="AD298" s="19" t="s">
        <v>2418</v>
      </c>
      <c r="AE298" s="33">
        <v>1</v>
      </c>
      <c r="AF298" s="33">
        <v>1.5</v>
      </c>
      <c r="AG298" s="33">
        <v>0.27</v>
      </c>
      <c r="AH298" s="33">
        <v>1.77</v>
      </c>
      <c r="AJ298" s="19" t="s">
        <v>839</v>
      </c>
      <c r="AK298" s="17">
        <v>1</v>
      </c>
      <c r="AL298" s="17">
        <v>2382.31</v>
      </c>
      <c r="AM298" s="17">
        <v>428.81</v>
      </c>
      <c r="AN298" s="17">
        <v>2811.12</v>
      </c>
      <c r="BN298"/>
      <c r="BO298"/>
      <c r="BQ298"/>
      <c r="BR298"/>
    </row>
    <row r="299" spans="4:70" ht="15">
      <c r="D299" s="19" t="s">
        <v>762</v>
      </c>
      <c r="E299" s="33">
        <v>1</v>
      </c>
      <c r="AD299" s="19" t="s">
        <v>2419</v>
      </c>
      <c r="AE299" s="33">
        <v>1</v>
      </c>
      <c r="AF299" s="33">
        <v>881.36</v>
      </c>
      <c r="AG299" s="33">
        <v>158.63999999999999</v>
      </c>
      <c r="AH299" s="33">
        <v>1040</v>
      </c>
      <c r="AJ299" s="19" t="s">
        <v>837</v>
      </c>
      <c r="AK299" s="17">
        <v>1</v>
      </c>
      <c r="AL299" s="17">
        <v>1400</v>
      </c>
      <c r="AM299" s="17">
        <v>252</v>
      </c>
      <c r="AN299" s="17">
        <v>1652</v>
      </c>
      <c r="BN299"/>
      <c r="BO299"/>
      <c r="BQ299"/>
      <c r="BR299"/>
    </row>
    <row r="300" spans="4:70" ht="15">
      <c r="D300" s="19" t="s">
        <v>764</v>
      </c>
      <c r="E300" s="33">
        <v>1</v>
      </c>
      <c r="AD300" s="19" t="s">
        <v>2420</v>
      </c>
      <c r="AE300" s="33">
        <v>1</v>
      </c>
      <c r="AF300" s="33">
        <v>836.27</v>
      </c>
      <c r="AG300" s="33">
        <v>150.53</v>
      </c>
      <c r="AH300" s="33">
        <v>986.8</v>
      </c>
      <c r="AJ300" s="19" t="s">
        <v>835</v>
      </c>
      <c r="AK300" s="17">
        <v>1</v>
      </c>
      <c r="AL300" s="17">
        <v>1</v>
      </c>
      <c r="AM300" s="17">
        <v>0.18</v>
      </c>
      <c r="AN300" s="17">
        <v>1.18</v>
      </c>
      <c r="BN300"/>
      <c r="BO300"/>
      <c r="BQ300"/>
      <c r="BR300"/>
    </row>
    <row r="301" spans="4:70" ht="15">
      <c r="D301" s="19" t="s">
        <v>766</v>
      </c>
      <c r="E301" s="33">
        <v>1</v>
      </c>
      <c r="AD301" s="19" t="s">
        <v>2421</v>
      </c>
      <c r="AE301" s="33">
        <v>1</v>
      </c>
      <c r="AF301" s="33">
        <v>203.35</v>
      </c>
      <c r="AG301" s="33">
        <v>36.6</v>
      </c>
      <c r="AH301" s="33">
        <v>239.95</v>
      </c>
      <c r="AJ301" s="19" t="s">
        <v>833</v>
      </c>
      <c r="AK301" s="17">
        <v>1</v>
      </c>
      <c r="AL301" s="17">
        <v>1467.44</v>
      </c>
      <c r="AM301" s="17">
        <v>264.14</v>
      </c>
      <c r="AN301" s="17">
        <v>1731.58</v>
      </c>
      <c r="BN301"/>
      <c r="BO301"/>
      <c r="BQ301"/>
      <c r="BR301"/>
    </row>
    <row r="302" spans="4:70" ht="15">
      <c r="D302" s="19" t="s">
        <v>768</v>
      </c>
      <c r="E302" s="33">
        <v>1</v>
      </c>
      <c r="AD302" s="19" t="s">
        <v>2422</v>
      </c>
      <c r="AE302" s="33">
        <v>1</v>
      </c>
      <c r="AF302" s="33">
        <v>289.11</v>
      </c>
      <c r="AG302" s="33">
        <v>52.04</v>
      </c>
      <c r="AH302" s="33">
        <v>341.15</v>
      </c>
      <c r="AJ302" s="19" t="s">
        <v>831</v>
      </c>
      <c r="AK302" s="17">
        <v>1</v>
      </c>
      <c r="AL302" s="17">
        <v>2372.2399999999998</v>
      </c>
      <c r="AM302" s="17">
        <v>427</v>
      </c>
      <c r="AN302" s="17">
        <v>2799.24</v>
      </c>
      <c r="BN302"/>
      <c r="BO302"/>
      <c r="BQ302"/>
      <c r="BR302"/>
    </row>
    <row r="303" spans="4:70" ht="15">
      <c r="D303" s="19" t="s">
        <v>770</v>
      </c>
      <c r="E303" s="33">
        <v>1</v>
      </c>
      <c r="AD303" s="19" t="s">
        <v>2423</v>
      </c>
      <c r="AE303" s="33">
        <v>1</v>
      </c>
      <c r="AF303" s="33">
        <v>8.4700000000000006</v>
      </c>
      <c r="AG303" s="33">
        <v>1.52</v>
      </c>
      <c r="AH303" s="33">
        <v>9.99</v>
      </c>
      <c r="AJ303" s="19" t="s">
        <v>829</v>
      </c>
      <c r="AK303" s="17">
        <v>1</v>
      </c>
      <c r="AL303" s="17">
        <v>1400</v>
      </c>
      <c r="AM303" s="17">
        <v>252</v>
      </c>
      <c r="AN303" s="17">
        <v>1652</v>
      </c>
      <c r="BN303"/>
      <c r="BO303"/>
      <c r="BQ303"/>
      <c r="BR303"/>
    </row>
    <row r="304" spans="4:70" ht="15">
      <c r="D304" s="19" t="s">
        <v>772</v>
      </c>
      <c r="E304" s="33">
        <v>1</v>
      </c>
      <c r="AD304" s="19" t="s">
        <v>2424</v>
      </c>
      <c r="AE304" s="33">
        <v>1</v>
      </c>
      <c r="AF304" s="33">
        <v>35.64</v>
      </c>
      <c r="AG304" s="33">
        <v>6.42</v>
      </c>
      <c r="AH304" s="33">
        <v>42.06</v>
      </c>
      <c r="AJ304" s="19" t="s">
        <v>827</v>
      </c>
      <c r="AK304" s="17">
        <v>1</v>
      </c>
      <c r="AL304" s="17">
        <v>1</v>
      </c>
      <c r="AM304" s="17">
        <v>0.18</v>
      </c>
      <c r="AN304" s="17">
        <v>1.18</v>
      </c>
      <c r="BN304"/>
      <c r="BO304"/>
      <c r="BQ304"/>
      <c r="BR304"/>
    </row>
    <row r="305" spans="4:70" ht="15">
      <c r="D305" s="19" t="s">
        <v>774</v>
      </c>
      <c r="E305" s="33">
        <v>1</v>
      </c>
      <c r="AD305" s="19" t="s">
        <v>2425</v>
      </c>
      <c r="AE305" s="33">
        <v>1</v>
      </c>
      <c r="AF305" s="33">
        <v>30.19</v>
      </c>
      <c r="AG305" s="33">
        <v>5.43</v>
      </c>
      <c r="AH305" s="33">
        <v>35.619999999999997</v>
      </c>
      <c r="AJ305" s="19" t="s">
        <v>825</v>
      </c>
      <c r="AK305" s="17">
        <v>1</v>
      </c>
      <c r="AL305" s="17">
        <v>1669.75</v>
      </c>
      <c r="AM305" s="17">
        <v>300.55</v>
      </c>
      <c r="AN305" s="17">
        <v>1970.3</v>
      </c>
      <c r="BN305"/>
      <c r="BO305"/>
      <c r="BQ305"/>
      <c r="BR305"/>
    </row>
    <row r="306" spans="4:70" ht="15">
      <c r="D306" s="19" t="s">
        <v>776</v>
      </c>
      <c r="E306" s="33">
        <v>1</v>
      </c>
      <c r="AD306" s="19" t="s">
        <v>2426</v>
      </c>
      <c r="AE306" s="33">
        <v>1</v>
      </c>
      <c r="AF306" s="33">
        <v>207.63</v>
      </c>
      <c r="AG306" s="33">
        <v>37.369999999999997</v>
      </c>
      <c r="AH306" s="33">
        <v>245</v>
      </c>
      <c r="AJ306" s="19" t="s">
        <v>823</v>
      </c>
      <c r="AK306" s="17">
        <v>1</v>
      </c>
      <c r="AL306" s="17">
        <v>3384.15</v>
      </c>
      <c r="AM306" s="17">
        <v>609.15</v>
      </c>
      <c r="AN306" s="17">
        <v>3993.3</v>
      </c>
      <c r="BN306"/>
      <c r="BO306"/>
      <c r="BQ306"/>
      <c r="BR306"/>
    </row>
    <row r="307" spans="4:70" ht="15">
      <c r="D307" s="19" t="s">
        <v>778</v>
      </c>
      <c r="E307" s="33">
        <v>1</v>
      </c>
      <c r="AD307" s="19" t="s">
        <v>2427</v>
      </c>
      <c r="AE307" s="33">
        <v>1</v>
      </c>
      <c r="AF307" s="33">
        <v>739.86</v>
      </c>
      <c r="AG307" s="33">
        <v>133.16999999999999</v>
      </c>
      <c r="AH307" s="33">
        <v>873.03</v>
      </c>
      <c r="AJ307" s="19" t="s">
        <v>821</v>
      </c>
      <c r="AK307" s="17">
        <v>1</v>
      </c>
      <c r="AL307" s="17">
        <v>1000</v>
      </c>
      <c r="AM307" s="17">
        <v>180</v>
      </c>
      <c r="AN307" s="17">
        <v>1180</v>
      </c>
      <c r="BN307"/>
      <c r="BO307"/>
      <c r="BQ307"/>
      <c r="BR307"/>
    </row>
    <row r="308" spans="4:70" ht="15">
      <c r="D308" s="19" t="s">
        <v>780</v>
      </c>
      <c r="E308" s="33">
        <v>1</v>
      </c>
      <c r="AD308" s="19" t="s">
        <v>2428</v>
      </c>
      <c r="AE308" s="33">
        <v>1</v>
      </c>
      <c r="AF308" s="33">
        <v>873.19</v>
      </c>
      <c r="AG308" s="33">
        <v>157.16999999999999</v>
      </c>
      <c r="AH308" s="33">
        <v>1030.3599999999999</v>
      </c>
      <c r="AJ308" s="19" t="s">
        <v>819</v>
      </c>
      <c r="AK308" s="17">
        <v>1</v>
      </c>
      <c r="AL308" s="17">
        <v>600</v>
      </c>
      <c r="AM308" s="17">
        <v>108</v>
      </c>
      <c r="AN308" s="17">
        <v>708</v>
      </c>
      <c r="BN308"/>
      <c r="BO308"/>
      <c r="BQ308"/>
      <c r="BR308"/>
    </row>
    <row r="309" spans="4:70" ht="15">
      <c r="D309" s="19" t="s">
        <v>782</v>
      </c>
      <c r="E309" s="33">
        <v>1</v>
      </c>
      <c r="AD309" s="19" t="s">
        <v>2429</v>
      </c>
      <c r="AE309" s="33">
        <v>1</v>
      </c>
      <c r="AF309" s="33">
        <v>12</v>
      </c>
      <c r="AG309" s="33">
        <v>2.16</v>
      </c>
      <c r="AH309" s="33">
        <v>14.16</v>
      </c>
      <c r="AJ309" s="19" t="s">
        <v>817</v>
      </c>
      <c r="AK309" s="17">
        <v>1</v>
      </c>
      <c r="AL309" s="17">
        <v>18.05</v>
      </c>
      <c r="AM309" s="17">
        <v>3.25</v>
      </c>
      <c r="AN309" s="17">
        <v>21.3</v>
      </c>
      <c r="BN309"/>
      <c r="BO309"/>
      <c r="BQ309"/>
      <c r="BR309"/>
    </row>
    <row r="310" spans="4:70" ht="15">
      <c r="D310" s="19" t="s">
        <v>784</v>
      </c>
      <c r="E310" s="33">
        <v>1</v>
      </c>
      <c r="AD310" s="19" t="s">
        <v>2430</v>
      </c>
      <c r="AE310" s="33">
        <v>1</v>
      </c>
      <c r="AF310" s="33">
        <v>207.63</v>
      </c>
      <c r="AG310" s="33">
        <v>37.369999999999997</v>
      </c>
      <c r="AH310" s="33">
        <v>245</v>
      </c>
      <c r="AJ310" s="19" t="s">
        <v>815</v>
      </c>
      <c r="AK310" s="17">
        <v>1</v>
      </c>
      <c r="AL310" s="17">
        <v>25.34</v>
      </c>
      <c r="AM310" s="17">
        <v>4.5599999999999996</v>
      </c>
      <c r="AN310" s="17">
        <v>29.9</v>
      </c>
      <c r="BN310"/>
      <c r="BO310"/>
      <c r="BQ310"/>
      <c r="BR310"/>
    </row>
    <row r="311" spans="4:70" ht="15">
      <c r="D311" s="19" t="s">
        <v>787</v>
      </c>
      <c r="E311" s="33">
        <v>1</v>
      </c>
      <c r="AD311" s="19" t="s">
        <v>2431</v>
      </c>
      <c r="AE311" s="33">
        <v>1</v>
      </c>
      <c r="AF311" s="33">
        <v>739.86</v>
      </c>
      <c r="AG311" s="33">
        <v>133.16999999999999</v>
      </c>
      <c r="AH311" s="33">
        <v>873.03</v>
      </c>
      <c r="AJ311" s="19" t="s">
        <v>813</v>
      </c>
      <c r="AK311" s="17">
        <v>1</v>
      </c>
      <c r="AL311" s="17">
        <v>3246.44</v>
      </c>
      <c r="AM311" s="17">
        <v>584.36</v>
      </c>
      <c r="AN311" s="17">
        <v>3830.8</v>
      </c>
      <c r="BN311"/>
      <c r="BO311"/>
      <c r="BQ311"/>
      <c r="BR311"/>
    </row>
    <row r="312" spans="4:70" ht="15">
      <c r="D312" s="19" t="s">
        <v>789</v>
      </c>
      <c r="E312" s="33">
        <v>1</v>
      </c>
      <c r="AD312" s="19" t="s">
        <v>2432</v>
      </c>
      <c r="AE312" s="33">
        <v>1</v>
      </c>
      <c r="AF312" s="33">
        <v>873.19</v>
      </c>
      <c r="AG312" s="33">
        <v>157.16999999999999</v>
      </c>
      <c r="AH312" s="33">
        <v>1030.3599999999999</v>
      </c>
      <c r="AJ312" s="19" t="s">
        <v>811</v>
      </c>
      <c r="AK312" s="17">
        <v>1</v>
      </c>
      <c r="AL312" s="17">
        <v>5158.5600000000004</v>
      </c>
      <c r="AM312" s="17">
        <v>928.54</v>
      </c>
      <c r="AN312" s="17">
        <v>6087.1</v>
      </c>
      <c r="BN312"/>
      <c r="BO312"/>
      <c r="BQ312"/>
      <c r="BR312"/>
    </row>
    <row r="313" spans="4:70" ht="15">
      <c r="D313" s="19" t="s">
        <v>791</v>
      </c>
      <c r="E313" s="33">
        <v>1</v>
      </c>
      <c r="AD313" s="19" t="s">
        <v>2433</v>
      </c>
      <c r="AE313" s="33">
        <v>1</v>
      </c>
      <c r="AF313" s="33">
        <v>12</v>
      </c>
      <c r="AG313" s="33">
        <v>2.16</v>
      </c>
      <c r="AH313" s="33">
        <v>14.16</v>
      </c>
      <c r="AJ313" s="19" t="s">
        <v>809</v>
      </c>
      <c r="AK313" s="17">
        <v>1</v>
      </c>
      <c r="AL313" s="17">
        <v>2200</v>
      </c>
      <c r="AM313" s="17">
        <v>396</v>
      </c>
      <c r="AN313" s="17">
        <v>2596</v>
      </c>
      <c r="BN313"/>
      <c r="BO313"/>
      <c r="BQ313"/>
      <c r="BR313"/>
    </row>
    <row r="314" spans="4:70" ht="15">
      <c r="D314" s="19" t="s">
        <v>793</v>
      </c>
      <c r="E314" s="33">
        <v>1</v>
      </c>
      <c r="AD314" s="19" t="s">
        <v>2434</v>
      </c>
      <c r="AE314" s="33">
        <v>3</v>
      </c>
      <c r="AF314" s="33">
        <v>1230</v>
      </c>
      <c r="AG314" s="33">
        <v>221.4</v>
      </c>
      <c r="AH314" s="33">
        <v>1451.4</v>
      </c>
      <c r="AJ314" s="19" t="s">
        <v>807</v>
      </c>
      <c r="AK314" s="17">
        <v>1</v>
      </c>
      <c r="AL314" s="17">
        <v>800</v>
      </c>
      <c r="AM314" s="17">
        <v>144</v>
      </c>
      <c r="AN314" s="17">
        <v>944</v>
      </c>
      <c r="BN314"/>
      <c r="BO314"/>
      <c r="BQ314"/>
      <c r="BR314"/>
    </row>
    <row r="315" spans="4:70" ht="15">
      <c r="D315" s="19" t="s">
        <v>795</v>
      </c>
      <c r="E315" s="33">
        <v>1</v>
      </c>
      <c r="AD315" s="19" t="s">
        <v>2542</v>
      </c>
      <c r="AE315" s="33">
        <v>1</v>
      </c>
      <c r="AF315" s="33">
        <v>16.96</v>
      </c>
      <c r="AG315" s="33">
        <v>3.05</v>
      </c>
      <c r="AH315" s="33">
        <v>20.010000000000002</v>
      </c>
      <c r="AJ315" s="19" t="s">
        <v>805</v>
      </c>
      <c r="AK315" s="17">
        <v>1</v>
      </c>
      <c r="AL315" s="17">
        <v>800</v>
      </c>
      <c r="AM315" s="17">
        <v>144</v>
      </c>
      <c r="AN315" s="17">
        <v>944</v>
      </c>
      <c r="BN315"/>
      <c r="BO315"/>
      <c r="BQ315"/>
      <c r="BR315"/>
    </row>
    <row r="316" spans="4:70" ht="15">
      <c r="D316" s="19" t="s">
        <v>797</v>
      </c>
      <c r="E316" s="33">
        <v>1</v>
      </c>
      <c r="AD316" s="19" t="s">
        <v>2543</v>
      </c>
      <c r="AE316" s="33">
        <v>1</v>
      </c>
      <c r="AF316" s="33">
        <v>9.83</v>
      </c>
      <c r="AG316" s="33">
        <v>1.77</v>
      </c>
      <c r="AH316" s="33">
        <v>11.6</v>
      </c>
      <c r="AJ316" s="19" t="s">
        <v>803</v>
      </c>
      <c r="AK316" s="17">
        <v>1</v>
      </c>
      <c r="AL316" s="17">
        <v>800</v>
      </c>
      <c r="AM316" s="17">
        <v>144</v>
      </c>
      <c r="AN316" s="17">
        <v>944</v>
      </c>
      <c r="BN316"/>
      <c r="BO316"/>
      <c r="BQ316"/>
      <c r="BR316"/>
    </row>
    <row r="317" spans="4:70" ht="15">
      <c r="D317" s="19" t="s">
        <v>799</v>
      </c>
      <c r="E317" s="33">
        <v>1</v>
      </c>
      <c r="AD317" s="19" t="s">
        <v>2544</v>
      </c>
      <c r="AE317" s="33">
        <v>1</v>
      </c>
      <c r="AF317" s="33">
        <v>9.5</v>
      </c>
      <c r="AG317" s="33">
        <v>1.71</v>
      </c>
      <c r="AH317" s="33">
        <v>11.21</v>
      </c>
      <c r="AJ317" s="19" t="s">
        <v>801</v>
      </c>
      <c r="AK317" s="17">
        <v>1</v>
      </c>
      <c r="AL317" s="17">
        <v>2400</v>
      </c>
      <c r="AM317" s="17">
        <v>432</v>
      </c>
      <c r="AN317" s="17">
        <v>2832</v>
      </c>
      <c r="BN317"/>
      <c r="BO317"/>
      <c r="BQ317"/>
      <c r="BR317"/>
    </row>
    <row r="318" spans="4:70" ht="15">
      <c r="D318" s="19" t="s">
        <v>801</v>
      </c>
      <c r="E318" s="33">
        <v>1</v>
      </c>
      <c r="AD318" s="19" t="s">
        <v>2545</v>
      </c>
      <c r="AE318" s="33">
        <v>1</v>
      </c>
      <c r="AF318" s="33">
        <v>24.66</v>
      </c>
      <c r="AG318" s="33">
        <v>4.4400000000000004</v>
      </c>
      <c r="AH318" s="33">
        <v>29.1</v>
      </c>
      <c r="AJ318" s="19" t="s">
        <v>799</v>
      </c>
      <c r="AK318" s="17">
        <v>1</v>
      </c>
      <c r="AL318" s="17">
        <v>1</v>
      </c>
      <c r="AM318" s="17">
        <v>0.18</v>
      </c>
      <c r="AN318" s="17">
        <v>1.18</v>
      </c>
      <c r="BN318"/>
      <c r="BO318"/>
      <c r="BQ318"/>
      <c r="BR318"/>
    </row>
    <row r="319" spans="4:70" ht="15">
      <c r="D319" s="19" t="s">
        <v>803</v>
      </c>
      <c r="E319" s="33">
        <v>1</v>
      </c>
      <c r="AD319" s="19" t="s">
        <v>2546</v>
      </c>
      <c r="AE319" s="33">
        <v>1</v>
      </c>
      <c r="AF319" s="33">
        <v>5.59</v>
      </c>
      <c r="AG319" s="33">
        <v>1.01</v>
      </c>
      <c r="AH319" s="33">
        <v>6.6</v>
      </c>
      <c r="AJ319" s="19" t="s">
        <v>797</v>
      </c>
      <c r="AK319" s="17">
        <v>1</v>
      </c>
      <c r="AL319" s="17">
        <v>288.14</v>
      </c>
      <c r="AM319" s="17">
        <v>51.86</v>
      </c>
      <c r="AN319" s="17">
        <v>340</v>
      </c>
      <c r="BN319"/>
      <c r="BO319"/>
      <c r="BQ319"/>
      <c r="BR319"/>
    </row>
    <row r="320" spans="4:70" ht="15">
      <c r="D320" s="19" t="s">
        <v>805</v>
      </c>
      <c r="E320" s="33">
        <v>1</v>
      </c>
      <c r="AD320" s="19" t="s">
        <v>2547</v>
      </c>
      <c r="AE320" s="33">
        <v>1</v>
      </c>
      <c r="AF320" s="33">
        <v>21.6</v>
      </c>
      <c r="AG320" s="33">
        <v>3.89</v>
      </c>
      <c r="AH320" s="33">
        <v>25.49</v>
      </c>
      <c r="AJ320" s="19" t="s">
        <v>795</v>
      </c>
      <c r="AK320" s="17">
        <v>1</v>
      </c>
      <c r="AL320" s="17">
        <v>3754.15</v>
      </c>
      <c r="AM320" s="17">
        <v>675.75</v>
      </c>
      <c r="AN320" s="17">
        <v>4429.8999999999996</v>
      </c>
      <c r="BN320"/>
      <c r="BO320"/>
      <c r="BQ320"/>
      <c r="BR320"/>
    </row>
    <row r="321" spans="4:70" ht="15">
      <c r="D321" s="19" t="s">
        <v>807</v>
      </c>
      <c r="E321" s="33">
        <v>1</v>
      </c>
      <c r="AD321" s="19" t="s">
        <v>2548</v>
      </c>
      <c r="AE321" s="33">
        <v>1</v>
      </c>
      <c r="AF321" s="33">
        <v>3632.8</v>
      </c>
      <c r="AG321" s="33">
        <v>653.9</v>
      </c>
      <c r="AH321" s="33">
        <v>4286.7</v>
      </c>
      <c r="AJ321" s="19" t="s">
        <v>793</v>
      </c>
      <c r="AK321" s="17">
        <v>1</v>
      </c>
      <c r="AL321" s="17">
        <v>1400</v>
      </c>
      <c r="AM321" s="17">
        <v>252</v>
      </c>
      <c r="AN321" s="17">
        <v>1652</v>
      </c>
      <c r="BN321"/>
      <c r="BO321"/>
      <c r="BQ321"/>
      <c r="BR321"/>
    </row>
    <row r="322" spans="4:70" ht="15">
      <c r="D322" s="19" t="s">
        <v>809</v>
      </c>
      <c r="E322" s="33">
        <v>1</v>
      </c>
      <c r="AD322" s="19" t="s">
        <v>2549</v>
      </c>
      <c r="AE322" s="33">
        <v>1</v>
      </c>
      <c r="AF322" s="33">
        <v>4465.08</v>
      </c>
      <c r="AG322" s="33">
        <v>803.71</v>
      </c>
      <c r="AH322" s="33">
        <v>5268.79</v>
      </c>
      <c r="AJ322" s="19" t="s">
        <v>791</v>
      </c>
      <c r="AK322" s="17">
        <v>1</v>
      </c>
      <c r="AL322" s="17">
        <v>1400</v>
      </c>
      <c r="AM322" s="17">
        <v>252</v>
      </c>
      <c r="AN322" s="17">
        <v>1652</v>
      </c>
      <c r="BN322"/>
      <c r="BO322"/>
      <c r="BQ322"/>
      <c r="BR322"/>
    </row>
    <row r="323" spans="4:70" ht="15">
      <c r="D323" s="19" t="s">
        <v>811</v>
      </c>
      <c r="E323" s="33">
        <v>1</v>
      </c>
      <c r="AD323" s="19" t="s">
        <v>2550</v>
      </c>
      <c r="AE323" s="33">
        <v>1</v>
      </c>
      <c r="AF323" s="33">
        <v>1140</v>
      </c>
      <c r="AG323" s="33">
        <v>205.2</v>
      </c>
      <c r="AH323" s="33">
        <v>1345.2</v>
      </c>
      <c r="AJ323" s="19" t="s">
        <v>789</v>
      </c>
      <c r="AK323" s="17">
        <v>1</v>
      </c>
      <c r="AL323" s="17">
        <v>1</v>
      </c>
      <c r="AM323" s="17">
        <v>0.18</v>
      </c>
      <c r="AN323" s="17">
        <v>1.18</v>
      </c>
      <c r="BN323"/>
      <c r="BO323"/>
      <c r="BQ323"/>
      <c r="BR323"/>
    </row>
    <row r="324" spans="4:70" ht="15">
      <c r="D324" s="19" t="s">
        <v>813</v>
      </c>
      <c r="E324" s="33">
        <v>1</v>
      </c>
      <c r="AD324" s="19" t="s">
        <v>2551</v>
      </c>
      <c r="AE324" s="33">
        <v>1</v>
      </c>
      <c r="AF324" s="33">
        <v>1500</v>
      </c>
      <c r="AG324" s="33">
        <v>270</v>
      </c>
      <c r="AH324" s="33">
        <v>1770</v>
      </c>
      <c r="AJ324" s="19" t="s">
        <v>787</v>
      </c>
      <c r="AK324" s="17">
        <v>1</v>
      </c>
      <c r="AL324" s="17">
        <v>59.07</v>
      </c>
      <c r="AM324" s="17">
        <v>10.63</v>
      </c>
      <c r="AN324" s="17">
        <v>69.7</v>
      </c>
      <c r="BN324"/>
      <c r="BO324"/>
      <c r="BQ324"/>
      <c r="BR324"/>
    </row>
    <row r="325" spans="4:70" ht="15">
      <c r="D325" s="19" t="s">
        <v>815</v>
      </c>
      <c r="E325" s="33">
        <v>1</v>
      </c>
      <c r="AD325" s="19" t="s">
        <v>2552</v>
      </c>
      <c r="AE325" s="33">
        <v>1</v>
      </c>
      <c r="AF325" s="33">
        <v>847.46</v>
      </c>
      <c r="AG325" s="33">
        <v>152.54</v>
      </c>
      <c r="AH325" s="33">
        <v>1000</v>
      </c>
      <c r="AJ325" s="19" t="s">
        <v>784</v>
      </c>
      <c r="AK325" s="17">
        <v>1</v>
      </c>
      <c r="AL325" s="17">
        <v>97.37</v>
      </c>
      <c r="AM325" s="17">
        <v>17.53</v>
      </c>
      <c r="AN325" s="17">
        <v>114.9</v>
      </c>
      <c r="BN325"/>
      <c r="BO325"/>
      <c r="BQ325"/>
      <c r="BR325"/>
    </row>
    <row r="326" spans="4:70" ht="15">
      <c r="D326" s="19" t="s">
        <v>817</v>
      </c>
      <c r="E326" s="33">
        <v>1</v>
      </c>
      <c r="AD326" s="19" t="s">
        <v>2553</v>
      </c>
      <c r="AE326" s="33">
        <v>1</v>
      </c>
      <c r="AF326" s="33">
        <v>600</v>
      </c>
      <c r="AG326" s="33">
        <v>108</v>
      </c>
      <c r="AH326" s="33">
        <v>708</v>
      </c>
      <c r="AJ326" s="19" t="s">
        <v>782</v>
      </c>
      <c r="AK326" s="17">
        <v>1</v>
      </c>
      <c r="AL326" s="17">
        <v>33.22</v>
      </c>
      <c r="AM326" s="17">
        <v>5.98</v>
      </c>
      <c r="AN326" s="17">
        <v>39.200000000000003</v>
      </c>
      <c r="BN326"/>
      <c r="BO326"/>
      <c r="BQ326"/>
      <c r="BR326"/>
    </row>
    <row r="327" spans="4:70" ht="15">
      <c r="D327" s="19" t="s">
        <v>905</v>
      </c>
      <c r="E327" s="33">
        <v>1</v>
      </c>
      <c r="AD327" s="19" t="s">
        <v>2554</v>
      </c>
      <c r="AE327" s="33">
        <v>1</v>
      </c>
      <c r="AF327" s="33">
        <v>50</v>
      </c>
      <c r="AG327" s="33">
        <v>9</v>
      </c>
      <c r="AH327" s="33">
        <v>59</v>
      </c>
      <c r="AJ327" s="19" t="s">
        <v>780</v>
      </c>
      <c r="AK327" s="17">
        <v>1</v>
      </c>
      <c r="AL327" s="17">
        <v>54.75</v>
      </c>
      <c r="AM327" s="17">
        <v>9.85</v>
      </c>
      <c r="AN327" s="17">
        <v>64.599999999999994</v>
      </c>
      <c r="BN327"/>
      <c r="BO327"/>
      <c r="BQ327"/>
      <c r="BR327"/>
    </row>
    <row r="328" spans="4:70" ht="15">
      <c r="D328" s="19" t="s">
        <v>900</v>
      </c>
      <c r="E328" s="33">
        <v>1</v>
      </c>
      <c r="AD328" s="19" t="s">
        <v>2555</v>
      </c>
      <c r="AE328" s="33">
        <v>1</v>
      </c>
      <c r="AF328" s="33">
        <v>290.48</v>
      </c>
      <c r="AG328" s="33">
        <v>52.29</v>
      </c>
      <c r="AH328" s="33">
        <v>342.77</v>
      </c>
      <c r="AJ328" s="19" t="s">
        <v>778</v>
      </c>
      <c r="AK328" s="17">
        <v>1</v>
      </c>
      <c r="AL328" s="17">
        <v>66.69</v>
      </c>
      <c r="AM328" s="17">
        <v>12.01</v>
      </c>
      <c r="AN328" s="17">
        <v>78.7</v>
      </c>
      <c r="BN328"/>
      <c r="BO328"/>
      <c r="BQ328"/>
      <c r="BR328"/>
    </row>
    <row r="329" spans="4:70" ht="15">
      <c r="D329" s="19" t="s">
        <v>903</v>
      </c>
      <c r="E329" s="33">
        <v>1</v>
      </c>
      <c r="AD329" s="19" t="s">
        <v>2556</v>
      </c>
      <c r="AE329" s="33">
        <v>1</v>
      </c>
      <c r="AF329" s="33">
        <v>287.83</v>
      </c>
      <c r="AG329" s="33">
        <v>51.81</v>
      </c>
      <c r="AH329" s="33">
        <v>339.64</v>
      </c>
      <c r="AJ329" s="19" t="s">
        <v>776</v>
      </c>
      <c r="AK329" s="17">
        <v>1</v>
      </c>
      <c r="AL329" s="17">
        <v>106.95</v>
      </c>
      <c r="AM329" s="17">
        <v>19.25</v>
      </c>
      <c r="AN329" s="17">
        <v>126.2</v>
      </c>
      <c r="BN329"/>
      <c r="BO329"/>
      <c r="BQ329"/>
      <c r="BR329"/>
    </row>
    <row r="330" spans="4:70" ht="15">
      <c r="D330" s="19" t="s">
        <v>907</v>
      </c>
      <c r="E330" s="33">
        <v>1</v>
      </c>
      <c r="AD330" s="19" t="s">
        <v>2557</v>
      </c>
      <c r="AE330" s="33">
        <v>1</v>
      </c>
      <c r="AF330" s="33">
        <v>33.5</v>
      </c>
      <c r="AG330" s="33">
        <v>6.03</v>
      </c>
      <c r="AH330" s="33">
        <v>39.53</v>
      </c>
      <c r="AJ330" s="19" t="s">
        <v>774</v>
      </c>
      <c r="AK330" s="17">
        <v>1</v>
      </c>
      <c r="AL330" s="17">
        <v>289.32</v>
      </c>
      <c r="AM330" s="17">
        <v>52.08</v>
      </c>
      <c r="AN330" s="17">
        <v>341.4</v>
      </c>
      <c r="BN330"/>
      <c r="BO330"/>
      <c r="BQ330"/>
      <c r="BR330"/>
    </row>
    <row r="331" spans="4:70" ht="15">
      <c r="D331" s="19" t="s">
        <v>909</v>
      </c>
      <c r="E331" s="33">
        <v>1</v>
      </c>
      <c r="AD331" s="19" t="s">
        <v>2558</v>
      </c>
      <c r="AE331" s="33">
        <v>1</v>
      </c>
      <c r="AF331" s="33">
        <v>24.91</v>
      </c>
      <c r="AG331" s="33">
        <v>4.4800000000000004</v>
      </c>
      <c r="AH331" s="33">
        <v>29.39</v>
      </c>
      <c r="AJ331" s="19" t="s">
        <v>772</v>
      </c>
      <c r="AK331" s="17">
        <v>1</v>
      </c>
      <c r="AL331" s="17">
        <v>400.93</v>
      </c>
      <c r="AM331" s="17">
        <v>72.17</v>
      </c>
      <c r="AN331" s="17">
        <v>473.1</v>
      </c>
      <c r="BN331"/>
      <c r="BO331"/>
      <c r="BQ331"/>
      <c r="BR331"/>
    </row>
    <row r="332" spans="4:70" ht="15">
      <c r="D332" s="19" t="s">
        <v>911</v>
      </c>
      <c r="E332" s="33">
        <v>1</v>
      </c>
      <c r="AD332" s="19" t="s">
        <v>2559</v>
      </c>
      <c r="AE332" s="33">
        <v>1</v>
      </c>
      <c r="AF332" s="33">
        <v>6.19</v>
      </c>
      <c r="AG332" s="33">
        <v>1.1100000000000001</v>
      </c>
      <c r="AH332" s="33">
        <v>7.3</v>
      </c>
      <c r="AJ332" s="19" t="s">
        <v>770</v>
      </c>
      <c r="AK332" s="17">
        <v>1</v>
      </c>
      <c r="AL332" s="17">
        <v>5</v>
      </c>
      <c r="AM332" s="17">
        <v>0.9</v>
      </c>
      <c r="AN332" s="17">
        <v>5.9</v>
      </c>
      <c r="BN332"/>
      <c r="BO332"/>
      <c r="BQ332"/>
      <c r="BR332"/>
    </row>
    <row r="333" spans="4:70" ht="15">
      <c r="D333" s="19" t="s">
        <v>913</v>
      </c>
      <c r="E333" s="33">
        <v>1</v>
      </c>
      <c r="AD333" s="19" t="s">
        <v>2560</v>
      </c>
      <c r="AE333" s="33">
        <v>1</v>
      </c>
      <c r="AF333" s="33">
        <v>20.5</v>
      </c>
      <c r="AG333" s="33">
        <v>3.69</v>
      </c>
      <c r="AH333" s="33">
        <v>24.19</v>
      </c>
      <c r="AJ333" s="19" t="s">
        <v>768</v>
      </c>
      <c r="AK333" s="17">
        <v>1</v>
      </c>
      <c r="AL333" s="17">
        <v>187.63</v>
      </c>
      <c r="AM333" s="17">
        <v>33.770000000000003</v>
      </c>
      <c r="AN333" s="17">
        <v>221.4</v>
      </c>
      <c r="BN333"/>
      <c r="BO333"/>
      <c r="BQ333"/>
      <c r="BR333"/>
    </row>
    <row r="334" spans="4:70" ht="15">
      <c r="D334" s="19" t="s">
        <v>819</v>
      </c>
      <c r="E334" s="33">
        <v>1</v>
      </c>
      <c r="AD334" s="19" t="s">
        <v>2561</v>
      </c>
      <c r="AE334" s="33">
        <v>1</v>
      </c>
      <c r="AF334" s="33">
        <v>567.12</v>
      </c>
      <c r="AG334" s="33">
        <v>102.08</v>
      </c>
      <c r="AH334" s="33">
        <v>669.2</v>
      </c>
      <c r="AJ334" s="19" t="s">
        <v>766</v>
      </c>
      <c r="AK334" s="17">
        <v>1</v>
      </c>
      <c r="AL334" s="17">
        <v>170</v>
      </c>
      <c r="AM334" s="17">
        <v>30.6</v>
      </c>
      <c r="AN334" s="17">
        <v>200.6</v>
      </c>
      <c r="BN334"/>
      <c r="BO334"/>
      <c r="BQ334"/>
      <c r="BR334"/>
    </row>
    <row r="335" spans="4:70" ht="15">
      <c r="D335" s="19" t="s">
        <v>821</v>
      </c>
      <c r="E335" s="33">
        <v>1</v>
      </c>
      <c r="AD335" s="19" t="s">
        <v>2562</v>
      </c>
      <c r="AE335" s="33">
        <v>1</v>
      </c>
      <c r="AF335" s="33">
        <v>801.02</v>
      </c>
      <c r="AG335" s="33">
        <v>144.18</v>
      </c>
      <c r="AH335" s="33">
        <v>945.2</v>
      </c>
      <c r="AJ335" s="19" t="s">
        <v>764</v>
      </c>
      <c r="AK335" s="17">
        <v>1</v>
      </c>
      <c r="AL335" s="17">
        <v>5640.85</v>
      </c>
      <c r="AM335" s="17">
        <v>1015.35</v>
      </c>
      <c r="AN335" s="17">
        <v>6656.2</v>
      </c>
      <c r="BN335"/>
      <c r="BO335"/>
      <c r="BQ335"/>
      <c r="BR335"/>
    </row>
    <row r="336" spans="4:70" ht="15">
      <c r="D336" s="19" t="s">
        <v>823</v>
      </c>
      <c r="E336" s="33">
        <v>1</v>
      </c>
      <c r="AD336" s="19" t="s">
        <v>2563</v>
      </c>
      <c r="AE336" s="33">
        <v>1</v>
      </c>
      <c r="AF336" s="33">
        <v>140.19</v>
      </c>
      <c r="AG336" s="33">
        <v>25.23</v>
      </c>
      <c r="AH336" s="33">
        <v>165.42</v>
      </c>
      <c r="AJ336" s="19" t="s">
        <v>762</v>
      </c>
      <c r="AK336" s="17">
        <v>1</v>
      </c>
      <c r="AL336" s="17">
        <v>6508.39</v>
      </c>
      <c r="AM336" s="17">
        <v>1171.51</v>
      </c>
      <c r="AN336" s="17">
        <v>7679.9</v>
      </c>
      <c r="BN336"/>
      <c r="BO336"/>
      <c r="BQ336"/>
      <c r="BR336"/>
    </row>
    <row r="337" spans="4:70" ht="15">
      <c r="D337" s="19" t="s">
        <v>825</v>
      </c>
      <c r="E337" s="33">
        <v>1</v>
      </c>
      <c r="AD337" s="19" t="s">
        <v>2564</v>
      </c>
      <c r="AE337" s="33">
        <v>1</v>
      </c>
      <c r="AF337" s="33">
        <v>72.459999999999994</v>
      </c>
      <c r="AG337" s="33">
        <v>13.04</v>
      </c>
      <c r="AH337" s="33">
        <v>85.5</v>
      </c>
      <c r="AJ337" s="19" t="s">
        <v>760</v>
      </c>
      <c r="AK337" s="17">
        <v>1</v>
      </c>
      <c r="AL337" s="17">
        <v>100</v>
      </c>
      <c r="AM337" s="17">
        <v>18</v>
      </c>
      <c r="AN337" s="17">
        <v>118</v>
      </c>
      <c r="BN337"/>
      <c r="BO337"/>
      <c r="BQ337"/>
      <c r="BR337"/>
    </row>
    <row r="338" spans="4:70" ht="15">
      <c r="D338" s="19" t="s">
        <v>915</v>
      </c>
      <c r="E338" s="33">
        <v>1</v>
      </c>
      <c r="AD338" s="19" t="s">
        <v>2565</v>
      </c>
      <c r="AE338" s="33">
        <v>1</v>
      </c>
      <c r="AF338" s="33">
        <v>93.5</v>
      </c>
      <c r="AG338" s="33">
        <v>16.829999999999998</v>
      </c>
      <c r="AH338" s="33">
        <v>110.33</v>
      </c>
      <c r="AJ338" s="19" t="s">
        <v>758</v>
      </c>
      <c r="AK338" s="17">
        <v>1</v>
      </c>
      <c r="AL338" s="17">
        <v>100</v>
      </c>
      <c r="AM338" s="17">
        <v>18</v>
      </c>
      <c r="AN338" s="17">
        <v>118</v>
      </c>
      <c r="BN338"/>
      <c r="BO338"/>
      <c r="BQ338"/>
      <c r="BR338"/>
    </row>
    <row r="339" spans="4:70" ht="15">
      <c r="D339" s="19" t="s">
        <v>918</v>
      </c>
      <c r="E339" s="33">
        <v>1</v>
      </c>
      <c r="AD339" s="19" t="s">
        <v>2566</v>
      </c>
      <c r="AE339" s="33">
        <v>1</v>
      </c>
      <c r="AF339" s="33">
        <v>170.76</v>
      </c>
      <c r="AG339" s="33">
        <v>30.74</v>
      </c>
      <c r="AH339" s="33">
        <v>201.5</v>
      </c>
      <c r="AJ339" s="19" t="s">
        <v>755</v>
      </c>
      <c r="AK339" s="17">
        <v>1</v>
      </c>
      <c r="AL339" s="17">
        <v>25.35</v>
      </c>
      <c r="AM339" s="17">
        <v>4.5599999999999996</v>
      </c>
      <c r="AN339" s="17">
        <v>29.91</v>
      </c>
      <c r="BN339"/>
      <c r="BO339"/>
      <c r="BQ339"/>
      <c r="BR339"/>
    </row>
    <row r="340" spans="4:70" ht="15">
      <c r="D340" s="19" t="s">
        <v>827</v>
      </c>
      <c r="E340" s="33">
        <v>1</v>
      </c>
      <c r="AD340" s="19" t="s">
        <v>2567</v>
      </c>
      <c r="AE340" s="33">
        <v>1</v>
      </c>
      <c r="AF340" s="33">
        <v>239.92</v>
      </c>
      <c r="AG340" s="33">
        <v>43.19</v>
      </c>
      <c r="AH340" s="33">
        <v>283.11</v>
      </c>
      <c r="AJ340" s="19" t="s">
        <v>729</v>
      </c>
      <c r="AK340" s="17">
        <v>1</v>
      </c>
      <c r="AL340" s="17">
        <v>177.63</v>
      </c>
      <c r="AM340" s="17">
        <v>31.97</v>
      </c>
      <c r="AN340" s="17">
        <v>209.6</v>
      </c>
      <c r="BN340"/>
      <c r="BO340"/>
      <c r="BQ340"/>
      <c r="BR340"/>
    </row>
    <row r="341" spans="4:70" ht="15">
      <c r="D341" s="19" t="s">
        <v>829</v>
      </c>
      <c r="E341" s="33">
        <v>1</v>
      </c>
      <c r="AD341" s="19" t="s">
        <v>2568</v>
      </c>
      <c r="AE341" s="33">
        <v>1</v>
      </c>
      <c r="AF341" s="33">
        <v>6.5</v>
      </c>
      <c r="AG341" s="33">
        <v>1.17</v>
      </c>
      <c r="AH341" s="33">
        <v>7.67</v>
      </c>
      <c r="AJ341" s="19" t="s">
        <v>727</v>
      </c>
      <c r="AK341" s="17">
        <v>1</v>
      </c>
      <c r="AL341" s="17">
        <v>276.52999999999997</v>
      </c>
      <c r="AM341" s="17">
        <v>49.77</v>
      </c>
      <c r="AN341" s="17">
        <v>326.3</v>
      </c>
      <c r="BN341"/>
      <c r="BO341"/>
      <c r="BQ341"/>
      <c r="BR341"/>
    </row>
    <row r="342" spans="4:70" ht="15">
      <c r="D342" s="19" t="s">
        <v>831</v>
      </c>
      <c r="E342" s="33">
        <v>1</v>
      </c>
      <c r="AD342" s="19" t="s">
        <v>2569</v>
      </c>
      <c r="AE342" s="33">
        <v>1</v>
      </c>
      <c r="AF342" s="33">
        <v>501.7</v>
      </c>
      <c r="AG342" s="33">
        <v>90.31</v>
      </c>
      <c r="AH342" s="33">
        <v>592.01</v>
      </c>
      <c r="AJ342" s="19" t="s">
        <v>724</v>
      </c>
      <c r="AK342" s="17">
        <v>1</v>
      </c>
      <c r="AL342" s="17">
        <v>2</v>
      </c>
      <c r="AM342" s="17">
        <v>0.36</v>
      </c>
      <c r="AN342" s="17">
        <v>2.36</v>
      </c>
      <c r="BN342"/>
      <c r="BO342"/>
      <c r="BQ342"/>
      <c r="BR342"/>
    </row>
    <row r="343" spans="4:70" ht="15">
      <c r="D343" s="19" t="s">
        <v>833</v>
      </c>
      <c r="E343" s="33">
        <v>1</v>
      </c>
      <c r="AD343" s="19" t="s">
        <v>2570</v>
      </c>
      <c r="AE343" s="33">
        <v>1</v>
      </c>
      <c r="AF343" s="33">
        <v>727.91</v>
      </c>
      <c r="AG343" s="33">
        <v>131.02000000000001</v>
      </c>
      <c r="AH343" s="33">
        <v>858.93</v>
      </c>
      <c r="AJ343" s="19" t="s">
        <v>722</v>
      </c>
      <c r="AK343" s="17">
        <v>1</v>
      </c>
      <c r="AL343" s="17">
        <v>777.2</v>
      </c>
      <c r="AM343" s="17">
        <v>139.9</v>
      </c>
      <c r="AN343" s="17">
        <v>917.1</v>
      </c>
      <c r="BN343"/>
      <c r="BO343"/>
      <c r="BQ343"/>
      <c r="BR343"/>
    </row>
    <row r="344" spans="4:70" ht="15">
      <c r="D344" s="19" t="s">
        <v>835</v>
      </c>
      <c r="E344" s="33">
        <v>1</v>
      </c>
      <c r="AD344" s="19" t="s">
        <v>2571</v>
      </c>
      <c r="AE344" s="33">
        <v>1</v>
      </c>
      <c r="AF344" s="33">
        <v>200</v>
      </c>
      <c r="AG344" s="33">
        <v>36</v>
      </c>
      <c r="AH344" s="33">
        <v>236</v>
      </c>
      <c r="AJ344" s="19" t="s">
        <v>719</v>
      </c>
      <c r="AK344" s="17">
        <v>1</v>
      </c>
      <c r="AL344" s="17">
        <v>967.12</v>
      </c>
      <c r="AM344" s="17">
        <v>174.08</v>
      </c>
      <c r="AN344" s="17">
        <v>1141.2</v>
      </c>
      <c r="BN344"/>
      <c r="BO344"/>
      <c r="BQ344"/>
      <c r="BR344"/>
    </row>
    <row r="345" spans="4:70" ht="15">
      <c r="D345" s="19" t="s">
        <v>837</v>
      </c>
      <c r="E345" s="33">
        <v>1</v>
      </c>
      <c r="AD345" s="19" t="s">
        <v>2572</v>
      </c>
      <c r="AE345" s="33">
        <v>1</v>
      </c>
      <c r="AF345" s="33">
        <v>350</v>
      </c>
      <c r="AG345" s="33">
        <v>63</v>
      </c>
      <c r="AH345" s="33">
        <v>413</v>
      </c>
      <c r="AJ345" s="19" t="s">
        <v>717</v>
      </c>
      <c r="AK345" s="17">
        <v>1</v>
      </c>
      <c r="AL345" s="17">
        <v>159.29</v>
      </c>
      <c r="AM345" s="17">
        <v>28.67</v>
      </c>
      <c r="AN345" s="17">
        <v>187.96</v>
      </c>
      <c r="BN345"/>
      <c r="BO345"/>
      <c r="BQ345"/>
      <c r="BR345"/>
    </row>
    <row r="346" spans="4:70" ht="15">
      <c r="D346" s="19" t="s">
        <v>839</v>
      </c>
      <c r="E346" s="33">
        <v>1</v>
      </c>
      <c r="AD346" s="19" t="s">
        <v>2573</v>
      </c>
      <c r="AE346" s="33">
        <v>1</v>
      </c>
      <c r="AF346" s="33">
        <v>5.08</v>
      </c>
      <c r="AG346" s="33">
        <v>0.91</v>
      </c>
      <c r="AH346" s="33">
        <v>5.99</v>
      </c>
      <c r="AJ346" s="19" t="s">
        <v>714</v>
      </c>
      <c r="AK346" s="17">
        <v>1</v>
      </c>
      <c r="AL346" s="17">
        <v>274.92</v>
      </c>
      <c r="AM346" s="17">
        <v>49.48</v>
      </c>
      <c r="AN346" s="17">
        <v>324.39999999999998</v>
      </c>
      <c r="BN346"/>
      <c r="BO346"/>
      <c r="BQ346"/>
      <c r="BR346"/>
    </row>
    <row r="347" spans="4:70" ht="15">
      <c r="D347" s="19" t="s">
        <v>841</v>
      </c>
      <c r="E347" s="33">
        <v>1</v>
      </c>
      <c r="AD347" s="19" t="s">
        <v>2574</v>
      </c>
      <c r="AE347" s="33">
        <v>1</v>
      </c>
      <c r="AF347" s="33">
        <v>5.25</v>
      </c>
      <c r="AG347" s="33">
        <v>0.95</v>
      </c>
      <c r="AH347" s="33">
        <v>6.2</v>
      </c>
      <c r="AJ347" s="19" t="s">
        <v>712</v>
      </c>
      <c r="AK347" s="17">
        <v>1</v>
      </c>
      <c r="AL347" s="17">
        <v>27.46</v>
      </c>
      <c r="AM347" s="17">
        <v>4.9400000000000004</v>
      </c>
      <c r="AN347" s="17">
        <v>32.4</v>
      </c>
      <c r="BN347"/>
      <c r="BO347"/>
      <c r="BQ347"/>
      <c r="BR347"/>
    </row>
    <row r="348" spans="4:70" ht="15">
      <c r="D348" s="19" t="s">
        <v>843</v>
      </c>
      <c r="E348" s="33">
        <v>1</v>
      </c>
      <c r="AD348" s="19" t="s">
        <v>2575</v>
      </c>
      <c r="AE348" s="33">
        <v>1</v>
      </c>
      <c r="AF348" s="33">
        <v>33.5</v>
      </c>
      <c r="AG348" s="33">
        <v>6.03</v>
      </c>
      <c r="AH348" s="33">
        <v>39.53</v>
      </c>
      <c r="AJ348" s="19" t="s">
        <v>710</v>
      </c>
      <c r="AK348" s="17">
        <v>1</v>
      </c>
      <c r="AL348" s="17">
        <v>41.1</v>
      </c>
      <c r="AM348" s="17">
        <v>7.4</v>
      </c>
      <c r="AN348" s="17">
        <v>48.5</v>
      </c>
      <c r="BN348"/>
      <c r="BO348"/>
      <c r="BQ348"/>
      <c r="BR348"/>
    </row>
    <row r="349" spans="4:70" ht="15">
      <c r="D349" s="19" t="s">
        <v>845</v>
      </c>
      <c r="E349" s="33">
        <v>1</v>
      </c>
      <c r="AD349" s="19" t="s">
        <v>2576</v>
      </c>
      <c r="AE349" s="33">
        <v>1</v>
      </c>
      <c r="AF349" s="33">
        <v>43</v>
      </c>
      <c r="AG349" s="33">
        <v>7.74</v>
      </c>
      <c r="AH349" s="33">
        <v>50.74</v>
      </c>
      <c r="AJ349" s="19" t="s">
        <v>708</v>
      </c>
      <c r="AK349" s="17">
        <v>1</v>
      </c>
      <c r="AL349" s="17">
        <v>6.36</v>
      </c>
      <c r="AM349" s="17">
        <v>1.1399999999999999</v>
      </c>
      <c r="AN349" s="17">
        <v>7.5</v>
      </c>
      <c r="BN349"/>
      <c r="BO349"/>
      <c r="BQ349"/>
      <c r="BR349"/>
    </row>
    <row r="350" spans="4:70" ht="15">
      <c r="D350" s="19" t="s">
        <v>847</v>
      </c>
      <c r="E350" s="33">
        <v>1</v>
      </c>
      <c r="AD350" s="19" t="s">
        <v>2577</v>
      </c>
      <c r="AE350" s="33">
        <v>1</v>
      </c>
      <c r="AF350" s="33">
        <v>43.98</v>
      </c>
      <c r="AG350" s="33">
        <v>7.92</v>
      </c>
      <c r="AH350" s="33">
        <v>51.9</v>
      </c>
      <c r="AJ350" s="19" t="s">
        <v>706</v>
      </c>
      <c r="AK350" s="17">
        <v>1</v>
      </c>
      <c r="AL350" s="17">
        <v>11.44</v>
      </c>
      <c r="AM350" s="17">
        <v>2.06</v>
      </c>
      <c r="AN350" s="17">
        <v>13.5</v>
      </c>
      <c r="BN350"/>
      <c r="BO350"/>
      <c r="BQ350"/>
      <c r="BR350"/>
    </row>
    <row r="351" spans="4:70" ht="15">
      <c r="D351" s="19" t="s">
        <v>850</v>
      </c>
      <c r="E351" s="33">
        <v>1</v>
      </c>
      <c r="AD351" s="19" t="s">
        <v>2578</v>
      </c>
      <c r="AE351" s="33">
        <v>1</v>
      </c>
      <c r="AF351" s="33">
        <v>2.29</v>
      </c>
      <c r="AG351" s="33">
        <v>0.41</v>
      </c>
      <c r="AH351" s="33">
        <v>2.7</v>
      </c>
      <c r="AJ351" s="19" t="s">
        <v>704</v>
      </c>
      <c r="AK351" s="17">
        <v>1</v>
      </c>
      <c r="AL351" s="17">
        <v>16</v>
      </c>
      <c r="AM351" s="17">
        <v>2.88</v>
      </c>
      <c r="AN351" s="17">
        <v>18.88</v>
      </c>
      <c r="BN351"/>
      <c r="BO351"/>
      <c r="BQ351"/>
      <c r="BR351"/>
    </row>
    <row r="352" spans="4:70" ht="15">
      <c r="D352" s="19" t="s">
        <v>920</v>
      </c>
      <c r="E352" s="33">
        <v>1</v>
      </c>
      <c r="AD352" s="19" t="s">
        <v>2579</v>
      </c>
      <c r="AE352" s="33">
        <v>1</v>
      </c>
      <c r="AF352" s="33">
        <v>521.36</v>
      </c>
      <c r="AG352" s="33">
        <v>93.84</v>
      </c>
      <c r="AH352" s="33">
        <v>615.20000000000005</v>
      </c>
      <c r="AJ352" s="19" t="s">
        <v>702</v>
      </c>
      <c r="AK352" s="17">
        <v>1</v>
      </c>
      <c r="AL352" s="17">
        <v>16.809999999999999</v>
      </c>
      <c r="AM352" s="17">
        <v>3.03</v>
      </c>
      <c r="AN352" s="17">
        <v>19.84</v>
      </c>
      <c r="BN352"/>
      <c r="BO352"/>
      <c r="BQ352"/>
      <c r="BR352"/>
    </row>
    <row r="353" spans="4:70" ht="15">
      <c r="D353" s="19" t="s">
        <v>923</v>
      </c>
      <c r="E353" s="33">
        <v>1</v>
      </c>
      <c r="AD353" s="19" t="s">
        <v>2580</v>
      </c>
      <c r="AE353" s="33">
        <v>1</v>
      </c>
      <c r="AF353" s="33">
        <v>736.19</v>
      </c>
      <c r="AG353" s="33">
        <v>132.51</v>
      </c>
      <c r="AH353" s="33">
        <v>868.7</v>
      </c>
      <c r="AJ353" s="19" t="s">
        <v>700</v>
      </c>
      <c r="AK353" s="17">
        <v>1</v>
      </c>
      <c r="AL353" s="17">
        <v>2103.31</v>
      </c>
      <c r="AM353" s="17">
        <v>378.59</v>
      </c>
      <c r="AN353" s="17">
        <v>2481.9</v>
      </c>
      <c r="BN353"/>
      <c r="BO353"/>
      <c r="BQ353"/>
      <c r="BR353"/>
    </row>
    <row r="354" spans="4:70" ht="15">
      <c r="D354" s="19" t="s">
        <v>925</v>
      </c>
      <c r="E354" s="33">
        <v>1</v>
      </c>
      <c r="AD354" s="19" t="s">
        <v>2581</v>
      </c>
      <c r="AE354" s="33">
        <v>1</v>
      </c>
      <c r="AF354" s="33">
        <v>698.31</v>
      </c>
      <c r="AG354" s="33">
        <v>125.7</v>
      </c>
      <c r="AH354" s="33">
        <v>824.01</v>
      </c>
      <c r="AJ354" s="19" t="s">
        <v>698</v>
      </c>
      <c r="AK354" s="17">
        <v>1</v>
      </c>
      <c r="AL354" s="17">
        <v>3585.68</v>
      </c>
      <c r="AM354" s="17">
        <v>645.41999999999996</v>
      </c>
      <c r="AN354" s="17">
        <v>4231.1000000000004</v>
      </c>
      <c r="BN354"/>
      <c r="BO354"/>
      <c r="BQ354"/>
      <c r="BR354"/>
    </row>
    <row r="355" spans="4:70" ht="15">
      <c r="D355" s="19" t="s">
        <v>927</v>
      </c>
      <c r="E355" s="33">
        <v>1</v>
      </c>
      <c r="AD355" s="19" t="s">
        <v>2582</v>
      </c>
      <c r="AE355" s="33">
        <v>1</v>
      </c>
      <c r="AF355" s="33">
        <v>986.86</v>
      </c>
      <c r="AG355" s="33">
        <v>177.63</v>
      </c>
      <c r="AH355" s="33">
        <v>1164.49</v>
      </c>
      <c r="AJ355" s="19" t="s">
        <v>696</v>
      </c>
      <c r="AK355" s="17">
        <v>1</v>
      </c>
      <c r="AL355" s="17">
        <v>1575</v>
      </c>
      <c r="AM355" s="17">
        <v>283.5</v>
      </c>
      <c r="AN355" s="17">
        <v>1858.5</v>
      </c>
      <c r="BN355"/>
      <c r="BO355"/>
      <c r="BQ355"/>
      <c r="BR355"/>
    </row>
    <row r="356" spans="4:70" ht="15">
      <c r="D356" s="19" t="s">
        <v>941</v>
      </c>
      <c r="E356" s="33">
        <v>1</v>
      </c>
      <c r="AD356" s="19" t="s">
        <v>2583</v>
      </c>
      <c r="AE356" s="33">
        <v>1</v>
      </c>
      <c r="AF356" s="33">
        <v>200</v>
      </c>
      <c r="AG356" s="33">
        <v>36</v>
      </c>
      <c r="AH356" s="33">
        <v>236</v>
      </c>
      <c r="AJ356" s="19" t="s">
        <v>694</v>
      </c>
      <c r="AK356" s="17">
        <v>1</v>
      </c>
      <c r="AL356" s="17">
        <v>750</v>
      </c>
      <c r="AM356" s="17">
        <v>135</v>
      </c>
      <c r="AN356" s="17">
        <v>885</v>
      </c>
      <c r="BN356"/>
      <c r="BO356"/>
      <c r="BQ356"/>
      <c r="BR356"/>
    </row>
    <row r="357" spans="4:70" ht="15">
      <c r="D357" s="19" t="s">
        <v>944</v>
      </c>
      <c r="E357" s="33">
        <v>1</v>
      </c>
      <c r="AD357" s="19" t="s">
        <v>2584</v>
      </c>
      <c r="AE357" s="33">
        <v>1</v>
      </c>
      <c r="AF357" s="33">
        <v>862.54</v>
      </c>
      <c r="AG357" s="33">
        <v>155.26</v>
      </c>
      <c r="AH357" s="33">
        <v>1017.8</v>
      </c>
      <c r="AJ357" s="19" t="s">
        <v>692</v>
      </c>
      <c r="AK357" s="17">
        <v>1</v>
      </c>
      <c r="AL357" s="17">
        <v>20</v>
      </c>
      <c r="AM357" s="17">
        <v>3.6</v>
      </c>
      <c r="AN357" s="17">
        <v>23.6</v>
      </c>
      <c r="BN357"/>
      <c r="BO357"/>
      <c r="BQ357"/>
      <c r="BR357"/>
    </row>
    <row r="358" spans="4:70" ht="15">
      <c r="D358" s="19" t="s">
        <v>929</v>
      </c>
      <c r="E358" s="33">
        <v>1</v>
      </c>
      <c r="AD358" s="19" t="s">
        <v>2585</v>
      </c>
      <c r="AE358" s="33">
        <v>1</v>
      </c>
      <c r="AF358" s="33">
        <v>1050.72</v>
      </c>
      <c r="AG358" s="33">
        <v>189.13</v>
      </c>
      <c r="AH358" s="33">
        <v>1239.8499999999999</v>
      </c>
      <c r="AJ358" s="19" t="s">
        <v>690</v>
      </c>
      <c r="AK358" s="17">
        <v>1</v>
      </c>
      <c r="AL358" s="17">
        <v>526.1</v>
      </c>
      <c r="AM358" s="17">
        <v>94.7</v>
      </c>
      <c r="AN358" s="17">
        <v>620.79999999999995</v>
      </c>
      <c r="BN358"/>
      <c r="BO358"/>
      <c r="BQ358"/>
      <c r="BR358"/>
    </row>
    <row r="359" spans="4:70" ht="15">
      <c r="D359" s="19" t="s">
        <v>931</v>
      </c>
      <c r="E359" s="33">
        <v>1</v>
      </c>
      <c r="AD359" s="19" t="s">
        <v>2586</v>
      </c>
      <c r="AE359" s="33">
        <v>1</v>
      </c>
      <c r="AF359" s="33">
        <v>200</v>
      </c>
      <c r="AG359" s="33">
        <v>36</v>
      </c>
      <c r="AH359" s="33">
        <v>236</v>
      </c>
      <c r="AJ359" s="19" t="s">
        <v>688</v>
      </c>
      <c r="AK359" s="17">
        <v>1</v>
      </c>
      <c r="AL359" s="17">
        <v>872.71</v>
      </c>
      <c r="AM359" s="17">
        <v>157.09</v>
      </c>
      <c r="AN359" s="17">
        <v>1029.8</v>
      </c>
      <c r="BN359"/>
      <c r="BO359"/>
      <c r="BQ359"/>
      <c r="BR359"/>
    </row>
    <row r="360" spans="4:70" ht="15">
      <c r="D360" s="19" t="s">
        <v>933</v>
      </c>
      <c r="E360" s="33">
        <v>1</v>
      </c>
      <c r="AD360" s="19" t="s">
        <v>2587</v>
      </c>
      <c r="AE360" s="33">
        <v>1</v>
      </c>
      <c r="AF360" s="33">
        <v>124.07</v>
      </c>
      <c r="AG360" s="33">
        <v>22.33</v>
      </c>
      <c r="AH360" s="33">
        <v>146.4</v>
      </c>
      <c r="AJ360" s="19" t="s">
        <v>686</v>
      </c>
      <c r="AK360" s="17">
        <v>1</v>
      </c>
      <c r="AL360" s="17">
        <v>1200</v>
      </c>
      <c r="AM360" s="17">
        <v>216</v>
      </c>
      <c r="AN360" s="17">
        <v>1416</v>
      </c>
      <c r="BN360"/>
      <c r="BO360"/>
      <c r="BQ360"/>
      <c r="BR360"/>
    </row>
    <row r="361" spans="4:70" ht="15">
      <c r="D361" s="19" t="s">
        <v>935</v>
      </c>
      <c r="E361" s="33">
        <v>1</v>
      </c>
      <c r="AD361" s="19" t="s">
        <v>2588</v>
      </c>
      <c r="AE361" s="33">
        <v>1</v>
      </c>
      <c r="AF361" s="33">
        <v>218.98</v>
      </c>
      <c r="AG361" s="33">
        <v>39.42</v>
      </c>
      <c r="AH361" s="33">
        <v>258.39999999999998</v>
      </c>
      <c r="AJ361" s="19" t="s">
        <v>684</v>
      </c>
      <c r="AK361" s="17">
        <v>1</v>
      </c>
      <c r="AL361" s="17">
        <v>5</v>
      </c>
      <c r="AM361" s="17">
        <v>0.9</v>
      </c>
      <c r="AN361" s="17">
        <v>5.9</v>
      </c>
      <c r="BN361"/>
      <c r="BO361"/>
      <c r="BQ361"/>
      <c r="BR361"/>
    </row>
    <row r="362" spans="4:70" ht="15">
      <c r="D362" s="19" t="s">
        <v>937</v>
      </c>
      <c r="E362" s="33">
        <v>1</v>
      </c>
      <c r="AD362" s="19" t="s">
        <v>2589</v>
      </c>
      <c r="AE362" s="33">
        <v>1</v>
      </c>
      <c r="AF362" s="33">
        <v>175</v>
      </c>
      <c r="AG362" s="33">
        <v>31.5</v>
      </c>
      <c r="AH362" s="33">
        <v>206.5</v>
      </c>
      <c r="AJ362" s="19" t="s">
        <v>671</v>
      </c>
      <c r="AK362" s="17">
        <v>1</v>
      </c>
      <c r="AL362" s="17">
        <v>2347.0300000000002</v>
      </c>
      <c r="AM362" s="17">
        <v>422.47</v>
      </c>
      <c r="AN362" s="17">
        <v>2769.5</v>
      </c>
      <c r="BN362"/>
      <c r="BO362"/>
      <c r="BQ362"/>
      <c r="BR362"/>
    </row>
    <row r="363" spans="4:70" ht="15">
      <c r="D363" s="19" t="s">
        <v>939</v>
      </c>
      <c r="E363" s="33">
        <v>1</v>
      </c>
      <c r="AD363" s="19" t="s">
        <v>2590</v>
      </c>
      <c r="AE363" s="33">
        <v>1</v>
      </c>
      <c r="AF363" s="33">
        <v>123.09</v>
      </c>
      <c r="AG363" s="33">
        <v>22.16</v>
      </c>
      <c r="AH363" s="33">
        <v>145.25</v>
      </c>
      <c r="AJ363" s="19" t="s">
        <v>669</v>
      </c>
      <c r="AK363" s="17">
        <v>1</v>
      </c>
      <c r="AL363" s="17">
        <v>3637.63</v>
      </c>
      <c r="AM363" s="17">
        <v>654.77</v>
      </c>
      <c r="AN363" s="17">
        <v>4292.3999999999996</v>
      </c>
      <c r="BN363"/>
      <c r="BO363"/>
      <c r="BQ363"/>
      <c r="BR363"/>
    </row>
    <row r="364" spans="4:70" ht="15">
      <c r="D364" s="19" t="s">
        <v>946</v>
      </c>
      <c r="E364" s="33">
        <v>1</v>
      </c>
      <c r="AD364" s="19" t="s">
        <v>2591</v>
      </c>
      <c r="AE364" s="33">
        <v>1</v>
      </c>
      <c r="AF364" s="33">
        <v>1200</v>
      </c>
      <c r="AG364" s="33">
        <v>216</v>
      </c>
      <c r="AH364" s="33">
        <v>1416</v>
      </c>
      <c r="AJ364" s="19" t="s">
        <v>667</v>
      </c>
      <c r="AK364" s="17">
        <v>1</v>
      </c>
      <c r="AL364" s="17">
        <v>300</v>
      </c>
      <c r="AM364" s="17">
        <v>54</v>
      </c>
      <c r="AN364" s="17">
        <v>354</v>
      </c>
      <c r="BN364"/>
      <c r="BO364"/>
      <c r="BQ364"/>
      <c r="BR364"/>
    </row>
    <row r="365" spans="4:70" ht="15">
      <c r="D365" s="19" t="s">
        <v>948</v>
      </c>
      <c r="E365" s="33">
        <v>1</v>
      </c>
      <c r="AD365" s="19" t="s">
        <v>2592</v>
      </c>
      <c r="AE365" s="33">
        <v>1</v>
      </c>
      <c r="AF365" s="33">
        <v>6366.25</v>
      </c>
      <c r="AG365" s="33">
        <v>1145.93</v>
      </c>
      <c r="AH365" s="33">
        <v>7512.18</v>
      </c>
      <c r="AJ365" s="19" t="s">
        <v>665</v>
      </c>
      <c r="AK365" s="17">
        <v>1</v>
      </c>
      <c r="AL365" s="17">
        <v>10</v>
      </c>
      <c r="AM365" s="17">
        <v>1.8</v>
      </c>
      <c r="AN365" s="17">
        <v>11.8</v>
      </c>
      <c r="BN365"/>
      <c r="BO365"/>
      <c r="BQ365"/>
      <c r="BR365"/>
    </row>
    <row r="366" spans="4:70" ht="15">
      <c r="D366" s="19" t="s">
        <v>950</v>
      </c>
      <c r="E366" s="33">
        <v>1</v>
      </c>
      <c r="AD366" s="19" t="s">
        <v>2593</v>
      </c>
      <c r="AE366" s="33">
        <v>1</v>
      </c>
      <c r="AF366" s="33">
        <v>8035.2</v>
      </c>
      <c r="AG366" s="33">
        <v>1446.34</v>
      </c>
      <c r="AH366" s="33">
        <v>9481.5400000000009</v>
      </c>
      <c r="AJ366" s="19" t="s">
        <v>663</v>
      </c>
      <c r="AK366" s="17">
        <v>1</v>
      </c>
      <c r="AL366" s="17">
        <v>423.73</v>
      </c>
      <c r="AM366" s="17">
        <v>76.27</v>
      </c>
      <c r="AN366" s="17">
        <v>500</v>
      </c>
      <c r="BN366"/>
      <c r="BO366"/>
      <c r="BQ366"/>
      <c r="BR366"/>
    </row>
    <row r="367" spans="4:70" ht="15">
      <c r="D367" s="19" t="s">
        <v>952</v>
      </c>
      <c r="E367" s="33">
        <v>1</v>
      </c>
      <c r="AD367" s="19" t="s">
        <v>2594</v>
      </c>
      <c r="AE367" s="33">
        <v>1</v>
      </c>
      <c r="AF367" s="33">
        <v>100</v>
      </c>
      <c r="AG367" s="33">
        <v>18</v>
      </c>
      <c r="AH367" s="33">
        <v>118</v>
      </c>
      <c r="AJ367" s="19" t="s">
        <v>661</v>
      </c>
      <c r="AK367" s="17">
        <v>1</v>
      </c>
      <c r="AL367" s="17">
        <v>304.83</v>
      </c>
      <c r="AM367" s="17">
        <v>54.87</v>
      </c>
      <c r="AN367" s="17">
        <v>359.7</v>
      </c>
      <c r="BN367"/>
      <c r="BO367"/>
      <c r="BQ367"/>
      <c r="BR367"/>
    </row>
    <row r="368" spans="4:70" ht="15">
      <c r="D368" s="19" t="s">
        <v>954</v>
      </c>
      <c r="E368" s="33">
        <v>1</v>
      </c>
      <c r="AD368" s="19" t="s">
        <v>2595</v>
      </c>
      <c r="AE368" s="33">
        <v>1</v>
      </c>
      <c r="AF368" s="33">
        <v>1016.95</v>
      </c>
      <c r="AG368" s="33">
        <v>183.05</v>
      </c>
      <c r="AH368" s="33">
        <v>1200</v>
      </c>
      <c r="AJ368" s="19" t="s">
        <v>659</v>
      </c>
      <c r="AK368" s="17">
        <v>1</v>
      </c>
      <c r="AL368" s="17">
        <v>526.1</v>
      </c>
      <c r="AM368" s="17">
        <v>94.7</v>
      </c>
      <c r="AN368" s="17">
        <v>620.79999999999995</v>
      </c>
      <c r="BN368"/>
      <c r="BO368"/>
      <c r="BQ368"/>
      <c r="BR368"/>
    </row>
    <row r="369" spans="4:70" ht="15">
      <c r="D369" s="19" t="s">
        <v>956</v>
      </c>
      <c r="E369" s="33">
        <v>1</v>
      </c>
      <c r="AD369" s="19" t="s">
        <v>2596</v>
      </c>
      <c r="AE369" s="33">
        <v>1</v>
      </c>
      <c r="AF369" s="33">
        <v>847.46</v>
      </c>
      <c r="AG369" s="33">
        <v>152.54</v>
      </c>
      <c r="AH369" s="33">
        <v>1000</v>
      </c>
      <c r="AJ369" s="19" t="s">
        <v>657</v>
      </c>
      <c r="AK369" s="17">
        <v>1</v>
      </c>
      <c r="AL369" s="17">
        <v>423.73</v>
      </c>
      <c r="AM369" s="17">
        <v>76.27</v>
      </c>
      <c r="AN369" s="17">
        <v>500</v>
      </c>
      <c r="BN369"/>
      <c r="BO369"/>
      <c r="BQ369"/>
      <c r="BR369"/>
    </row>
    <row r="370" spans="4:70" ht="15">
      <c r="D370" s="19" t="s">
        <v>958</v>
      </c>
      <c r="E370" s="33">
        <v>1</v>
      </c>
      <c r="AD370" s="19" t="s">
        <v>2597</v>
      </c>
      <c r="AE370" s="33">
        <v>1</v>
      </c>
      <c r="AF370" s="33">
        <v>5</v>
      </c>
      <c r="AG370" s="33">
        <v>0.9</v>
      </c>
      <c r="AH370" s="33">
        <v>5.9</v>
      </c>
      <c r="AJ370" s="19" t="s">
        <v>655</v>
      </c>
      <c r="AK370" s="17">
        <v>1</v>
      </c>
      <c r="AL370" s="17">
        <v>1467.71</v>
      </c>
      <c r="AM370" s="17">
        <v>264.19</v>
      </c>
      <c r="AN370" s="17">
        <v>1731.9</v>
      </c>
      <c r="BN370"/>
      <c r="BO370"/>
      <c r="BQ370"/>
      <c r="BR370"/>
    </row>
    <row r="371" spans="4:70" ht="15">
      <c r="D371" s="19" t="s">
        <v>960</v>
      </c>
      <c r="E371" s="33">
        <v>1</v>
      </c>
      <c r="AD371" s="19" t="s">
        <v>1211</v>
      </c>
      <c r="AE371" s="33">
        <v>1</v>
      </c>
      <c r="AF371" s="33">
        <v>84.07</v>
      </c>
      <c r="AG371" s="33">
        <v>15.13</v>
      </c>
      <c r="AH371" s="33">
        <v>99.2</v>
      </c>
      <c r="AJ371" s="19" t="s">
        <v>653</v>
      </c>
      <c r="AK371" s="17">
        <v>1</v>
      </c>
      <c r="AL371" s="17">
        <v>2377.37</v>
      </c>
      <c r="AM371" s="17">
        <v>427.93</v>
      </c>
      <c r="AN371" s="17">
        <v>2805.3</v>
      </c>
      <c r="BN371"/>
      <c r="BO371"/>
      <c r="BQ371"/>
      <c r="BR371"/>
    </row>
    <row r="372" spans="4:70" ht="15">
      <c r="D372" s="19" t="s">
        <v>962</v>
      </c>
      <c r="E372" s="33">
        <v>1</v>
      </c>
      <c r="AD372" s="19" t="s">
        <v>1208</v>
      </c>
      <c r="AE372" s="33">
        <v>1</v>
      </c>
      <c r="AF372" s="33">
        <v>129.15</v>
      </c>
      <c r="AG372" s="33">
        <v>23.25</v>
      </c>
      <c r="AH372" s="33">
        <v>152.4</v>
      </c>
      <c r="AJ372" s="19" t="s">
        <v>651</v>
      </c>
      <c r="AK372" s="17">
        <v>1</v>
      </c>
      <c r="AL372" s="17">
        <v>150</v>
      </c>
      <c r="AM372" s="17">
        <v>27</v>
      </c>
      <c r="AN372" s="17">
        <v>177</v>
      </c>
      <c r="BN372"/>
      <c r="BO372"/>
      <c r="BQ372"/>
      <c r="BR372"/>
    </row>
    <row r="373" spans="4:70" ht="15">
      <c r="D373" s="19" t="s">
        <v>964</v>
      </c>
      <c r="E373" s="33">
        <v>1</v>
      </c>
      <c r="AD373" s="19" t="s">
        <v>1206</v>
      </c>
      <c r="AE373" s="33">
        <v>1</v>
      </c>
      <c r="AF373" s="33">
        <v>3056.78</v>
      </c>
      <c r="AG373" s="33">
        <v>550.22</v>
      </c>
      <c r="AH373" s="33">
        <v>3607</v>
      </c>
      <c r="AJ373" s="19" t="s">
        <v>649</v>
      </c>
      <c r="AK373" s="17">
        <v>1</v>
      </c>
      <c r="AL373" s="17">
        <v>447.73</v>
      </c>
      <c r="AM373" s="17">
        <v>80.59</v>
      </c>
      <c r="AN373" s="17">
        <v>528.32000000000005</v>
      </c>
      <c r="BN373"/>
      <c r="BO373"/>
      <c r="BQ373"/>
      <c r="BR373"/>
    </row>
    <row r="374" spans="4:70" ht="15">
      <c r="D374" s="19" t="s">
        <v>966</v>
      </c>
      <c r="E374" s="33">
        <v>1</v>
      </c>
      <c r="AD374" s="19" t="s">
        <v>1204</v>
      </c>
      <c r="AE374" s="33">
        <v>1</v>
      </c>
      <c r="AF374" s="33">
        <v>3774.66</v>
      </c>
      <c r="AG374" s="33">
        <v>679.44</v>
      </c>
      <c r="AH374" s="33">
        <v>4454.1000000000004</v>
      </c>
      <c r="AJ374" s="19" t="s">
        <v>647</v>
      </c>
      <c r="AK374" s="17">
        <v>1</v>
      </c>
      <c r="AL374" s="17">
        <v>79.150000000000006</v>
      </c>
      <c r="AM374" s="17">
        <v>14.25</v>
      </c>
      <c r="AN374" s="17">
        <v>93.4</v>
      </c>
      <c r="BN374"/>
      <c r="BO374"/>
      <c r="BQ374"/>
      <c r="BR374"/>
    </row>
    <row r="375" spans="4:70" ht="15">
      <c r="D375" s="19" t="s">
        <v>968</v>
      </c>
      <c r="E375" s="33">
        <v>1</v>
      </c>
      <c r="AD375" s="19" t="s">
        <v>1202</v>
      </c>
      <c r="AE375" s="33">
        <v>1</v>
      </c>
      <c r="AF375" s="33">
        <v>100</v>
      </c>
      <c r="AG375" s="33">
        <v>18</v>
      </c>
      <c r="AH375" s="33">
        <v>118</v>
      </c>
      <c r="AJ375" s="19" t="s">
        <v>645</v>
      </c>
      <c r="AK375" s="17">
        <v>1</v>
      </c>
      <c r="AL375" s="17">
        <v>139.75</v>
      </c>
      <c r="AM375" s="17">
        <v>25.15</v>
      </c>
      <c r="AN375" s="17">
        <v>164.9</v>
      </c>
      <c r="BN375"/>
      <c r="BO375"/>
      <c r="BQ375"/>
      <c r="BR375"/>
    </row>
    <row r="376" spans="4:70" ht="15">
      <c r="D376" s="19" t="s">
        <v>970</v>
      </c>
      <c r="E376" s="33">
        <v>1</v>
      </c>
      <c r="AD376" s="19" t="s">
        <v>1200</v>
      </c>
      <c r="AE376" s="33">
        <v>1</v>
      </c>
      <c r="AF376" s="33">
        <v>177.59</v>
      </c>
      <c r="AG376" s="33">
        <v>31.97</v>
      </c>
      <c r="AH376" s="33">
        <v>209.56</v>
      </c>
      <c r="AJ376" s="19" t="s">
        <v>643</v>
      </c>
      <c r="AK376" s="17">
        <v>1</v>
      </c>
      <c r="AL376" s="17">
        <v>438.73</v>
      </c>
      <c r="AM376" s="17">
        <v>78.97</v>
      </c>
      <c r="AN376" s="17">
        <v>517.70000000000005</v>
      </c>
      <c r="BN376"/>
      <c r="BO376"/>
      <c r="BQ376"/>
      <c r="BR376"/>
    </row>
    <row r="377" spans="4:70" ht="15">
      <c r="D377" s="19" t="s">
        <v>973</v>
      </c>
      <c r="E377" s="33">
        <v>1</v>
      </c>
      <c r="AD377" s="19" t="s">
        <v>1197</v>
      </c>
      <c r="AE377" s="33">
        <v>1</v>
      </c>
      <c r="AF377" s="33">
        <v>323.68</v>
      </c>
      <c r="AG377" s="33">
        <v>58.26</v>
      </c>
      <c r="AH377" s="33">
        <v>381.94</v>
      </c>
      <c r="AJ377" s="19" t="s">
        <v>641</v>
      </c>
      <c r="AK377" s="17">
        <v>1</v>
      </c>
      <c r="AL377" s="17">
        <v>250.51</v>
      </c>
      <c r="AM377" s="17">
        <v>45.09</v>
      </c>
      <c r="AN377" s="17">
        <v>295.60000000000002</v>
      </c>
      <c r="BN377"/>
      <c r="BO377"/>
      <c r="BQ377"/>
      <c r="BR377"/>
    </row>
    <row r="378" spans="4:70" ht="15">
      <c r="D378" s="19" t="s">
        <v>1030</v>
      </c>
      <c r="E378" s="33">
        <v>1</v>
      </c>
      <c r="AD378" s="19" t="s">
        <v>1195</v>
      </c>
      <c r="AE378" s="33">
        <v>1</v>
      </c>
      <c r="AF378" s="33">
        <v>343.47</v>
      </c>
      <c r="AG378" s="33">
        <v>61.83</v>
      </c>
      <c r="AH378" s="33">
        <v>405.3</v>
      </c>
      <c r="AJ378" s="19" t="s">
        <v>639</v>
      </c>
      <c r="AK378" s="17">
        <v>1</v>
      </c>
      <c r="AL378" s="17">
        <v>418.22</v>
      </c>
      <c r="AM378" s="17">
        <v>75.28</v>
      </c>
      <c r="AN378" s="17">
        <v>493.5</v>
      </c>
      <c r="BN378"/>
      <c r="BO378"/>
      <c r="BQ378"/>
      <c r="BR378"/>
    </row>
    <row r="379" spans="4:70" ht="15">
      <c r="D379" s="19" t="s">
        <v>1033</v>
      </c>
      <c r="E379" s="33">
        <v>1</v>
      </c>
      <c r="AD379" s="19" t="s">
        <v>1193</v>
      </c>
      <c r="AE379" s="33">
        <v>1</v>
      </c>
      <c r="AF379" s="33">
        <v>598.73</v>
      </c>
      <c r="AG379" s="33">
        <v>107.77</v>
      </c>
      <c r="AH379" s="33">
        <v>706.5</v>
      </c>
      <c r="AJ379" s="19" t="s">
        <v>637</v>
      </c>
      <c r="AK379" s="17">
        <v>1</v>
      </c>
      <c r="AL379" s="17">
        <v>423.73</v>
      </c>
      <c r="AM379" s="17">
        <v>76.27</v>
      </c>
      <c r="AN379" s="17">
        <v>500</v>
      </c>
      <c r="BN379"/>
      <c r="BO379"/>
      <c r="BQ379"/>
      <c r="BR379"/>
    </row>
    <row r="380" spans="4:70" ht="15">
      <c r="D380" s="19" t="s">
        <v>975</v>
      </c>
      <c r="E380" s="33">
        <v>1</v>
      </c>
      <c r="AD380" s="19" t="s">
        <v>1190</v>
      </c>
      <c r="AE380" s="33">
        <v>1</v>
      </c>
      <c r="AF380" s="33">
        <v>10</v>
      </c>
      <c r="AG380" s="33">
        <v>1.8</v>
      </c>
      <c r="AH380" s="33">
        <v>11.8</v>
      </c>
      <c r="AJ380" s="19" t="s">
        <v>635</v>
      </c>
      <c r="AK380" s="17">
        <v>1</v>
      </c>
      <c r="AL380" s="17">
        <v>991.19</v>
      </c>
      <c r="AM380" s="17">
        <v>178.41</v>
      </c>
      <c r="AN380" s="17">
        <v>1169.5999999999999</v>
      </c>
      <c r="BN380"/>
      <c r="BO380"/>
      <c r="BQ380"/>
      <c r="BR380"/>
    </row>
    <row r="381" spans="4:70" ht="15">
      <c r="D381" s="19" t="s">
        <v>977</v>
      </c>
      <c r="E381" s="33">
        <v>1</v>
      </c>
      <c r="AD381" s="19" t="s">
        <v>1162</v>
      </c>
      <c r="AE381" s="33">
        <v>1</v>
      </c>
      <c r="AF381" s="33">
        <v>24.58</v>
      </c>
      <c r="AG381" s="33">
        <v>4.42</v>
      </c>
      <c r="AH381" s="33">
        <v>29</v>
      </c>
      <c r="AJ381" s="19" t="s">
        <v>633</v>
      </c>
      <c r="AK381" s="17">
        <v>1</v>
      </c>
      <c r="AL381" s="17">
        <v>1608.31</v>
      </c>
      <c r="AM381" s="17">
        <v>289.49</v>
      </c>
      <c r="AN381" s="17">
        <v>1897.8</v>
      </c>
      <c r="BN381"/>
      <c r="BO381"/>
      <c r="BQ381"/>
      <c r="BR381"/>
    </row>
    <row r="382" spans="4:70" ht="15">
      <c r="D382" s="19" t="s">
        <v>1035</v>
      </c>
      <c r="E382" s="33">
        <v>1</v>
      </c>
      <c r="AD382" s="19" t="s">
        <v>1159</v>
      </c>
      <c r="AE382" s="33">
        <v>1</v>
      </c>
      <c r="AF382" s="33">
        <v>39.729999999999997</v>
      </c>
      <c r="AG382" s="33">
        <v>7.15</v>
      </c>
      <c r="AH382" s="33">
        <v>46.88</v>
      </c>
      <c r="AJ382" s="19" t="s">
        <v>631</v>
      </c>
      <c r="AK382" s="17">
        <v>1</v>
      </c>
      <c r="AL382" s="17">
        <v>150</v>
      </c>
      <c r="AM382" s="17">
        <v>27</v>
      </c>
      <c r="AN382" s="17">
        <v>177</v>
      </c>
      <c r="BN382"/>
      <c r="BO382"/>
      <c r="BQ382"/>
      <c r="BR382"/>
    </row>
    <row r="383" spans="4:70" ht="15">
      <c r="D383" s="19" t="s">
        <v>1038</v>
      </c>
      <c r="E383" s="33">
        <v>1</v>
      </c>
      <c r="AD383" s="19" t="s">
        <v>1157</v>
      </c>
      <c r="AE383" s="33">
        <v>1</v>
      </c>
      <c r="AF383" s="33">
        <v>545.08000000000004</v>
      </c>
      <c r="AG383" s="33">
        <v>98.12</v>
      </c>
      <c r="AH383" s="33">
        <v>643.20000000000005</v>
      </c>
      <c r="AJ383" s="19" t="s">
        <v>629</v>
      </c>
      <c r="AK383" s="17">
        <v>1</v>
      </c>
      <c r="AL383" s="17">
        <v>30</v>
      </c>
      <c r="AM383" s="17">
        <v>5.4</v>
      </c>
      <c r="AN383" s="17">
        <v>35.4</v>
      </c>
      <c r="BN383"/>
      <c r="BO383"/>
      <c r="BQ383"/>
      <c r="BR383"/>
    </row>
    <row r="384" spans="4:70" ht="15">
      <c r="D384" s="19" t="s">
        <v>1040</v>
      </c>
      <c r="E384" s="33">
        <v>1</v>
      </c>
      <c r="AD384" s="19" t="s">
        <v>1155</v>
      </c>
      <c r="AE384" s="33">
        <v>1</v>
      </c>
      <c r="AF384" s="33">
        <v>889.65</v>
      </c>
      <c r="AG384" s="33">
        <v>160.13999999999999</v>
      </c>
      <c r="AH384" s="33">
        <v>1049.79</v>
      </c>
      <c r="AJ384" s="19" t="s">
        <v>626</v>
      </c>
      <c r="AK384" s="17">
        <v>1</v>
      </c>
      <c r="AL384" s="17">
        <v>423.73</v>
      </c>
      <c r="AM384" s="17">
        <v>76.27</v>
      </c>
      <c r="AN384" s="17">
        <v>500</v>
      </c>
      <c r="BN384"/>
      <c r="BO384"/>
      <c r="BQ384"/>
      <c r="BR384"/>
    </row>
    <row r="385" spans="4:70" ht="15">
      <c r="D385" s="19" t="s">
        <v>1042</v>
      </c>
      <c r="E385" s="33">
        <v>1</v>
      </c>
      <c r="AD385" s="19" t="s">
        <v>1153</v>
      </c>
      <c r="AE385" s="33">
        <v>1</v>
      </c>
      <c r="AF385" s="33">
        <v>460.17</v>
      </c>
      <c r="AG385" s="33">
        <v>82.83</v>
      </c>
      <c r="AH385" s="33">
        <v>543</v>
      </c>
      <c r="AJ385" s="19" t="s">
        <v>624</v>
      </c>
      <c r="AK385" s="17">
        <v>1</v>
      </c>
      <c r="AL385" s="17">
        <v>34.75</v>
      </c>
      <c r="AM385" s="17">
        <v>6.25</v>
      </c>
      <c r="AN385" s="17">
        <v>41</v>
      </c>
      <c r="BN385"/>
      <c r="BO385"/>
      <c r="BQ385"/>
      <c r="BR385"/>
    </row>
    <row r="386" spans="4:70" ht="15">
      <c r="D386" s="19" t="s">
        <v>1045</v>
      </c>
      <c r="E386" s="33">
        <v>1</v>
      </c>
      <c r="AD386" s="19" t="s">
        <v>1150</v>
      </c>
      <c r="AE386" s="33">
        <v>1</v>
      </c>
      <c r="AF386" s="33">
        <v>757.54</v>
      </c>
      <c r="AG386" s="33">
        <v>136.36000000000001</v>
      </c>
      <c r="AH386" s="33">
        <v>893.9</v>
      </c>
      <c r="AJ386" s="19" t="s">
        <v>621</v>
      </c>
      <c r="AK386" s="17">
        <v>1</v>
      </c>
      <c r="AL386" s="17">
        <v>53.56</v>
      </c>
      <c r="AM386" s="17">
        <v>9.64</v>
      </c>
      <c r="AN386" s="17">
        <v>63.2</v>
      </c>
      <c r="BN386"/>
      <c r="BO386"/>
      <c r="BQ386"/>
      <c r="BR386"/>
    </row>
    <row r="387" spans="4:70" ht="15">
      <c r="D387" s="19" t="s">
        <v>979</v>
      </c>
      <c r="E387" s="33">
        <v>1</v>
      </c>
      <c r="AD387" s="19" t="s">
        <v>1148</v>
      </c>
      <c r="AE387" s="33">
        <v>1</v>
      </c>
      <c r="AF387" s="33">
        <v>182.75</v>
      </c>
      <c r="AG387" s="33">
        <v>32.89</v>
      </c>
      <c r="AH387" s="33">
        <v>215.64</v>
      </c>
      <c r="AJ387" s="19" t="s">
        <v>593</v>
      </c>
      <c r="AK387" s="17">
        <v>1</v>
      </c>
      <c r="AL387" s="17">
        <v>125.25</v>
      </c>
      <c r="AM387" s="17">
        <v>22.55</v>
      </c>
      <c r="AN387" s="17">
        <v>147.80000000000001</v>
      </c>
      <c r="BN387"/>
      <c r="BO387"/>
      <c r="BQ387"/>
      <c r="BR387"/>
    </row>
    <row r="388" spans="4:70" ht="15">
      <c r="D388" s="19" t="s">
        <v>981</v>
      </c>
      <c r="E388" s="33">
        <v>1</v>
      </c>
      <c r="AD388" s="19" t="s">
        <v>1145</v>
      </c>
      <c r="AE388" s="33">
        <v>1</v>
      </c>
      <c r="AF388" s="33">
        <v>109.06</v>
      </c>
      <c r="AG388" s="33">
        <v>19.63</v>
      </c>
      <c r="AH388" s="33">
        <v>128.69</v>
      </c>
      <c r="AJ388" s="19" t="s">
        <v>590</v>
      </c>
      <c r="AK388" s="17">
        <v>1</v>
      </c>
      <c r="AL388" s="17">
        <v>212.8</v>
      </c>
      <c r="AM388" s="17">
        <v>38.299999999999997</v>
      </c>
      <c r="AN388" s="17">
        <v>251.1</v>
      </c>
      <c r="BN388"/>
      <c r="BO388"/>
      <c r="BQ388"/>
      <c r="BR388"/>
    </row>
    <row r="389" spans="4:70" ht="15">
      <c r="D389" s="19" t="s">
        <v>983</v>
      </c>
      <c r="E389" s="33">
        <v>1</v>
      </c>
      <c r="AD389" s="19" t="s">
        <v>1143</v>
      </c>
      <c r="AE389" s="33">
        <v>1</v>
      </c>
      <c r="AF389" s="33">
        <v>41.47</v>
      </c>
      <c r="AG389" s="33">
        <v>7.47</v>
      </c>
      <c r="AH389" s="33">
        <v>48.94</v>
      </c>
      <c r="AJ389" s="19" t="s">
        <v>586</v>
      </c>
      <c r="AK389" s="17">
        <v>1</v>
      </c>
      <c r="AL389" s="17">
        <v>20</v>
      </c>
      <c r="AM389" s="17">
        <v>3.6</v>
      </c>
      <c r="AN389" s="17">
        <v>23.6</v>
      </c>
      <c r="BN389"/>
      <c r="BO389"/>
      <c r="BQ389"/>
      <c r="BR389"/>
    </row>
    <row r="390" spans="4:70" ht="15">
      <c r="D390" s="19" t="s">
        <v>985</v>
      </c>
      <c r="E390" s="33">
        <v>1</v>
      </c>
      <c r="AD390" s="19" t="s">
        <v>1140</v>
      </c>
      <c r="AE390" s="33">
        <v>1</v>
      </c>
      <c r="AF390" s="33">
        <v>66.45</v>
      </c>
      <c r="AG390" s="33">
        <v>11.96</v>
      </c>
      <c r="AH390" s="33">
        <v>78.41</v>
      </c>
      <c r="AJ390" s="19" t="s">
        <v>516</v>
      </c>
      <c r="AK390" s="17">
        <v>1</v>
      </c>
      <c r="AL390" s="17">
        <v>132.97</v>
      </c>
      <c r="AM390" s="17">
        <v>23.93</v>
      </c>
      <c r="AN390" s="17">
        <v>156.9</v>
      </c>
      <c r="BN390"/>
      <c r="BO390"/>
      <c r="BQ390"/>
      <c r="BR390"/>
    </row>
    <row r="391" spans="4:70" ht="15">
      <c r="D391" s="19" t="s">
        <v>987</v>
      </c>
      <c r="E391" s="33">
        <v>1</v>
      </c>
      <c r="AD391" s="19" t="s">
        <v>1138</v>
      </c>
      <c r="AE391" s="33">
        <v>1</v>
      </c>
      <c r="AF391" s="33">
        <v>43</v>
      </c>
      <c r="AG391" s="33">
        <v>7.74</v>
      </c>
      <c r="AH391" s="33">
        <v>50.74</v>
      </c>
      <c r="AJ391" s="19" t="s">
        <v>513</v>
      </c>
      <c r="AK391" s="17">
        <v>1</v>
      </c>
      <c r="AL391" s="17">
        <v>138.18</v>
      </c>
      <c r="AM391" s="17">
        <v>24.87</v>
      </c>
      <c r="AN391" s="17">
        <v>163.05000000000001</v>
      </c>
      <c r="BN391"/>
      <c r="BO391"/>
      <c r="BQ391"/>
      <c r="BR391"/>
    </row>
    <row r="392" spans="4:70" ht="15">
      <c r="D392" s="19" t="s">
        <v>989</v>
      </c>
      <c r="E392" s="33">
        <v>1</v>
      </c>
      <c r="AD392" s="19" t="s">
        <v>1135</v>
      </c>
      <c r="AE392" s="33">
        <v>1</v>
      </c>
      <c r="AF392" s="33">
        <v>59.66</v>
      </c>
      <c r="AG392" s="33">
        <v>10.74</v>
      </c>
      <c r="AH392" s="33">
        <v>70.400000000000006</v>
      </c>
      <c r="AJ392" s="19" t="s">
        <v>511</v>
      </c>
      <c r="AK392" s="17">
        <v>1</v>
      </c>
      <c r="AL392" s="17">
        <v>1170.3900000000001</v>
      </c>
      <c r="AM392" s="17">
        <v>210.67</v>
      </c>
      <c r="AN392" s="17">
        <v>1381.06</v>
      </c>
      <c r="BN392"/>
      <c r="BO392"/>
      <c r="BQ392"/>
      <c r="BR392"/>
    </row>
    <row r="393" spans="4:70" ht="15">
      <c r="D393" s="19" t="s">
        <v>991</v>
      </c>
      <c r="E393" s="33">
        <v>1</v>
      </c>
      <c r="AD393" s="19" t="s">
        <v>1133</v>
      </c>
      <c r="AE393" s="33">
        <v>1</v>
      </c>
      <c r="AF393" s="33">
        <v>59.15</v>
      </c>
      <c r="AG393" s="33">
        <v>10.65</v>
      </c>
      <c r="AH393" s="33">
        <v>69.8</v>
      </c>
      <c r="AJ393" s="19" t="s">
        <v>509</v>
      </c>
      <c r="AK393" s="17">
        <v>1</v>
      </c>
      <c r="AL393" s="17">
        <v>1854.82</v>
      </c>
      <c r="AM393" s="17">
        <v>333.87</v>
      </c>
      <c r="AN393" s="17">
        <v>2188.69</v>
      </c>
      <c r="BN393"/>
      <c r="BO393"/>
      <c r="BQ393"/>
      <c r="BR393"/>
    </row>
    <row r="394" spans="4:70" ht="15">
      <c r="D394" s="19" t="s">
        <v>993</v>
      </c>
      <c r="E394" s="33">
        <v>1</v>
      </c>
      <c r="AD394" s="19" t="s">
        <v>1130</v>
      </c>
      <c r="AE394" s="33">
        <v>1</v>
      </c>
      <c r="AF394" s="33">
        <v>113.39</v>
      </c>
      <c r="AG394" s="33">
        <v>20.41</v>
      </c>
      <c r="AH394" s="33">
        <v>133.80000000000001</v>
      </c>
      <c r="AJ394" s="19" t="s">
        <v>507</v>
      </c>
      <c r="AK394" s="17">
        <v>1</v>
      </c>
      <c r="AL394" s="17">
        <v>600</v>
      </c>
      <c r="AM394" s="17">
        <v>108</v>
      </c>
      <c r="AN394" s="17">
        <v>708</v>
      </c>
      <c r="BN394"/>
      <c r="BO394"/>
      <c r="BQ394"/>
      <c r="BR394"/>
    </row>
    <row r="395" spans="4:70" ht="15">
      <c r="D395" s="19" t="s">
        <v>995</v>
      </c>
      <c r="E395" s="33">
        <v>1</v>
      </c>
      <c r="AD395" s="19" t="s">
        <v>1045</v>
      </c>
      <c r="AE395" s="33">
        <v>1</v>
      </c>
      <c r="AF395" s="33">
        <v>1.02</v>
      </c>
      <c r="AG395" s="33">
        <v>0.18</v>
      </c>
      <c r="AH395" s="33">
        <v>1.2</v>
      </c>
      <c r="AJ395" s="19" t="s">
        <v>505</v>
      </c>
      <c r="AK395" s="17">
        <v>1</v>
      </c>
      <c r="AL395" s="17">
        <v>1</v>
      </c>
      <c r="AM395" s="17">
        <v>0.18</v>
      </c>
      <c r="AN395" s="17">
        <v>1.18</v>
      </c>
      <c r="BN395"/>
      <c r="BO395"/>
      <c r="BQ395"/>
      <c r="BR395"/>
    </row>
    <row r="396" spans="4:70" ht="15">
      <c r="D396" s="19" t="s">
        <v>997</v>
      </c>
      <c r="E396" s="33">
        <v>1</v>
      </c>
      <c r="AD396" s="19" t="s">
        <v>1042</v>
      </c>
      <c r="AE396" s="33">
        <v>1</v>
      </c>
      <c r="AF396" s="33">
        <v>1.44</v>
      </c>
      <c r="AG396" s="33">
        <v>0.26</v>
      </c>
      <c r="AH396" s="33">
        <v>1.7</v>
      </c>
      <c r="AJ396" s="19" t="s">
        <v>503</v>
      </c>
      <c r="AK396" s="17">
        <v>1</v>
      </c>
      <c r="AL396" s="17">
        <v>5</v>
      </c>
      <c r="AM396" s="17">
        <v>0.9</v>
      </c>
      <c r="AN396" s="17">
        <v>5.9</v>
      </c>
      <c r="BN396"/>
      <c r="BO396"/>
      <c r="BQ396"/>
      <c r="BR396"/>
    </row>
    <row r="397" spans="4:70" ht="15">
      <c r="D397" s="19" t="s">
        <v>999</v>
      </c>
      <c r="E397" s="33">
        <v>1</v>
      </c>
      <c r="AD397" s="19" t="s">
        <v>1040</v>
      </c>
      <c r="AE397" s="33">
        <v>1</v>
      </c>
      <c r="AF397" s="33">
        <v>338.9</v>
      </c>
      <c r="AG397" s="33">
        <v>61</v>
      </c>
      <c r="AH397" s="33">
        <v>399.9</v>
      </c>
      <c r="AJ397" s="19" t="s">
        <v>500</v>
      </c>
      <c r="AK397" s="17">
        <v>1</v>
      </c>
      <c r="AL397" s="17">
        <v>4.95</v>
      </c>
      <c r="AM397" s="17">
        <v>0.89</v>
      </c>
      <c r="AN397" s="17">
        <v>5.84</v>
      </c>
      <c r="BN397"/>
      <c r="BO397"/>
      <c r="BQ397"/>
      <c r="BR397"/>
    </row>
    <row r="398" spans="4:70" ht="15">
      <c r="D398" s="19" t="s">
        <v>1001</v>
      </c>
      <c r="E398" s="33">
        <v>1</v>
      </c>
      <c r="AD398" s="19" t="s">
        <v>1038</v>
      </c>
      <c r="AE398" s="33">
        <v>1</v>
      </c>
      <c r="AF398" s="33">
        <v>530.16999999999996</v>
      </c>
      <c r="AG398" s="33">
        <v>95.43</v>
      </c>
      <c r="AH398" s="33">
        <v>625.6</v>
      </c>
      <c r="AJ398" s="19" t="s">
        <v>498</v>
      </c>
      <c r="AK398" s="17">
        <v>1</v>
      </c>
      <c r="AL398" s="17">
        <v>896.27</v>
      </c>
      <c r="AM398" s="17">
        <v>161.33000000000001</v>
      </c>
      <c r="AN398" s="17">
        <v>1057.5999999999999</v>
      </c>
      <c r="BN398"/>
      <c r="BO398"/>
      <c r="BQ398"/>
      <c r="BR398"/>
    </row>
    <row r="399" spans="4:70" ht="15">
      <c r="D399" s="19" t="s">
        <v>1003</v>
      </c>
      <c r="E399" s="33">
        <v>1</v>
      </c>
      <c r="AD399" s="19" t="s">
        <v>1035</v>
      </c>
      <c r="AE399" s="33">
        <v>1</v>
      </c>
      <c r="AF399" s="33">
        <v>15</v>
      </c>
      <c r="AG399" s="33">
        <v>2.7</v>
      </c>
      <c r="AH399" s="33">
        <v>17.7</v>
      </c>
      <c r="AJ399" s="19" t="s">
        <v>496</v>
      </c>
      <c r="AK399" s="17">
        <v>1</v>
      </c>
      <c r="AL399" s="17">
        <v>1264.92</v>
      </c>
      <c r="AM399" s="17">
        <v>227.68</v>
      </c>
      <c r="AN399" s="17">
        <v>1492.6</v>
      </c>
      <c r="BN399"/>
      <c r="BO399"/>
      <c r="BQ399"/>
      <c r="BR399"/>
    </row>
    <row r="400" spans="4:70" ht="15">
      <c r="D400" s="19" t="s">
        <v>1005</v>
      </c>
      <c r="E400" s="33">
        <v>1</v>
      </c>
      <c r="AD400" s="19" t="s">
        <v>1033</v>
      </c>
      <c r="AE400" s="33">
        <v>1</v>
      </c>
      <c r="AF400" s="33">
        <v>947.12</v>
      </c>
      <c r="AG400" s="33">
        <v>170.48</v>
      </c>
      <c r="AH400" s="33">
        <v>1117.5999999999999</v>
      </c>
      <c r="AJ400" s="19" t="s">
        <v>494</v>
      </c>
      <c r="AK400" s="17">
        <v>1</v>
      </c>
      <c r="AL400" s="17">
        <v>600</v>
      </c>
      <c r="AM400" s="17">
        <v>108</v>
      </c>
      <c r="AN400" s="17">
        <v>708</v>
      </c>
      <c r="BN400"/>
      <c r="BO400"/>
      <c r="BQ400"/>
      <c r="BR400"/>
    </row>
    <row r="401" spans="4:70" ht="15">
      <c r="D401" s="19" t="s">
        <v>1007</v>
      </c>
      <c r="E401" s="33">
        <v>1</v>
      </c>
      <c r="AD401" s="19" t="s">
        <v>1030</v>
      </c>
      <c r="AE401" s="33">
        <v>1</v>
      </c>
      <c r="AF401" s="33">
        <v>1599.66</v>
      </c>
      <c r="AG401" s="33">
        <v>287.94</v>
      </c>
      <c r="AH401" s="33">
        <v>1887.6</v>
      </c>
      <c r="AJ401" s="19" t="s">
        <v>492</v>
      </c>
      <c r="AK401" s="17">
        <v>1</v>
      </c>
      <c r="AL401" s="17">
        <v>18.05</v>
      </c>
      <c r="AM401" s="17">
        <v>3.25</v>
      </c>
      <c r="AN401" s="17">
        <v>21.3</v>
      </c>
      <c r="BN401"/>
      <c r="BO401"/>
      <c r="BQ401"/>
      <c r="BR401"/>
    </row>
    <row r="402" spans="4:70" ht="15">
      <c r="D402" s="19" t="s">
        <v>1009</v>
      </c>
      <c r="E402" s="33">
        <v>1</v>
      </c>
      <c r="AD402" s="19" t="s">
        <v>948</v>
      </c>
      <c r="AE402" s="33">
        <v>1</v>
      </c>
      <c r="AF402" s="33">
        <v>511.53</v>
      </c>
      <c r="AG402" s="33">
        <v>92.07</v>
      </c>
      <c r="AH402" s="33">
        <v>603.6</v>
      </c>
      <c r="AJ402" s="19" t="s">
        <v>489</v>
      </c>
      <c r="AK402" s="17">
        <v>1</v>
      </c>
      <c r="AL402" s="17">
        <v>24.75</v>
      </c>
      <c r="AM402" s="17">
        <v>4.45</v>
      </c>
      <c r="AN402" s="17">
        <v>29.2</v>
      </c>
      <c r="BN402"/>
      <c r="BO402"/>
      <c r="BQ402"/>
      <c r="BR402"/>
    </row>
    <row r="403" spans="4:70" ht="15">
      <c r="D403" s="19" t="s">
        <v>1011</v>
      </c>
      <c r="E403" s="33">
        <v>1</v>
      </c>
      <c r="AD403" s="19" t="s">
        <v>946</v>
      </c>
      <c r="AE403" s="33">
        <v>1</v>
      </c>
      <c r="AF403" s="33">
        <v>518.80999999999995</v>
      </c>
      <c r="AG403" s="33">
        <v>93.39</v>
      </c>
      <c r="AH403" s="33">
        <v>612.20000000000005</v>
      </c>
      <c r="AJ403" s="19" t="s">
        <v>487</v>
      </c>
      <c r="AK403" s="17">
        <v>1</v>
      </c>
      <c r="AL403" s="17">
        <v>20.34</v>
      </c>
      <c r="AM403" s="17">
        <v>3.66</v>
      </c>
      <c r="AN403" s="17">
        <v>24</v>
      </c>
      <c r="BN403"/>
      <c r="BO403"/>
      <c r="BQ403"/>
      <c r="BR403"/>
    </row>
    <row r="404" spans="4:70" ht="15">
      <c r="D404" s="19" t="s">
        <v>1013</v>
      </c>
      <c r="E404" s="33">
        <v>1</v>
      </c>
      <c r="AD404" s="19" t="s">
        <v>944</v>
      </c>
      <c r="AE404" s="33">
        <v>1</v>
      </c>
      <c r="AF404" s="33">
        <v>61.02</v>
      </c>
      <c r="AG404" s="33">
        <v>10.98</v>
      </c>
      <c r="AH404" s="33">
        <v>72</v>
      </c>
      <c r="AJ404" s="19" t="s">
        <v>484</v>
      </c>
      <c r="AK404" s="17">
        <v>1</v>
      </c>
      <c r="AL404" s="17">
        <v>25.85</v>
      </c>
      <c r="AM404" s="17">
        <v>4.6500000000000004</v>
      </c>
      <c r="AN404" s="17">
        <v>30.5</v>
      </c>
      <c r="BN404"/>
      <c r="BO404"/>
      <c r="BQ404"/>
      <c r="BR404"/>
    </row>
    <row r="405" spans="4:70" ht="15">
      <c r="D405" s="19" t="s">
        <v>1015</v>
      </c>
      <c r="E405" s="33">
        <v>1</v>
      </c>
      <c r="AD405" s="19" t="s">
        <v>941</v>
      </c>
      <c r="AE405" s="33">
        <v>1</v>
      </c>
      <c r="AF405" s="33">
        <v>109.83</v>
      </c>
      <c r="AG405" s="33">
        <v>19.77</v>
      </c>
      <c r="AH405" s="33">
        <v>129.6</v>
      </c>
      <c r="AJ405" s="19" t="s">
        <v>482</v>
      </c>
      <c r="AK405" s="17">
        <v>1</v>
      </c>
      <c r="AL405" s="17">
        <v>1544.46</v>
      </c>
      <c r="AM405" s="17">
        <v>278</v>
      </c>
      <c r="AN405" s="17">
        <v>1822.46</v>
      </c>
      <c r="BN405"/>
      <c r="BO405"/>
      <c r="BQ405"/>
      <c r="BR405"/>
    </row>
    <row r="406" spans="4:70" ht="15">
      <c r="D406" s="19" t="s">
        <v>1017</v>
      </c>
      <c r="E406" s="33">
        <v>1</v>
      </c>
      <c r="AD406" s="19" t="s">
        <v>918</v>
      </c>
      <c r="AE406" s="33">
        <v>1</v>
      </c>
      <c r="AF406" s="33">
        <v>12.2</v>
      </c>
      <c r="AG406" s="33">
        <v>2.2000000000000002</v>
      </c>
      <c r="AH406" s="33">
        <v>14.4</v>
      </c>
      <c r="AJ406" s="19" t="s">
        <v>480</v>
      </c>
      <c r="AK406" s="17">
        <v>1</v>
      </c>
      <c r="AL406" s="17">
        <v>2530.92</v>
      </c>
      <c r="AM406" s="17">
        <v>455.56</v>
      </c>
      <c r="AN406" s="17">
        <v>2986.48</v>
      </c>
      <c r="BN406"/>
      <c r="BO406"/>
      <c r="BQ406"/>
      <c r="BR406"/>
    </row>
    <row r="407" spans="4:70" ht="15">
      <c r="D407" s="19" t="s">
        <v>1019</v>
      </c>
      <c r="E407" s="33">
        <v>1</v>
      </c>
      <c r="AD407" s="19" t="s">
        <v>915</v>
      </c>
      <c r="AE407" s="33">
        <v>1</v>
      </c>
      <c r="AF407" s="33">
        <v>19.41</v>
      </c>
      <c r="AG407" s="33">
        <v>3.49</v>
      </c>
      <c r="AH407" s="33">
        <v>22.9</v>
      </c>
      <c r="AJ407" s="19" t="s">
        <v>478</v>
      </c>
      <c r="AK407" s="17">
        <v>1</v>
      </c>
      <c r="AL407" s="17">
        <v>1200</v>
      </c>
      <c r="AM407" s="17">
        <v>216</v>
      </c>
      <c r="AN407" s="17">
        <v>1416</v>
      </c>
      <c r="BN407"/>
      <c r="BO407"/>
      <c r="BQ407"/>
      <c r="BR407"/>
    </row>
    <row r="408" spans="4:70" ht="15">
      <c r="D408" s="19" t="s">
        <v>1021</v>
      </c>
      <c r="E408" s="33">
        <v>1</v>
      </c>
      <c r="AD408" s="19" t="s">
        <v>913</v>
      </c>
      <c r="AE408" s="33">
        <v>1</v>
      </c>
      <c r="AF408" s="33">
        <v>238.98</v>
      </c>
      <c r="AG408" s="33">
        <v>43.02</v>
      </c>
      <c r="AH408" s="33">
        <v>282</v>
      </c>
      <c r="AJ408" s="19" t="s">
        <v>476</v>
      </c>
      <c r="AK408" s="17">
        <v>1</v>
      </c>
      <c r="AL408" s="17">
        <v>1200</v>
      </c>
      <c r="AM408" s="17">
        <v>216</v>
      </c>
      <c r="AN408" s="17">
        <v>1416</v>
      </c>
      <c r="BN408"/>
      <c r="BO408"/>
      <c r="BQ408"/>
      <c r="BR408"/>
    </row>
    <row r="409" spans="4:70" ht="15">
      <c r="D409" s="19" t="s">
        <v>1024</v>
      </c>
      <c r="E409" s="33">
        <v>1</v>
      </c>
      <c r="AD409" s="19" t="s">
        <v>911</v>
      </c>
      <c r="AE409" s="33">
        <v>1</v>
      </c>
      <c r="AF409" s="33">
        <v>281.61</v>
      </c>
      <c r="AG409" s="33">
        <v>50.69</v>
      </c>
      <c r="AH409" s="33">
        <v>332.3</v>
      </c>
      <c r="AJ409" s="19" t="s">
        <v>474</v>
      </c>
      <c r="AK409" s="17">
        <v>1</v>
      </c>
      <c r="AL409" s="17">
        <v>600</v>
      </c>
      <c r="AM409" s="17">
        <v>108</v>
      </c>
      <c r="AN409" s="17">
        <v>708</v>
      </c>
      <c r="BN409"/>
      <c r="BO409"/>
      <c r="BQ409"/>
      <c r="BR409"/>
    </row>
    <row r="410" spans="4:70" ht="15">
      <c r="D410" s="19" t="s">
        <v>1026</v>
      </c>
      <c r="E410" s="33">
        <v>1</v>
      </c>
      <c r="AD410" s="19" t="s">
        <v>909</v>
      </c>
      <c r="AE410" s="33">
        <v>1</v>
      </c>
      <c r="AF410" s="33">
        <v>660</v>
      </c>
      <c r="AG410" s="33">
        <v>118.8</v>
      </c>
      <c r="AH410" s="33">
        <v>778.8</v>
      </c>
      <c r="AJ410" s="19" t="s">
        <v>472</v>
      </c>
      <c r="AK410" s="17">
        <v>1</v>
      </c>
      <c r="AL410" s="17">
        <v>650</v>
      </c>
      <c r="AM410" s="17">
        <v>117</v>
      </c>
      <c r="AN410" s="17">
        <v>767</v>
      </c>
      <c r="BN410"/>
      <c r="BO410"/>
      <c r="BQ410"/>
      <c r="BR410"/>
    </row>
    <row r="411" spans="4:70" ht="15">
      <c r="D411" s="19" t="s">
        <v>1028</v>
      </c>
      <c r="E411" s="33">
        <v>1</v>
      </c>
      <c r="AD411" s="19" t="s">
        <v>907</v>
      </c>
      <c r="AE411" s="33">
        <v>1</v>
      </c>
      <c r="AF411" s="33">
        <v>600</v>
      </c>
      <c r="AG411" s="33">
        <v>108</v>
      </c>
      <c r="AH411" s="33">
        <v>708</v>
      </c>
      <c r="AJ411" s="19" t="s">
        <v>470</v>
      </c>
      <c r="AK411" s="17">
        <v>1</v>
      </c>
      <c r="AL411" s="17">
        <v>1440.93</v>
      </c>
      <c r="AM411" s="17">
        <v>259.37</v>
      </c>
      <c r="AN411" s="17">
        <v>1700.3</v>
      </c>
      <c r="BN411"/>
      <c r="BO411"/>
      <c r="BQ411"/>
      <c r="BR411"/>
    </row>
    <row r="412" spans="4:70" ht="15">
      <c r="D412" s="19" t="s">
        <v>1047</v>
      </c>
      <c r="E412" s="33">
        <v>1</v>
      </c>
      <c r="AD412" s="19" t="s">
        <v>905</v>
      </c>
      <c r="AE412" s="33">
        <v>1</v>
      </c>
      <c r="AF412" s="33">
        <v>65</v>
      </c>
      <c r="AG412" s="33">
        <v>11.7</v>
      </c>
      <c r="AH412" s="33">
        <v>76.7</v>
      </c>
      <c r="AJ412" s="19" t="s">
        <v>468</v>
      </c>
      <c r="AK412" s="17">
        <v>1</v>
      </c>
      <c r="AL412" s="17">
        <v>2327.5300000000002</v>
      </c>
      <c r="AM412" s="17">
        <v>418.95</v>
      </c>
      <c r="AN412" s="17">
        <v>2746.48</v>
      </c>
      <c r="BN412"/>
      <c r="BO412"/>
      <c r="BQ412"/>
      <c r="BR412"/>
    </row>
    <row r="413" spans="4:70" ht="15">
      <c r="D413" s="19" t="s">
        <v>1050</v>
      </c>
      <c r="E413" s="33">
        <v>1</v>
      </c>
      <c r="AD413" s="19" t="s">
        <v>903</v>
      </c>
      <c r="AE413" s="33">
        <v>1</v>
      </c>
      <c r="AF413" s="33">
        <v>32.880000000000003</v>
      </c>
      <c r="AG413" s="33">
        <v>5.92</v>
      </c>
      <c r="AH413" s="33">
        <v>38.799999999999997</v>
      </c>
      <c r="AJ413" s="19" t="s">
        <v>466</v>
      </c>
      <c r="AK413" s="17">
        <v>1</v>
      </c>
      <c r="AL413" s="17">
        <v>1</v>
      </c>
      <c r="AM413" s="17">
        <v>0.18</v>
      </c>
      <c r="AN413" s="17">
        <v>1.18</v>
      </c>
      <c r="BN413"/>
      <c r="BO413"/>
      <c r="BQ413"/>
      <c r="BR413"/>
    </row>
    <row r="414" spans="4:70" ht="15">
      <c r="D414" s="19" t="s">
        <v>1052</v>
      </c>
      <c r="E414" s="33">
        <v>1</v>
      </c>
      <c r="AD414" s="19" t="s">
        <v>900</v>
      </c>
      <c r="AE414" s="33">
        <v>1</v>
      </c>
      <c r="AF414" s="33">
        <v>46.78</v>
      </c>
      <c r="AG414" s="33">
        <v>8.42</v>
      </c>
      <c r="AH414" s="33">
        <v>55.2</v>
      </c>
      <c r="AJ414" s="19" t="s">
        <v>464</v>
      </c>
      <c r="AK414" s="17">
        <v>1</v>
      </c>
      <c r="AL414" s="17">
        <v>1180.25</v>
      </c>
      <c r="AM414" s="17">
        <v>212.45</v>
      </c>
      <c r="AN414" s="17">
        <v>1392.7</v>
      </c>
      <c r="BN414"/>
      <c r="BO414"/>
      <c r="BQ414"/>
      <c r="BR414"/>
    </row>
    <row r="415" spans="4:70" ht="15">
      <c r="D415" s="19" t="s">
        <v>1054</v>
      </c>
      <c r="E415" s="33">
        <v>1</v>
      </c>
      <c r="AD415" s="19" t="s">
        <v>898</v>
      </c>
      <c r="AE415" s="33">
        <v>1</v>
      </c>
      <c r="AF415" s="33">
        <v>5.07</v>
      </c>
      <c r="AG415" s="33">
        <v>0.91</v>
      </c>
      <c r="AH415" s="33">
        <v>5.98</v>
      </c>
      <c r="AJ415" s="19" t="s">
        <v>461</v>
      </c>
      <c r="AK415" s="17">
        <v>1</v>
      </c>
      <c r="AL415" s="17">
        <v>1553.9</v>
      </c>
      <c r="AM415" s="17">
        <v>279.7</v>
      </c>
      <c r="AN415" s="17">
        <v>1833.6</v>
      </c>
      <c r="BN415"/>
      <c r="BO415"/>
      <c r="BQ415"/>
      <c r="BR415"/>
    </row>
    <row r="416" spans="4:70" ht="15">
      <c r="D416" s="19" t="s">
        <v>1056</v>
      </c>
      <c r="E416" s="33">
        <v>1</v>
      </c>
      <c r="AD416" s="19" t="s">
        <v>896</v>
      </c>
      <c r="AE416" s="33">
        <v>1</v>
      </c>
      <c r="AF416" s="33">
        <v>5.99</v>
      </c>
      <c r="AG416" s="33">
        <v>1.08</v>
      </c>
      <c r="AH416" s="33">
        <v>7.07</v>
      </c>
      <c r="AJ416" s="19" t="s">
        <v>459</v>
      </c>
      <c r="AK416" s="17">
        <v>1</v>
      </c>
      <c r="AL416" s="17">
        <v>12.2</v>
      </c>
      <c r="AM416" s="17">
        <v>2.2000000000000002</v>
      </c>
      <c r="AN416" s="17">
        <v>14.4</v>
      </c>
      <c r="BN416"/>
      <c r="BO416"/>
      <c r="BQ416"/>
      <c r="BR416"/>
    </row>
    <row r="417" spans="4:70" ht="15">
      <c r="D417" s="19" t="s">
        <v>1058</v>
      </c>
      <c r="E417" s="33">
        <v>1</v>
      </c>
      <c r="AD417" s="19" t="s">
        <v>894</v>
      </c>
      <c r="AE417" s="33">
        <v>1</v>
      </c>
      <c r="AF417" s="33">
        <v>126.8</v>
      </c>
      <c r="AG417" s="33">
        <v>22.82</v>
      </c>
      <c r="AH417" s="33">
        <v>149.62</v>
      </c>
      <c r="AJ417" s="19" t="s">
        <v>456</v>
      </c>
      <c r="AK417" s="17">
        <v>1</v>
      </c>
      <c r="AL417" s="17">
        <v>11.47</v>
      </c>
      <c r="AM417" s="17">
        <v>2.0699999999999998</v>
      </c>
      <c r="AN417" s="17">
        <v>13.54</v>
      </c>
      <c r="BN417"/>
      <c r="BO417"/>
      <c r="BQ417"/>
      <c r="BR417"/>
    </row>
    <row r="418" spans="4:70" ht="15">
      <c r="D418" s="19" t="s">
        <v>1130</v>
      </c>
      <c r="E418" s="33">
        <v>1</v>
      </c>
      <c r="AD418" s="19" t="s">
        <v>892</v>
      </c>
      <c r="AE418" s="33">
        <v>1</v>
      </c>
      <c r="AF418" s="33">
        <v>149.69</v>
      </c>
      <c r="AG418" s="33">
        <v>26.94</v>
      </c>
      <c r="AH418" s="33">
        <v>176.63</v>
      </c>
      <c r="AJ418" s="19" t="s">
        <v>454</v>
      </c>
      <c r="AK418" s="17">
        <v>1</v>
      </c>
      <c r="AL418" s="17">
        <v>17.29</v>
      </c>
      <c r="AM418" s="17">
        <v>3.11</v>
      </c>
      <c r="AN418" s="17">
        <v>20.399999999999999</v>
      </c>
      <c r="BN418"/>
      <c r="BO418"/>
      <c r="BQ418"/>
      <c r="BR418"/>
    </row>
    <row r="419" spans="4:70" ht="15">
      <c r="D419" s="19" t="s">
        <v>1133</v>
      </c>
      <c r="E419" s="33">
        <v>1</v>
      </c>
      <c r="AD419" s="19" t="s">
        <v>890</v>
      </c>
      <c r="AE419" s="33">
        <v>1</v>
      </c>
      <c r="AF419" s="33">
        <v>126.8</v>
      </c>
      <c r="AG419" s="33">
        <v>22.82</v>
      </c>
      <c r="AH419" s="33">
        <v>149.62</v>
      </c>
      <c r="AJ419" s="19" t="s">
        <v>451</v>
      </c>
      <c r="AK419" s="17">
        <v>1</v>
      </c>
      <c r="AL419" s="17">
        <v>30.34</v>
      </c>
      <c r="AM419" s="17">
        <v>5.46</v>
      </c>
      <c r="AN419" s="17">
        <v>35.799999999999997</v>
      </c>
      <c r="BN419"/>
      <c r="BO419"/>
      <c r="BQ419"/>
      <c r="BR419"/>
    </row>
    <row r="420" spans="4:70" ht="15">
      <c r="D420" s="19" t="s">
        <v>1060</v>
      </c>
      <c r="E420" s="33">
        <v>1</v>
      </c>
      <c r="AD420" s="19" t="s">
        <v>888</v>
      </c>
      <c r="AE420" s="33">
        <v>1</v>
      </c>
      <c r="AF420" s="33">
        <v>149.69</v>
      </c>
      <c r="AG420" s="33">
        <v>26.94</v>
      </c>
      <c r="AH420" s="33">
        <v>176.63</v>
      </c>
      <c r="AJ420" s="19" t="s">
        <v>449</v>
      </c>
      <c r="AK420" s="17">
        <v>1</v>
      </c>
      <c r="AL420" s="17">
        <v>18.05</v>
      </c>
      <c r="AM420" s="17">
        <v>3.25</v>
      </c>
      <c r="AN420" s="17">
        <v>21.3</v>
      </c>
      <c r="BN420"/>
      <c r="BO420"/>
      <c r="BQ420"/>
      <c r="BR420"/>
    </row>
    <row r="421" spans="4:70" ht="15">
      <c r="D421" s="19" t="s">
        <v>1062</v>
      </c>
      <c r="E421" s="33">
        <v>1</v>
      </c>
      <c r="AD421" s="19" t="s">
        <v>886</v>
      </c>
      <c r="AE421" s="33">
        <v>1</v>
      </c>
      <c r="AF421" s="33">
        <v>248.53</v>
      </c>
      <c r="AG421" s="33">
        <v>44.73</v>
      </c>
      <c r="AH421" s="33">
        <v>293.26</v>
      </c>
      <c r="AJ421" s="19" t="s">
        <v>446</v>
      </c>
      <c r="AK421" s="17">
        <v>1</v>
      </c>
      <c r="AL421" s="17">
        <v>16.440000000000001</v>
      </c>
      <c r="AM421" s="17">
        <v>2.96</v>
      </c>
      <c r="AN421" s="17">
        <v>19.399999999999999</v>
      </c>
      <c r="BN421"/>
      <c r="BO421"/>
      <c r="BQ421"/>
      <c r="BR421"/>
    </row>
    <row r="422" spans="4:70" ht="15">
      <c r="D422" s="19" t="s">
        <v>1064</v>
      </c>
      <c r="E422" s="33">
        <v>1</v>
      </c>
      <c r="AD422" s="19" t="s">
        <v>884</v>
      </c>
      <c r="AE422" s="33">
        <v>1</v>
      </c>
      <c r="AF422" s="33">
        <v>293.38</v>
      </c>
      <c r="AG422" s="33">
        <v>52.81</v>
      </c>
      <c r="AH422" s="33">
        <v>346.19</v>
      </c>
      <c r="AJ422" s="19" t="s">
        <v>444</v>
      </c>
      <c r="AK422" s="17">
        <v>1</v>
      </c>
      <c r="AL422" s="17">
        <v>29.49</v>
      </c>
      <c r="AM422" s="17">
        <v>5.31</v>
      </c>
      <c r="AN422" s="17">
        <v>34.799999999999997</v>
      </c>
      <c r="BN422"/>
      <c r="BO422"/>
      <c r="BQ422"/>
      <c r="BR422"/>
    </row>
    <row r="423" spans="4:70" ht="15">
      <c r="D423" s="19" t="s">
        <v>1067</v>
      </c>
      <c r="E423" s="33">
        <v>1</v>
      </c>
      <c r="AD423" s="19" t="s">
        <v>882</v>
      </c>
      <c r="AE423" s="33">
        <v>1</v>
      </c>
      <c r="AF423" s="33">
        <v>18.09</v>
      </c>
      <c r="AG423" s="33">
        <v>3.26</v>
      </c>
      <c r="AH423" s="33">
        <v>21.35</v>
      </c>
      <c r="AJ423" s="19" t="s">
        <v>441</v>
      </c>
      <c r="AK423" s="17">
        <v>1</v>
      </c>
      <c r="AL423" s="17">
        <v>54.07</v>
      </c>
      <c r="AM423" s="17">
        <v>9.73</v>
      </c>
      <c r="AN423" s="17">
        <v>63.8</v>
      </c>
      <c r="BN423"/>
      <c r="BO423"/>
      <c r="BQ423"/>
      <c r="BR423"/>
    </row>
    <row r="424" spans="4:70" ht="15">
      <c r="D424" s="19" t="s">
        <v>1069</v>
      </c>
      <c r="E424" s="33">
        <v>1</v>
      </c>
      <c r="AD424" s="19" t="s">
        <v>880</v>
      </c>
      <c r="AE424" s="33">
        <v>1</v>
      </c>
      <c r="AF424" s="33">
        <v>21.01</v>
      </c>
      <c r="AG424" s="33">
        <v>3.78</v>
      </c>
      <c r="AH424" s="33">
        <v>24.79</v>
      </c>
      <c r="AJ424" s="19" t="s">
        <v>439</v>
      </c>
      <c r="AK424" s="17">
        <v>1</v>
      </c>
      <c r="AL424" s="17">
        <v>183.02</v>
      </c>
      <c r="AM424" s="17">
        <v>32.94</v>
      </c>
      <c r="AN424" s="17">
        <v>215.96</v>
      </c>
      <c r="BN424"/>
      <c r="BO424"/>
      <c r="BQ424"/>
      <c r="BR424"/>
    </row>
    <row r="425" spans="4:70" ht="15">
      <c r="D425" s="19" t="s">
        <v>1072</v>
      </c>
      <c r="E425" s="33">
        <v>1</v>
      </c>
      <c r="AD425" s="19" t="s">
        <v>878</v>
      </c>
      <c r="AE425" s="33">
        <v>1</v>
      </c>
      <c r="AF425" s="33">
        <v>452.31</v>
      </c>
      <c r="AG425" s="33">
        <v>81.41</v>
      </c>
      <c r="AH425" s="33">
        <v>533.72</v>
      </c>
      <c r="AJ425" s="19" t="s">
        <v>437</v>
      </c>
      <c r="AK425" s="17">
        <v>1</v>
      </c>
      <c r="AL425" s="17">
        <v>298.87</v>
      </c>
      <c r="AM425" s="17">
        <v>53.8</v>
      </c>
      <c r="AN425" s="17">
        <v>352.67</v>
      </c>
      <c r="BN425"/>
      <c r="BO425"/>
      <c r="BQ425"/>
      <c r="BR425"/>
    </row>
    <row r="426" spans="4:70" ht="15">
      <c r="D426" s="19" t="s">
        <v>1074</v>
      </c>
      <c r="E426" s="33">
        <v>1</v>
      </c>
      <c r="AD426" s="19" t="s">
        <v>876</v>
      </c>
      <c r="AE426" s="33">
        <v>1</v>
      </c>
      <c r="AF426" s="33">
        <v>525.17999999999995</v>
      </c>
      <c r="AG426" s="33">
        <v>94.53</v>
      </c>
      <c r="AH426" s="33">
        <v>619.71</v>
      </c>
      <c r="AJ426" s="19" t="s">
        <v>434</v>
      </c>
      <c r="AK426" s="17">
        <v>1</v>
      </c>
      <c r="AL426" s="17">
        <v>308</v>
      </c>
      <c r="AM426" s="17">
        <v>55.44</v>
      </c>
      <c r="AN426" s="17">
        <v>363.44</v>
      </c>
      <c r="BN426"/>
      <c r="BO426"/>
      <c r="BQ426"/>
      <c r="BR426"/>
    </row>
    <row r="427" spans="4:70" ht="15">
      <c r="D427" s="19" t="s">
        <v>1077</v>
      </c>
      <c r="E427" s="33">
        <v>1</v>
      </c>
      <c r="AD427" s="19" t="s">
        <v>874</v>
      </c>
      <c r="AE427" s="33">
        <v>1</v>
      </c>
      <c r="AF427" s="33">
        <v>452.31</v>
      </c>
      <c r="AG427" s="33">
        <v>81.41</v>
      </c>
      <c r="AH427" s="33">
        <v>533.72</v>
      </c>
      <c r="AJ427" s="19" t="s">
        <v>432</v>
      </c>
      <c r="AK427" s="17">
        <v>1</v>
      </c>
      <c r="AL427" s="17">
        <v>660</v>
      </c>
      <c r="AM427" s="17">
        <v>118.8</v>
      </c>
      <c r="AN427" s="17">
        <v>778.8</v>
      </c>
      <c r="BN427"/>
      <c r="BO427"/>
      <c r="BQ427"/>
      <c r="BR427"/>
    </row>
    <row r="428" spans="4:70" ht="15">
      <c r="D428" s="19" t="s">
        <v>1079</v>
      </c>
      <c r="E428" s="33">
        <v>1</v>
      </c>
      <c r="AD428" s="19" t="s">
        <v>872</v>
      </c>
      <c r="AE428" s="33">
        <v>1</v>
      </c>
      <c r="AF428" s="33">
        <v>525.17999999999995</v>
      </c>
      <c r="AG428" s="33">
        <v>94.53</v>
      </c>
      <c r="AH428" s="33">
        <v>619.71</v>
      </c>
      <c r="AJ428" s="19" t="s">
        <v>430</v>
      </c>
      <c r="AK428" s="17">
        <v>1</v>
      </c>
      <c r="AL428" s="17">
        <v>1693.39</v>
      </c>
      <c r="AM428" s="17">
        <v>304.81</v>
      </c>
      <c r="AN428" s="17">
        <v>1998.2</v>
      </c>
      <c r="BN428"/>
      <c r="BO428"/>
      <c r="BQ428"/>
      <c r="BR428"/>
    </row>
    <row r="429" spans="4:70" ht="15">
      <c r="D429" s="19" t="s">
        <v>1082</v>
      </c>
      <c r="E429" s="33">
        <v>1</v>
      </c>
      <c r="AD429" s="19" t="s">
        <v>870</v>
      </c>
      <c r="AE429" s="33">
        <v>1</v>
      </c>
      <c r="AF429" s="33">
        <v>886.52</v>
      </c>
      <c r="AG429" s="33">
        <v>159.57</v>
      </c>
      <c r="AH429" s="33">
        <v>1046.0899999999999</v>
      </c>
      <c r="AJ429" s="19" t="s">
        <v>428</v>
      </c>
      <c r="AK429" s="17">
        <v>1</v>
      </c>
      <c r="AL429" s="17">
        <v>1200</v>
      </c>
      <c r="AM429" s="17">
        <v>216</v>
      </c>
      <c r="AN429" s="17">
        <v>1416</v>
      </c>
      <c r="BN429"/>
      <c r="BO429"/>
      <c r="BQ429"/>
      <c r="BR429"/>
    </row>
    <row r="430" spans="4:70" ht="15">
      <c r="D430" s="19" t="s">
        <v>1084</v>
      </c>
      <c r="E430" s="33">
        <v>1</v>
      </c>
      <c r="AD430" s="19" t="s">
        <v>868</v>
      </c>
      <c r="AE430" s="33">
        <v>1</v>
      </c>
      <c r="AF430" s="33">
        <v>1029.3599999999999</v>
      </c>
      <c r="AG430" s="33">
        <v>185.28</v>
      </c>
      <c r="AH430" s="33">
        <v>1214.6400000000001</v>
      </c>
      <c r="AJ430" s="19" t="s">
        <v>426</v>
      </c>
      <c r="AK430" s="17">
        <v>1</v>
      </c>
      <c r="AL430" s="17">
        <v>600</v>
      </c>
      <c r="AM430" s="17">
        <v>108</v>
      </c>
      <c r="AN430" s="17">
        <v>708</v>
      </c>
      <c r="BN430"/>
      <c r="BO430"/>
      <c r="BQ430"/>
      <c r="BR430"/>
    </row>
    <row r="431" spans="4:70" ht="15">
      <c r="D431" s="19" t="s">
        <v>1135</v>
      </c>
      <c r="E431" s="33">
        <v>1</v>
      </c>
      <c r="AD431" s="19" t="s">
        <v>866</v>
      </c>
      <c r="AE431" s="33">
        <v>1</v>
      </c>
      <c r="AF431" s="33">
        <v>20.99</v>
      </c>
      <c r="AG431" s="33">
        <v>3.78</v>
      </c>
      <c r="AH431" s="33">
        <v>24.77</v>
      </c>
      <c r="AJ431" s="19" t="s">
        <v>423</v>
      </c>
      <c r="AK431" s="17">
        <v>1</v>
      </c>
      <c r="AL431" s="17">
        <v>10</v>
      </c>
      <c r="AM431" s="17">
        <v>1.8</v>
      </c>
      <c r="AN431" s="17">
        <v>11.8</v>
      </c>
      <c r="BN431"/>
      <c r="BO431"/>
      <c r="BQ431"/>
      <c r="BR431"/>
    </row>
    <row r="432" spans="4:70" ht="15">
      <c r="D432" s="19" t="s">
        <v>1138</v>
      </c>
      <c r="E432" s="33">
        <v>1</v>
      </c>
      <c r="AD432" s="19" t="s">
        <v>864</v>
      </c>
      <c r="AE432" s="33">
        <v>1</v>
      </c>
      <c r="AF432" s="33">
        <v>24.11</v>
      </c>
      <c r="AG432" s="33">
        <v>4.34</v>
      </c>
      <c r="AH432" s="33">
        <v>28.45</v>
      </c>
      <c r="AJ432" s="19" t="s">
        <v>421</v>
      </c>
      <c r="AK432" s="17">
        <v>1</v>
      </c>
      <c r="AL432" s="17">
        <v>42.58</v>
      </c>
      <c r="AM432" s="17">
        <v>7.66</v>
      </c>
      <c r="AN432" s="17">
        <v>50.24</v>
      </c>
      <c r="BN432"/>
      <c r="BO432"/>
      <c r="BQ432"/>
      <c r="BR432"/>
    </row>
    <row r="433" spans="4:70" ht="15">
      <c r="D433" s="19" t="s">
        <v>1140</v>
      </c>
      <c r="E433" s="33">
        <v>1</v>
      </c>
      <c r="AD433" s="19" t="s">
        <v>862</v>
      </c>
      <c r="AE433" s="33">
        <v>1</v>
      </c>
      <c r="AF433" s="33">
        <v>524.72</v>
      </c>
      <c r="AG433" s="33">
        <v>94.45</v>
      </c>
      <c r="AH433" s="33">
        <v>619.16999999999996</v>
      </c>
      <c r="AJ433" s="19" t="s">
        <v>419</v>
      </c>
      <c r="AK433" s="17">
        <v>1</v>
      </c>
      <c r="AL433" s="17">
        <v>69.42</v>
      </c>
      <c r="AM433" s="17">
        <v>12.5</v>
      </c>
      <c r="AN433" s="17">
        <v>81.92</v>
      </c>
      <c r="BN433"/>
      <c r="BO433"/>
      <c r="BQ433"/>
      <c r="BR433"/>
    </row>
    <row r="434" spans="4:70" ht="15">
      <c r="D434" s="19" t="s">
        <v>1143</v>
      </c>
      <c r="E434" s="33">
        <v>1</v>
      </c>
      <c r="AD434" s="19" t="s">
        <v>860</v>
      </c>
      <c r="AE434" s="33">
        <v>1</v>
      </c>
      <c r="AF434" s="33">
        <v>602.70000000000005</v>
      </c>
      <c r="AG434" s="33">
        <v>108.49</v>
      </c>
      <c r="AH434" s="33">
        <v>711.19</v>
      </c>
      <c r="AJ434" s="19" t="s">
        <v>417</v>
      </c>
      <c r="AK434" s="17">
        <v>1</v>
      </c>
      <c r="AL434" s="17">
        <v>200</v>
      </c>
      <c r="AM434" s="17">
        <v>36</v>
      </c>
      <c r="AN434" s="17">
        <v>236</v>
      </c>
      <c r="BN434"/>
      <c r="BO434"/>
      <c r="BQ434"/>
      <c r="BR434"/>
    </row>
    <row r="435" spans="4:70" ht="15">
      <c r="D435" s="19" t="s">
        <v>1086</v>
      </c>
      <c r="E435" s="33">
        <v>1</v>
      </c>
      <c r="AD435" s="19" t="s">
        <v>858</v>
      </c>
      <c r="AE435" s="33">
        <v>1</v>
      </c>
      <c r="AF435" s="33">
        <v>524.72</v>
      </c>
      <c r="AG435" s="33">
        <v>94.45</v>
      </c>
      <c r="AH435" s="33">
        <v>619.16999999999996</v>
      </c>
      <c r="AJ435" s="19" t="s">
        <v>414</v>
      </c>
      <c r="AK435" s="17">
        <v>1</v>
      </c>
      <c r="AL435" s="17">
        <v>1</v>
      </c>
      <c r="AM435" s="17">
        <v>0.18</v>
      </c>
      <c r="AN435" s="17">
        <v>1.18</v>
      </c>
      <c r="BN435"/>
      <c r="BO435"/>
      <c r="BQ435"/>
      <c r="BR435"/>
    </row>
    <row r="436" spans="4:70" ht="15">
      <c r="D436" s="19" t="s">
        <v>1088</v>
      </c>
      <c r="E436" s="33">
        <v>1</v>
      </c>
      <c r="AD436" s="19" t="s">
        <v>856</v>
      </c>
      <c r="AE436" s="33">
        <v>1</v>
      </c>
      <c r="AF436" s="33">
        <v>602.70000000000005</v>
      </c>
      <c r="AG436" s="33">
        <v>108.49</v>
      </c>
      <c r="AH436" s="33">
        <v>711.19</v>
      </c>
      <c r="AJ436" s="19" t="s">
        <v>412</v>
      </c>
      <c r="AK436" s="17">
        <v>1</v>
      </c>
      <c r="AL436" s="17">
        <v>4.58</v>
      </c>
      <c r="AM436" s="17">
        <v>0.82</v>
      </c>
      <c r="AN436" s="17">
        <v>5.4</v>
      </c>
      <c r="BN436"/>
      <c r="BO436"/>
      <c r="BQ436"/>
      <c r="BR436"/>
    </row>
    <row r="437" spans="4:70" ht="15">
      <c r="D437" s="19" t="s">
        <v>1090</v>
      </c>
      <c r="E437" s="33">
        <v>1</v>
      </c>
      <c r="AD437" s="19" t="s">
        <v>854</v>
      </c>
      <c r="AE437" s="33">
        <v>1</v>
      </c>
      <c r="AF437" s="33">
        <v>1028.46</v>
      </c>
      <c r="AG437" s="33">
        <v>185.12</v>
      </c>
      <c r="AH437" s="33">
        <v>1213.58</v>
      </c>
      <c r="AJ437" s="19" t="s">
        <v>410</v>
      </c>
      <c r="AK437" s="17">
        <v>1</v>
      </c>
      <c r="AL437" s="17">
        <v>6.95</v>
      </c>
      <c r="AM437" s="17">
        <v>1.25</v>
      </c>
      <c r="AN437" s="17">
        <v>8.1999999999999993</v>
      </c>
      <c r="BN437"/>
      <c r="BO437"/>
      <c r="BQ437"/>
      <c r="BR437"/>
    </row>
    <row r="438" spans="4:70" ht="15">
      <c r="D438" s="19" t="s">
        <v>1093</v>
      </c>
      <c r="E438" s="33">
        <v>1</v>
      </c>
      <c r="AD438" s="19" t="s">
        <v>852</v>
      </c>
      <c r="AE438" s="33">
        <v>1</v>
      </c>
      <c r="AF438" s="33">
        <v>1181.29</v>
      </c>
      <c r="AG438" s="33">
        <v>212.63</v>
      </c>
      <c r="AH438" s="33">
        <v>1393.92</v>
      </c>
      <c r="AJ438" s="19" t="s">
        <v>408</v>
      </c>
      <c r="AK438" s="17">
        <v>1</v>
      </c>
      <c r="AL438" s="17">
        <v>12.71</v>
      </c>
      <c r="AM438" s="17">
        <v>2.29</v>
      </c>
      <c r="AN438" s="17">
        <v>15</v>
      </c>
      <c r="BN438"/>
      <c r="BO438"/>
      <c r="BQ438"/>
      <c r="BR438"/>
    </row>
    <row r="439" spans="4:70" ht="15">
      <c r="D439" s="19" t="s">
        <v>1145</v>
      </c>
      <c r="E439" s="33">
        <v>1</v>
      </c>
      <c r="AD439" s="19" t="s">
        <v>749</v>
      </c>
      <c r="AE439" s="33">
        <v>1</v>
      </c>
      <c r="AF439" s="33">
        <v>95.97</v>
      </c>
      <c r="AG439" s="33">
        <v>17.27</v>
      </c>
      <c r="AH439" s="33">
        <v>113.24</v>
      </c>
      <c r="AJ439" s="19" t="s">
        <v>405</v>
      </c>
      <c r="AK439" s="17">
        <v>1</v>
      </c>
      <c r="AL439" s="17">
        <v>18.64</v>
      </c>
      <c r="AM439" s="17">
        <v>3.36</v>
      </c>
      <c r="AN439" s="17">
        <v>22</v>
      </c>
      <c r="BN439"/>
      <c r="BO439"/>
      <c r="BQ439"/>
      <c r="BR439"/>
    </row>
    <row r="440" spans="4:70" ht="15">
      <c r="D440" s="19" t="s">
        <v>1148</v>
      </c>
      <c r="E440" s="33">
        <v>1</v>
      </c>
      <c r="AD440" s="19" t="s">
        <v>746</v>
      </c>
      <c r="AE440" s="33">
        <v>1</v>
      </c>
      <c r="AF440" s="33">
        <v>96.1</v>
      </c>
      <c r="AG440" s="33">
        <v>17.3</v>
      </c>
      <c r="AH440" s="33">
        <v>113.4</v>
      </c>
      <c r="AJ440" s="19" t="s">
        <v>403</v>
      </c>
      <c r="AK440" s="17">
        <v>1</v>
      </c>
      <c r="AL440" s="17">
        <v>140.34</v>
      </c>
      <c r="AM440" s="17">
        <v>25.26</v>
      </c>
      <c r="AN440" s="17">
        <v>165.6</v>
      </c>
      <c r="BN440"/>
      <c r="BO440"/>
    </row>
    <row r="441" spans="4:70" ht="15">
      <c r="D441" s="19" t="s">
        <v>1095</v>
      </c>
      <c r="E441" s="33">
        <v>1</v>
      </c>
      <c r="AD441" s="19" t="s">
        <v>744</v>
      </c>
      <c r="AE441" s="33">
        <v>1</v>
      </c>
      <c r="AF441" s="33">
        <v>824.87</v>
      </c>
      <c r="AG441" s="33">
        <v>148.47999999999999</v>
      </c>
      <c r="AH441" s="33">
        <v>973.35</v>
      </c>
      <c r="AJ441" s="19" t="s">
        <v>400</v>
      </c>
      <c r="AK441" s="17">
        <v>1</v>
      </c>
      <c r="AL441" s="17">
        <v>190.17</v>
      </c>
      <c r="AM441" s="17">
        <v>34.229999999999997</v>
      </c>
      <c r="AN441" s="17">
        <v>224.4</v>
      </c>
      <c r="BN441"/>
      <c r="BO441"/>
    </row>
    <row r="442" spans="4:70" ht="15">
      <c r="D442" s="19" t="s">
        <v>1098</v>
      </c>
      <c r="E442" s="33">
        <v>1</v>
      </c>
      <c r="AD442" s="19" t="s">
        <v>741</v>
      </c>
      <c r="AE442" s="33">
        <v>1</v>
      </c>
      <c r="AF442" s="33">
        <v>1346.2</v>
      </c>
      <c r="AG442" s="33">
        <v>242.32</v>
      </c>
      <c r="AH442" s="33">
        <v>1588.52</v>
      </c>
      <c r="AJ442" s="19" t="s">
        <v>398</v>
      </c>
      <c r="AK442" s="17">
        <v>1</v>
      </c>
      <c r="AL442" s="17">
        <v>527.39</v>
      </c>
      <c r="AM442" s="17">
        <v>94.93</v>
      </c>
      <c r="AN442" s="17">
        <v>622.32000000000005</v>
      </c>
      <c r="BN442"/>
      <c r="BO442"/>
    </row>
    <row r="443" spans="4:70" ht="15">
      <c r="D443" s="19" t="s">
        <v>1150</v>
      </c>
      <c r="E443" s="33">
        <v>1</v>
      </c>
      <c r="AD443" s="19" t="s">
        <v>739</v>
      </c>
      <c r="AE443" s="33">
        <v>1</v>
      </c>
      <c r="AF443" s="33">
        <v>133.47</v>
      </c>
      <c r="AG443" s="33">
        <v>24.03</v>
      </c>
      <c r="AH443" s="33">
        <v>157.5</v>
      </c>
      <c r="AJ443" s="19" t="s">
        <v>396</v>
      </c>
      <c r="AK443" s="17">
        <v>1</v>
      </c>
      <c r="AL443" s="17">
        <v>392.2</v>
      </c>
      <c r="AM443" s="17">
        <v>70.599999999999994</v>
      </c>
      <c r="AN443" s="17">
        <v>462.8</v>
      </c>
      <c r="BN443"/>
      <c r="BO443"/>
    </row>
    <row r="444" spans="4:70" ht="15">
      <c r="D444" s="19" t="s">
        <v>1153</v>
      </c>
      <c r="E444" s="33">
        <v>1</v>
      </c>
      <c r="AD444" s="19" t="s">
        <v>736</v>
      </c>
      <c r="AE444" s="33">
        <v>1</v>
      </c>
      <c r="AF444" s="33">
        <v>240.25</v>
      </c>
      <c r="AG444" s="33">
        <v>43.25</v>
      </c>
      <c r="AH444" s="33">
        <v>283.5</v>
      </c>
      <c r="AJ444" s="19" t="s">
        <v>393</v>
      </c>
      <c r="AK444" s="17">
        <v>1</v>
      </c>
      <c r="AL444" s="17">
        <v>12.75</v>
      </c>
      <c r="AM444" s="17">
        <v>2.29</v>
      </c>
      <c r="AN444" s="17">
        <v>15.04</v>
      </c>
      <c r="BN444"/>
      <c r="BO444"/>
    </row>
    <row r="445" spans="4:70" ht="15">
      <c r="D445" s="19" t="s">
        <v>1100</v>
      </c>
      <c r="E445" s="33">
        <v>1</v>
      </c>
      <c r="AD445" s="19" t="s">
        <v>734</v>
      </c>
      <c r="AE445" s="33">
        <v>1</v>
      </c>
      <c r="AF445" s="33">
        <v>19.07</v>
      </c>
      <c r="AG445" s="33">
        <v>3.43</v>
      </c>
      <c r="AH445" s="33">
        <v>22.5</v>
      </c>
      <c r="AJ445" s="19" t="s">
        <v>386</v>
      </c>
      <c r="AK445" s="17">
        <v>1</v>
      </c>
      <c r="AL445" s="17">
        <v>20.190000000000001</v>
      </c>
      <c r="AM445" s="17">
        <v>3.64</v>
      </c>
      <c r="AN445" s="17">
        <v>23.83</v>
      </c>
      <c r="BN445"/>
      <c r="BO445"/>
    </row>
    <row r="446" spans="4:70" ht="15">
      <c r="D446" s="19" t="s">
        <v>1102</v>
      </c>
      <c r="E446" s="33">
        <v>1</v>
      </c>
      <c r="AD446" s="19" t="s">
        <v>731</v>
      </c>
      <c r="AE446" s="33">
        <v>1</v>
      </c>
      <c r="AF446" s="33">
        <v>34.32</v>
      </c>
      <c r="AG446" s="33">
        <v>6.18</v>
      </c>
      <c r="AH446" s="33">
        <v>40.5</v>
      </c>
      <c r="AJ446" s="19" t="s">
        <v>384</v>
      </c>
      <c r="AK446" s="17">
        <v>1</v>
      </c>
      <c r="AL446" s="17">
        <v>30.68</v>
      </c>
      <c r="AM446" s="17">
        <v>5.52</v>
      </c>
      <c r="AN446" s="17">
        <v>36.200000000000003</v>
      </c>
      <c r="BN446"/>
      <c r="BO446"/>
    </row>
    <row r="447" spans="4:70" ht="15">
      <c r="D447" s="19" t="s">
        <v>1104</v>
      </c>
      <c r="E447" s="33">
        <v>1</v>
      </c>
      <c r="AD447" s="19" t="s">
        <v>680</v>
      </c>
      <c r="AE447" s="33">
        <v>1</v>
      </c>
      <c r="AF447" s="33">
        <v>4611.78</v>
      </c>
      <c r="AG447" s="33">
        <v>830.12</v>
      </c>
      <c r="AH447" s="33">
        <v>5441.9</v>
      </c>
      <c r="AJ447" s="19" t="s">
        <v>382</v>
      </c>
      <c r="AK447" s="17">
        <v>1</v>
      </c>
      <c r="AL447" s="17">
        <v>107.37</v>
      </c>
      <c r="AM447" s="17">
        <v>19.329999999999998</v>
      </c>
      <c r="AN447" s="17">
        <v>126.7</v>
      </c>
      <c r="BN447"/>
      <c r="BO447"/>
    </row>
    <row r="448" spans="4:70" ht="15">
      <c r="D448" s="19" t="s">
        <v>1106</v>
      </c>
      <c r="E448" s="33">
        <v>1</v>
      </c>
      <c r="AD448" s="19" t="s">
        <v>678</v>
      </c>
      <c r="AE448" s="33">
        <v>1</v>
      </c>
      <c r="AF448" s="33">
        <v>5235.68</v>
      </c>
      <c r="AG448" s="33">
        <v>942.42</v>
      </c>
      <c r="AH448" s="33">
        <v>6178.1</v>
      </c>
      <c r="AJ448" s="19" t="s">
        <v>952</v>
      </c>
      <c r="AK448" s="17">
        <v>1</v>
      </c>
      <c r="AL448" s="17">
        <v>970</v>
      </c>
      <c r="AM448" s="17">
        <v>174.6</v>
      </c>
      <c r="AN448" s="17">
        <v>1144.5999999999999</v>
      </c>
      <c r="BN448"/>
      <c r="BO448"/>
    </row>
    <row r="449" spans="4:67" ht="15">
      <c r="D449" s="19" t="s">
        <v>1108</v>
      </c>
      <c r="E449" s="33">
        <v>1</v>
      </c>
      <c r="AD449" s="19" t="s">
        <v>676</v>
      </c>
      <c r="AE449" s="33">
        <v>1</v>
      </c>
      <c r="AF449" s="33">
        <v>3100</v>
      </c>
      <c r="AG449" s="33">
        <v>558</v>
      </c>
      <c r="AH449" s="33">
        <v>3658</v>
      </c>
      <c r="AJ449" s="19" t="s">
        <v>950</v>
      </c>
      <c r="AK449" s="17">
        <v>1</v>
      </c>
      <c r="AL449" s="17">
        <v>976.5</v>
      </c>
      <c r="AM449" s="17">
        <v>175.77</v>
      </c>
      <c r="AN449" s="17">
        <v>1152.27</v>
      </c>
      <c r="BN449"/>
      <c r="BO449"/>
    </row>
    <row r="450" spans="4:67" ht="15">
      <c r="D450" s="19" t="s">
        <v>1110</v>
      </c>
      <c r="E450" s="33">
        <v>1</v>
      </c>
      <c r="AD450" s="19" t="s">
        <v>673</v>
      </c>
      <c r="AE450" s="33">
        <v>1</v>
      </c>
      <c r="AF450" s="33">
        <v>483.73</v>
      </c>
      <c r="AG450" s="33">
        <v>87.07</v>
      </c>
      <c r="AH450" s="33">
        <v>570.79999999999995</v>
      </c>
      <c r="AJ450" s="19" t="s">
        <v>927</v>
      </c>
      <c r="AK450" s="17">
        <v>1</v>
      </c>
      <c r="AL450" s="17">
        <v>209.66</v>
      </c>
      <c r="AM450" s="17">
        <v>37.74</v>
      </c>
      <c r="AN450" s="17">
        <v>247.4</v>
      </c>
      <c r="BN450"/>
      <c r="BO450"/>
    </row>
    <row r="451" spans="4:67" ht="15">
      <c r="D451" s="19" t="s">
        <v>1112</v>
      </c>
      <c r="E451" s="33">
        <v>1</v>
      </c>
      <c r="AD451" s="19" t="s">
        <v>619</v>
      </c>
      <c r="AE451" s="33">
        <v>1</v>
      </c>
      <c r="AF451" s="33">
        <v>283.73</v>
      </c>
      <c r="AG451" s="33">
        <v>51.07</v>
      </c>
      <c r="AH451" s="33">
        <v>334.8</v>
      </c>
      <c r="AJ451" s="19" t="s">
        <v>925</v>
      </c>
      <c r="AK451" s="17">
        <v>1</v>
      </c>
      <c r="AL451" s="17">
        <v>720</v>
      </c>
      <c r="AM451" s="17">
        <v>129.6</v>
      </c>
      <c r="AN451" s="17">
        <v>849.6</v>
      </c>
      <c r="BN451"/>
      <c r="BO451"/>
    </row>
    <row r="452" spans="4:67" ht="15">
      <c r="D452" s="19" t="s">
        <v>1114</v>
      </c>
      <c r="E452" s="33">
        <v>1</v>
      </c>
      <c r="AD452" s="19" t="s">
        <v>616</v>
      </c>
      <c r="AE452" s="33">
        <v>1</v>
      </c>
      <c r="AF452" s="33">
        <v>370.08</v>
      </c>
      <c r="AG452" s="33">
        <v>66.62</v>
      </c>
      <c r="AH452" s="33">
        <v>436.7</v>
      </c>
      <c r="AJ452" s="19" t="s">
        <v>923</v>
      </c>
      <c r="AK452" s="17">
        <v>1</v>
      </c>
      <c r="AL452" s="17">
        <v>720</v>
      </c>
      <c r="AM452" s="17">
        <v>129.6</v>
      </c>
      <c r="AN452" s="17">
        <v>849.6</v>
      </c>
      <c r="BN452"/>
      <c r="BO452"/>
    </row>
    <row r="453" spans="4:67" ht="15">
      <c r="D453" s="19" t="s">
        <v>1116</v>
      </c>
      <c r="E453" s="33">
        <v>1</v>
      </c>
      <c r="AD453" s="19" t="s">
        <v>614</v>
      </c>
      <c r="AE453" s="33">
        <v>1</v>
      </c>
      <c r="AF453" s="33">
        <v>35.549999999999997</v>
      </c>
      <c r="AG453" s="33">
        <v>6.4</v>
      </c>
      <c r="AH453" s="33">
        <v>41.95</v>
      </c>
      <c r="AJ453" s="19" t="s">
        <v>920</v>
      </c>
      <c r="AK453" s="17">
        <v>1</v>
      </c>
      <c r="AL453" s="17">
        <v>1230</v>
      </c>
      <c r="AM453" s="17">
        <v>221.4</v>
      </c>
      <c r="AN453" s="17">
        <v>1451.4</v>
      </c>
      <c r="BN453"/>
      <c r="BO453"/>
    </row>
    <row r="454" spans="4:67" ht="15">
      <c r="D454" s="19" t="s">
        <v>1119</v>
      </c>
      <c r="E454" s="33">
        <v>1</v>
      </c>
      <c r="AD454" s="19" t="s">
        <v>612</v>
      </c>
      <c r="AE454" s="33">
        <v>1</v>
      </c>
      <c r="AF454" s="33">
        <v>4.83</v>
      </c>
      <c r="AG454" s="33">
        <v>0.87</v>
      </c>
      <c r="AH454" s="33">
        <v>5.7</v>
      </c>
      <c r="AJ454" s="19" t="s">
        <v>753</v>
      </c>
      <c r="AK454" s="17">
        <v>1</v>
      </c>
      <c r="AL454" s="17">
        <v>910</v>
      </c>
      <c r="AM454" s="17">
        <v>163.80000000000001</v>
      </c>
      <c r="AN454" s="17">
        <v>1073.8</v>
      </c>
      <c r="BN454"/>
      <c r="BO454"/>
    </row>
    <row r="455" spans="4:67" ht="15">
      <c r="D455" s="19" t="s">
        <v>1155</v>
      </c>
      <c r="E455" s="33">
        <v>1</v>
      </c>
      <c r="AD455" s="19" t="s">
        <v>609</v>
      </c>
      <c r="AE455" s="33">
        <v>1</v>
      </c>
      <c r="AF455" s="33">
        <v>32.5</v>
      </c>
      <c r="AG455" s="33">
        <v>5.85</v>
      </c>
      <c r="AH455" s="33">
        <v>38.35</v>
      </c>
      <c r="AJ455" s="19" t="s">
        <v>751</v>
      </c>
      <c r="AK455" s="17">
        <v>1</v>
      </c>
      <c r="AL455" s="17">
        <v>800</v>
      </c>
      <c r="AM455" s="17">
        <v>144</v>
      </c>
      <c r="AN455" s="17">
        <v>944</v>
      </c>
      <c r="BN455"/>
      <c r="BO455"/>
    </row>
    <row r="456" spans="4:67" ht="15">
      <c r="D456" s="19" t="s">
        <v>1157</v>
      </c>
      <c r="E456" s="33">
        <v>1</v>
      </c>
      <c r="AD456" s="19" t="s">
        <v>607</v>
      </c>
      <c r="AE456" s="33">
        <v>1</v>
      </c>
      <c r="AF456" s="33">
        <v>279.66000000000003</v>
      </c>
      <c r="AG456" s="33">
        <v>50.34</v>
      </c>
      <c r="AH456" s="33">
        <v>330</v>
      </c>
      <c r="AJ456" s="19" t="s">
        <v>682</v>
      </c>
      <c r="AK456" s="17">
        <v>1</v>
      </c>
      <c r="AL456" s="17">
        <v>2080</v>
      </c>
      <c r="AM456" s="17">
        <v>374.4</v>
      </c>
      <c r="AN456" s="17">
        <v>2454.4</v>
      </c>
      <c r="BN456"/>
      <c r="BO456"/>
    </row>
    <row r="457" spans="4:67" ht="15">
      <c r="D457" s="19" t="s">
        <v>1159</v>
      </c>
      <c r="E457" s="33">
        <v>1</v>
      </c>
      <c r="AD457" s="19" t="s">
        <v>605</v>
      </c>
      <c r="AE457" s="33">
        <v>1</v>
      </c>
      <c r="AF457" s="33">
        <v>374.24</v>
      </c>
      <c r="AG457" s="33">
        <v>67.36</v>
      </c>
      <c r="AH457" s="33">
        <v>441.6</v>
      </c>
      <c r="AJ457" s="19" t="s">
        <v>588</v>
      </c>
      <c r="AK457" s="17">
        <v>1</v>
      </c>
      <c r="AL457" s="17">
        <v>830</v>
      </c>
      <c r="AM457" s="17">
        <v>149.4</v>
      </c>
      <c r="AN457" s="17">
        <v>979.4</v>
      </c>
      <c r="BN457"/>
      <c r="BO457"/>
    </row>
    <row r="458" spans="4:67" ht="15">
      <c r="D458" s="19" t="s">
        <v>1162</v>
      </c>
      <c r="E458" s="33">
        <v>1</v>
      </c>
      <c r="AD458" s="19" t="s">
        <v>603</v>
      </c>
      <c r="AE458" s="33">
        <v>1</v>
      </c>
      <c r="AF458" s="33">
        <v>96.1</v>
      </c>
      <c r="AG458" s="33">
        <v>17.3</v>
      </c>
      <c r="AH458" s="33">
        <v>113.4</v>
      </c>
      <c r="AJ458" s="19" t="s">
        <v>380</v>
      </c>
      <c r="AK458" s="17">
        <v>1</v>
      </c>
      <c r="AL458" s="17">
        <v>400</v>
      </c>
      <c r="AM458" s="17">
        <v>72</v>
      </c>
      <c r="AN458" s="17">
        <v>472</v>
      </c>
      <c r="BN458"/>
      <c r="BO458"/>
    </row>
    <row r="459" spans="4:67" ht="15">
      <c r="D459" s="19" t="s">
        <v>1121</v>
      </c>
      <c r="E459" s="33">
        <v>1</v>
      </c>
      <c r="AD459" s="19" t="s">
        <v>600</v>
      </c>
      <c r="AE459" s="33">
        <v>1</v>
      </c>
      <c r="AF459" s="33">
        <v>117.97</v>
      </c>
      <c r="AG459" s="33">
        <v>21.23</v>
      </c>
      <c r="AH459" s="33">
        <v>139.19999999999999</v>
      </c>
      <c r="AJ459" s="19" t="s">
        <v>378</v>
      </c>
      <c r="AK459" s="17">
        <v>1</v>
      </c>
      <c r="AL459" s="17">
        <v>1241</v>
      </c>
      <c r="AM459" s="17">
        <v>223.38</v>
      </c>
      <c r="AN459" s="17">
        <v>1464.38</v>
      </c>
      <c r="BN459"/>
      <c r="BO459"/>
    </row>
    <row r="460" spans="4:67" ht="15">
      <c r="D460" s="19" t="s">
        <v>1123</v>
      </c>
      <c r="E460" s="33">
        <v>1</v>
      </c>
      <c r="AD460" s="19" t="s">
        <v>598</v>
      </c>
      <c r="AE460" s="33">
        <v>1</v>
      </c>
      <c r="AF460" s="33">
        <v>26.45</v>
      </c>
      <c r="AG460" s="33">
        <v>4.76</v>
      </c>
      <c r="AH460" s="33">
        <v>31.21</v>
      </c>
      <c r="AJ460" s="19" t="s">
        <v>375</v>
      </c>
      <c r="AK460" s="17">
        <v>1</v>
      </c>
      <c r="AL460" s="17">
        <v>1230</v>
      </c>
      <c r="AM460" s="17">
        <v>221.4</v>
      </c>
      <c r="AN460" s="17">
        <v>1451.4</v>
      </c>
      <c r="BN460"/>
      <c r="BO460"/>
    </row>
    <row r="461" spans="4:67" ht="15">
      <c r="D461" s="19" t="s">
        <v>1125</v>
      </c>
      <c r="E461" s="33">
        <v>1</v>
      </c>
      <c r="AD461" s="19" t="s">
        <v>595</v>
      </c>
      <c r="AE461" s="33">
        <v>1</v>
      </c>
      <c r="AF461" s="33">
        <v>24.56</v>
      </c>
      <c r="AG461" s="33">
        <v>4.42</v>
      </c>
      <c r="AH461" s="33">
        <v>28.98</v>
      </c>
      <c r="AJ461" s="19" t="s">
        <v>52</v>
      </c>
      <c r="AK461" s="17">
        <v>457</v>
      </c>
      <c r="AL461" s="17">
        <v>361701.79000000004</v>
      </c>
      <c r="AM461" s="17">
        <v>65106.269999999953</v>
      </c>
      <c r="AN461" s="17">
        <v>426808.06000000029</v>
      </c>
      <c r="BN461"/>
      <c r="BO461"/>
    </row>
    <row r="462" spans="4:67" ht="15">
      <c r="D462" s="19" t="s">
        <v>1128</v>
      </c>
      <c r="E462" s="33">
        <v>1</v>
      </c>
      <c r="AD462" s="19" t="s">
        <v>584</v>
      </c>
      <c r="AE462" s="33">
        <v>1</v>
      </c>
      <c r="AF462" s="33">
        <v>930</v>
      </c>
      <c r="AG462" s="33">
        <v>167.4</v>
      </c>
      <c r="AH462" s="33">
        <v>1097.4000000000001</v>
      </c>
      <c r="BN462"/>
      <c r="BO462"/>
    </row>
    <row r="463" spans="4:67" ht="15">
      <c r="D463" s="19" t="s">
        <v>1190</v>
      </c>
      <c r="E463" s="33">
        <v>1</v>
      </c>
      <c r="AD463" s="19" t="s">
        <v>582</v>
      </c>
      <c r="AE463" s="33">
        <v>1</v>
      </c>
      <c r="AF463" s="33">
        <v>100</v>
      </c>
      <c r="AG463" s="33">
        <v>18</v>
      </c>
      <c r="AH463" s="33">
        <v>118</v>
      </c>
      <c r="BN463"/>
      <c r="BO463"/>
    </row>
    <row r="464" spans="4:67" ht="15">
      <c r="D464" s="19" t="s">
        <v>1193</v>
      </c>
      <c r="E464" s="33">
        <v>1</v>
      </c>
      <c r="AD464" s="19" t="s">
        <v>580</v>
      </c>
      <c r="AE464" s="33">
        <v>1</v>
      </c>
      <c r="AF464" s="33">
        <v>300</v>
      </c>
      <c r="AG464" s="33">
        <v>54</v>
      </c>
      <c r="AH464" s="33">
        <v>354</v>
      </c>
      <c r="BN464"/>
      <c r="BO464"/>
    </row>
    <row r="465" spans="4:67" ht="15">
      <c r="D465" s="19" t="s">
        <v>1195</v>
      </c>
      <c r="E465" s="33">
        <v>1</v>
      </c>
      <c r="AD465" s="19" t="s">
        <v>578</v>
      </c>
      <c r="AE465" s="33">
        <v>1</v>
      </c>
      <c r="AF465" s="33">
        <v>32</v>
      </c>
      <c r="AG465" s="33">
        <v>5.76</v>
      </c>
      <c r="AH465" s="33">
        <v>37.76</v>
      </c>
      <c r="BN465"/>
      <c r="BO465"/>
    </row>
    <row r="466" spans="4:67" ht="15">
      <c r="D466" s="19" t="s">
        <v>1197</v>
      </c>
      <c r="E466" s="33">
        <v>1</v>
      </c>
      <c r="AD466" s="19" t="s">
        <v>576</v>
      </c>
      <c r="AE466" s="33">
        <v>1</v>
      </c>
      <c r="AF466" s="33">
        <v>2021.19</v>
      </c>
      <c r="AG466" s="33">
        <v>363.81</v>
      </c>
      <c r="AH466" s="33">
        <v>2385</v>
      </c>
      <c r="BN466"/>
      <c r="BO466"/>
    </row>
    <row r="467" spans="4:67" ht="15">
      <c r="D467" s="19" t="s">
        <v>1200</v>
      </c>
      <c r="E467" s="33">
        <v>1</v>
      </c>
      <c r="AD467" s="19" t="s">
        <v>574</v>
      </c>
      <c r="AE467" s="33">
        <v>1</v>
      </c>
      <c r="AF467" s="33">
        <v>1885.17</v>
      </c>
      <c r="AG467" s="33">
        <v>339.33</v>
      </c>
      <c r="AH467" s="33">
        <v>2224.5</v>
      </c>
      <c r="BN467"/>
      <c r="BO467"/>
    </row>
    <row r="468" spans="4:67" ht="15">
      <c r="D468" s="19" t="s">
        <v>1164</v>
      </c>
      <c r="E468" s="33">
        <v>1</v>
      </c>
      <c r="AD468" s="19" t="s">
        <v>572</v>
      </c>
      <c r="AE468" s="33">
        <v>1</v>
      </c>
      <c r="AF468" s="33">
        <v>222.71</v>
      </c>
      <c r="AG468" s="33">
        <v>40.090000000000003</v>
      </c>
      <c r="AH468" s="33">
        <v>262.8</v>
      </c>
      <c r="BN468"/>
      <c r="BO468"/>
    </row>
    <row r="469" spans="4:67">
      <c r="D469" s="19" t="s">
        <v>1166</v>
      </c>
      <c r="E469" s="33">
        <v>1</v>
      </c>
      <c r="AD469" s="19" t="s">
        <v>570</v>
      </c>
      <c r="AE469" s="33">
        <v>1</v>
      </c>
      <c r="AF469" s="33">
        <v>272.2</v>
      </c>
      <c r="AG469" s="33">
        <v>49</v>
      </c>
      <c r="AH469" s="33">
        <v>321.2</v>
      </c>
    </row>
    <row r="470" spans="4:67">
      <c r="D470" s="19" t="s">
        <v>1168</v>
      </c>
      <c r="E470" s="33">
        <v>1</v>
      </c>
      <c r="AD470" s="19" t="s">
        <v>568</v>
      </c>
      <c r="AE470" s="33">
        <v>1</v>
      </c>
      <c r="AF470" s="33">
        <v>614.24</v>
      </c>
      <c r="AG470" s="33">
        <v>110.56</v>
      </c>
      <c r="AH470" s="33">
        <v>724.8</v>
      </c>
    </row>
    <row r="471" spans="4:67">
      <c r="D471" s="19" t="s">
        <v>1170</v>
      </c>
      <c r="E471" s="33">
        <v>1</v>
      </c>
      <c r="AD471" s="19" t="s">
        <v>565</v>
      </c>
      <c r="AE471" s="33">
        <v>1</v>
      </c>
      <c r="AF471" s="33">
        <v>799.58</v>
      </c>
      <c r="AG471" s="33">
        <v>143.91999999999999</v>
      </c>
      <c r="AH471" s="33">
        <v>943.5</v>
      </c>
    </row>
    <row r="472" spans="4:67">
      <c r="D472" s="19" t="s">
        <v>1202</v>
      </c>
      <c r="E472" s="33">
        <v>1</v>
      </c>
      <c r="AD472" s="19" t="s">
        <v>563</v>
      </c>
      <c r="AE472" s="33">
        <v>1</v>
      </c>
      <c r="AF472" s="33">
        <v>3</v>
      </c>
      <c r="AG472" s="33">
        <v>0.54</v>
      </c>
      <c r="AH472" s="33">
        <v>3.54</v>
      </c>
    </row>
    <row r="473" spans="4:67">
      <c r="D473" s="19" t="s">
        <v>1204</v>
      </c>
      <c r="E473" s="33">
        <v>1</v>
      </c>
      <c r="AD473" s="19" t="s">
        <v>560</v>
      </c>
      <c r="AE473" s="33">
        <v>1</v>
      </c>
      <c r="AF473" s="33">
        <v>3.48</v>
      </c>
      <c r="AG473" s="33">
        <v>0.63</v>
      </c>
      <c r="AH473" s="33">
        <v>4.1100000000000003</v>
      </c>
    </row>
    <row r="474" spans="4:67">
      <c r="D474" s="19" t="s">
        <v>1206</v>
      </c>
      <c r="E474" s="33">
        <v>1</v>
      </c>
      <c r="AD474" s="19" t="s">
        <v>558</v>
      </c>
      <c r="AE474" s="33">
        <v>1</v>
      </c>
      <c r="AF474" s="33">
        <v>7.98</v>
      </c>
      <c r="AG474" s="33">
        <v>1.44</v>
      </c>
      <c r="AH474" s="33">
        <v>9.42</v>
      </c>
    </row>
    <row r="475" spans="4:67">
      <c r="D475" s="19" t="s">
        <v>1208</v>
      </c>
      <c r="E475" s="33">
        <v>1</v>
      </c>
      <c r="AD475" s="19" t="s">
        <v>556</v>
      </c>
      <c r="AE475" s="33">
        <v>1</v>
      </c>
      <c r="AF475" s="33">
        <v>8.93</v>
      </c>
      <c r="AG475" s="33">
        <v>1.61</v>
      </c>
      <c r="AH475" s="33">
        <v>10.54</v>
      </c>
    </row>
    <row r="476" spans="4:67">
      <c r="D476" s="19" t="s">
        <v>1211</v>
      </c>
      <c r="E476" s="33">
        <v>1</v>
      </c>
      <c r="AD476" s="19" t="s">
        <v>553</v>
      </c>
      <c r="AE476" s="33">
        <v>1</v>
      </c>
      <c r="AF476" s="33">
        <v>20</v>
      </c>
      <c r="AG476" s="33">
        <v>3.6</v>
      </c>
      <c r="AH476" s="33">
        <v>23.6</v>
      </c>
    </row>
    <row r="477" spans="4:67">
      <c r="D477" s="19" t="s">
        <v>1172</v>
      </c>
      <c r="E477" s="33">
        <v>1</v>
      </c>
      <c r="AD477" s="19" t="s">
        <v>551</v>
      </c>
      <c r="AE477" s="33">
        <v>1</v>
      </c>
      <c r="AF477" s="33">
        <v>165.5</v>
      </c>
      <c r="AG477" s="33">
        <v>29.79</v>
      </c>
      <c r="AH477" s="33">
        <v>195.29</v>
      </c>
    </row>
    <row r="478" spans="4:67">
      <c r="D478" s="19" t="s">
        <v>1174</v>
      </c>
      <c r="E478" s="33">
        <v>1</v>
      </c>
      <c r="AD478" s="19" t="s">
        <v>549</v>
      </c>
      <c r="AE478" s="33">
        <v>1</v>
      </c>
      <c r="AF478" s="33">
        <v>275.32</v>
      </c>
      <c r="AG478" s="33">
        <v>49.56</v>
      </c>
      <c r="AH478" s="33">
        <v>324.88</v>
      </c>
    </row>
    <row r="479" spans="4:67">
      <c r="D479" s="19" t="s">
        <v>1176</v>
      </c>
      <c r="E479" s="33">
        <v>1</v>
      </c>
      <c r="AD479" s="19" t="s">
        <v>546</v>
      </c>
      <c r="AE479" s="33">
        <v>1</v>
      </c>
      <c r="AF479" s="33">
        <v>5</v>
      </c>
      <c r="AG479" s="33">
        <v>0.9</v>
      </c>
      <c r="AH479" s="33">
        <v>5.9</v>
      </c>
    </row>
    <row r="480" spans="4:67">
      <c r="D480" s="19" t="s">
        <v>1178</v>
      </c>
      <c r="E480" s="33">
        <v>1</v>
      </c>
      <c r="AD480" s="19" t="s">
        <v>544</v>
      </c>
      <c r="AE480" s="33">
        <v>1</v>
      </c>
      <c r="AF480" s="33">
        <v>33.47</v>
      </c>
      <c r="AG480" s="33">
        <v>6.03</v>
      </c>
      <c r="AH480" s="33">
        <v>39.5</v>
      </c>
    </row>
    <row r="481" spans="4:34">
      <c r="D481" s="19" t="s">
        <v>1180</v>
      </c>
      <c r="E481" s="33">
        <v>1</v>
      </c>
      <c r="AD481" s="19" t="s">
        <v>542</v>
      </c>
      <c r="AE481" s="33">
        <v>1</v>
      </c>
      <c r="AF481" s="33">
        <v>57.2</v>
      </c>
      <c r="AG481" s="33">
        <v>10.3</v>
      </c>
      <c r="AH481" s="33">
        <v>67.5</v>
      </c>
    </row>
    <row r="482" spans="4:34">
      <c r="D482" s="19" t="s">
        <v>1182</v>
      </c>
      <c r="E482" s="33">
        <v>1</v>
      </c>
      <c r="AD482" s="19" t="s">
        <v>539</v>
      </c>
      <c r="AE482" s="33">
        <v>1</v>
      </c>
      <c r="AF482" s="33">
        <v>423.73</v>
      </c>
      <c r="AG482" s="33">
        <v>76.27</v>
      </c>
      <c r="AH482" s="33">
        <v>500</v>
      </c>
    </row>
    <row r="483" spans="4:34">
      <c r="D483" s="19" t="s">
        <v>1184</v>
      </c>
      <c r="E483" s="33">
        <v>1</v>
      </c>
      <c r="AD483" s="19" t="s">
        <v>537</v>
      </c>
      <c r="AE483" s="33">
        <v>1</v>
      </c>
      <c r="AF483" s="33">
        <v>199.53</v>
      </c>
      <c r="AG483" s="33">
        <v>35.92</v>
      </c>
      <c r="AH483" s="33">
        <v>235.45</v>
      </c>
    </row>
    <row r="484" spans="4:34">
      <c r="D484" s="19" t="s">
        <v>1186</v>
      </c>
      <c r="E484" s="33">
        <v>1</v>
      </c>
      <c r="AD484" s="19" t="s">
        <v>535</v>
      </c>
      <c r="AE484" s="33">
        <v>1</v>
      </c>
      <c r="AF484" s="33">
        <v>223.36</v>
      </c>
      <c r="AG484" s="33">
        <v>40.21</v>
      </c>
      <c r="AH484" s="33">
        <v>263.57</v>
      </c>
    </row>
    <row r="485" spans="4:34">
      <c r="D485" s="19" t="s">
        <v>1188</v>
      </c>
      <c r="E485" s="33">
        <v>1</v>
      </c>
      <c r="AD485" s="19" t="s">
        <v>532</v>
      </c>
      <c r="AE485" s="33">
        <v>1</v>
      </c>
      <c r="AF485" s="33">
        <v>500</v>
      </c>
      <c r="AG485" s="33">
        <v>90</v>
      </c>
      <c r="AH485" s="33">
        <v>590</v>
      </c>
    </row>
    <row r="486" spans="4:34">
      <c r="D486" s="19" t="s">
        <v>2365</v>
      </c>
      <c r="E486" s="33">
        <v>2</v>
      </c>
      <c r="AD486" s="19" t="s">
        <v>530</v>
      </c>
      <c r="AE486" s="33">
        <v>1</v>
      </c>
      <c r="AF486" s="33">
        <v>199.53</v>
      </c>
      <c r="AG486" s="33">
        <v>35.92</v>
      </c>
      <c r="AH486" s="33">
        <v>235.45</v>
      </c>
    </row>
    <row r="487" spans="4:34">
      <c r="D487" s="19" t="s">
        <v>2364</v>
      </c>
      <c r="E487" s="33">
        <v>2</v>
      </c>
      <c r="AD487" s="19" t="s">
        <v>528</v>
      </c>
      <c r="AE487" s="33">
        <v>1</v>
      </c>
      <c r="AF487" s="33">
        <v>223.36</v>
      </c>
      <c r="AG487" s="33">
        <v>40.21</v>
      </c>
      <c r="AH487" s="33">
        <v>263.57</v>
      </c>
    </row>
    <row r="488" spans="4:34">
      <c r="D488" s="19" t="s">
        <v>2363</v>
      </c>
      <c r="E488" s="33">
        <v>6</v>
      </c>
      <c r="AD488" s="19" t="s">
        <v>525</v>
      </c>
      <c r="AE488" s="33">
        <v>1</v>
      </c>
      <c r="AF488" s="33">
        <v>500</v>
      </c>
      <c r="AG488" s="33">
        <v>90</v>
      </c>
      <c r="AH488" s="33">
        <v>590</v>
      </c>
    </row>
    <row r="489" spans="4:34">
      <c r="D489" s="19" t="s">
        <v>2362</v>
      </c>
      <c r="E489" s="33">
        <v>1</v>
      </c>
      <c r="AD489" s="19" t="s">
        <v>523</v>
      </c>
      <c r="AE489" s="33">
        <v>1</v>
      </c>
      <c r="AF489" s="33">
        <v>391.08</v>
      </c>
      <c r="AG489" s="33">
        <v>70.39</v>
      </c>
      <c r="AH489" s="33">
        <v>461.47</v>
      </c>
    </row>
    <row r="490" spans="4:34">
      <c r="D490" s="19" t="s">
        <v>2361</v>
      </c>
      <c r="E490" s="33">
        <v>1</v>
      </c>
      <c r="AD490" s="19" t="s">
        <v>521</v>
      </c>
      <c r="AE490" s="33">
        <v>1</v>
      </c>
      <c r="AF490" s="33">
        <v>437.8</v>
      </c>
      <c r="AG490" s="33">
        <v>78.8</v>
      </c>
      <c r="AH490" s="33">
        <v>516.6</v>
      </c>
    </row>
    <row r="491" spans="4:34">
      <c r="D491" s="19" t="s">
        <v>2360</v>
      </c>
      <c r="E491" s="33">
        <v>1</v>
      </c>
      <c r="AD491" s="19" t="s">
        <v>518</v>
      </c>
      <c r="AE491" s="33">
        <v>1</v>
      </c>
      <c r="AF491" s="33">
        <v>980</v>
      </c>
      <c r="AG491" s="33">
        <v>176.4</v>
      </c>
      <c r="AH491" s="33">
        <v>1156.4000000000001</v>
      </c>
    </row>
    <row r="492" spans="4:34">
      <c r="D492" s="19" t="s">
        <v>2359</v>
      </c>
      <c r="E492" s="33">
        <v>1</v>
      </c>
      <c r="AD492" s="19" t="s">
        <v>391</v>
      </c>
      <c r="AE492" s="33">
        <v>1</v>
      </c>
      <c r="AF492" s="33">
        <v>60</v>
      </c>
      <c r="AG492" s="33">
        <v>10.8</v>
      </c>
      <c r="AH492" s="33">
        <v>70.8</v>
      </c>
    </row>
    <row r="493" spans="4:34">
      <c r="D493" s="19" t="s">
        <v>2434</v>
      </c>
      <c r="E493" s="33">
        <v>3</v>
      </c>
      <c r="AD493" s="19" t="s">
        <v>388</v>
      </c>
      <c r="AE493" s="33">
        <v>1</v>
      </c>
      <c r="AF493" s="33">
        <v>50.85</v>
      </c>
      <c r="AG493" s="33">
        <v>9.15</v>
      </c>
      <c r="AH493" s="33">
        <v>60</v>
      </c>
    </row>
    <row r="494" spans="4:34">
      <c r="D494" s="19" t="s">
        <v>2358</v>
      </c>
      <c r="E494" s="33">
        <v>1</v>
      </c>
      <c r="AD494" s="19" t="s">
        <v>1188</v>
      </c>
      <c r="AE494" s="33">
        <v>1</v>
      </c>
      <c r="AF494" s="33">
        <v>4569.66</v>
      </c>
      <c r="AG494" s="33">
        <v>822.54</v>
      </c>
      <c r="AH494" s="33">
        <v>5392.2</v>
      </c>
    </row>
    <row r="495" spans="4:34">
      <c r="D495" s="19" t="s">
        <v>2357</v>
      </c>
      <c r="E495" s="33">
        <v>2</v>
      </c>
      <c r="AD495" s="19" t="s">
        <v>1186</v>
      </c>
      <c r="AE495" s="33">
        <v>1</v>
      </c>
      <c r="AF495" s="33">
        <v>3425.85</v>
      </c>
      <c r="AG495" s="33">
        <v>616.65</v>
      </c>
      <c r="AH495" s="33">
        <v>4042.5</v>
      </c>
    </row>
    <row r="496" spans="4:34">
      <c r="D496" s="19" t="s">
        <v>2356</v>
      </c>
      <c r="E496" s="33">
        <v>1</v>
      </c>
      <c r="AD496" s="19" t="s">
        <v>1184</v>
      </c>
      <c r="AE496" s="33">
        <v>1</v>
      </c>
      <c r="AF496" s="33">
        <v>3700</v>
      </c>
      <c r="AG496" s="33">
        <v>666</v>
      </c>
      <c r="AH496" s="33">
        <v>4366</v>
      </c>
    </row>
    <row r="497" spans="4:34">
      <c r="D497" s="19" t="s">
        <v>2433</v>
      </c>
      <c r="E497" s="33">
        <v>1</v>
      </c>
      <c r="AD497" s="19" t="s">
        <v>1182</v>
      </c>
      <c r="AE497" s="33">
        <v>1</v>
      </c>
      <c r="AF497" s="33">
        <v>450</v>
      </c>
      <c r="AG497" s="33">
        <v>81</v>
      </c>
      <c r="AH497" s="33">
        <v>531</v>
      </c>
    </row>
    <row r="498" spans="4:34">
      <c r="D498" s="19" t="s">
        <v>2432</v>
      </c>
      <c r="E498" s="33">
        <v>1</v>
      </c>
      <c r="AD498" s="19" t="s">
        <v>1180</v>
      </c>
      <c r="AE498" s="33">
        <v>1</v>
      </c>
      <c r="AF498" s="33">
        <v>171</v>
      </c>
      <c r="AG498" s="33">
        <v>30.78</v>
      </c>
      <c r="AH498" s="33">
        <v>201.78</v>
      </c>
    </row>
    <row r="499" spans="4:34">
      <c r="D499" s="19" t="s">
        <v>2431</v>
      </c>
      <c r="E499" s="33">
        <v>1</v>
      </c>
      <c r="AD499" s="19" t="s">
        <v>1178</v>
      </c>
      <c r="AE499" s="33">
        <v>1</v>
      </c>
      <c r="AF499" s="33">
        <v>2158.64</v>
      </c>
      <c r="AG499" s="33">
        <v>388.56</v>
      </c>
      <c r="AH499" s="33">
        <v>2547.1999999999998</v>
      </c>
    </row>
    <row r="500" spans="4:34">
      <c r="D500" s="19" t="s">
        <v>2430</v>
      </c>
      <c r="E500" s="33">
        <v>1</v>
      </c>
      <c r="AD500" s="19" t="s">
        <v>1176</v>
      </c>
      <c r="AE500" s="33">
        <v>1</v>
      </c>
      <c r="AF500" s="33">
        <v>1590.93</v>
      </c>
      <c r="AG500" s="33">
        <v>286.37</v>
      </c>
      <c r="AH500" s="33">
        <v>1877.3</v>
      </c>
    </row>
    <row r="501" spans="4:34">
      <c r="D501" s="19" t="s">
        <v>2429</v>
      </c>
      <c r="E501" s="33">
        <v>1</v>
      </c>
      <c r="AD501" s="19" t="s">
        <v>1174</v>
      </c>
      <c r="AE501" s="33">
        <v>1</v>
      </c>
      <c r="AF501" s="33">
        <v>3400</v>
      </c>
      <c r="AG501" s="33">
        <v>612</v>
      </c>
      <c r="AH501" s="33">
        <v>4012</v>
      </c>
    </row>
    <row r="502" spans="4:34">
      <c r="D502" s="19" t="s">
        <v>2428</v>
      </c>
      <c r="E502" s="33">
        <v>1</v>
      </c>
      <c r="AD502" s="19" t="s">
        <v>1172</v>
      </c>
      <c r="AE502" s="33">
        <v>1</v>
      </c>
      <c r="AF502" s="33">
        <v>171</v>
      </c>
      <c r="AG502" s="33">
        <v>30.78</v>
      </c>
      <c r="AH502" s="33">
        <v>201.78</v>
      </c>
    </row>
    <row r="503" spans="4:34">
      <c r="D503" s="19" t="s">
        <v>2427</v>
      </c>
      <c r="E503" s="33">
        <v>1</v>
      </c>
      <c r="AD503" s="19" t="s">
        <v>1170</v>
      </c>
      <c r="AE503" s="33">
        <v>1</v>
      </c>
      <c r="AF503" s="33">
        <v>1439.87</v>
      </c>
      <c r="AG503" s="33">
        <v>259.18</v>
      </c>
      <c r="AH503" s="33">
        <v>1699.05</v>
      </c>
    </row>
    <row r="504" spans="4:34">
      <c r="D504" s="19" t="s">
        <v>2426</v>
      </c>
      <c r="E504" s="33">
        <v>1</v>
      </c>
      <c r="AD504" s="19" t="s">
        <v>1168</v>
      </c>
      <c r="AE504" s="33">
        <v>1</v>
      </c>
      <c r="AF504" s="33">
        <v>2919.83</v>
      </c>
      <c r="AG504" s="33">
        <v>525.57000000000005</v>
      </c>
      <c r="AH504" s="33">
        <v>3445.4</v>
      </c>
    </row>
    <row r="505" spans="4:34">
      <c r="D505" s="19" t="s">
        <v>2425</v>
      </c>
      <c r="E505" s="33">
        <v>1</v>
      </c>
      <c r="AD505" s="19" t="s">
        <v>1166</v>
      </c>
      <c r="AE505" s="33">
        <v>1</v>
      </c>
      <c r="AF505" s="33">
        <v>100</v>
      </c>
      <c r="AG505" s="33">
        <v>18</v>
      </c>
      <c r="AH505" s="33">
        <v>118</v>
      </c>
    </row>
    <row r="506" spans="4:34">
      <c r="D506" s="19" t="s">
        <v>2424</v>
      </c>
      <c r="E506" s="33">
        <v>1</v>
      </c>
      <c r="AD506" s="19" t="s">
        <v>1164</v>
      </c>
      <c r="AE506" s="33">
        <v>1</v>
      </c>
      <c r="AF506" s="33">
        <v>10</v>
      </c>
      <c r="AG506" s="33">
        <v>1.8</v>
      </c>
      <c r="AH506" s="33">
        <v>11.8</v>
      </c>
    </row>
    <row r="507" spans="4:34">
      <c r="D507" s="19" t="s">
        <v>2423</v>
      </c>
      <c r="E507" s="33">
        <v>1</v>
      </c>
      <c r="AD507" s="19" t="s">
        <v>1128</v>
      </c>
      <c r="AE507" s="33">
        <v>1</v>
      </c>
      <c r="AF507" s="33">
        <v>8.14</v>
      </c>
      <c r="AG507" s="33">
        <v>1.46</v>
      </c>
      <c r="AH507" s="33">
        <v>9.6</v>
      </c>
    </row>
    <row r="508" spans="4:34">
      <c r="D508" s="19" t="s">
        <v>2355</v>
      </c>
      <c r="E508" s="33">
        <v>1</v>
      </c>
      <c r="AD508" s="19" t="s">
        <v>1125</v>
      </c>
      <c r="AE508" s="33">
        <v>1</v>
      </c>
      <c r="AF508" s="33">
        <v>11.53</v>
      </c>
      <c r="AG508" s="33">
        <v>2.0699999999999998</v>
      </c>
      <c r="AH508" s="33">
        <v>13.6</v>
      </c>
    </row>
    <row r="509" spans="4:34">
      <c r="D509" s="19" t="s">
        <v>2354</v>
      </c>
      <c r="E509" s="33">
        <v>1</v>
      </c>
      <c r="AD509" s="19" t="s">
        <v>1123</v>
      </c>
      <c r="AE509" s="33">
        <v>1</v>
      </c>
      <c r="AF509" s="33">
        <v>38.81</v>
      </c>
      <c r="AG509" s="33">
        <v>6.99</v>
      </c>
      <c r="AH509" s="33">
        <v>45.8</v>
      </c>
    </row>
    <row r="510" spans="4:34">
      <c r="D510" s="19" t="s">
        <v>2353</v>
      </c>
      <c r="E510" s="33">
        <v>1</v>
      </c>
      <c r="AD510" s="19" t="s">
        <v>1121</v>
      </c>
      <c r="AE510" s="33">
        <v>1</v>
      </c>
      <c r="AF510" s="33">
        <v>58.39</v>
      </c>
      <c r="AG510" s="33">
        <v>10.51</v>
      </c>
      <c r="AH510" s="33">
        <v>68.900000000000006</v>
      </c>
    </row>
    <row r="511" spans="4:34">
      <c r="D511" s="19" t="s">
        <v>2352</v>
      </c>
      <c r="E511" s="33">
        <v>1</v>
      </c>
      <c r="AD511" s="19" t="s">
        <v>1119</v>
      </c>
      <c r="AE511" s="33">
        <v>1</v>
      </c>
      <c r="AF511" s="33">
        <v>43.22</v>
      </c>
      <c r="AG511" s="33">
        <v>7.78</v>
      </c>
      <c r="AH511" s="33">
        <v>51</v>
      </c>
    </row>
    <row r="512" spans="4:34">
      <c r="D512" s="19" t="s">
        <v>2351</v>
      </c>
      <c r="E512" s="33">
        <v>1</v>
      </c>
      <c r="AD512" s="19" t="s">
        <v>1116</v>
      </c>
      <c r="AE512" s="33">
        <v>1</v>
      </c>
      <c r="AF512" s="33">
        <v>75.680000000000007</v>
      </c>
      <c r="AG512" s="33">
        <v>13.62</v>
      </c>
      <c r="AH512" s="33">
        <v>89.3</v>
      </c>
    </row>
    <row r="513" spans="4:34">
      <c r="D513" s="19" t="s">
        <v>2350</v>
      </c>
      <c r="E513" s="33">
        <v>1</v>
      </c>
      <c r="AD513" s="19" t="s">
        <v>1114</v>
      </c>
      <c r="AE513" s="33">
        <v>1</v>
      </c>
      <c r="AF513" s="33">
        <v>102.29</v>
      </c>
      <c r="AG513" s="33">
        <v>18.41</v>
      </c>
      <c r="AH513" s="33">
        <v>120.7</v>
      </c>
    </row>
    <row r="514" spans="4:34">
      <c r="D514" s="19" t="s">
        <v>2349</v>
      </c>
      <c r="E514" s="33">
        <v>1</v>
      </c>
      <c r="AD514" s="19" t="s">
        <v>1112</v>
      </c>
      <c r="AE514" s="33">
        <v>1</v>
      </c>
      <c r="AF514" s="33">
        <v>170.76</v>
      </c>
      <c r="AG514" s="33">
        <v>30.74</v>
      </c>
      <c r="AH514" s="33">
        <v>201.5</v>
      </c>
    </row>
    <row r="515" spans="4:34">
      <c r="D515" s="19" t="s">
        <v>2348</v>
      </c>
      <c r="E515" s="33">
        <v>1</v>
      </c>
      <c r="AD515" s="19" t="s">
        <v>1110</v>
      </c>
      <c r="AE515" s="33">
        <v>1</v>
      </c>
      <c r="AF515" s="33">
        <v>1759.92</v>
      </c>
      <c r="AG515" s="33">
        <v>316.77999999999997</v>
      </c>
      <c r="AH515" s="33">
        <v>2076.6999999999998</v>
      </c>
    </row>
    <row r="516" spans="4:34">
      <c r="D516" s="19" t="s">
        <v>2347</v>
      </c>
      <c r="E516" s="33">
        <v>1</v>
      </c>
      <c r="AD516" s="19" t="s">
        <v>1108</v>
      </c>
      <c r="AE516" s="33">
        <v>1</v>
      </c>
      <c r="AF516" s="33">
        <v>2915</v>
      </c>
      <c r="AG516" s="33">
        <v>524.70000000000005</v>
      </c>
      <c r="AH516" s="33">
        <v>3439.7</v>
      </c>
    </row>
    <row r="517" spans="4:34">
      <c r="D517" s="19" t="s">
        <v>2346</v>
      </c>
      <c r="E517" s="33">
        <v>1</v>
      </c>
      <c r="AD517" s="19" t="s">
        <v>1106</v>
      </c>
      <c r="AE517" s="33">
        <v>1</v>
      </c>
      <c r="AF517" s="33">
        <v>1500</v>
      </c>
      <c r="AG517" s="33">
        <v>270</v>
      </c>
      <c r="AH517" s="33">
        <v>1770</v>
      </c>
    </row>
    <row r="518" spans="4:34">
      <c r="D518" s="19" t="s">
        <v>2345</v>
      </c>
      <c r="E518" s="33">
        <v>1</v>
      </c>
      <c r="AD518" s="19" t="s">
        <v>1104</v>
      </c>
      <c r="AE518" s="33">
        <v>1</v>
      </c>
      <c r="AF518" s="33">
        <v>750</v>
      </c>
      <c r="AG518" s="33">
        <v>135</v>
      </c>
      <c r="AH518" s="33">
        <v>885</v>
      </c>
    </row>
    <row r="519" spans="4:34">
      <c r="D519" s="19" t="s">
        <v>2344</v>
      </c>
      <c r="E519" s="33">
        <v>1</v>
      </c>
      <c r="AD519" s="19" t="s">
        <v>1102</v>
      </c>
      <c r="AE519" s="33">
        <v>1</v>
      </c>
      <c r="AF519" s="33">
        <v>1000</v>
      </c>
      <c r="AG519" s="33">
        <v>180</v>
      </c>
      <c r="AH519" s="33">
        <v>1180</v>
      </c>
    </row>
    <row r="520" spans="4:34">
      <c r="D520" s="19" t="s">
        <v>2343</v>
      </c>
      <c r="E520" s="33">
        <v>1</v>
      </c>
      <c r="AD520" s="19" t="s">
        <v>1100</v>
      </c>
      <c r="AE520" s="33">
        <v>1</v>
      </c>
      <c r="AF520" s="33">
        <v>8.5</v>
      </c>
      <c r="AG520" s="33">
        <v>1.53</v>
      </c>
      <c r="AH520" s="33">
        <v>10.029999999999999</v>
      </c>
    </row>
    <row r="521" spans="4:34">
      <c r="D521" s="19" t="s">
        <v>2342</v>
      </c>
      <c r="E521" s="33">
        <v>1</v>
      </c>
      <c r="AD521" s="19" t="s">
        <v>1098</v>
      </c>
      <c r="AE521" s="33">
        <v>1</v>
      </c>
      <c r="AF521" s="33">
        <v>182.75</v>
      </c>
      <c r="AG521" s="33">
        <v>32.89</v>
      </c>
      <c r="AH521" s="33">
        <v>215.64</v>
      </c>
    </row>
    <row r="522" spans="4:34">
      <c r="D522" s="19" t="s">
        <v>2341</v>
      </c>
      <c r="E522" s="33">
        <v>1</v>
      </c>
      <c r="AD522" s="19" t="s">
        <v>1095</v>
      </c>
      <c r="AE522" s="33">
        <v>1</v>
      </c>
      <c r="AF522" s="33">
        <v>109.06</v>
      </c>
      <c r="AG522" s="33">
        <v>19.63</v>
      </c>
      <c r="AH522" s="33">
        <v>128.69</v>
      </c>
    </row>
    <row r="523" spans="4:34">
      <c r="D523" s="19" t="s">
        <v>2340</v>
      </c>
      <c r="E523" s="33">
        <v>1</v>
      </c>
      <c r="AD523" s="19" t="s">
        <v>1093</v>
      </c>
      <c r="AE523" s="33">
        <v>1</v>
      </c>
      <c r="AF523" s="33">
        <v>15.25</v>
      </c>
      <c r="AG523" s="33">
        <v>2.75</v>
      </c>
      <c r="AH523" s="33">
        <v>18</v>
      </c>
    </row>
    <row r="524" spans="4:34">
      <c r="D524" s="19" t="s">
        <v>2422</v>
      </c>
      <c r="E524" s="33">
        <v>1</v>
      </c>
      <c r="AD524" s="19" t="s">
        <v>1090</v>
      </c>
      <c r="AE524" s="33">
        <v>1</v>
      </c>
      <c r="AF524" s="33">
        <v>21.61</v>
      </c>
      <c r="AG524" s="33">
        <v>3.89</v>
      </c>
      <c r="AH524" s="33">
        <v>25.5</v>
      </c>
    </row>
    <row r="525" spans="4:34">
      <c r="D525" s="19" t="s">
        <v>2421</v>
      </c>
      <c r="E525" s="33">
        <v>1</v>
      </c>
      <c r="AD525" s="19" t="s">
        <v>1088</v>
      </c>
      <c r="AE525" s="33">
        <v>1</v>
      </c>
      <c r="AF525" s="33">
        <v>133.41999999999999</v>
      </c>
      <c r="AG525" s="33">
        <v>24.02</v>
      </c>
      <c r="AH525" s="33">
        <v>157.44</v>
      </c>
    </row>
    <row r="526" spans="4:34">
      <c r="D526" s="19" t="s">
        <v>2420</v>
      </c>
      <c r="E526" s="33">
        <v>1</v>
      </c>
      <c r="AD526" s="19" t="s">
        <v>1086</v>
      </c>
      <c r="AE526" s="33">
        <v>1</v>
      </c>
      <c r="AF526" s="33">
        <v>222.31</v>
      </c>
      <c r="AG526" s="33">
        <v>40.01</v>
      </c>
      <c r="AH526" s="33">
        <v>262.32</v>
      </c>
    </row>
    <row r="527" spans="4:34">
      <c r="D527" s="19" t="s">
        <v>2419</v>
      </c>
      <c r="E527" s="33">
        <v>1</v>
      </c>
      <c r="AD527" s="19" t="s">
        <v>1084</v>
      </c>
      <c r="AE527" s="33">
        <v>1</v>
      </c>
      <c r="AF527" s="33">
        <v>2033.08</v>
      </c>
      <c r="AG527" s="33">
        <v>365.96</v>
      </c>
      <c r="AH527" s="33">
        <v>2399.04</v>
      </c>
    </row>
    <row r="528" spans="4:34">
      <c r="D528" s="19" t="s">
        <v>2418</v>
      </c>
      <c r="E528" s="33">
        <v>1</v>
      </c>
      <c r="AD528" s="19" t="s">
        <v>1082</v>
      </c>
      <c r="AE528" s="33">
        <v>1</v>
      </c>
      <c r="AF528" s="33">
        <v>2836.25</v>
      </c>
      <c r="AG528" s="33">
        <v>510.52</v>
      </c>
      <c r="AH528" s="33">
        <v>3346.77</v>
      </c>
    </row>
    <row r="529" spans="4:34">
      <c r="D529" s="19" t="s">
        <v>2417</v>
      </c>
      <c r="E529" s="33">
        <v>1</v>
      </c>
      <c r="AD529" s="19" t="s">
        <v>1079</v>
      </c>
      <c r="AE529" s="33">
        <v>1</v>
      </c>
      <c r="AF529" s="33">
        <v>100</v>
      </c>
      <c r="AG529" s="33">
        <v>18</v>
      </c>
      <c r="AH529" s="33">
        <v>118</v>
      </c>
    </row>
    <row r="530" spans="4:34">
      <c r="D530" s="19" t="s">
        <v>2416</v>
      </c>
      <c r="E530" s="33">
        <v>1</v>
      </c>
      <c r="AD530" s="19" t="s">
        <v>1077</v>
      </c>
      <c r="AE530" s="33">
        <v>1</v>
      </c>
      <c r="AF530" s="33">
        <v>678.25</v>
      </c>
      <c r="AG530" s="33">
        <v>122.08</v>
      </c>
      <c r="AH530" s="33">
        <v>800.33</v>
      </c>
    </row>
    <row r="531" spans="4:34">
      <c r="D531" s="19" t="s">
        <v>2415</v>
      </c>
      <c r="E531" s="33">
        <v>1</v>
      </c>
      <c r="AD531" s="19" t="s">
        <v>1074</v>
      </c>
      <c r="AE531" s="33">
        <v>1</v>
      </c>
      <c r="AF531" s="33">
        <v>2</v>
      </c>
      <c r="AG531" s="33">
        <v>0.36</v>
      </c>
      <c r="AH531" s="33">
        <v>2.36</v>
      </c>
    </row>
    <row r="532" spans="4:34">
      <c r="D532" s="19" t="s">
        <v>2414</v>
      </c>
      <c r="E532" s="33">
        <v>1</v>
      </c>
      <c r="AD532" s="19" t="s">
        <v>1072</v>
      </c>
      <c r="AE532" s="33">
        <v>1</v>
      </c>
      <c r="AF532" s="33">
        <v>311.91000000000003</v>
      </c>
      <c r="AG532" s="33">
        <v>56.14</v>
      </c>
      <c r="AH532" s="33">
        <v>368.05</v>
      </c>
    </row>
    <row r="533" spans="4:34">
      <c r="D533" s="19" t="s">
        <v>2413</v>
      </c>
      <c r="E533" s="33">
        <v>1</v>
      </c>
      <c r="AD533" s="19" t="s">
        <v>1069</v>
      </c>
      <c r="AE533" s="33">
        <v>1</v>
      </c>
      <c r="AF533" s="33">
        <v>2</v>
      </c>
      <c r="AG533" s="33">
        <v>0.36</v>
      </c>
      <c r="AH533" s="33">
        <v>2.36</v>
      </c>
    </row>
    <row r="534" spans="4:34">
      <c r="D534" s="19" t="s">
        <v>2412</v>
      </c>
      <c r="E534" s="33">
        <v>1</v>
      </c>
      <c r="AD534" s="19" t="s">
        <v>1067</v>
      </c>
      <c r="AE534" s="33">
        <v>1</v>
      </c>
      <c r="AF534" s="33">
        <v>218.69</v>
      </c>
      <c r="AG534" s="33">
        <v>39.369999999999997</v>
      </c>
      <c r="AH534" s="33">
        <v>258.06</v>
      </c>
    </row>
    <row r="535" spans="4:34">
      <c r="D535" s="19" t="s">
        <v>2339</v>
      </c>
      <c r="E535" s="33">
        <v>3</v>
      </c>
      <c r="AD535" s="19" t="s">
        <v>1064</v>
      </c>
      <c r="AE535" s="33">
        <v>1</v>
      </c>
      <c r="AF535" s="33">
        <v>2</v>
      </c>
      <c r="AG535" s="33">
        <v>0.36</v>
      </c>
      <c r="AH535" s="33">
        <v>2.36</v>
      </c>
    </row>
    <row r="536" spans="4:34">
      <c r="D536" s="19" t="s">
        <v>2338</v>
      </c>
      <c r="E536" s="33">
        <v>1</v>
      </c>
      <c r="AD536" s="19" t="s">
        <v>1062</v>
      </c>
      <c r="AE536" s="33">
        <v>1</v>
      </c>
      <c r="AF536" s="33">
        <v>208.23</v>
      </c>
      <c r="AG536" s="33">
        <v>37.479999999999997</v>
      </c>
      <c r="AH536" s="33">
        <v>245.71</v>
      </c>
    </row>
    <row r="537" spans="4:34">
      <c r="D537" s="19" t="s">
        <v>2337</v>
      </c>
      <c r="E537" s="33">
        <v>1</v>
      </c>
      <c r="AD537" s="19" t="s">
        <v>1060</v>
      </c>
      <c r="AE537" s="33">
        <v>1</v>
      </c>
      <c r="AF537" s="33">
        <v>283.79000000000002</v>
      </c>
      <c r="AG537" s="33">
        <v>51.08</v>
      </c>
      <c r="AH537" s="33">
        <v>334.87</v>
      </c>
    </row>
    <row r="538" spans="4:34">
      <c r="D538" s="19" t="s">
        <v>2336</v>
      </c>
      <c r="E538" s="33">
        <v>2</v>
      </c>
      <c r="AD538" s="19" t="s">
        <v>1058</v>
      </c>
      <c r="AE538" s="33">
        <v>1</v>
      </c>
      <c r="AF538" s="33">
        <v>126.36</v>
      </c>
      <c r="AG538" s="33">
        <v>22.74</v>
      </c>
      <c r="AH538" s="33">
        <v>149.1</v>
      </c>
    </row>
    <row r="539" spans="4:34">
      <c r="D539" s="19" t="s">
        <v>2335</v>
      </c>
      <c r="E539" s="33">
        <v>1</v>
      </c>
      <c r="AD539" s="19" t="s">
        <v>1056</v>
      </c>
      <c r="AE539" s="33">
        <v>1</v>
      </c>
      <c r="AF539" s="33">
        <v>227.88</v>
      </c>
      <c r="AG539" s="33">
        <v>41.02</v>
      </c>
      <c r="AH539" s="33">
        <v>268.89999999999998</v>
      </c>
    </row>
    <row r="540" spans="4:34">
      <c r="D540" s="19" t="s">
        <v>2334</v>
      </c>
      <c r="E540" s="33">
        <v>1</v>
      </c>
      <c r="AD540" s="19" t="s">
        <v>1054</v>
      </c>
      <c r="AE540" s="33">
        <v>1</v>
      </c>
      <c r="AF540" s="33">
        <v>50</v>
      </c>
      <c r="AG540" s="33">
        <v>9</v>
      </c>
      <c r="AH540" s="33">
        <v>59</v>
      </c>
    </row>
    <row r="541" spans="4:34">
      <c r="D541" s="19" t="s">
        <v>2333</v>
      </c>
      <c r="E541" s="33">
        <v>1</v>
      </c>
      <c r="AD541" s="19" t="s">
        <v>1052</v>
      </c>
      <c r="AE541" s="33">
        <v>1</v>
      </c>
      <c r="AF541" s="33">
        <v>1085.76</v>
      </c>
      <c r="AG541" s="33">
        <v>195.44</v>
      </c>
      <c r="AH541" s="33">
        <v>1281.2</v>
      </c>
    </row>
    <row r="542" spans="4:34">
      <c r="D542" s="19" t="s">
        <v>2332</v>
      </c>
      <c r="E542" s="33">
        <v>1</v>
      </c>
      <c r="AD542" s="19" t="s">
        <v>1050</v>
      </c>
      <c r="AE542" s="33">
        <v>1</v>
      </c>
      <c r="AF542" s="33">
        <v>1978.14</v>
      </c>
      <c r="AG542" s="33">
        <v>356.06</v>
      </c>
      <c r="AH542" s="33">
        <v>2334.1999999999998</v>
      </c>
    </row>
    <row r="543" spans="4:34">
      <c r="D543" s="19" t="s">
        <v>2331</v>
      </c>
      <c r="E543" s="33">
        <v>1</v>
      </c>
      <c r="AD543" s="19" t="s">
        <v>1047</v>
      </c>
      <c r="AE543" s="33">
        <v>1</v>
      </c>
      <c r="AF543" s="33">
        <v>32.5</v>
      </c>
      <c r="AG543" s="33">
        <v>5.85</v>
      </c>
      <c r="AH543" s="33">
        <v>38.35</v>
      </c>
    </row>
    <row r="544" spans="4:34">
      <c r="D544" s="19" t="s">
        <v>2330</v>
      </c>
      <c r="E544" s="33">
        <v>1</v>
      </c>
      <c r="AD544" s="19" t="s">
        <v>1028</v>
      </c>
      <c r="AE544" s="33">
        <v>1</v>
      </c>
      <c r="AF544" s="33">
        <v>6</v>
      </c>
      <c r="AG544" s="33">
        <v>1.08</v>
      </c>
      <c r="AH544" s="33">
        <v>7.08</v>
      </c>
    </row>
    <row r="545" spans="4:34">
      <c r="D545" s="19" t="s">
        <v>2329</v>
      </c>
      <c r="E545" s="33">
        <v>1</v>
      </c>
      <c r="AD545" s="19" t="s">
        <v>1026</v>
      </c>
      <c r="AE545" s="33">
        <v>1</v>
      </c>
      <c r="AF545" s="33">
        <v>9.9</v>
      </c>
      <c r="AG545" s="33">
        <v>1.78</v>
      </c>
      <c r="AH545" s="33">
        <v>11.68</v>
      </c>
    </row>
    <row r="546" spans="4:34">
      <c r="D546" s="19" t="s">
        <v>2328</v>
      </c>
      <c r="E546" s="33">
        <v>1</v>
      </c>
      <c r="AD546" s="19" t="s">
        <v>1024</v>
      </c>
      <c r="AE546" s="33">
        <v>1</v>
      </c>
      <c r="AF546" s="33">
        <v>3400</v>
      </c>
      <c r="AG546" s="33">
        <v>612</v>
      </c>
      <c r="AH546" s="33">
        <v>4012</v>
      </c>
    </row>
    <row r="547" spans="4:34">
      <c r="D547" s="19" t="s">
        <v>2327</v>
      </c>
      <c r="E547" s="33">
        <v>1</v>
      </c>
      <c r="AD547" s="19" t="s">
        <v>1021</v>
      </c>
      <c r="AE547" s="33">
        <v>1</v>
      </c>
      <c r="AF547" s="33">
        <v>17.100000000000001</v>
      </c>
      <c r="AG547" s="33">
        <v>3.08</v>
      </c>
      <c r="AH547" s="33">
        <v>20.18</v>
      </c>
    </row>
    <row r="548" spans="4:34">
      <c r="D548" s="19" t="s">
        <v>2326</v>
      </c>
      <c r="E548" s="33">
        <v>1</v>
      </c>
      <c r="AD548" s="19" t="s">
        <v>1019</v>
      </c>
      <c r="AE548" s="33">
        <v>1</v>
      </c>
      <c r="AF548" s="33">
        <v>4262.2</v>
      </c>
      <c r="AG548" s="33">
        <v>767.2</v>
      </c>
      <c r="AH548" s="33">
        <v>5029.3999999999996</v>
      </c>
    </row>
    <row r="549" spans="4:34">
      <c r="D549" s="19" t="s">
        <v>2325</v>
      </c>
      <c r="E549" s="33">
        <v>1</v>
      </c>
      <c r="AD549" s="19" t="s">
        <v>1017</v>
      </c>
      <c r="AE549" s="33">
        <v>1</v>
      </c>
      <c r="AF549" s="33">
        <v>2862.29</v>
      </c>
      <c r="AG549" s="33">
        <v>515.21</v>
      </c>
      <c r="AH549" s="33">
        <v>3377.5</v>
      </c>
    </row>
    <row r="550" spans="4:34">
      <c r="D550" s="19" t="s">
        <v>2324</v>
      </c>
      <c r="E550" s="33">
        <v>1</v>
      </c>
      <c r="AD550" s="19" t="s">
        <v>1015</v>
      </c>
      <c r="AE550" s="33">
        <v>1</v>
      </c>
      <c r="AF550" s="33">
        <v>3400</v>
      </c>
      <c r="AG550" s="33">
        <v>612</v>
      </c>
      <c r="AH550" s="33">
        <v>4012</v>
      </c>
    </row>
    <row r="551" spans="4:34">
      <c r="D551" s="19" t="s">
        <v>2323</v>
      </c>
      <c r="E551" s="33">
        <v>1</v>
      </c>
      <c r="AD551" s="19" t="s">
        <v>1013</v>
      </c>
      <c r="AE551" s="33">
        <v>1</v>
      </c>
      <c r="AF551" s="33">
        <v>450</v>
      </c>
      <c r="AG551" s="33">
        <v>81</v>
      </c>
      <c r="AH551" s="33">
        <v>531</v>
      </c>
    </row>
    <row r="552" spans="4:34">
      <c r="D552" s="19" t="s">
        <v>2411</v>
      </c>
      <c r="E552" s="33">
        <v>1</v>
      </c>
      <c r="AD552" s="19" t="s">
        <v>1011</v>
      </c>
      <c r="AE552" s="33">
        <v>1</v>
      </c>
      <c r="AF552" s="33">
        <v>202.5</v>
      </c>
      <c r="AG552" s="33">
        <v>36.450000000000003</v>
      </c>
      <c r="AH552" s="33">
        <v>238.95</v>
      </c>
    </row>
    <row r="553" spans="4:34">
      <c r="D553" s="19" t="s">
        <v>2410</v>
      </c>
      <c r="E553" s="33">
        <v>1</v>
      </c>
      <c r="AD553" s="19" t="s">
        <v>1009</v>
      </c>
      <c r="AE553" s="33">
        <v>1</v>
      </c>
      <c r="AF553" s="33">
        <v>2244.0700000000002</v>
      </c>
      <c r="AG553" s="33">
        <v>403.93</v>
      </c>
      <c r="AH553" s="33">
        <v>2648</v>
      </c>
    </row>
    <row r="554" spans="4:34">
      <c r="D554" s="19" t="s">
        <v>2322</v>
      </c>
      <c r="E554" s="33">
        <v>1</v>
      </c>
      <c r="AD554" s="19" t="s">
        <v>1007</v>
      </c>
      <c r="AE554" s="33">
        <v>1</v>
      </c>
      <c r="AF554" s="33">
        <v>3942.12</v>
      </c>
      <c r="AG554" s="33">
        <v>709.58</v>
      </c>
      <c r="AH554" s="33">
        <v>4651.7</v>
      </c>
    </row>
    <row r="555" spans="4:34">
      <c r="D555" s="19" t="s">
        <v>2321</v>
      </c>
      <c r="E555" s="33">
        <v>1</v>
      </c>
      <c r="AD555" s="19" t="s">
        <v>1005</v>
      </c>
      <c r="AE555" s="33">
        <v>1</v>
      </c>
      <c r="AF555" s="33">
        <v>5200</v>
      </c>
      <c r="AG555" s="33">
        <v>936</v>
      </c>
      <c r="AH555" s="33">
        <v>6136</v>
      </c>
    </row>
    <row r="556" spans="4:34">
      <c r="D556" s="19" t="s">
        <v>2320</v>
      </c>
      <c r="E556" s="33">
        <v>1</v>
      </c>
      <c r="AD556" s="19" t="s">
        <v>1003</v>
      </c>
      <c r="AE556" s="33">
        <v>1</v>
      </c>
      <c r="AF556" s="33">
        <v>1200</v>
      </c>
      <c r="AG556" s="33">
        <v>216</v>
      </c>
      <c r="AH556" s="33">
        <v>1416</v>
      </c>
    </row>
    <row r="557" spans="4:34">
      <c r="D557" s="19" t="s">
        <v>2409</v>
      </c>
      <c r="E557" s="33">
        <v>3</v>
      </c>
      <c r="AD557" s="19" t="s">
        <v>1001</v>
      </c>
      <c r="AE557" s="33">
        <v>1</v>
      </c>
      <c r="AF557" s="33">
        <v>2000</v>
      </c>
      <c r="AG557" s="33">
        <v>360</v>
      </c>
      <c r="AH557" s="33">
        <v>2360</v>
      </c>
    </row>
    <row r="558" spans="4:34">
      <c r="D558" s="19" t="s">
        <v>2319</v>
      </c>
      <c r="E558" s="33">
        <v>2</v>
      </c>
      <c r="AD558" s="19" t="s">
        <v>999</v>
      </c>
      <c r="AE558" s="33">
        <v>1</v>
      </c>
      <c r="AF558" s="33">
        <v>800</v>
      </c>
      <c r="AG558" s="33">
        <v>144</v>
      </c>
      <c r="AH558" s="33">
        <v>944</v>
      </c>
    </row>
    <row r="559" spans="4:34">
      <c r="D559" s="19" t="s">
        <v>2318</v>
      </c>
      <c r="E559" s="33">
        <v>4</v>
      </c>
      <c r="AD559" s="19" t="s">
        <v>997</v>
      </c>
      <c r="AE559" s="33">
        <v>1</v>
      </c>
      <c r="AF559" s="33">
        <v>800</v>
      </c>
      <c r="AG559" s="33">
        <v>144</v>
      </c>
      <c r="AH559" s="33">
        <v>944</v>
      </c>
    </row>
    <row r="560" spans="4:34">
      <c r="D560" s="19" t="s">
        <v>2317</v>
      </c>
      <c r="E560" s="33">
        <v>3</v>
      </c>
      <c r="AD560" s="19" t="s">
        <v>995</v>
      </c>
      <c r="AE560" s="33">
        <v>1</v>
      </c>
      <c r="AF560" s="33">
        <v>800</v>
      </c>
      <c r="AG560" s="33">
        <v>144</v>
      </c>
      <c r="AH560" s="33">
        <v>944</v>
      </c>
    </row>
    <row r="561" spans="4:34">
      <c r="D561" s="19" t="s">
        <v>2316</v>
      </c>
      <c r="E561" s="33">
        <v>1</v>
      </c>
      <c r="AD561" s="19" t="s">
        <v>993</v>
      </c>
      <c r="AE561" s="33">
        <v>1</v>
      </c>
      <c r="AF561" s="33">
        <v>1800</v>
      </c>
      <c r="AG561" s="33">
        <v>324</v>
      </c>
      <c r="AH561" s="33">
        <v>2124</v>
      </c>
    </row>
    <row r="562" spans="4:34">
      <c r="D562" s="19" t="s">
        <v>2408</v>
      </c>
      <c r="E562" s="33">
        <v>1</v>
      </c>
      <c r="AD562" s="19" t="s">
        <v>991</v>
      </c>
      <c r="AE562" s="33">
        <v>1</v>
      </c>
      <c r="AF562" s="33">
        <v>100</v>
      </c>
      <c r="AG562" s="33">
        <v>18</v>
      </c>
      <c r="AH562" s="33">
        <v>118</v>
      </c>
    </row>
    <row r="563" spans="4:34">
      <c r="D563" s="19" t="s">
        <v>2315</v>
      </c>
      <c r="E563" s="33">
        <v>5</v>
      </c>
      <c r="AD563" s="19" t="s">
        <v>989</v>
      </c>
      <c r="AE563" s="33">
        <v>1</v>
      </c>
      <c r="AF563" s="33">
        <v>36.61</v>
      </c>
      <c r="AG563" s="33">
        <v>6.59</v>
      </c>
      <c r="AH563" s="33">
        <v>43.2</v>
      </c>
    </row>
    <row r="564" spans="4:34">
      <c r="D564" s="19" t="s">
        <v>2314</v>
      </c>
      <c r="E564" s="33">
        <v>2</v>
      </c>
      <c r="AD564" s="19" t="s">
        <v>987</v>
      </c>
      <c r="AE564" s="33">
        <v>1</v>
      </c>
      <c r="AF564" s="33">
        <v>52.54</v>
      </c>
      <c r="AG564" s="33">
        <v>9.4600000000000009</v>
      </c>
      <c r="AH564" s="33">
        <v>62</v>
      </c>
    </row>
    <row r="565" spans="4:34">
      <c r="D565" s="19" t="s">
        <v>2313</v>
      </c>
      <c r="E565" s="33">
        <v>1</v>
      </c>
      <c r="AD565" s="19" t="s">
        <v>985</v>
      </c>
      <c r="AE565" s="33">
        <v>1</v>
      </c>
      <c r="AF565" s="33">
        <v>586.36</v>
      </c>
      <c r="AG565" s="33">
        <v>105.54</v>
      </c>
      <c r="AH565" s="33">
        <v>691.9</v>
      </c>
    </row>
    <row r="566" spans="4:34">
      <c r="D566" s="19" t="s">
        <v>2312</v>
      </c>
      <c r="E566" s="33">
        <v>2</v>
      </c>
      <c r="AD566" s="19" t="s">
        <v>983</v>
      </c>
      <c r="AE566" s="33">
        <v>1</v>
      </c>
      <c r="AF566" s="33">
        <v>1200.42</v>
      </c>
      <c r="AG566" s="33">
        <v>216.08</v>
      </c>
      <c r="AH566" s="33">
        <v>1416.5</v>
      </c>
    </row>
    <row r="567" spans="4:34">
      <c r="D567" s="19" t="s">
        <v>2311</v>
      </c>
      <c r="E567" s="33">
        <v>2</v>
      </c>
      <c r="AD567" s="19" t="s">
        <v>981</v>
      </c>
      <c r="AE567" s="33">
        <v>1</v>
      </c>
      <c r="AF567" s="33">
        <v>920</v>
      </c>
      <c r="AG567" s="33">
        <v>165.6</v>
      </c>
      <c r="AH567" s="33">
        <v>1085.5999999999999</v>
      </c>
    </row>
    <row r="568" spans="4:34">
      <c r="D568" s="19" t="s">
        <v>2310</v>
      </c>
      <c r="E568" s="33">
        <v>1</v>
      </c>
      <c r="AD568" s="19" t="s">
        <v>979</v>
      </c>
      <c r="AE568" s="33">
        <v>1</v>
      </c>
      <c r="AF568" s="33">
        <v>450</v>
      </c>
      <c r="AG568" s="33">
        <v>81</v>
      </c>
      <c r="AH568" s="33">
        <v>531</v>
      </c>
    </row>
    <row r="569" spans="4:34">
      <c r="D569" s="19" t="s">
        <v>2309</v>
      </c>
      <c r="E569" s="33">
        <v>2</v>
      </c>
      <c r="AD569" s="19" t="s">
        <v>977</v>
      </c>
      <c r="AE569" s="33">
        <v>1</v>
      </c>
      <c r="AF569" s="33">
        <v>54.75</v>
      </c>
      <c r="AG569" s="33">
        <v>9.85</v>
      </c>
      <c r="AH569" s="33">
        <v>64.599999999999994</v>
      </c>
    </row>
    <row r="570" spans="4:34">
      <c r="D570" s="19" t="s">
        <v>2407</v>
      </c>
      <c r="E570" s="33">
        <v>2</v>
      </c>
      <c r="AD570" s="19" t="s">
        <v>975</v>
      </c>
      <c r="AE570" s="33">
        <v>1</v>
      </c>
      <c r="AF570" s="33">
        <v>92.54</v>
      </c>
      <c r="AG570" s="33">
        <v>16.66</v>
      </c>
      <c r="AH570" s="33">
        <v>109.2</v>
      </c>
    </row>
    <row r="571" spans="4:34">
      <c r="D571" s="19" t="s">
        <v>2308</v>
      </c>
      <c r="E571" s="33">
        <v>1</v>
      </c>
      <c r="AD571" s="19" t="s">
        <v>973</v>
      </c>
      <c r="AE571" s="33">
        <v>1</v>
      </c>
      <c r="AF571" s="33">
        <v>461.61</v>
      </c>
      <c r="AG571" s="33">
        <v>83.09</v>
      </c>
      <c r="AH571" s="33">
        <v>544.70000000000005</v>
      </c>
    </row>
    <row r="572" spans="4:34">
      <c r="D572" s="19" t="s">
        <v>2307</v>
      </c>
      <c r="E572" s="33">
        <v>1</v>
      </c>
      <c r="AD572" s="19" t="s">
        <v>970</v>
      </c>
      <c r="AE572" s="33">
        <v>1</v>
      </c>
      <c r="AF572" s="33">
        <v>788.9</v>
      </c>
      <c r="AG572" s="33">
        <v>142</v>
      </c>
      <c r="AH572" s="33">
        <v>930.9</v>
      </c>
    </row>
    <row r="573" spans="4:34">
      <c r="D573" s="19" t="s">
        <v>2306</v>
      </c>
      <c r="E573" s="33">
        <v>1</v>
      </c>
      <c r="AD573" s="19" t="s">
        <v>968</v>
      </c>
      <c r="AE573" s="33">
        <v>1</v>
      </c>
      <c r="AF573" s="33">
        <v>390</v>
      </c>
      <c r="AG573" s="33">
        <v>70.2</v>
      </c>
      <c r="AH573" s="33">
        <v>460.2</v>
      </c>
    </row>
    <row r="574" spans="4:34">
      <c r="D574" s="19" t="s">
        <v>2305</v>
      </c>
      <c r="E574" s="33">
        <v>2</v>
      </c>
      <c r="AD574" s="19" t="s">
        <v>966</v>
      </c>
      <c r="AE574" s="33">
        <v>1</v>
      </c>
      <c r="AF574" s="33">
        <v>2961.31</v>
      </c>
      <c r="AG574" s="33">
        <v>533.03</v>
      </c>
      <c r="AH574" s="33">
        <v>3494.34</v>
      </c>
    </row>
    <row r="575" spans="4:34">
      <c r="D575" s="19" t="s">
        <v>2406</v>
      </c>
      <c r="E575" s="33">
        <v>1</v>
      </c>
      <c r="AD575" s="19" t="s">
        <v>964</v>
      </c>
      <c r="AE575" s="33">
        <v>1</v>
      </c>
      <c r="AF575" s="33">
        <v>4737.62</v>
      </c>
      <c r="AG575" s="33">
        <v>852.77</v>
      </c>
      <c r="AH575" s="33">
        <v>5590.39</v>
      </c>
    </row>
    <row r="576" spans="4:34">
      <c r="D576" s="19" t="s">
        <v>2405</v>
      </c>
      <c r="E576" s="33">
        <v>1</v>
      </c>
      <c r="AD576" s="19" t="s">
        <v>962</v>
      </c>
      <c r="AE576" s="33">
        <v>1</v>
      </c>
      <c r="AF576" s="33">
        <v>83.53</v>
      </c>
      <c r="AG576" s="33">
        <v>15.03</v>
      </c>
      <c r="AH576" s="33">
        <v>98.56</v>
      </c>
    </row>
    <row r="577" spans="4:34">
      <c r="D577" s="19" t="s">
        <v>2404</v>
      </c>
      <c r="E577" s="33">
        <v>1</v>
      </c>
      <c r="AD577" s="19" t="s">
        <v>960</v>
      </c>
      <c r="AE577" s="33">
        <v>1</v>
      </c>
      <c r="AF577" s="33">
        <v>1594.55</v>
      </c>
      <c r="AG577" s="33">
        <v>287.02</v>
      </c>
      <c r="AH577" s="33">
        <v>1881.57</v>
      </c>
    </row>
    <row r="578" spans="4:34">
      <c r="D578" s="19" t="s">
        <v>2403</v>
      </c>
      <c r="E578" s="33">
        <v>1</v>
      </c>
      <c r="AD578" s="19" t="s">
        <v>958</v>
      </c>
      <c r="AE578" s="33">
        <v>1</v>
      </c>
      <c r="AF578" s="33">
        <v>2551.0300000000002</v>
      </c>
      <c r="AG578" s="33">
        <v>459.18</v>
      </c>
      <c r="AH578" s="33">
        <v>3010.21</v>
      </c>
    </row>
    <row r="579" spans="4:34">
      <c r="D579" s="19" t="s">
        <v>2402</v>
      </c>
      <c r="E579" s="33">
        <v>1</v>
      </c>
      <c r="AD579" s="19" t="s">
        <v>956</v>
      </c>
      <c r="AE579" s="33">
        <v>1</v>
      </c>
      <c r="AF579" s="33">
        <v>210</v>
      </c>
      <c r="AG579" s="33">
        <v>37.799999999999997</v>
      </c>
      <c r="AH579" s="33">
        <v>247.8</v>
      </c>
    </row>
    <row r="580" spans="4:34">
      <c r="D580" s="19" t="s">
        <v>2401</v>
      </c>
      <c r="E580" s="33">
        <v>1</v>
      </c>
      <c r="AD580" s="19" t="s">
        <v>954</v>
      </c>
      <c r="AE580" s="33">
        <v>1</v>
      </c>
      <c r="AF580" s="33">
        <v>44.97</v>
      </c>
      <c r="AG580" s="33">
        <v>8.1</v>
      </c>
      <c r="AH580" s="33">
        <v>53.07</v>
      </c>
    </row>
    <row r="581" spans="4:34">
      <c r="D581" s="19" t="s">
        <v>2400</v>
      </c>
      <c r="E581" s="33">
        <v>1</v>
      </c>
      <c r="AD581" s="19" t="s">
        <v>939</v>
      </c>
      <c r="AE581" s="33">
        <v>1</v>
      </c>
      <c r="AF581" s="33">
        <v>56.69</v>
      </c>
      <c r="AG581" s="33">
        <v>10.210000000000001</v>
      </c>
      <c r="AH581" s="33">
        <v>66.900000000000006</v>
      </c>
    </row>
    <row r="582" spans="4:34">
      <c r="D582" s="19" t="s">
        <v>2399</v>
      </c>
      <c r="E582" s="33">
        <v>1</v>
      </c>
      <c r="AD582" s="19" t="s">
        <v>937</v>
      </c>
      <c r="AE582" s="33">
        <v>1</v>
      </c>
      <c r="AF582" s="33">
        <v>95</v>
      </c>
      <c r="AG582" s="33">
        <v>17.100000000000001</v>
      </c>
      <c r="AH582" s="33">
        <v>112.1</v>
      </c>
    </row>
    <row r="583" spans="4:34">
      <c r="D583" s="19" t="s">
        <v>2398</v>
      </c>
      <c r="E583" s="33">
        <v>1</v>
      </c>
      <c r="AD583" s="19" t="s">
        <v>935</v>
      </c>
      <c r="AE583" s="33">
        <v>1</v>
      </c>
      <c r="AF583" s="33">
        <v>7.5</v>
      </c>
      <c r="AG583" s="33">
        <v>1.35</v>
      </c>
      <c r="AH583" s="33">
        <v>8.85</v>
      </c>
    </row>
    <row r="584" spans="4:34">
      <c r="D584" s="19" t="s">
        <v>2397</v>
      </c>
      <c r="E584" s="33">
        <v>1</v>
      </c>
      <c r="AD584" s="19" t="s">
        <v>933</v>
      </c>
      <c r="AE584" s="33">
        <v>1</v>
      </c>
      <c r="AF584" s="33">
        <v>364.66</v>
      </c>
      <c r="AG584" s="33">
        <v>65.64</v>
      </c>
      <c r="AH584" s="33">
        <v>430.3</v>
      </c>
    </row>
    <row r="585" spans="4:34">
      <c r="D585" s="19" t="s">
        <v>2304</v>
      </c>
      <c r="E585" s="33">
        <v>4</v>
      </c>
      <c r="AD585" s="19" t="s">
        <v>931</v>
      </c>
      <c r="AE585" s="33">
        <v>1</v>
      </c>
      <c r="AF585" s="33">
        <v>933.64</v>
      </c>
      <c r="AG585" s="33">
        <v>168.06</v>
      </c>
      <c r="AH585" s="33">
        <v>1101.7</v>
      </c>
    </row>
    <row r="586" spans="4:34">
      <c r="D586" s="19" t="s">
        <v>2303</v>
      </c>
      <c r="E586" s="33">
        <v>4</v>
      </c>
      <c r="AD586" s="19" t="s">
        <v>929</v>
      </c>
      <c r="AE586" s="33">
        <v>1</v>
      </c>
      <c r="AF586" s="33">
        <v>300</v>
      </c>
      <c r="AG586" s="33">
        <v>54</v>
      </c>
      <c r="AH586" s="33">
        <v>354</v>
      </c>
    </row>
    <row r="587" spans="4:34">
      <c r="D587" s="19" t="s">
        <v>2302</v>
      </c>
      <c r="E587" s="33">
        <v>1</v>
      </c>
      <c r="AD587" s="19" t="s">
        <v>850</v>
      </c>
      <c r="AE587" s="33">
        <v>1</v>
      </c>
      <c r="AF587" s="33">
        <v>32.200000000000003</v>
      </c>
      <c r="AG587" s="33">
        <v>5.8</v>
      </c>
      <c r="AH587" s="33">
        <v>38</v>
      </c>
    </row>
    <row r="588" spans="4:34">
      <c r="D588" s="19" t="s">
        <v>2301</v>
      </c>
      <c r="E588" s="33">
        <v>1</v>
      </c>
      <c r="AD588" s="19" t="s">
        <v>847</v>
      </c>
      <c r="AE588" s="33">
        <v>1</v>
      </c>
      <c r="AF588" s="33">
        <v>52.29</v>
      </c>
      <c r="AG588" s="33">
        <v>9.41</v>
      </c>
      <c r="AH588" s="33">
        <v>61.7</v>
      </c>
    </row>
    <row r="589" spans="4:34">
      <c r="D589" s="19" t="s">
        <v>2300</v>
      </c>
      <c r="E589" s="33">
        <v>1</v>
      </c>
      <c r="AD589" s="19" t="s">
        <v>845</v>
      </c>
      <c r="AE589" s="33">
        <v>1</v>
      </c>
      <c r="AF589" s="33">
        <v>20.5</v>
      </c>
      <c r="AG589" s="33">
        <v>3.69</v>
      </c>
      <c r="AH589" s="33">
        <v>24.19</v>
      </c>
    </row>
    <row r="590" spans="4:34">
      <c r="D590" s="19" t="s">
        <v>2299</v>
      </c>
      <c r="E590" s="33">
        <v>1</v>
      </c>
      <c r="AD590" s="19" t="s">
        <v>843</v>
      </c>
      <c r="AE590" s="33">
        <v>1</v>
      </c>
      <c r="AF590" s="33">
        <v>22</v>
      </c>
      <c r="AG590" s="33">
        <v>3.96</v>
      </c>
      <c r="AH590" s="33">
        <v>25.96</v>
      </c>
    </row>
    <row r="591" spans="4:34">
      <c r="D591" s="19" t="s">
        <v>2298</v>
      </c>
      <c r="E591" s="33">
        <v>1</v>
      </c>
      <c r="AD591" s="19" t="s">
        <v>841</v>
      </c>
      <c r="AE591" s="33">
        <v>1</v>
      </c>
      <c r="AF591" s="33">
        <v>1468.68</v>
      </c>
      <c r="AG591" s="33">
        <v>264.36</v>
      </c>
      <c r="AH591" s="33">
        <v>1733.04</v>
      </c>
    </row>
    <row r="592" spans="4:34">
      <c r="D592" s="19" t="s">
        <v>2297</v>
      </c>
      <c r="E592" s="33">
        <v>1</v>
      </c>
      <c r="AD592" s="19" t="s">
        <v>839</v>
      </c>
      <c r="AE592" s="33">
        <v>1</v>
      </c>
      <c r="AF592" s="33">
        <v>2382.31</v>
      </c>
      <c r="AG592" s="33">
        <v>428.81</v>
      </c>
      <c r="AH592" s="33">
        <v>2811.12</v>
      </c>
    </row>
    <row r="593" spans="4:34">
      <c r="D593" s="19" t="s">
        <v>2296</v>
      </c>
      <c r="E593" s="33">
        <v>1</v>
      </c>
      <c r="AD593" s="19" t="s">
        <v>837</v>
      </c>
      <c r="AE593" s="33">
        <v>1</v>
      </c>
      <c r="AF593" s="33">
        <v>1400</v>
      </c>
      <c r="AG593" s="33">
        <v>252</v>
      </c>
      <c r="AH593" s="33">
        <v>1652</v>
      </c>
    </row>
    <row r="594" spans="4:34">
      <c r="D594" s="19" t="s">
        <v>2396</v>
      </c>
      <c r="E594" s="33">
        <v>1</v>
      </c>
      <c r="AD594" s="19" t="s">
        <v>835</v>
      </c>
      <c r="AE594" s="33">
        <v>1</v>
      </c>
      <c r="AF594" s="33">
        <v>1</v>
      </c>
      <c r="AG594" s="33">
        <v>0.18</v>
      </c>
      <c r="AH594" s="33">
        <v>1.18</v>
      </c>
    </row>
    <row r="595" spans="4:34">
      <c r="D595" s="19" t="s">
        <v>2395</v>
      </c>
      <c r="E595" s="33">
        <v>1</v>
      </c>
      <c r="AD595" s="19" t="s">
        <v>833</v>
      </c>
      <c r="AE595" s="33">
        <v>1</v>
      </c>
      <c r="AF595" s="33">
        <v>1467.44</v>
      </c>
      <c r="AG595" s="33">
        <v>264.14</v>
      </c>
      <c r="AH595" s="33">
        <v>1731.58</v>
      </c>
    </row>
    <row r="596" spans="4:34">
      <c r="D596" s="19" t="s">
        <v>2394</v>
      </c>
      <c r="E596" s="33">
        <v>1</v>
      </c>
      <c r="AD596" s="19" t="s">
        <v>831</v>
      </c>
      <c r="AE596" s="33">
        <v>1</v>
      </c>
      <c r="AF596" s="33">
        <v>2372.2399999999998</v>
      </c>
      <c r="AG596" s="33">
        <v>427</v>
      </c>
      <c r="AH596" s="33">
        <v>2799.24</v>
      </c>
    </row>
    <row r="597" spans="4:34">
      <c r="D597" s="19" t="s">
        <v>2393</v>
      </c>
      <c r="E597" s="33">
        <v>1</v>
      </c>
      <c r="AD597" s="19" t="s">
        <v>829</v>
      </c>
      <c r="AE597" s="33">
        <v>1</v>
      </c>
      <c r="AF597" s="33">
        <v>1400</v>
      </c>
      <c r="AG597" s="33">
        <v>252</v>
      </c>
      <c r="AH597" s="33">
        <v>1652</v>
      </c>
    </row>
    <row r="598" spans="4:34">
      <c r="D598" s="19" t="s">
        <v>2392</v>
      </c>
      <c r="E598" s="33">
        <v>1</v>
      </c>
      <c r="AD598" s="19" t="s">
        <v>827</v>
      </c>
      <c r="AE598" s="33">
        <v>1</v>
      </c>
      <c r="AF598" s="33">
        <v>1</v>
      </c>
      <c r="AG598" s="33">
        <v>0.18</v>
      </c>
      <c r="AH598" s="33">
        <v>1.18</v>
      </c>
    </row>
    <row r="599" spans="4:34">
      <c r="D599" s="19" t="s">
        <v>2295</v>
      </c>
      <c r="E599" s="33">
        <v>1</v>
      </c>
      <c r="AD599" s="19" t="s">
        <v>825</v>
      </c>
      <c r="AE599" s="33">
        <v>1</v>
      </c>
      <c r="AF599" s="33">
        <v>1669.75</v>
      </c>
      <c r="AG599" s="33">
        <v>300.55</v>
      </c>
      <c r="AH599" s="33">
        <v>1970.3</v>
      </c>
    </row>
    <row r="600" spans="4:34">
      <c r="D600" s="19" t="s">
        <v>2391</v>
      </c>
      <c r="E600" s="33">
        <v>1</v>
      </c>
      <c r="AD600" s="19" t="s">
        <v>823</v>
      </c>
      <c r="AE600" s="33">
        <v>1</v>
      </c>
      <c r="AF600" s="33">
        <v>3384.15</v>
      </c>
      <c r="AG600" s="33">
        <v>609.15</v>
      </c>
      <c r="AH600" s="33">
        <v>3993.3</v>
      </c>
    </row>
    <row r="601" spans="4:34">
      <c r="D601" s="19" t="s">
        <v>2390</v>
      </c>
      <c r="E601" s="33">
        <v>1</v>
      </c>
      <c r="AD601" s="19" t="s">
        <v>821</v>
      </c>
      <c r="AE601" s="33">
        <v>1</v>
      </c>
      <c r="AF601" s="33">
        <v>1000</v>
      </c>
      <c r="AG601" s="33">
        <v>180</v>
      </c>
      <c r="AH601" s="33">
        <v>1180</v>
      </c>
    </row>
    <row r="602" spans="4:34">
      <c r="D602" s="19" t="s">
        <v>2389</v>
      </c>
      <c r="E602" s="33">
        <v>1</v>
      </c>
      <c r="AD602" s="19" t="s">
        <v>819</v>
      </c>
      <c r="AE602" s="33">
        <v>1</v>
      </c>
      <c r="AF602" s="33">
        <v>600</v>
      </c>
      <c r="AG602" s="33">
        <v>108</v>
      </c>
      <c r="AH602" s="33">
        <v>708</v>
      </c>
    </row>
    <row r="603" spans="4:34">
      <c r="D603" s="19" t="s">
        <v>2388</v>
      </c>
      <c r="E603" s="33">
        <v>1</v>
      </c>
      <c r="AD603" s="19" t="s">
        <v>817</v>
      </c>
      <c r="AE603" s="33">
        <v>1</v>
      </c>
      <c r="AF603" s="33">
        <v>18.05</v>
      </c>
      <c r="AG603" s="33">
        <v>3.25</v>
      </c>
      <c r="AH603" s="33">
        <v>21.3</v>
      </c>
    </row>
    <row r="604" spans="4:34">
      <c r="D604" s="19" t="s">
        <v>2387</v>
      </c>
      <c r="E604" s="33">
        <v>1</v>
      </c>
      <c r="AD604" s="19" t="s">
        <v>815</v>
      </c>
      <c r="AE604" s="33">
        <v>1</v>
      </c>
      <c r="AF604" s="33">
        <v>25.34</v>
      </c>
      <c r="AG604" s="33">
        <v>4.5599999999999996</v>
      </c>
      <c r="AH604" s="33">
        <v>29.9</v>
      </c>
    </row>
    <row r="605" spans="4:34">
      <c r="D605" s="19" t="s">
        <v>2386</v>
      </c>
      <c r="E605" s="33">
        <v>1</v>
      </c>
      <c r="AD605" s="19" t="s">
        <v>813</v>
      </c>
      <c r="AE605" s="33">
        <v>1</v>
      </c>
      <c r="AF605" s="33">
        <v>3246.44</v>
      </c>
      <c r="AG605" s="33">
        <v>584.36</v>
      </c>
      <c r="AH605" s="33">
        <v>3830.8</v>
      </c>
    </row>
    <row r="606" spans="4:34">
      <c r="D606" s="19" t="s">
        <v>2294</v>
      </c>
      <c r="E606" s="33">
        <v>1</v>
      </c>
      <c r="AD606" s="19" t="s">
        <v>811</v>
      </c>
      <c r="AE606" s="33">
        <v>1</v>
      </c>
      <c r="AF606" s="33">
        <v>5158.5600000000004</v>
      </c>
      <c r="AG606" s="33">
        <v>928.54</v>
      </c>
      <c r="AH606" s="33">
        <v>6087.1</v>
      </c>
    </row>
    <row r="607" spans="4:34">
      <c r="D607" s="19" t="s">
        <v>2293</v>
      </c>
      <c r="E607" s="33">
        <v>1</v>
      </c>
      <c r="AD607" s="19" t="s">
        <v>809</v>
      </c>
      <c r="AE607" s="33">
        <v>1</v>
      </c>
      <c r="AF607" s="33">
        <v>2200</v>
      </c>
      <c r="AG607" s="33">
        <v>396</v>
      </c>
      <c r="AH607" s="33">
        <v>2596</v>
      </c>
    </row>
    <row r="608" spans="4:34">
      <c r="D608" s="19" t="s">
        <v>2292</v>
      </c>
      <c r="E608" s="33">
        <v>1</v>
      </c>
      <c r="AD608" s="19" t="s">
        <v>807</v>
      </c>
      <c r="AE608" s="33">
        <v>1</v>
      </c>
      <c r="AF608" s="33">
        <v>800</v>
      </c>
      <c r="AG608" s="33">
        <v>144</v>
      </c>
      <c r="AH608" s="33">
        <v>944</v>
      </c>
    </row>
    <row r="609" spans="4:34">
      <c r="D609" s="19" t="s">
        <v>2291</v>
      </c>
      <c r="E609" s="33">
        <v>1</v>
      </c>
      <c r="AD609" s="19" t="s">
        <v>805</v>
      </c>
      <c r="AE609" s="33">
        <v>1</v>
      </c>
      <c r="AF609" s="33">
        <v>800</v>
      </c>
      <c r="AG609" s="33">
        <v>144</v>
      </c>
      <c r="AH609" s="33">
        <v>944</v>
      </c>
    </row>
    <row r="610" spans="4:34">
      <c r="D610" s="19" t="s">
        <v>2290</v>
      </c>
      <c r="E610" s="33">
        <v>1</v>
      </c>
      <c r="AD610" s="19" t="s">
        <v>803</v>
      </c>
      <c r="AE610" s="33">
        <v>1</v>
      </c>
      <c r="AF610" s="33">
        <v>800</v>
      </c>
      <c r="AG610" s="33">
        <v>144</v>
      </c>
      <c r="AH610" s="33">
        <v>944</v>
      </c>
    </row>
    <row r="611" spans="4:34">
      <c r="D611" s="19" t="s">
        <v>2289</v>
      </c>
      <c r="E611" s="33">
        <v>1</v>
      </c>
      <c r="AD611" s="19" t="s">
        <v>801</v>
      </c>
      <c r="AE611" s="33">
        <v>1</v>
      </c>
      <c r="AF611" s="33">
        <v>2400</v>
      </c>
      <c r="AG611" s="33">
        <v>432</v>
      </c>
      <c r="AH611" s="33">
        <v>2832</v>
      </c>
    </row>
    <row r="612" spans="4:34">
      <c r="D612" s="19" t="s">
        <v>2288</v>
      </c>
      <c r="E612" s="33">
        <v>1</v>
      </c>
      <c r="AD612" s="19" t="s">
        <v>799</v>
      </c>
      <c r="AE612" s="33">
        <v>1</v>
      </c>
      <c r="AF612" s="33">
        <v>1</v>
      </c>
      <c r="AG612" s="33">
        <v>0.18</v>
      </c>
      <c r="AH612" s="33">
        <v>1.18</v>
      </c>
    </row>
    <row r="613" spans="4:34">
      <c r="D613" s="19" t="s">
        <v>2287</v>
      </c>
      <c r="E613" s="33">
        <v>1</v>
      </c>
      <c r="AD613" s="19" t="s">
        <v>797</v>
      </c>
      <c r="AE613" s="33">
        <v>1</v>
      </c>
      <c r="AF613" s="33">
        <v>288.14</v>
      </c>
      <c r="AG613" s="33">
        <v>51.86</v>
      </c>
      <c r="AH613" s="33">
        <v>340</v>
      </c>
    </row>
    <row r="614" spans="4:34">
      <c r="D614" s="19" t="s">
        <v>2286</v>
      </c>
      <c r="E614" s="33">
        <v>1</v>
      </c>
      <c r="AD614" s="19" t="s">
        <v>795</v>
      </c>
      <c r="AE614" s="33">
        <v>1</v>
      </c>
      <c r="AF614" s="33">
        <v>3754.15</v>
      </c>
      <c r="AG614" s="33">
        <v>675.75</v>
      </c>
      <c r="AH614" s="33">
        <v>4429.8999999999996</v>
      </c>
    </row>
    <row r="615" spans="4:34">
      <c r="D615" s="19" t="s">
        <v>2285</v>
      </c>
      <c r="E615" s="33">
        <v>1</v>
      </c>
      <c r="AD615" s="19" t="s">
        <v>793</v>
      </c>
      <c r="AE615" s="33">
        <v>1</v>
      </c>
      <c r="AF615" s="33">
        <v>1400</v>
      </c>
      <c r="AG615" s="33">
        <v>252</v>
      </c>
      <c r="AH615" s="33">
        <v>1652</v>
      </c>
    </row>
    <row r="616" spans="4:34">
      <c r="D616" s="19" t="s">
        <v>2385</v>
      </c>
      <c r="E616" s="33">
        <v>1</v>
      </c>
      <c r="AD616" s="19" t="s">
        <v>791</v>
      </c>
      <c r="AE616" s="33">
        <v>1</v>
      </c>
      <c r="AF616" s="33">
        <v>1400</v>
      </c>
      <c r="AG616" s="33">
        <v>252</v>
      </c>
      <c r="AH616" s="33">
        <v>1652</v>
      </c>
    </row>
    <row r="617" spans="4:34">
      <c r="D617" s="19" t="s">
        <v>2384</v>
      </c>
      <c r="E617" s="33">
        <v>1</v>
      </c>
      <c r="AD617" s="19" t="s">
        <v>789</v>
      </c>
      <c r="AE617" s="33">
        <v>1</v>
      </c>
      <c r="AF617" s="33">
        <v>1</v>
      </c>
      <c r="AG617" s="33">
        <v>0.18</v>
      </c>
      <c r="AH617" s="33">
        <v>1.18</v>
      </c>
    </row>
    <row r="618" spans="4:34">
      <c r="D618" s="19" t="s">
        <v>2383</v>
      </c>
      <c r="E618" s="33">
        <v>1</v>
      </c>
      <c r="AD618" s="19" t="s">
        <v>787</v>
      </c>
      <c r="AE618" s="33">
        <v>1</v>
      </c>
      <c r="AF618" s="33">
        <v>59.07</v>
      </c>
      <c r="AG618" s="33">
        <v>10.63</v>
      </c>
      <c r="AH618" s="33">
        <v>69.7</v>
      </c>
    </row>
    <row r="619" spans="4:34">
      <c r="D619" s="19" t="s">
        <v>2284</v>
      </c>
      <c r="E619" s="33">
        <v>1</v>
      </c>
      <c r="AD619" s="19" t="s">
        <v>784</v>
      </c>
      <c r="AE619" s="33">
        <v>1</v>
      </c>
      <c r="AF619" s="33">
        <v>97.37</v>
      </c>
      <c r="AG619" s="33">
        <v>17.53</v>
      </c>
      <c r="AH619" s="33">
        <v>114.9</v>
      </c>
    </row>
    <row r="620" spans="4:34">
      <c r="D620" s="19" t="s">
        <v>2283</v>
      </c>
      <c r="E620" s="33">
        <v>1</v>
      </c>
      <c r="AD620" s="19" t="s">
        <v>782</v>
      </c>
      <c r="AE620" s="33">
        <v>1</v>
      </c>
      <c r="AF620" s="33">
        <v>33.22</v>
      </c>
      <c r="AG620" s="33">
        <v>5.98</v>
      </c>
      <c r="AH620" s="33">
        <v>39.200000000000003</v>
      </c>
    </row>
    <row r="621" spans="4:34">
      <c r="D621" s="19" t="s">
        <v>2282</v>
      </c>
      <c r="E621" s="33">
        <v>1</v>
      </c>
      <c r="AD621" s="19" t="s">
        <v>780</v>
      </c>
      <c r="AE621" s="33">
        <v>1</v>
      </c>
      <c r="AF621" s="33">
        <v>54.75</v>
      </c>
      <c r="AG621" s="33">
        <v>9.85</v>
      </c>
      <c r="AH621" s="33">
        <v>64.599999999999994</v>
      </c>
    </row>
    <row r="622" spans="4:34">
      <c r="D622" s="19" t="s">
        <v>2382</v>
      </c>
      <c r="E622" s="33">
        <v>1</v>
      </c>
      <c r="AD622" s="19" t="s">
        <v>778</v>
      </c>
      <c r="AE622" s="33">
        <v>1</v>
      </c>
      <c r="AF622" s="33">
        <v>66.69</v>
      </c>
      <c r="AG622" s="33">
        <v>12.01</v>
      </c>
      <c r="AH622" s="33">
        <v>78.7</v>
      </c>
    </row>
    <row r="623" spans="4:34">
      <c r="D623" s="19" t="s">
        <v>2381</v>
      </c>
      <c r="E623" s="33">
        <v>1</v>
      </c>
      <c r="AD623" s="19" t="s">
        <v>776</v>
      </c>
      <c r="AE623" s="33">
        <v>1</v>
      </c>
      <c r="AF623" s="33">
        <v>106.95</v>
      </c>
      <c r="AG623" s="33">
        <v>19.25</v>
      </c>
      <c r="AH623" s="33">
        <v>126.2</v>
      </c>
    </row>
    <row r="624" spans="4:34">
      <c r="D624" s="19" t="s">
        <v>2380</v>
      </c>
      <c r="E624" s="33">
        <v>1</v>
      </c>
      <c r="AD624" s="19" t="s">
        <v>774</v>
      </c>
      <c r="AE624" s="33">
        <v>1</v>
      </c>
      <c r="AF624" s="33">
        <v>289.32</v>
      </c>
      <c r="AG624" s="33">
        <v>52.08</v>
      </c>
      <c r="AH624" s="33">
        <v>341.4</v>
      </c>
    </row>
    <row r="625" spans="4:34">
      <c r="D625" s="19" t="s">
        <v>2379</v>
      </c>
      <c r="E625" s="33">
        <v>1</v>
      </c>
      <c r="AD625" s="19" t="s">
        <v>772</v>
      </c>
      <c r="AE625" s="33">
        <v>1</v>
      </c>
      <c r="AF625" s="33">
        <v>400.93</v>
      </c>
      <c r="AG625" s="33">
        <v>72.17</v>
      </c>
      <c r="AH625" s="33">
        <v>473.1</v>
      </c>
    </row>
    <row r="626" spans="4:34">
      <c r="D626" s="19" t="s">
        <v>2281</v>
      </c>
      <c r="E626" s="33">
        <v>1</v>
      </c>
      <c r="AD626" s="19" t="s">
        <v>770</v>
      </c>
      <c r="AE626" s="33">
        <v>1</v>
      </c>
      <c r="AF626" s="33">
        <v>5</v>
      </c>
      <c r="AG626" s="33">
        <v>0.9</v>
      </c>
      <c r="AH626" s="33">
        <v>5.9</v>
      </c>
    </row>
    <row r="627" spans="4:34">
      <c r="D627" s="19" t="s">
        <v>2280</v>
      </c>
      <c r="E627" s="33">
        <v>1</v>
      </c>
      <c r="AD627" s="19" t="s">
        <v>768</v>
      </c>
      <c r="AE627" s="33">
        <v>1</v>
      </c>
      <c r="AF627" s="33">
        <v>187.63</v>
      </c>
      <c r="AG627" s="33">
        <v>33.770000000000003</v>
      </c>
      <c r="AH627" s="33">
        <v>221.4</v>
      </c>
    </row>
    <row r="628" spans="4:34">
      <c r="D628" s="19" t="s">
        <v>2279</v>
      </c>
      <c r="E628" s="33">
        <v>1</v>
      </c>
      <c r="AD628" s="19" t="s">
        <v>766</v>
      </c>
      <c r="AE628" s="33">
        <v>1</v>
      </c>
      <c r="AF628" s="33">
        <v>170</v>
      </c>
      <c r="AG628" s="33">
        <v>30.6</v>
      </c>
      <c r="AH628" s="33">
        <v>200.6</v>
      </c>
    </row>
    <row r="629" spans="4:34">
      <c r="D629" s="19" t="s">
        <v>2278</v>
      </c>
      <c r="E629" s="33">
        <v>1</v>
      </c>
      <c r="AD629" s="19" t="s">
        <v>764</v>
      </c>
      <c r="AE629" s="33">
        <v>1</v>
      </c>
      <c r="AF629" s="33">
        <v>5640.85</v>
      </c>
      <c r="AG629" s="33">
        <v>1015.35</v>
      </c>
      <c r="AH629" s="33">
        <v>6656.2</v>
      </c>
    </row>
    <row r="630" spans="4:34">
      <c r="D630" s="19" t="s">
        <v>2277</v>
      </c>
      <c r="E630" s="33">
        <v>1</v>
      </c>
      <c r="AD630" s="19" t="s">
        <v>762</v>
      </c>
      <c r="AE630" s="33">
        <v>1</v>
      </c>
      <c r="AF630" s="33">
        <v>6508.39</v>
      </c>
      <c r="AG630" s="33">
        <v>1171.51</v>
      </c>
      <c r="AH630" s="33">
        <v>7679.9</v>
      </c>
    </row>
    <row r="631" spans="4:34">
      <c r="D631" s="19" t="s">
        <v>2276</v>
      </c>
      <c r="E631" s="33">
        <v>1</v>
      </c>
      <c r="AD631" s="19" t="s">
        <v>760</v>
      </c>
      <c r="AE631" s="33">
        <v>1</v>
      </c>
      <c r="AF631" s="33">
        <v>100</v>
      </c>
      <c r="AG631" s="33">
        <v>18</v>
      </c>
      <c r="AH631" s="33">
        <v>118</v>
      </c>
    </row>
    <row r="632" spans="4:34">
      <c r="D632" s="19" t="s">
        <v>2275</v>
      </c>
      <c r="E632" s="33">
        <v>1</v>
      </c>
      <c r="AD632" s="19" t="s">
        <v>758</v>
      </c>
      <c r="AE632" s="33">
        <v>1</v>
      </c>
      <c r="AF632" s="33">
        <v>100</v>
      </c>
      <c r="AG632" s="33">
        <v>18</v>
      </c>
      <c r="AH632" s="33">
        <v>118</v>
      </c>
    </row>
    <row r="633" spans="4:34">
      <c r="D633" s="19" t="s">
        <v>2274</v>
      </c>
      <c r="E633" s="33">
        <v>1</v>
      </c>
      <c r="AD633" s="19" t="s">
        <v>755</v>
      </c>
      <c r="AE633" s="33">
        <v>1</v>
      </c>
      <c r="AF633" s="33">
        <v>25.35</v>
      </c>
      <c r="AG633" s="33">
        <v>4.5599999999999996</v>
      </c>
      <c r="AH633" s="33">
        <v>29.91</v>
      </c>
    </row>
    <row r="634" spans="4:34">
      <c r="D634" s="19" t="s">
        <v>2273</v>
      </c>
      <c r="E634" s="33">
        <v>1</v>
      </c>
      <c r="AD634" s="19" t="s">
        <v>729</v>
      </c>
      <c r="AE634" s="33">
        <v>1</v>
      </c>
      <c r="AF634" s="33">
        <v>177.63</v>
      </c>
      <c r="AG634" s="33">
        <v>31.97</v>
      </c>
      <c r="AH634" s="33">
        <v>209.6</v>
      </c>
    </row>
    <row r="635" spans="4:34">
      <c r="D635" s="19" t="s">
        <v>2272</v>
      </c>
      <c r="E635" s="33">
        <v>1</v>
      </c>
      <c r="AD635" s="19" t="s">
        <v>727</v>
      </c>
      <c r="AE635" s="33">
        <v>1</v>
      </c>
      <c r="AF635" s="33">
        <v>276.52999999999997</v>
      </c>
      <c r="AG635" s="33">
        <v>49.77</v>
      </c>
      <c r="AH635" s="33">
        <v>326.3</v>
      </c>
    </row>
    <row r="636" spans="4:34">
      <c r="D636" s="19" t="s">
        <v>2271</v>
      </c>
      <c r="E636" s="33">
        <v>1</v>
      </c>
      <c r="AD636" s="19" t="s">
        <v>724</v>
      </c>
      <c r="AE636" s="33">
        <v>1</v>
      </c>
      <c r="AF636" s="33">
        <v>2</v>
      </c>
      <c r="AG636" s="33">
        <v>0.36</v>
      </c>
      <c r="AH636" s="33">
        <v>2.36</v>
      </c>
    </row>
    <row r="637" spans="4:34">
      <c r="D637" s="19" t="s">
        <v>2270</v>
      </c>
      <c r="E637" s="33">
        <v>1</v>
      </c>
      <c r="AD637" s="19" t="s">
        <v>722</v>
      </c>
      <c r="AE637" s="33">
        <v>1</v>
      </c>
      <c r="AF637" s="33">
        <v>777.2</v>
      </c>
      <c r="AG637" s="33">
        <v>139.9</v>
      </c>
      <c r="AH637" s="33">
        <v>917.1</v>
      </c>
    </row>
    <row r="638" spans="4:34">
      <c r="D638" s="19" t="s">
        <v>2269</v>
      </c>
      <c r="E638" s="33">
        <v>1</v>
      </c>
      <c r="AD638" s="19" t="s">
        <v>719</v>
      </c>
      <c r="AE638" s="33">
        <v>1</v>
      </c>
      <c r="AF638" s="33">
        <v>967.12</v>
      </c>
      <c r="AG638" s="33">
        <v>174.08</v>
      </c>
      <c r="AH638" s="33">
        <v>1141.2</v>
      </c>
    </row>
    <row r="639" spans="4:34">
      <c r="D639" s="19" t="s">
        <v>2268</v>
      </c>
      <c r="E639" s="33">
        <v>1</v>
      </c>
      <c r="AD639" s="19" t="s">
        <v>717</v>
      </c>
      <c r="AE639" s="33">
        <v>1</v>
      </c>
      <c r="AF639" s="33">
        <v>159.29</v>
      </c>
      <c r="AG639" s="33">
        <v>28.67</v>
      </c>
      <c r="AH639" s="33">
        <v>187.96</v>
      </c>
    </row>
    <row r="640" spans="4:34">
      <c r="D640" s="19" t="s">
        <v>2267</v>
      </c>
      <c r="E640" s="33">
        <v>1</v>
      </c>
      <c r="AD640" s="19" t="s">
        <v>714</v>
      </c>
      <c r="AE640" s="33">
        <v>1</v>
      </c>
      <c r="AF640" s="33">
        <v>274.92</v>
      </c>
      <c r="AG640" s="33">
        <v>49.48</v>
      </c>
      <c r="AH640" s="33">
        <v>324.39999999999998</v>
      </c>
    </row>
    <row r="641" spans="4:34">
      <c r="D641" s="19" t="s">
        <v>2266</v>
      </c>
      <c r="E641" s="33">
        <v>1</v>
      </c>
      <c r="AD641" s="19" t="s">
        <v>712</v>
      </c>
      <c r="AE641" s="33">
        <v>1</v>
      </c>
      <c r="AF641" s="33">
        <v>27.46</v>
      </c>
      <c r="AG641" s="33">
        <v>4.9400000000000004</v>
      </c>
      <c r="AH641" s="33">
        <v>32.4</v>
      </c>
    </row>
    <row r="642" spans="4:34">
      <c r="D642" s="19" t="s">
        <v>2378</v>
      </c>
      <c r="E642" s="33">
        <v>1</v>
      </c>
      <c r="AD642" s="19" t="s">
        <v>710</v>
      </c>
      <c r="AE642" s="33">
        <v>1</v>
      </c>
      <c r="AF642" s="33">
        <v>41.1</v>
      </c>
      <c r="AG642" s="33">
        <v>7.4</v>
      </c>
      <c r="AH642" s="33">
        <v>48.5</v>
      </c>
    </row>
    <row r="643" spans="4:34">
      <c r="D643" s="19" t="s">
        <v>2377</v>
      </c>
      <c r="E643" s="33">
        <v>1</v>
      </c>
      <c r="AD643" s="19" t="s">
        <v>708</v>
      </c>
      <c r="AE643" s="33">
        <v>1</v>
      </c>
      <c r="AF643" s="33">
        <v>6.36</v>
      </c>
      <c r="AG643" s="33">
        <v>1.1399999999999999</v>
      </c>
      <c r="AH643" s="33">
        <v>7.5</v>
      </c>
    </row>
    <row r="644" spans="4:34">
      <c r="D644" s="19" t="s">
        <v>2265</v>
      </c>
      <c r="E644" s="33">
        <v>1</v>
      </c>
      <c r="AD644" s="19" t="s">
        <v>706</v>
      </c>
      <c r="AE644" s="33">
        <v>1</v>
      </c>
      <c r="AF644" s="33">
        <v>11.44</v>
      </c>
      <c r="AG644" s="33">
        <v>2.06</v>
      </c>
      <c r="AH644" s="33">
        <v>13.5</v>
      </c>
    </row>
    <row r="645" spans="4:34">
      <c r="D645" s="19" t="s">
        <v>2264</v>
      </c>
      <c r="E645" s="33">
        <v>1</v>
      </c>
      <c r="AD645" s="19" t="s">
        <v>704</v>
      </c>
      <c r="AE645" s="33">
        <v>1</v>
      </c>
      <c r="AF645" s="33">
        <v>16</v>
      </c>
      <c r="AG645" s="33">
        <v>2.88</v>
      </c>
      <c r="AH645" s="33">
        <v>18.88</v>
      </c>
    </row>
    <row r="646" spans="4:34">
      <c r="D646" s="19" t="s">
        <v>2263</v>
      </c>
      <c r="E646" s="33">
        <v>1</v>
      </c>
      <c r="AD646" s="19" t="s">
        <v>702</v>
      </c>
      <c r="AE646" s="33">
        <v>1</v>
      </c>
      <c r="AF646" s="33">
        <v>16.809999999999999</v>
      </c>
      <c r="AG646" s="33">
        <v>3.03</v>
      </c>
      <c r="AH646" s="33">
        <v>19.84</v>
      </c>
    </row>
    <row r="647" spans="4:34">
      <c r="D647" s="19" t="s">
        <v>2262</v>
      </c>
      <c r="E647" s="33">
        <v>1</v>
      </c>
      <c r="AD647" s="19" t="s">
        <v>700</v>
      </c>
      <c r="AE647" s="33">
        <v>1</v>
      </c>
      <c r="AF647" s="33">
        <v>2103.31</v>
      </c>
      <c r="AG647" s="33">
        <v>378.59</v>
      </c>
      <c r="AH647" s="33">
        <v>2481.9</v>
      </c>
    </row>
    <row r="648" spans="4:34">
      <c r="D648" s="19" t="s">
        <v>2376</v>
      </c>
      <c r="E648" s="33">
        <v>1</v>
      </c>
      <c r="AD648" s="19" t="s">
        <v>698</v>
      </c>
      <c r="AE648" s="33">
        <v>1</v>
      </c>
      <c r="AF648" s="33">
        <v>3585.68</v>
      </c>
      <c r="AG648" s="33">
        <v>645.41999999999996</v>
      </c>
      <c r="AH648" s="33">
        <v>4231.1000000000004</v>
      </c>
    </row>
    <row r="649" spans="4:34">
      <c r="D649" s="19" t="s">
        <v>2375</v>
      </c>
      <c r="E649" s="33">
        <v>1</v>
      </c>
      <c r="AD649" s="19" t="s">
        <v>696</v>
      </c>
      <c r="AE649" s="33">
        <v>1</v>
      </c>
      <c r="AF649" s="33">
        <v>1575</v>
      </c>
      <c r="AG649" s="33">
        <v>283.5</v>
      </c>
      <c r="AH649" s="33">
        <v>1858.5</v>
      </c>
    </row>
    <row r="650" spans="4:34">
      <c r="D650" s="19" t="s">
        <v>2261</v>
      </c>
      <c r="E650" s="33">
        <v>1</v>
      </c>
      <c r="AD650" s="19" t="s">
        <v>694</v>
      </c>
      <c r="AE650" s="33">
        <v>1</v>
      </c>
      <c r="AF650" s="33">
        <v>750</v>
      </c>
      <c r="AG650" s="33">
        <v>135</v>
      </c>
      <c r="AH650" s="33">
        <v>885</v>
      </c>
    </row>
    <row r="651" spans="4:34">
      <c r="D651" s="19" t="s">
        <v>2260</v>
      </c>
      <c r="E651" s="33">
        <v>1</v>
      </c>
      <c r="AD651" s="19" t="s">
        <v>692</v>
      </c>
      <c r="AE651" s="33">
        <v>1</v>
      </c>
      <c r="AF651" s="33">
        <v>20</v>
      </c>
      <c r="AG651" s="33">
        <v>3.6</v>
      </c>
      <c r="AH651" s="33">
        <v>23.6</v>
      </c>
    </row>
    <row r="652" spans="4:34">
      <c r="D652" s="19" t="s">
        <v>2259</v>
      </c>
      <c r="E652" s="33">
        <v>1</v>
      </c>
      <c r="AD652" s="19" t="s">
        <v>690</v>
      </c>
      <c r="AE652" s="33">
        <v>1</v>
      </c>
      <c r="AF652" s="33">
        <v>526.1</v>
      </c>
      <c r="AG652" s="33">
        <v>94.7</v>
      </c>
      <c r="AH652" s="33">
        <v>620.79999999999995</v>
      </c>
    </row>
    <row r="653" spans="4:34">
      <c r="D653" s="19" t="s">
        <v>2258</v>
      </c>
      <c r="E653" s="33">
        <v>1</v>
      </c>
      <c r="AD653" s="19" t="s">
        <v>688</v>
      </c>
      <c r="AE653" s="33">
        <v>1</v>
      </c>
      <c r="AF653" s="33">
        <v>872.71</v>
      </c>
      <c r="AG653" s="33">
        <v>157.09</v>
      </c>
      <c r="AH653" s="33">
        <v>1029.8</v>
      </c>
    </row>
    <row r="654" spans="4:34">
      <c r="D654" s="19" t="s">
        <v>2257</v>
      </c>
      <c r="E654" s="33">
        <v>1</v>
      </c>
      <c r="AD654" s="19" t="s">
        <v>686</v>
      </c>
      <c r="AE654" s="33">
        <v>1</v>
      </c>
      <c r="AF654" s="33">
        <v>1200</v>
      </c>
      <c r="AG654" s="33">
        <v>216</v>
      </c>
      <c r="AH654" s="33">
        <v>1416</v>
      </c>
    </row>
    <row r="655" spans="4:34">
      <c r="D655" s="19" t="s">
        <v>2256</v>
      </c>
      <c r="E655" s="33">
        <v>1</v>
      </c>
      <c r="AD655" s="19" t="s">
        <v>684</v>
      </c>
      <c r="AE655" s="33">
        <v>1</v>
      </c>
      <c r="AF655" s="33">
        <v>5</v>
      </c>
      <c r="AG655" s="33">
        <v>0.9</v>
      </c>
      <c r="AH655" s="33">
        <v>5.9</v>
      </c>
    </row>
    <row r="656" spans="4:34">
      <c r="D656" s="19" t="s">
        <v>2255</v>
      </c>
      <c r="E656" s="33">
        <v>1</v>
      </c>
      <c r="AD656" s="19" t="s">
        <v>671</v>
      </c>
      <c r="AE656" s="33">
        <v>1</v>
      </c>
      <c r="AF656" s="33">
        <v>2347.0300000000002</v>
      </c>
      <c r="AG656" s="33">
        <v>422.47</v>
      </c>
      <c r="AH656" s="33">
        <v>2769.5</v>
      </c>
    </row>
    <row r="657" spans="4:34">
      <c r="D657" s="19" t="s">
        <v>2254</v>
      </c>
      <c r="E657" s="33">
        <v>1</v>
      </c>
      <c r="AD657" s="19" t="s">
        <v>669</v>
      </c>
      <c r="AE657" s="33">
        <v>1</v>
      </c>
      <c r="AF657" s="33">
        <v>3637.63</v>
      </c>
      <c r="AG657" s="33">
        <v>654.77</v>
      </c>
      <c r="AH657" s="33">
        <v>4292.3999999999996</v>
      </c>
    </row>
    <row r="658" spans="4:34">
      <c r="D658" s="19" t="s">
        <v>2253</v>
      </c>
      <c r="E658" s="33">
        <v>1</v>
      </c>
      <c r="AD658" s="19" t="s">
        <v>667</v>
      </c>
      <c r="AE658" s="33">
        <v>1</v>
      </c>
      <c r="AF658" s="33">
        <v>300</v>
      </c>
      <c r="AG658" s="33">
        <v>54</v>
      </c>
      <c r="AH658" s="33">
        <v>354</v>
      </c>
    </row>
    <row r="659" spans="4:34">
      <c r="D659" s="19" t="s">
        <v>2252</v>
      </c>
      <c r="E659" s="33">
        <v>1</v>
      </c>
      <c r="AD659" s="19" t="s">
        <v>665</v>
      </c>
      <c r="AE659" s="33">
        <v>1</v>
      </c>
      <c r="AF659" s="33">
        <v>10</v>
      </c>
      <c r="AG659" s="33">
        <v>1.8</v>
      </c>
      <c r="AH659" s="33">
        <v>11.8</v>
      </c>
    </row>
    <row r="660" spans="4:34">
      <c r="D660" s="19" t="s">
        <v>2251</v>
      </c>
      <c r="E660" s="33">
        <v>1</v>
      </c>
      <c r="AD660" s="19" t="s">
        <v>663</v>
      </c>
      <c r="AE660" s="33">
        <v>1</v>
      </c>
      <c r="AF660" s="33">
        <v>423.73</v>
      </c>
      <c r="AG660" s="33">
        <v>76.27</v>
      </c>
      <c r="AH660" s="33">
        <v>500</v>
      </c>
    </row>
    <row r="661" spans="4:34">
      <c r="D661" s="19" t="s">
        <v>2250</v>
      </c>
      <c r="E661" s="33">
        <v>1</v>
      </c>
      <c r="AD661" s="19" t="s">
        <v>661</v>
      </c>
      <c r="AE661" s="33">
        <v>1</v>
      </c>
      <c r="AF661" s="33">
        <v>304.83</v>
      </c>
      <c r="AG661" s="33">
        <v>54.87</v>
      </c>
      <c r="AH661" s="33">
        <v>359.7</v>
      </c>
    </row>
    <row r="662" spans="4:34">
      <c r="D662" s="19" t="s">
        <v>2249</v>
      </c>
      <c r="E662" s="33">
        <v>1</v>
      </c>
      <c r="AD662" s="19" t="s">
        <v>659</v>
      </c>
      <c r="AE662" s="33">
        <v>1</v>
      </c>
      <c r="AF662" s="33">
        <v>526.1</v>
      </c>
      <c r="AG662" s="33">
        <v>94.7</v>
      </c>
      <c r="AH662" s="33">
        <v>620.79999999999995</v>
      </c>
    </row>
    <row r="663" spans="4:34">
      <c r="D663" s="19" t="s">
        <v>2248</v>
      </c>
      <c r="E663" s="33">
        <v>1</v>
      </c>
      <c r="AD663" s="19" t="s">
        <v>657</v>
      </c>
      <c r="AE663" s="33">
        <v>1</v>
      </c>
      <c r="AF663" s="33">
        <v>423.73</v>
      </c>
      <c r="AG663" s="33">
        <v>76.27</v>
      </c>
      <c r="AH663" s="33">
        <v>500</v>
      </c>
    </row>
    <row r="664" spans="4:34">
      <c r="D664" s="19" t="s">
        <v>2247</v>
      </c>
      <c r="E664" s="33">
        <v>1</v>
      </c>
      <c r="AD664" s="19" t="s">
        <v>655</v>
      </c>
      <c r="AE664" s="33">
        <v>1</v>
      </c>
      <c r="AF664" s="33">
        <v>1467.71</v>
      </c>
      <c r="AG664" s="33">
        <v>264.19</v>
      </c>
      <c r="AH664" s="33">
        <v>1731.9</v>
      </c>
    </row>
    <row r="665" spans="4:34">
      <c r="D665" s="19" t="s">
        <v>2246</v>
      </c>
      <c r="E665" s="33">
        <v>1</v>
      </c>
      <c r="AD665" s="19" t="s">
        <v>653</v>
      </c>
      <c r="AE665" s="33">
        <v>1</v>
      </c>
      <c r="AF665" s="33">
        <v>2377.37</v>
      </c>
      <c r="AG665" s="33">
        <v>427.93</v>
      </c>
      <c r="AH665" s="33">
        <v>2805.3</v>
      </c>
    </row>
    <row r="666" spans="4:34">
      <c r="D666" s="19" t="s">
        <v>2245</v>
      </c>
      <c r="E666" s="33">
        <v>1</v>
      </c>
      <c r="AD666" s="19" t="s">
        <v>651</v>
      </c>
      <c r="AE666" s="33">
        <v>1</v>
      </c>
      <c r="AF666" s="33">
        <v>150</v>
      </c>
      <c r="AG666" s="33">
        <v>27</v>
      </c>
      <c r="AH666" s="33">
        <v>177</v>
      </c>
    </row>
    <row r="667" spans="4:34">
      <c r="D667" s="19" t="s">
        <v>2244</v>
      </c>
      <c r="E667" s="33">
        <v>1</v>
      </c>
      <c r="AD667" s="19" t="s">
        <v>649</v>
      </c>
      <c r="AE667" s="33">
        <v>1</v>
      </c>
      <c r="AF667" s="33">
        <v>447.73</v>
      </c>
      <c r="AG667" s="33">
        <v>80.59</v>
      </c>
      <c r="AH667" s="33">
        <v>528.32000000000005</v>
      </c>
    </row>
    <row r="668" spans="4:34">
      <c r="D668" s="19" t="s">
        <v>2243</v>
      </c>
      <c r="E668" s="33">
        <v>1</v>
      </c>
      <c r="AD668" s="19" t="s">
        <v>647</v>
      </c>
      <c r="AE668" s="33">
        <v>1</v>
      </c>
      <c r="AF668" s="33">
        <v>79.150000000000006</v>
      </c>
      <c r="AG668" s="33">
        <v>14.25</v>
      </c>
      <c r="AH668" s="33">
        <v>93.4</v>
      </c>
    </row>
    <row r="669" spans="4:34">
      <c r="D669" s="19" t="s">
        <v>2374</v>
      </c>
      <c r="E669" s="33">
        <v>1</v>
      </c>
      <c r="AD669" s="19" t="s">
        <v>645</v>
      </c>
      <c r="AE669" s="33">
        <v>1</v>
      </c>
      <c r="AF669" s="33">
        <v>139.75</v>
      </c>
      <c r="AG669" s="33">
        <v>25.15</v>
      </c>
      <c r="AH669" s="33">
        <v>164.9</v>
      </c>
    </row>
    <row r="670" spans="4:34">
      <c r="D670" s="19" t="s">
        <v>2373</v>
      </c>
      <c r="E670" s="33">
        <v>1</v>
      </c>
      <c r="AD670" s="19" t="s">
        <v>643</v>
      </c>
      <c r="AE670" s="33">
        <v>1</v>
      </c>
      <c r="AF670" s="33">
        <v>438.73</v>
      </c>
      <c r="AG670" s="33">
        <v>78.97</v>
      </c>
      <c r="AH670" s="33">
        <v>517.70000000000005</v>
      </c>
    </row>
    <row r="671" spans="4:34">
      <c r="D671" s="19" t="s">
        <v>2372</v>
      </c>
      <c r="E671" s="33">
        <v>1</v>
      </c>
      <c r="AD671" s="19" t="s">
        <v>641</v>
      </c>
      <c r="AE671" s="33">
        <v>1</v>
      </c>
      <c r="AF671" s="33">
        <v>250.51</v>
      </c>
      <c r="AG671" s="33">
        <v>45.09</v>
      </c>
      <c r="AH671" s="33">
        <v>295.60000000000002</v>
      </c>
    </row>
    <row r="672" spans="4:34">
      <c r="D672" s="19" t="s">
        <v>2242</v>
      </c>
      <c r="E672" s="33">
        <v>1</v>
      </c>
      <c r="AD672" s="19" t="s">
        <v>639</v>
      </c>
      <c r="AE672" s="33">
        <v>1</v>
      </c>
      <c r="AF672" s="33">
        <v>418.22</v>
      </c>
      <c r="AG672" s="33">
        <v>75.28</v>
      </c>
      <c r="AH672" s="33">
        <v>493.5</v>
      </c>
    </row>
    <row r="673" spans="4:34">
      <c r="D673" s="19" t="s">
        <v>2241</v>
      </c>
      <c r="E673" s="33">
        <v>1</v>
      </c>
      <c r="AD673" s="19" t="s">
        <v>637</v>
      </c>
      <c r="AE673" s="33">
        <v>1</v>
      </c>
      <c r="AF673" s="33">
        <v>423.73</v>
      </c>
      <c r="AG673" s="33">
        <v>76.27</v>
      </c>
      <c r="AH673" s="33">
        <v>500</v>
      </c>
    </row>
    <row r="674" spans="4:34">
      <c r="D674" s="19" t="s">
        <v>2240</v>
      </c>
      <c r="E674" s="33">
        <v>1</v>
      </c>
      <c r="AD674" s="19" t="s">
        <v>635</v>
      </c>
      <c r="AE674" s="33">
        <v>1</v>
      </c>
      <c r="AF674" s="33">
        <v>991.19</v>
      </c>
      <c r="AG674" s="33">
        <v>178.41</v>
      </c>
      <c r="AH674" s="33">
        <v>1169.5999999999999</v>
      </c>
    </row>
    <row r="675" spans="4:34">
      <c r="D675" s="19" t="s">
        <v>2239</v>
      </c>
      <c r="E675" s="33">
        <v>1</v>
      </c>
      <c r="AD675" s="19" t="s">
        <v>633</v>
      </c>
      <c r="AE675" s="33">
        <v>1</v>
      </c>
      <c r="AF675" s="33">
        <v>1608.31</v>
      </c>
      <c r="AG675" s="33">
        <v>289.49</v>
      </c>
      <c r="AH675" s="33">
        <v>1897.8</v>
      </c>
    </row>
    <row r="676" spans="4:34">
      <c r="D676" s="19" t="s">
        <v>2371</v>
      </c>
      <c r="E676" s="33">
        <v>1</v>
      </c>
      <c r="AD676" s="19" t="s">
        <v>631</v>
      </c>
      <c r="AE676" s="33">
        <v>1</v>
      </c>
      <c r="AF676" s="33">
        <v>150</v>
      </c>
      <c r="AG676" s="33">
        <v>27</v>
      </c>
      <c r="AH676" s="33">
        <v>177</v>
      </c>
    </row>
    <row r="677" spans="4:34">
      <c r="D677" s="19" t="s">
        <v>2370</v>
      </c>
      <c r="E677" s="33">
        <v>1</v>
      </c>
      <c r="AD677" s="19" t="s">
        <v>629</v>
      </c>
      <c r="AE677" s="33">
        <v>1</v>
      </c>
      <c r="AF677" s="33">
        <v>30</v>
      </c>
      <c r="AG677" s="33">
        <v>5.4</v>
      </c>
      <c r="AH677" s="33">
        <v>35.4</v>
      </c>
    </row>
    <row r="678" spans="4:34">
      <c r="D678" s="19" t="s">
        <v>2238</v>
      </c>
      <c r="E678" s="33">
        <v>1</v>
      </c>
      <c r="AD678" s="19" t="s">
        <v>626</v>
      </c>
      <c r="AE678" s="33">
        <v>1</v>
      </c>
      <c r="AF678" s="33">
        <v>423.73</v>
      </c>
      <c r="AG678" s="33">
        <v>76.27</v>
      </c>
      <c r="AH678" s="33">
        <v>500</v>
      </c>
    </row>
    <row r="679" spans="4:34">
      <c r="D679" s="19" t="s">
        <v>2237</v>
      </c>
      <c r="E679" s="33">
        <v>1</v>
      </c>
      <c r="AD679" s="19" t="s">
        <v>624</v>
      </c>
      <c r="AE679" s="33">
        <v>1</v>
      </c>
      <c r="AF679" s="33">
        <v>34.75</v>
      </c>
      <c r="AG679" s="33">
        <v>6.25</v>
      </c>
      <c r="AH679" s="33">
        <v>41</v>
      </c>
    </row>
    <row r="680" spans="4:34">
      <c r="D680" s="19" t="s">
        <v>2236</v>
      </c>
      <c r="E680" s="33">
        <v>1</v>
      </c>
      <c r="AD680" s="19" t="s">
        <v>621</v>
      </c>
      <c r="AE680" s="33">
        <v>1</v>
      </c>
      <c r="AF680" s="33">
        <v>53.56</v>
      </c>
      <c r="AG680" s="33">
        <v>9.64</v>
      </c>
      <c r="AH680" s="33">
        <v>63.2</v>
      </c>
    </row>
    <row r="681" spans="4:34">
      <c r="D681" s="19" t="s">
        <v>2235</v>
      </c>
      <c r="E681" s="33">
        <v>1</v>
      </c>
      <c r="AD681" s="19" t="s">
        <v>593</v>
      </c>
      <c r="AE681" s="33">
        <v>1</v>
      </c>
      <c r="AF681" s="33">
        <v>125.25</v>
      </c>
      <c r="AG681" s="33">
        <v>22.55</v>
      </c>
      <c r="AH681" s="33">
        <v>147.80000000000001</v>
      </c>
    </row>
    <row r="682" spans="4:34">
      <c r="D682" s="19" t="s">
        <v>2234</v>
      </c>
      <c r="E682" s="33">
        <v>1</v>
      </c>
      <c r="AD682" s="19" t="s">
        <v>590</v>
      </c>
      <c r="AE682" s="33">
        <v>1</v>
      </c>
      <c r="AF682" s="33">
        <v>212.8</v>
      </c>
      <c r="AG682" s="33">
        <v>38.299999999999997</v>
      </c>
      <c r="AH682" s="33">
        <v>251.1</v>
      </c>
    </row>
    <row r="683" spans="4:34">
      <c r="D683" s="19" t="s">
        <v>2233</v>
      </c>
      <c r="E683" s="33">
        <v>1</v>
      </c>
      <c r="AD683" s="19" t="s">
        <v>586</v>
      </c>
      <c r="AE683" s="33">
        <v>1</v>
      </c>
      <c r="AF683" s="33">
        <v>20</v>
      </c>
      <c r="AG683" s="33">
        <v>3.6</v>
      </c>
      <c r="AH683" s="33">
        <v>23.6</v>
      </c>
    </row>
    <row r="684" spans="4:34">
      <c r="D684" s="19" t="s">
        <v>2232</v>
      </c>
      <c r="E684" s="33">
        <v>1</v>
      </c>
      <c r="AD684" s="19" t="s">
        <v>516</v>
      </c>
      <c r="AE684" s="33">
        <v>1</v>
      </c>
      <c r="AF684" s="33">
        <v>132.97</v>
      </c>
      <c r="AG684" s="33">
        <v>23.93</v>
      </c>
      <c r="AH684" s="33">
        <v>156.9</v>
      </c>
    </row>
    <row r="685" spans="4:34">
      <c r="D685" s="19" t="s">
        <v>2231</v>
      </c>
      <c r="E685" s="33">
        <v>1</v>
      </c>
      <c r="AD685" s="19" t="s">
        <v>513</v>
      </c>
      <c r="AE685" s="33">
        <v>1</v>
      </c>
      <c r="AF685" s="33">
        <v>138.18</v>
      </c>
      <c r="AG685" s="33">
        <v>24.87</v>
      </c>
      <c r="AH685" s="33">
        <v>163.05000000000001</v>
      </c>
    </row>
    <row r="686" spans="4:34">
      <c r="D686" s="19" t="s">
        <v>2369</v>
      </c>
      <c r="E686" s="33">
        <v>1</v>
      </c>
      <c r="AD686" s="19" t="s">
        <v>511</v>
      </c>
      <c r="AE686" s="33">
        <v>1</v>
      </c>
      <c r="AF686" s="33">
        <v>1170.3900000000001</v>
      </c>
      <c r="AG686" s="33">
        <v>210.67</v>
      </c>
      <c r="AH686" s="33">
        <v>1381.06</v>
      </c>
    </row>
    <row r="687" spans="4:34">
      <c r="D687" s="19" t="s">
        <v>2368</v>
      </c>
      <c r="E687" s="33">
        <v>1</v>
      </c>
      <c r="AD687" s="19" t="s">
        <v>509</v>
      </c>
      <c r="AE687" s="33">
        <v>1</v>
      </c>
      <c r="AF687" s="33">
        <v>1854.82</v>
      </c>
      <c r="AG687" s="33">
        <v>333.87</v>
      </c>
      <c r="AH687" s="33">
        <v>2188.69</v>
      </c>
    </row>
    <row r="688" spans="4:34">
      <c r="D688" s="19" t="s">
        <v>2230</v>
      </c>
      <c r="E688" s="33">
        <v>1</v>
      </c>
      <c r="AD688" s="19" t="s">
        <v>507</v>
      </c>
      <c r="AE688" s="33">
        <v>1</v>
      </c>
      <c r="AF688" s="33">
        <v>600</v>
      </c>
      <c r="AG688" s="33">
        <v>108</v>
      </c>
      <c r="AH688" s="33">
        <v>708</v>
      </c>
    </row>
    <row r="689" spans="4:34">
      <c r="D689" s="19" t="s">
        <v>2229</v>
      </c>
      <c r="E689" s="33">
        <v>1</v>
      </c>
      <c r="AD689" s="19" t="s">
        <v>505</v>
      </c>
      <c r="AE689" s="33">
        <v>1</v>
      </c>
      <c r="AF689" s="33">
        <v>1</v>
      </c>
      <c r="AG689" s="33">
        <v>0.18</v>
      </c>
      <c r="AH689" s="33">
        <v>1.18</v>
      </c>
    </row>
    <row r="690" spans="4:34">
      <c r="D690" s="19" t="s">
        <v>2367</v>
      </c>
      <c r="E690" s="33">
        <v>1</v>
      </c>
      <c r="AD690" s="19" t="s">
        <v>503</v>
      </c>
      <c r="AE690" s="33">
        <v>1</v>
      </c>
      <c r="AF690" s="33">
        <v>5</v>
      </c>
      <c r="AG690" s="33">
        <v>0.9</v>
      </c>
      <c r="AH690" s="33">
        <v>5.9</v>
      </c>
    </row>
    <row r="691" spans="4:34">
      <c r="D691" s="19" t="s">
        <v>2228</v>
      </c>
      <c r="E691" s="33">
        <v>1</v>
      </c>
      <c r="AD691" s="19" t="s">
        <v>500</v>
      </c>
      <c r="AE691" s="33">
        <v>1</v>
      </c>
      <c r="AF691" s="33">
        <v>4.95</v>
      </c>
      <c r="AG691" s="33">
        <v>0.89</v>
      </c>
      <c r="AH691" s="33">
        <v>5.84</v>
      </c>
    </row>
    <row r="692" spans="4:34">
      <c r="D692" s="19" t="s">
        <v>2366</v>
      </c>
      <c r="E692" s="33">
        <v>1</v>
      </c>
      <c r="AD692" s="19" t="s">
        <v>498</v>
      </c>
      <c r="AE692" s="33">
        <v>1</v>
      </c>
      <c r="AF692" s="33">
        <v>896.27</v>
      </c>
      <c r="AG692" s="33">
        <v>161.33000000000001</v>
      </c>
      <c r="AH692" s="33">
        <v>1057.5999999999999</v>
      </c>
    </row>
    <row r="693" spans="4:34">
      <c r="D693" s="19" t="s">
        <v>2597</v>
      </c>
      <c r="E693" s="33">
        <v>1</v>
      </c>
      <c r="AD693" s="19" t="s">
        <v>496</v>
      </c>
      <c r="AE693" s="33">
        <v>1</v>
      </c>
      <c r="AF693" s="33">
        <v>1264.92</v>
      </c>
      <c r="AG693" s="33">
        <v>227.68</v>
      </c>
      <c r="AH693" s="33">
        <v>1492.6</v>
      </c>
    </row>
    <row r="694" spans="4:34">
      <c r="D694" s="19" t="s">
        <v>2596</v>
      </c>
      <c r="E694" s="33">
        <v>1</v>
      </c>
      <c r="AD694" s="19" t="s">
        <v>494</v>
      </c>
      <c r="AE694" s="33">
        <v>1</v>
      </c>
      <c r="AF694" s="33">
        <v>600</v>
      </c>
      <c r="AG694" s="33">
        <v>108</v>
      </c>
      <c r="AH694" s="33">
        <v>708</v>
      </c>
    </row>
    <row r="695" spans="4:34">
      <c r="D695" s="19" t="s">
        <v>2595</v>
      </c>
      <c r="E695" s="33">
        <v>1</v>
      </c>
      <c r="AD695" s="19" t="s">
        <v>492</v>
      </c>
      <c r="AE695" s="33">
        <v>1</v>
      </c>
      <c r="AF695" s="33">
        <v>18.05</v>
      </c>
      <c r="AG695" s="33">
        <v>3.25</v>
      </c>
      <c r="AH695" s="33">
        <v>21.3</v>
      </c>
    </row>
    <row r="696" spans="4:34">
      <c r="D696" s="19" t="s">
        <v>2594</v>
      </c>
      <c r="E696" s="33">
        <v>1</v>
      </c>
      <c r="AD696" s="19" t="s">
        <v>489</v>
      </c>
      <c r="AE696" s="33">
        <v>1</v>
      </c>
      <c r="AF696" s="33">
        <v>24.75</v>
      </c>
      <c r="AG696" s="33">
        <v>4.45</v>
      </c>
      <c r="AH696" s="33">
        <v>29.2</v>
      </c>
    </row>
    <row r="697" spans="4:34">
      <c r="D697" s="19" t="s">
        <v>2593</v>
      </c>
      <c r="E697" s="33">
        <v>1</v>
      </c>
      <c r="AD697" s="19" t="s">
        <v>487</v>
      </c>
      <c r="AE697" s="33">
        <v>1</v>
      </c>
      <c r="AF697" s="33">
        <v>20.34</v>
      </c>
      <c r="AG697" s="33">
        <v>3.66</v>
      </c>
      <c r="AH697" s="33">
        <v>24</v>
      </c>
    </row>
    <row r="698" spans="4:34">
      <c r="D698" s="19" t="s">
        <v>2592</v>
      </c>
      <c r="E698" s="33">
        <v>1</v>
      </c>
      <c r="AD698" s="19" t="s">
        <v>484</v>
      </c>
      <c r="AE698" s="33">
        <v>1</v>
      </c>
      <c r="AF698" s="33">
        <v>25.85</v>
      </c>
      <c r="AG698" s="33">
        <v>4.6500000000000004</v>
      </c>
      <c r="AH698" s="33">
        <v>30.5</v>
      </c>
    </row>
    <row r="699" spans="4:34">
      <c r="D699" s="19" t="s">
        <v>2591</v>
      </c>
      <c r="E699" s="33">
        <v>1</v>
      </c>
      <c r="AD699" s="19" t="s">
        <v>482</v>
      </c>
      <c r="AE699" s="33">
        <v>1</v>
      </c>
      <c r="AF699" s="33">
        <v>1544.46</v>
      </c>
      <c r="AG699" s="33">
        <v>278</v>
      </c>
      <c r="AH699" s="33">
        <v>1822.46</v>
      </c>
    </row>
    <row r="700" spans="4:34">
      <c r="D700" s="19" t="s">
        <v>2590</v>
      </c>
      <c r="E700" s="33">
        <v>1</v>
      </c>
      <c r="AD700" s="19" t="s">
        <v>480</v>
      </c>
      <c r="AE700" s="33">
        <v>1</v>
      </c>
      <c r="AF700" s="33">
        <v>2530.92</v>
      </c>
      <c r="AG700" s="33">
        <v>455.56</v>
      </c>
      <c r="AH700" s="33">
        <v>2986.48</v>
      </c>
    </row>
    <row r="701" spans="4:34">
      <c r="D701" s="19" t="s">
        <v>2589</v>
      </c>
      <c r="E701" s="33">
        <v>1</v>
      </c>
      <c r="AD701" s="19" t="s">
        <v>478</v>
      </c>
      <c r="AE701" s="33">
        <v>1</v>
      </c>
      <c r="AF701" s="33">
        <v>1200</v>
      </c>
      <c r="AG701" s="33">
        <v>216</v>
      </c>
      <c r="AH701" s="33">
        <v>1416</v>
      </c>
    </row>
    <row r="702" spans="4:34">
      <c r="D702" s="19" t="s">
        <v>2588</v>
      </c>
      <c r="E702" s="33">
        <v>1</v>
      </c>
      <c r="AD702" s="19" t="s">
        <v>476</v>
      </c>
      <c r="AE702" s="33">
        <v>1</v>
      </c>
      <c r="AF702" s="33">
        <v>1200</v>
      </c>
      <c r="AG702" s="33">
        <v>216</v>
      </c>
      <c r="AH702" s="33">
        <v>1416</v>
      </c>
    </row>
    <row r="703" spans="4:34">
      <c r="D703" s="19" t="s">
        <v>2587</v>
      </c>
      <c r="E703" s="33">
        <v>1</v>
      </c>
      <c r="AD703" s="19" t="s">
        <v>474</v>
      </c>
      <c r="AE703" s="33">
        <v>1</v>
      </c>
      <c r="AF703" s="33">
        <v>600</v>
      </c>
      <c r="AG703" s="33">
        <v>108</v>
      </c>
      <c r="AH703" s="33">
        <v>708</v>
      </c>
    </row>
    <row r="704" spans="4:34">
      <c r="D704" s="19" t="s">
        <v>2586</v>
      </c>
      <c r="E704" s="33">
        <v>1</v>
      </c>
      <c r="AD704" s="19" t="s">
        <v>472</v>
      </c>
      <c r="AE704" s="33">
        <v>1</v>
      </c>
      <c r="AF704" s="33">
        <v>650</v>
      </c>
      <c r="AG704" s="33">
        <v>117</v>
      </c>
      <c r="AH704" s="33">
        <v>767</v>
      </c>
    </row>
    <row r="705" spans="4:34">
      <c r="D705" s="19" t="s">
        <v>2585</v>
      </c>
      <c r="E705" s="33">
        <v>1</v>
      </c>
      <c r="AD705" s="19" t="s">
        <v>470</v>
      </c>
      <c r="AE705" s="33">
        <v>1</v>
      </c>
      <c r="AF705" s="33">
        <v>1440.93</v>
      </c>
      <c r="AG705" s="33">
        <v>259.37</v>
      </c>
      <c r="AH705" s="33">
        <v>1700.3</v>
      </c>
    </row>
    <row r="706" spans="4:34">
      <c r="D706" s="19" t="s">
        <v>2584</v>
      </c>
      <c r="E706" s="33">
        <v>1</v>
      </c>
      <c r="AD706" s="19" t="s">
        <v>468</v>
      </c>
      <c r="AE706" s="33">
        <v>1</v>
      </c>
      <c r="AF706" s="33">
        <v>2327.5300000000002</v>
      </c>
      <c r="AG706" s="33">
        <v>418.95</v>
      </c>
      <c r="AH706" s="33">
        <v>2746.48</v>
      </c>
    </row>
    <row r="707" spans="4:34">
      <c r="D707" s="19" t="s">
        <v>2541</v>
      </c>
      <c r="E707" s="33">
        <v>1</v>
      </c>
      <c r="AD707" s="19" t="s">
        <v>466</v>
      </c>
      <c r="AE707" s="33">
        <v>1</v>
      </c>
      <c r="AF707" s="33">
        <v>1</v>
      </c>
      <c r="AG707" s="33">
        <v>0.18</v>
      </c>
      <c r="AH707" s="33">
        <v>1.18</v>
      </c>
    </row>
    <row r="708" spans="4:34">
      <c r="D708" s="19" t="s">
        <v>2540</v>
      </c>
      <c r="E708" s="33">
        <v>1</v>
      </c>
      <c r="AD708" s="19" t="s">
        <v>464</v>
      </c>
      <c r="AE708" s="33">
        <v>1</v>
      </c>
      <c r="AF708" s="33">
        <v>1180.25</v>
      </c>
      <c r="AG708" s="33">
        <v>212.45</v>
      </c>
      <c r="AH708" s="33">
        <v>1392.7</v>
      </c>
    </row>
    <row r="709" spans="4:34">
      <c r="D709" s="19" t="s">
        <v>2583</v>
      </c>
      <c r="E709" s="33">
        <v>1</v>
      </c>
      <c r="AD709" s="19" t="s">
        <v>461</v>
      </c>
      <c r="AE709" s="33">
        <v>1</v>
      </c>
      <c r="AF709" s="33">
        <v>1553.9</v>
      </c>
      <c r="AG709" s="33">
        <v>279.7</v>
      </c>
      <c r="AH709" s="33">
        <v>1833.6</v>
      </c>
    </row>
    <row r="710" spans="4:34">
      <c r="D710" s="19" t="s">
        <v>2582</v>
      </c>
      <c r="E710" s="33">
        <v>1</v>
      </c>
      <c r="AD710" s="19" t="s">
        <v>459</v>
      </c>
      <c r="AE710" s="33">
        <v>1</v>
      </c>
      <c r="AF710" s="33">
        <v>12.2</v>
      </c>
      <c r="AG710" s="33">
        <v>2.2000000000000002</v>
      </c>
      <c r="AH710" s="33">
        <v>14.4</v>
      </c>
    </row>
    <row r="711" spans="4:34">
      <c r="D711" s="19" t="s">
        <v>2581</v>
      </c>
      <c r="E711" s="33">
        <v>1</v>
      </c>
      <c r="AD711" s="19" t="s">
        <v>456</v>
      </c>
      <c r="AE711" s="33">
        <v>1</v>
      </c>
      <c r="AF711" s="33">
        <v>11.47</v>
      </c>
      <c r="AG711" s="33">
        <v>2.0699999999999998</v>
      </c>
      <c r="AH711" s="33">
        <v>13.54</v>
      </c>
    </row>
    <row r="712" spans="4:34">
      <c r="D712" s="19" t="s">
        <v>2580</v>
      </c>
      <c r="E712" s="33">
        <v>1</v>
      </c>
      <c r="AD712" s="19" t="s">
        <v>454</v>
      </c>
      <c r="AE712" s="33">
        <v>1</v>
      </c>
      <c r="AF712" s="33">
        <v>17.29</v>
      </c>
      <c r="AG712" s="33">
        <v>3.11</v>
      </c>
      <c r="AH712" s="33">
        <v>20.399999999999999</v>
      </c>
    </row>
    <row r="713" spans="4:34">
      <c r="D713" s="19" t="s">
        <v>2579</v>
      </c>
      <c r="E713" s="33">
        <v>1</v>
      </c>
      <c r="AD713" s="19" t="s">
        <v>451</v>
      </c>
      <c r="AE713" s="33">
        <v>1</v>
      </c>
      <c r="AF713" s="33">
        <v>30.34</v>
      </c>
      <c r="AG713" s="33">
        <v>5.46</v>
      </c>
      <c r="AH713" s="33">
        <v>35.799999999999997</v>
      </c>
    </row>
    <row r="714" spans="4:34">
      <c r="D714" s="19" t="s">
        <v>2539</v>
      </c>
      <c r="E714" s="33">
        <v>1</v>
      </c>
      <c r="AD714" s="19" t="s">
        <v>449</v>
      </c>
      <c r="AE714" s="33">
        <v>1</v>
      </c>
      <c r="AF714" s="33">
        <v>18.05</v>
      </c>
      <c r="AG714" s="33">
        <v>3.25</v>
      </c>
      <c r="AH714" s="33">
        <v>21.3</v>
      </c>
    </row>
    <row r="715" spans="4:34">
      <c r="D715" s="19" t="s">
        <v>2538</v>
      </c>
      <c r="E715" s="33">
        <v>1</v>
      </c>
      <c r="AD715" s="19" t="s">
        <v>446</v>
      </c>
      <c r="AE715" s="33">
        <v>1</v>
      </c>
      <c r="AF715" s="33">
        <v>16.440000000000001</v>
      </c>
      <c r="AG715" s="33">
        <v>2.96</v>
      </c>
      <c r="AH715" s="33">
        <v>19.399999999999999</v>
      </c>
    </row>
    <row r="716" spans="4:34">
      <c r="D716" s="19" t="s">
        <v>2537</v>
      </c>
      <c r="E716" s="33">
        <v>1</v>
      </c>
      <c r="AD716" s="19" t="s">
        <v>444</v>
      </c>
      <c r="AE716" s="33">
        <v>1</v>
      </c>
      <c r="AF716" s="33">
        <v>29.49</v>
      </c>
      <c r="AG716" s="33">
        <v>5.31</v>
      </c>
      <c r="AH716" s="33">
        <v>34.799999999999997</v>
      </c>
    </row>
    <row r="717" spans="4:34">
      <c r="D717" s="19" t="s">
        <v>2536</v>
      </c>
      <c r="E717" s="33">
        <v>1</v>
      </c>
      <c r="AD717" s="19" t="s">
        <v>441</v>
      </c>
      <c r="AE717" s="33">
        <v>1</v>
      </c>
      <c r="AF717" s="33">
        <v>54.07</v>
      </c>
      <c r="AG717" s="33">
        <v>9.73</v>
      </c>
      <c r="AH717" s="33">
        <v>63.8</v>
      </c>
    </row>
    <row r="718" spans="4:34">
      <c r="D718" s="19" t="s">
        <v>2535</v>
      </c>
      <c r="E718" s="33">
        <v>1</v>
      </c>
      <c r="AD718" s="19" t="s">
        <v>439</v>
      </c>
      <c r="AE718" s="33">
        <v>1</v>
      </c>
      <c r="AF718" s="33">
        <v>183.02</v>
      </c>
      <c r="AG718" s="33">
        <v>32.94</v>
      </c>
      <c r="AH718" s="33">
        <v>215.96</v>
      </c>
    </row>
    <row r="719" spans="4:34">
      <c r="D719" s="19" t="s">
        <v>2534</v>
      </c>
      <c r="E719" s="33">
        <v>1</v>
      </c>
      <c r="AD719" s="19" t="s">
        <v>437</v>
      </c>
      <c r="AE719" s="33">
        <v>1</v>
      </c>
      <c r="AF719" s="33">
        <v>298.87</v>
      </c>
      <c r="AG719" s="33">
        <v>53.8</v>
      </c>
      <c r="AH719" s="33">
        <v>352.67</v>
      </c>
    </row>
    <row r="720" spans="4:34">
      <c r="D720" s="19" t="s">
        <v>2533</v>
      </c>
      <c r="E720" s="33">
        <v>1</v>
      </c>
      <c r="AD720" s="19" t="s">
        <v>434</v>
      </c>
      <c r="AE720" s="33">
        <v>1</v>
      </c>
      <c r="AF720" s="33">
        <v>308</v>
      </c>
      <c r="AG720" s="33">
        <v>55.44</v>
      </c>
      <c r="AH720" s="33">
        <v>363.44</v>
      </c>
    </row>
    <row r="721" spans="4:34">
      <c r="D721" s="19" t="s">
        <v>2532</v>
      </c>
      <c r="E721" s="33">
        <v>1</v>
      </c>
      <c r="AD721" s="19" t="s">
        <v>432</v>
      </c>
      <c r="AE721" s="33">
        <v>1</v>
      </c>
      <c r="AF721" s="33">
        <v>660</v>
      </c>
      <c r="AG721" s="33">
        <v>118.8</v>
      </c>
      <c r="AH721" s="33">
        <v>778.8</v>
      </c>
    </row>
    <row r="722" spans="4:34">
      <c r="D722" s="19" t="s">
        <v>2578</v>
      </c>
      <c r="E722" s="33">
        <v>1</v>
      </c>
      <c r="AD722" s="19" t="s">
        <v>430</v>
      </c>
      <c r="AE722" s="33">
        <v>1</v>
      </c>
      <c r="AF722" s="33">
        <v>1693.39</v>
      </c>
      <c r="AG722" s="33">
        <v>304.81</v>
      </c>
      <c r="AH722" s="33">
        <v>1998.2</v>
      </c>
    </row>
    <row r="723" spans="4:34">
      <c r="D723" s="19" t="s">
        <v>2577</v>
      </c>
      <c r="E723" s="33">
        <v>1</v>
      </c>
      <c r="AD723" s="19" t="s">
        <v>428</v>
      </c>
      <c r="AE723" s="33">
        <v>1</v>
      </c>
      <c r="AF723" s="33">
        <v>1200</v>
      </c>
      <c r="AG723" s="33">
        <v>216</v>
      </c>
      <c r="AH723" s="33">
        <v>1416</v>
      </c>
    </row>
    <row r="724" spans="4:34">
      <c r="D724" s="19" t="s">
        <v>2576</v>
      </c>
      <c r="E724" s="33">
        <v>1</v>
      </c>
      <c r="AD724" s="19" t="s">
        <v>426</v>
      </c>
      <c r="AE724" s="33">
        <v>1</v>
      </c>
      <c r="AF724" s="33">
        <v>600</v>
      </c>
      <c r="AG724" s="33">
        <v>108</v>
      </c>
      <c r="AH724" s="33">
        <v>708</v>
      </c>
    </row>
    <row r="725" spans="4:34">
      <c r="D725" s="19" t="s">
        <v>2575</v>
      </c>
      <c r="E725" s="33">
        <v>1</v>
      </c>
      <c r="AD725" s="19" t="s">
        <v>423</v>
      </c>
      <c r="AE725" s="33">
        <v>1</v>
      </c>
      <c r="AF725" s="33">
        <v>10</v>
      </c>
      <c r="AG725" s="33">
        <v>1.8</v>
      </c>
      <c r="AH725" s="33">
        <v>11.8</v>
      </c>
    </row>
    <row r="726" spans="4:34">
      <c r="D726" s="19" t="s">
        <v>2574</v>
      </c>
      <c r="E726" s="33">
        <v>1</v>
      </c>
      <c r="AD726" s="19" t="s">
        <v>421</v>
      </c>
      <c r="AE726" s="33">
        <v>1</v>
      </c>
      <c r="AF726" s="33">
        <v>42.58</v>
      </c>
      <c r="AG726" s="33">
        <v>7.66</v>
      </c>
      <c r="AH726" s="33">
        <v>50.24</v>
      </c>
    </row>
    <row r="727" spans="4:34">
      <c r="D727" s="19" t="s">
        <v>2573</v>
      </c>
      <c r="E727" s="33">
        <v>1</v>
      </c>
      <c r="AD727" s="19" t="s">
        <v>419</v>
      </c>
      <c r="AE727" s="33">
        <v>1</v>
      </c>
      <c r="AF727" s="33">
        <v>69.42</v>
      </c>
      <c r="AG727" s="33">
        <v>12.5</v>
      </c>
      <c r="AH727" s="33">
        <v>81.92</v>
      </c>
    </row>
    <row r="728" spans="4:34">
      <c r="D728" s="19" t="s">
        <v>2572</v>
      </c>
      <c r="E728" s="33">
        <v>1</v>
      </c>
      <c r="AD728" s="19" t="s">
        <v>417</v>
      </c>
      <c r="AE728" s="33">
        <v>1</v>
      </c>
      <c r="AF728" s="33">
        <v>200</v>
      </c>
      <c r="AG728" s="33">
        <v>36</v>
      </c>
      <c r="AH728" s="33">
        <v>236</v>
      </c>
    </row>
    <row r="729" spans="4:34">
      <c r="D729" s="19" t="s">
        <v>2571</v>
      </c>
      <c r="E729" s="33">
        <v>1</v>
      </c>
      <c r="AD729" s="19" t="s">
        <v>414</v>
      </c>
      <c r="AE729" s="33">
        <v>1</v>
      </c>
      <c r="AF729" s="33">
        <v>1</v>
      </c>
      <c r="AG729" s="33">
        <v>0.18</v>
      </c>
      <c r="AH729" s="33">
        <v>1.18</v>
      </c>
    </row>
    <row r="730" spans="4:34">
      <c r="D730" s="19" t="s">
        <v>2570</v>
      </c>
      <c r="E730" s="33">
        <v>1</v>
      </c>
      <c r="AD730" s="19" t="s">
        <v>412</v>
      </c>
      <c r="AE730" s="33">
        <v>1</v>
      </c>
      <c r="AF730" s="33">
        <v>4.58</v>
      </c>
      <c r="AG730" s="33">
        <v>0.82</v>
      </c>
      <c r="AH730" s="33">
        <v>5.4</v>
      </c>
    </row>
    <row r="731" spans="4:34">
      <c r="D731" s="19" t="s">
        <v>2569</v>
      </c>
      <c r="E731" s="33">
        <v>1</v>
      </c>
      <c r="AD731" s="19" t="s">
        <v>410</v>
      </c>
      <c r="AE731" s="33">
        <v>1</v>
      </c>
      <c r="AF731" s="33">
        <v>6.95</v>
      </c>
      <c r="AG731" s="33">
        <v>1.25</v>
      </c>
      <c r="AH731" s="33">
        <v>8.1999999999999993</v>
      </c>
    </row>
    <row r="732" spans="4:34">
      <c r="D732" s="19" t="s">
        <v>2568</v>
      </c>
      <c r="E732" s="33">
        <v>1</v>
      </c>
      <c r="AD732" s="19" t="s">
        <v>408</v>
      </c>
      <c r="AE732" s="33">
        <v>1</v>
      </c>
      <c r="AF732" s="33">
        <v>12.71</v>
      </c>
      <c r="AG732" s="33">
        <v>2.29</v>
      </c>
      <c r="AH732" s="33">
        <v>15</v>
      </c>
    </row>
    <row r="733" spans="4:34">
      <c r="D733" s="19" t="s">
        <v>2567</v>
      </c>
      <c r="E733" s="33">
        <v>1</v>
      </c>
      <c r="AD733" s="19" t="s">
        <v>405</v>
      </c>
      <c r="AE733" s="33">
        <v>1</v>
      </c>
      <c r="AF733" s="33">
        <v>18.64</v>
      </c>
      <c r="AG733" s="33">
        <v>3.36</v>
      </c>
      <c r="AH733" s="33">
        <v>22</v>
      </c>
    </row>
    <row r="734" spans="4:34">
      <c r="D734" s="19" t="s">
        <v>2566</v>
      </c>
      <c r="E734" s="33">
        <v>1</v>
      </c>
      <c r="AD734" s="19" t="s">
        <v>403</v>
      </c>
      <c r="AE734" s="33">
        <v>1</v>
      </c>
      <c r="AF734" s="33">
        <v>140.34</v>
      </c>
      <c r="AG734" s="33">
        <v>25.26</v>
      </c>
      <c r="AH734" s="33">
        <v>165.6</v>
      </c>
    </row>
    <row r="735" spans="4:34">
      <c r="D735" s="19" t="s">
        <v>2565</v>
      </c>
      <c r="E735" s="33">
        <v>1</v>
      </c>
      <c r="AD735" s="19" t="s">
        <v>400</v>
      </c>
      <c r="AE735" s="33">
        <v>1</v>
      </c>
      <c r="AF735" s="33">
        <v>190.17</v>
      </c>
      <c r="AG735" s="33">
        <v>34.229999999999997</v>
      </c>
      <c r="AH735" s="33">
        <v>224.4</v>
      </c>
    </row>
    <row r="736" spans="4:34">
      <c r="D736" s="19" t="s">
        <v>2564</v>
      </c>
      <c r="E736" s="33">
        <v>1</v>
      </c>
      <c r="AD736" s="19" t="s">
        <v>398</v>
      </c>
      <c r="AE736" s="33">
        <v>1</v>
      </c>
      <c r="AF736" s="33">
        <v>527.39</v>
      </c>
      <c r="AG736" s="33">
        <v>94.93</v>
      </c>
      <c r="AH736" s="33">
        <v>622.32000000000005</v>
      </c>
    </row>
    <row r="737" spans="4:34">
      <c r="D737" s="19" t="s">
        <v>2563</v>
      </c>
      <c r="E737" s="33">
        <v>1</v>
      </c>
      <c r="AD737" s="19" t="s">
        <v>396</v>
      </c>
      <c r="AE737" s="33">
        <v>1</v>
      </c>
      <c r="AF737" s="33">
        <v>392.2</v>
      </c>
      <c r="AG737" s="33">
        <v>70.599999999999994</v>
      </c>
      <c r="AH737" s="33">
        <v>462.8</v>
      </c>
    </row>
    <row r="738" spans="4:34">
      <c r="D738" s="19" t="s">
        <v>2562</v>
      </c>
      <c r="E738" s="33">
        <v>1</v>
      </c>
      <c r="AD738" s="19" t="s">
        <v>393</v>
      </c>
      <c r="AE738" s="33">
        <v>1</v>
      </c>
      <c r="AF738" s="33">
        <v>12.75</v>
      </c>
      <c r="AG738" s="33">
        <v>2.29</v>
      </c>
      <c r="AH738" s="33">
        <v>15.04</v>
      </c>
    </row>
    <row r="739" spans="4:34">
      <c r="D739" s="19" t="s">
        <v>2561</v>
      </c>
      <c r="E739" s="33">
        <v>1</v>
      </c>
      <c r="AD739" s="19" t="s">
        <v>386</v>
      </c>
      <c r="AE739" s="33">
        <v>1</v>
      </c>
      <c r="AF739" s="33">
        <v>20.190000000000001</v>
      </c>
      <c r="AG739" s="33">
        <v>3.64</v>
      </c>
      <c r="AH739" s="33">
        <v>23.83</v>
      </c>
    </row>
    <row r="740" spans="4:34">
      <c r="D740" s="19" t="s">
        <v>2560</v>
      </c>
      <c r="E740" s="33">
        <v>1</v>
      </c>
      <c r="AD740" s="19" t="s">
        <v>384</v>
      </c>
      <c r="AE740" s="33">
        <v>1</v>
      </c>
      <c r="AF740" s="33">
        <v>30.68</v>
      </c>
      <c r="AG740" s="33">
        <v>5.52</v>
      </c>
      <c r="AH740" s="33">
        <v>36.200000000000003</v>
      </c>
    </row>
    <row r="741" spans="4:34">
      <c r="D741" s="19" t="s">
        <v>2559</v>
      </c>
      <c r="E741" s="33">
        <v>1</v>
      </c>
      <c r="AD741" s="19" t="s">
        <v>382</v>
      </c>
      <c r="AE741" s="33">
        <v>1</v>
      </c>
      <c r="AF741" s="33">
        <v>107.37</v>
      </c>
      <c r="AG741" s="33">
        <v>19.329999999999998</v>
      </c>
      <c r="AH741" s="33">
        <v>126.7</v>
      </c>
    </row>
    <row r="742" spans="4:34">
      <c r="D742" s="19" t="s">
        <v>2558</v>
      </c>
      <c r="E742" s="33">
        <v>1</v>
      </c>
      <c r="AD742" s="19" t="s">
        <v>952</v>
      </c>
      <c r="AE742" s="33">
        <v>1</v>
      </c>
      <c r="AF742" s="33">
        <v>970</v>
      </c>
      <c r="AG742" s="33">
        <v>174.6</v>
      </c>
      <c r="AH742" s="33">
        <v>1144.5999999999999</v>
      </c>
    </row>
    <row r="743" spans="4:34">
      <c r="D743" s="19" t="s">
        <v>2531</v>
      </c>
      <c r="E743" s="33">
        <v>1</v>
      </c>
      <c r="AD743" s="19" t="s">
        <v>950</v>
      </c>
      <c r="AE743" s="33">
        <v>1</v>
      </c>
      <c r="AF743" s="33">
        <v>976.5</v>
      </c>
      <c r="AG743" s="33">
        <v>175.77</v>
      </c>
      <c r="AH743" s="33">
        <v>1152.27</v>
      </c>
    </row>
    <row r="744" spans="4:34">
      <c r="D744" s="19" t="s">
        <v>2530</v>
      </c>
      <c r="E744" s="33">
        <v>1</v>
      </c>
      <c r="AD744" s="19" t="s">
        <v>927</v>
      </c>
      <c r="AE744" s="33">
        <v>1</v>
      </c>
      <c r="AF744" s="33">
        <v>209.66</v>
      </c>
      <c r="AG744" s="33">
        <v>37.74</v>
      </c>
      <c r="AH744" s="33">
        <v>247.4</v>
      </c>
    </row>
    <row r="745" spans="4:34">
      <c r="D745" s="19" t="s">
        <v>2557</v>
      </c>
      <c r="E745" s="33">
        <v>1</v>
      </c>
      <c r="AD745" s="19" t="s">
        <v>925</v>
      </c>
      <c r="AE745" s="33">
        <v>1</v>
      </c>
      <c r="AF745" s="33">
        <v>720</v>
      </c>
      <c r="AG745" s="33">
        <v>129.6</v>
      </c>
      <c r="AH745" s="33">
        <v>849.6</v>
      </c>
    </row>
    <row r="746" spans="4:34">
      <c r="D746" s="19" t="s">
        <v>2556</v>
      </c>
      <c r="E746" s="33">
        <v>1</v>
      </c>
      <c r="AD746" s="19" t="s">
        <v>923</v>
      </c>
      <c r="AE746" s="33">
        <v>1</v>
      </c>
      <c r="AF746" s="33">
        <v>720</v>
      </c>
      <c r="AG746" s="33">
        <v>129.6</v>
      </c>
      <c r="AH746" s="33">
        <v>849.6</v>
      </c>
    </row>
    <row r="747" spans="4:34">
      <c r="D747" s="19" t="s">
        <v>2555</v>
      </c>
      <c r="E747" s="33">
        <v>1</v>
      </c>
      <c r="AD747" s="19" t="s">
        <v>920</v>
      </c>
      <c r="AE747" s="33">
        <v>1</v>
      </c>
      <c r="AF747" s="33">
        <v>1230</v>
      </c>
      <c r="AG747" s="33">
        <v>221.4</v>
      </c>
      <c r="AH747" s="33">
        <v>1451.4</v>
      </c>
    </row>
    <row r="748" spans="4:34">
      <c r="D748" s="19" t="s">
        <v>2554</v>
      </c>
      <c r="E748" s="33">
        <v>1</v>
      </c>
      <c r="AD748" s="19" t="s">
        <v>753</v>
      </c>
      <c r="AE748" s="33">
        <v>1</v>
      </c>
      <c r="AF748" s="33">
        <v>910</v>
      </c>
      <c r="AG748" s="33">
        <v>163.80000000000001</v>
      </c>
      <c r="AH748" s="33">
        <v>1073.8</v>
      </c>
    </row>
    <row r="749" spans="4:34">
      <c r="D749" s="19" t="s">
        <v>2553</v>
      </c>
      <c r="E749" s="33">
        <v>1</v>
      </c>
      <c r="AD749" s="19" t="s">
        <v>751</v>
      </c>
      <c r="AE749" s="33">
        <v>1</v>
      </c>
      <c r="AF749" s="33">
        <v>800</v>
      </c>
      <c r="AG749" s="33">
        <v>144</v>
      </c>
      <c r="AH749" s="33">
        <v>944</v>
      </c>
    </row>
    <row r="750" spans="4:34">
      <c r="D750" s="19" t="s">
        <v>2552</v>
      </c>
      <c r="E750" s="33">
        <v>1</v>
      </c>
      <c r="AD750" s="19" t="s">
        <v>682</v>
      </c>
      <c r="AE750" s="33">
        <v>1</v>
      </c>
      <c r="AF750" s="33">
        <v>2080</v>
      </c>
      <c r="AG750" s="33">
        <v>374.4</v>
      </c>
      <c r="AH750" s="33">
        <v>2454.4</v>
      </c>
    </row>
    <row r="751" spans="4:34">
      <c r="D751" s="19" t="s">
        <v>2551</v>
      </c>
      <c r="E751" s="33">
        <v>1</v>
      </c>
      <c r="AD751" s="19" t="s">
        <v>588</v>
      </c>
      <c r="AE751" s="33">
        <v>1</v>
      </c>
      <c r="AF751" s="33">
        <v>830</v>
      </c>
      <c r="AG751" s="33">
        <v>149.4</v>
      </c>
      <c r="AH751" s="33">
        <v>979.4</v>
      </c>
    </row>
    <row r="752" spans="4:34">
      <c r="D752" s="19" t="s">
        <v>2550</v>
      </c>
      <c r="E752" s="33">
        <v>1</v>
      </c>
      <c r="AD752" s="19" t="s">
        <v>380</v>
      </c>
      <c r="AE752" s="33">
        <v>1</v>
      </c>
      <c r="AF752" s="33">
        <v>400</v>
      </c>
      <c r="AG752" s="33">
        <v>72</v>
      </c>
      <c r="AH752" s="33">
        <v>472</v>
      </c>
    </row>
    <row r="753" spans="4:34">
      <c r="D753" s="19" t="s">
        <v>2549</v>
      </c>
      <c r="E753" s="33">
        <v>1</v>
      </c>
      <c r="AD753" s="19" t="s">
        <v>378</v>
      </c>
      <c r="AE753" s="33">
        <v>1</v>
      </c>
      <c r="AF753" s="33">
        <v>1241</v>
      </c>
      <c r="AG753" s="33">
        <v>223.38</v>
      </c>
      <c r="AH753" s="33">
        <v>1464.38</v>
      </c>
    </row>
    <row r="754" spans="4:34">
      <c r="D754" s="19" t="s">
        <v>2548</v>
      </c>
      <c r="E754" s="33">
        <v>1</v>
      </c>
      <c r="AD754" s="19" t="s">
        <v>375</v>
      </c>
      <c r="AE754" s="33">
        <v>1</v>
      </c>
      <c r="AF754" s="33">
        <v>1230</v>
      </c>
      <c r="AG754" s="33">
        <v>221.4</v>
      </c>
      <c r="AH754" s="33">
        <v>1451.4</v>
      </c>
    </row>
    <row r="755" spans="4:34">
      <c r="D755" s="19" t="s">
        <v>2529</v>
      </c>
      <c r="E755" s="33">
        <v>1</v>
      </c>
      <c r="AD755" s="19" t="s">
        <v>52</v>
      </c>
      <c r="AE755" s="33">
        <v>790</v>
      </c>
      <c r="AF755" s="33">
        <v>573565.90999999933</v>
      </c>
      <c r="AG755" s="33">
        <v>103241.76</v>
      </c>
      <c r="AH755" s="33">
        <v>676807.67000000074</v>
      </c>
    </row>
    <row r="756" spans="4:34">
      <c r="D756" s="19" t="s">
        <v>2528</v>
      </c>
      <c r="E756" s="33">
        <v>1</v>
      </c>
    </row>
    <row r="757" spans="4:34">
      <c r="D757" s="19" t="s">
        <v>2547</v>
      </c>
      <c r="E757" s="33">
        <v>1</v>
      </c>
    </row>
    <row r="758" spans="4:34">
      <c r="D758" s="19" t="s">
        <v>2546</v>
      </c>
      <c r="E758" s="33">
        <v>1</v>
      </c>
    </row>
    <row r="759" spans="4:34">
      <c r="D759" s="19" t="s">
        <v>2545</v>
      </c>
      <c r="E759" s="33">
        <v>1</v>
      </c>
    </row>
    <row r="760" spans="4:34">
      <c r="D760" s="19" t="s">
        <v>2544</v>
      </c>
      <c r="E760" s="33">
        <v>1</v>
      </c>
    </row>
    <row r="761" spans="4:34">
      <c r="D761" s="19" t="s">
        <v>2543</v>
      </c>
      <c r="E761" s="33">
        <v>1</v>
      </c>
    </row>
    <row r="762" spans="4:34">
      <c r="D762" s="19" t="s">
        <v>2542</v>
      </c>
      <c r="E762" s="33">
        <v>1</v>
      </c>
    </row>
    <row r="763" spans="4:34">
      <c r="D763" s="19" t="s">
        <v>2527</v>
      </c>
      <c r="E763" s="33">
        <v>1</v>
      </c>
    </row>
    <row r="764" spans="4:34">
      <c r="D764" s="19" t="s">
        <v>2526</v>
      </c>
      <c r="E764" s="33">
        <v>1</v>
      </c>
    </row>
    <row r="765" spans="4:34">
      <c r="D765" s="19" t="s">
        <v>2525</v>
      </c>
      <c r="E765" s="33">
        <v>1</v>
      </c>
    </row>
    <row r="766" spans="4:34">
      <c r="D766" s="19" t="s">
        <v>2524</v>
      </c>
      <c r="E766" s="33">
        <v>1</v>
      </c>
    </row>
    <row r="767" spans="4:34">
      <c r="D767" s="19" t="s">
        <v>2523</v>
      </c>
      <c r="E767" s="33">
        <v>1</v>
      </c>
    </row>
    <row r="768" spans="4:34">
      <c r="D768" s="19" t="s">
        <v>2522</v>
      </c>
      <c r="E768" s="33">
        <v>1</v>
      </c>
    </row>
    <row r="769" spans="4:5">
      <c r="D769" s="19" t="s">
        <v>2521</v>
      </c>
      <c r="E769" s="33">
        <v>1</v>
      </c>
    </row>
    <row r="770" spans="4:5">
      <c r="D770" s="19" t="s">
        <v>2520</v>
      </c>
      <c r="E770" s="33">
        <v>1</v>
      </c>
    </row>
    <row r="771" spans="4:5">
      <c r="D771" s="19" t="s">
        <v>2519</v>
      </c>
      <c r="E771" s="33">
        <v>1</v>
      </c>
    </row>
    <row r="772" spans="4:5">
      <c r="D772" s="19" t="s">
        <v>2518</v>
      </c>
      <c r="E772" s="33">
        <v>1</v>
      </c>
    </row>
    <row r="773" spans="4:5">
      <c r="D773" s="19" t="s">
        <v>2517</v>
      </c>
      <c r="E773" s="33">
        <v>1</v>
      </c>
    </row>
    <row r="774" spans="4:5">
      <c r="D774" s="19" t="s">
        <v>2516</v>
      </c>
      <c r="E774" s="33">
        <v>1</v>
      </c>
    </row>
    <row r="775" spans="4:5">
      <c r="D775" s="19" t="s">
        <v>2515</v>
      </c>
      <c r="E775" s="33">
        <v>1</v>
      </c>
    </row>
    <row r="776" spans="4:5">
      <c r="D776" s="19" t="s">
        <v>2514</v>
      </c>
      <c r="E776" s="33">
        <v>1</v>
      </c>
    </row>
    <row r="777" spans="4:5">
      <c r="D777" s="19" t="s">
        <v>2513</v>
      </c>
      <c r="E777" s="33">
        <v>1</v>
      </c>
    </row>
    <row r="778" spans="4:5">
      <c r="D778" s="19" t="s">
        <v>2512</v>
      </c>
      <c r="E778" s="33">
        <v>1</v>
      </c>
    </row>
    <row r="779" spans="4:5">
      <c r="D779" s="19" t="s">
        <v>2792</v>
      </c>
      <c r="E779" s="33">
        <v>3</v>
      </c>
    </row>
    <row r="780" spans="4:5">
      <c r="D780" s="19" t="s">
        <v>52</v>
      </c>
      <c r="E780" s="33">
        <v>790</v>
      </c>
    </row>
  </sheetData>
  <pageMargins left="0.7" right="0.7" top="0.75" bottom="0.75" header="0.3" footer="0.3"/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5" sqref="G5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47</v>
      </c>
      <c r="B1" s="6" t="s">
        <v>48</v>
      </c>
    </row>
    <row r="2" spans="1:10">
      <c r="A2" s="6" t="s">
        <v>49</v>
      </c>
      <c r="B2" s="6">
        <v>11</v>
      </c>
    </row>
    <row r="3" spans="1:10">
      <c r="A3" s="6" t="s">
        <v>50</v>
      </c>
      <c r="B3" s="6">
        <v>11</v>
      </c>
      <c r="E3" s="9" t="s">
        <v>7</v>
      </c>
      <c r="F3" s="9" t="s">
        <v>62</v>
      </c>
      <c r="G3" s="9" t="s">
        <v>63</v>
      </c>
      <c r="H3" s="9" t="s">
        <v>64</v>
      </c>
      <c r="I3" s="9" t="s">
        <v>65</v>
      </c>
      <c r="J3" s="15" t="s">
        <v>106</v>
      </c>
    </row>
    <row r="4" spans="1:10">
      <c r="E4" s="10" t="s">
        <v>66</v>
      </c>
      <c r="F4" s="10" t="s">
        <v>67</v>
      </c>
      <c r="G4" s="10" t="s">
        <v>68</v>
      </c>
      <c r="H4" s="10" t="s">
        <v>69</v>
      </c>
      <c r="I4" s="10" t="s">
        <v>97</v>
      </c>
      <c r="J4" s="10"/>
    </row>
    <row r="5" spans="1:10">
      <c r="E5" s="10" t="s">
        <v>66</v>
      </c>
      <c r="F5" s="10" t="s">
        <v>70</v>
      </c>
      <c r="G5" s="10" t="s">
        <v>71</v>
      </c>
      <c r="H5" s="10" t="s">
        <v>69</v>
      </c>
      <c r="I5" s="10" t="s">
        <v>97</v>
      </c>
      <c r="J5" s="10"/>
    </row>
    <row r="6" spans="1:10">
      <c r="E6" s="10" t="s">
        <v>66</v>
      </c>
      <c r="F6" s="10" t="s">
        <v>72</v>
      </c>
      <c r="G6" s="10" t="s">
        <v>102</v>
      </c>
      <c r="H6" s="10" t="s">
        <v>69</v>
      </c>
      <c r="I6" s="10" t="s">
        <v>97</v>
      </c>
      <c r="J6" s="10"/>
    </row>
    <row r="7" spans="1:10">
      <c r="E7" s="10" t="s">
        <v>66</v>
      </c>
      <c r="F7" s="10" t="s">
        <v>73</v>
      </c>
      <c r="G7" s="11" t="s">
        <v>74</v>
      </c>
      <c r="H7" s="10" t="s">
        <v>69</v>
      </c>
      <c r="I7" s="10" t="s">
        <v>97</v>
      </c>
      <c r="J7" s="10"/>
    </row>
    <row r="8" spans="1:10">
      <c r="E8" s="10" t="s">
        <v>75</v>
      </c>
      <c r="F8" s="10" t="s">
        <v>67</v>
      </c>
      <c r="G8" s="10" t="s">
        <v>76</v>
      </c>
      <c r="H8" s="10" t="s">
        <v>69</v>
      </c>
      <c r="I8" s="10" t="s">
        <v>97</v>
      </c>
      <c r="J8" s="10"/>
    </row>
    <row r="9" spans="1:10">
      <c r="E9" s="10" t="s">
        <v>75</v>
      </c>
      <c r="F9" s="10" t="s">
        <v>70</v>
      </c>
      <c r="G9" s="10" t="s">
        <v>77</v>
      </c>
      <c r="H9" s="10" t="s">
        <v>69</v>
      </c>
      <c r="I9" s="10" t="s">
        <v>97</v>
      </c>
      <c r="J9" s="10"/>
    </row>
    <row r="10" spans="1:10">
      <c r="E10" s="12" t="s">
        <v>78</v>
      </c>
      <c r="F10" s="12" t="s">
        <v>79</v>
      </c>
      <c r="G10" s="12" t="s">
        <v>80</v>
      </c>
      <c r="H10" s="12" t="s">
        <v>81</v>
      </c>
      <c r="I10" s="12" t="s">
        <v>97</v>
      </c>
      <c r="J10" s="12"/>
    </row>
    <row r="11" spans="1:10">
      <c r="E11" s="12" t="s">
        <v>78</v>
      </c>
      <c r="F11" s="12" t="s">
        <v>82</v>
      </c>
      <c r="G11" s="12" t="s">
        <v>83</v>
      </c>
      <c r="H11" s="12" t="s">
        <v>81</v>
      </c>
      <c r="I11" s="12" t="s">
        <v>97</v>
      </c>
      <c r="J11" s="12"/>
    </row>
    <row r="12" spans="1:10">
      <c r="E12" s="12" t="s">
        <v>78</v>
      </c>
      <c r="F12" s="12" t="s">
        <v>84</v>
      </c>
      <c r="G12" s="12" t="s">
        <v>85</v>
      </c>
      <c r="H12" s="12" t="s">
        <v>81</v>
      </c>
      <c r="I12" s="12" t="s">
        <v>97</v>
      </c>
      <c r="J12" s="12"/>
    </row>
    <row r="13" spans="1:10">
      <c r="E13" s="12" t="s">
        <v>78</v>
      </c>
      <c r="F13" s="12" t="s">
        <v>86</v>
      </c>
      <c r="G13" s="12" t="s">
        <v>87</v>
      </c>
      <c r="H13" s="12" t="s">
        <v>81</v>
      </c>
      <c r="I13" s="12" t="s">
        <v>97</v>
      </c>
      <c r="J13" s="12"/>
    </row>
    <row r="14" spans="1:10">
      <c r="E14" s="13" t="s">
        <v>88</v>
      </c>
      <c r="F14" s="13" t="s">
        <v>84</v>
      </c>
      <c r="G14" s="13" t="s">
        <v>89</v>
      </c>
      <c r="H14" s="13" t="s">
        <v>90</v>
      </c>
      <c r="I14" s="13" t="s">
        <v>97</v>
      </c>
      <c r="J14" s="13"/>
    </row>
    <row r="15" spans="1:10">
      <c r="E15" s="13" t="s">
        <v>88</v>
      </c>
      <c r="F15" s="13" t="s">
        <v>91</v>
      </c>
      <c r="G15" s="13" t="s">
        <v>92</v>
      </c>
      <c r="H15" s="13" t="s">
        <v>90</v>
      </c>
      <c r="I15" s="13" t="s">
        <v>97</v>
      </c>
      <c r="J15" s="13"/>
    </row>
    <row r="16" spans="1:10">
      <c r="E16" s="14" t="s">
        <v>93</v>
      </c>
      <c r="F16" s="14" t="s">
        <v>94</v>
      </c>
      <c r="G16" s="14" t="s">
        <v>95</v>
      </c>
      <c r="H16" s="14" t="s">
        <v>96</v>
      </c>
      <c r="I16" s="14" t="s">
        <v>97</v>
      </c>
      <c r="J16" s="14"/>
    </row>
    <row r="17" spans="5:10">
      <c r="E17" s="14" t="s">
        <v>93</v>
      </c>
      <c r="F17" s="14" t="s">
        <v>98</v>
      </c>
      <c r="G17" s="14" t="s">
        <v>99</v>
      </c>
      <c r="H17" s="14" t="s">
        <v>96</v>
      </c>
      <c r="I17" s="14" t="s">
        <v>97</v>
      </c>
      <c r="J17" s="14"/>
    </row>
    <row r="18" spans="5:10">
      <c r="E18" s="14" t="s">
        <v>93</v>
      </c>
      <c r="F18" s="14" t="s">
        <v>100</v>
      </c>
      <c r="G18" s="14" t="s">
        <v>101</v>
      </c>
      <c r="H18" s="14" t="s">
        <v>96</v>
      </c>
      <c r="I18" s="14" t="s">
        <v>97</v>
      </c>
      <c r="J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229</v>
      </c>
    </row>
    <row r="3" spans="1:44">
      <c r="A3" t="s">
        <v>113</v>
      </c>
      <c r="B3" t="s">
        <v>114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227</v>
      </c>
    </row>
    <row r="4" spans="1:44">
      <c r="A4" t="s">
        <v>159</v>
      </c>
      <c r="B4" t="s">
        <v>160</v>
      </c>
      <c r="C4" s="8">
        <v>45919</v>
      </c>
      <c r="D4" s="22">
        <v>45932.448761574073</v>
      </c>
      <c r="E4" t="s">
        <v>33</v>
      </c>
      <c r="G4">
        <v>6</v>
      </c>
      <c r="H4">
        <v>20609168961</v>
      </c>
      <c r="I4" t="s">
        <v>161</v>
      </c>
      <c r="J4" s="8">
        <v>45919</v>
      </c>
      <c r="P4">
        <v>2</v>
      </c>
      <c r="Q4">
        <v>228</v>
      </c>
      <c r="R4" t="s">
        <v>167</v>
      </c>
      <c r="S4" t="s">
        <v>163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156</v>
      </c>
      <c r="AE4" t="s">
        <v>157</v>
      </c>
      <c r="AF4">
        <v>2</v>
      </c>
      <c r="AG4" t="s">
        <v>25</v>
      </c>
      <c r="AH4">
        <v>101</v>
      </c>
      <c r="AI4" t="s">
        <v>164</v>
      </c>
      <c r="AJ4" t="s">
        <v>165</v>
      </c>
      <c r="AK4">
        <v>2</v>
      </c>
      <c r="AL4" t="s">
        <v>166</v>
      </c>
      <c r="AM4" s="8">
        <v>44204</v>
      </c>
      <c r="AN4" s="8">
        <v>44204</v>
      </c>
      <c r="AP4" t="s">
        <v>33</v>
      </c>
      <c r="AR4" t="s">
        <v>228</v>
      </c>
    </row>
    <row r="5" spans="1:44">
      <c r="A5" t="s">
        <v>159</v>
      </c>
      <c r="B5" t="s">
        <v>160</v>
      </c>
      <c r="C5" s="8">
        <v>45919</v>
      </c>
      <c r="D5" s="22">
        <v>45932.448761574073</v>
      </c>
      <c r="E5" t="s">
        <v>33</v>
      </c>
      <c r="G5">
        <v>6</v>
      </c>
      <c r="H5">
        <v>20609168961</v>
      </c>
      <c r="I5" t="s">
        <v>161</v>
      </c>
      <c r="J5" s="8">
        <v>45919</v>
      </c>
      <c r="P5">
        <v>1</v>
      </c>
      <c r="Q5">
        <v>232</v>
      </c>
      <c r="R5" t="s">
        <v>162</v>
      </c>
      <c r="S5" t="s">
        <v>163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156</v>
      </c>
      <c r="AE5" t="s">
        <v>157</v>
      </c>
      <c r="AF5">
        <v>2</v>
      </c>
      <c r="AG5" t="s">
        <v>25</v>
      </c>
      <c r="AH5">
        <v>101</v>
      </c>
      <c r="AI5" t="s">
        <v>164</v>
      </c>
      <c r="AJ5" t="s">
        <v>165</v>
      </c>
      <c r="AK5">
        <v>2</v>
      </c>
      <c r="AL5" t="s">
        <v>166</v>
      </c>
      <c r="AM5" s="8">
        <v>44204</v>
      </c>
      <c r="AN5" s="8">
        <v>44204</v>
      </c>
      <c r="AP5" t="s">
        <v>33</v>
      </c>
      <c r="AR5" t="s">
        <v>228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103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FactClientes_InterfaceODOO</vt:lpstr>
      <vt:lpstr>Validaciones_odoo_inteface</vt:lpstr>
      <vt:lpstr>facturas_con_items_json</vt:lpstr>
      <vt:lpstr>Detalle1</vt:lpstr>
      <vt:lpstr>Detalle3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2025-11-03T15:20:52Z</dcterms:modified>
</cp:coreProperties>
</file>