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PORTE\Desktop\vaope-bi\4_Validaciones\Informe Ventas y Egresos\Ventas\"/>
    </mc:Choice>
  </mc:AlternateContent>
  <xr:revisionPtr revIDLastSave="0" documentId="13_ncr:1_{7708DBE2-D01D-4C2B-B362-F0C75833ECDF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FactClientes_InterfaceODOO" sheetId="1" r:id="rId1"/>
    <sheet name="Validaciones_odoo_inteface" sheetId="3" r:id="rId2"/>
    <sheet name="facturas_con_items_json" sheetId="7" r:id="rId3"/>
    <sheet name="Detalle1" sheetId="16" r:id="rId4"/>
    <sheet name="Detalle3" sheetId="17" r:id="rId5"/>
    <sheet name="validaciones_json" sheetId="8" r:id="rId6"/>
    <sheet name="Checklist" sheetId="2" state="hidden" r:id="rId7"/>
    <sheet name="Detalle2" sheetId="10" state="hidden" r:id="rId8"/>
    <sheet name="Comparacion nuevos campos" sheetId="4" state="hidden" r:id="rId9"/>
  </sheets>
  <definedNames>
    <definedName name="_xlnm._FilterDatabase" localSheetId="0" hidden="1">FactClientes_InterfaceODOO!$A$1:$AK$87</definedName>
    <definedName name="_xlnm._FilterDatabase" localSheetId="2" hidden="1">facturas_con_items_json!$A$1:$AS$89</definedName>
  </definedNames>
  <calcPr calcId="191029"/>
  <pivotCaches>
    <pivotCache cacheId="0" r:id="rId10"/>
    <pivotCache cacheId="1" r:id="rId11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95" i="7" l="1"/>
  <c r="AS94" i="7"/>
  <c r="AS93" i="7"/>
  <c r="AS92" i="7"/>
  <c r="AS91" i="7"/>
  <c r="AS90" i="7"/>
  <c r="AK66" i="1"/>
  <c r="AK73" i="1"/>
  <c r="AS89" i="7"/>
  <c r="AS88" i="7"/>
  <c r="AS87" i="7"/>
  <c r="AS86" i="7"/>
  <c r="AS85" i="7"/>
  <c r="AS84" i="7"/>
  <c r="AS83" i="7"/>
  <c r="AS82" i="7"/>
  <c r="AS81" i="7"/>
  <c r="AS80" i="7"/>
  <c r="AS79" i="7"/>
  <c r="AS78" i="7"/>
  <c r="AS77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64" i="7"/>
  <c r="AS63" i="7"/>
  <c r="AS62" i="7"/>
  <c r="AS61" i="7"/>
  <c r="AS60" i="7"/>
  <c r="AS59" i="7"/>
  <c r="AS58" i="7"/>
  <c r="AS57" i="7"/>
  <c r="AS56" i="7"/>
  <c r="AS55" i="7"/>
  <c r="AS54" i="7"/>
  <c r="AS53" i="7"/>
  <c r="AS52" i="7"/>
  <c r="AS51" i="7"/>
  <c r="AS50" i="7"/>
  <c r="AS49" i="7"/>
  <c r="AS48" i="7"/>
  <c r="AS47" i="7"/>
  <c r="AS46" i="7"/>
  <c r="AS45" i="7"/>
  <c r="AS44" i="7"/>
  <c r="AS43" i="7"/>
  <c r="AS42" i="7"/>
  <c r="AS41" i="7"/>
  <c r="AS40" i="7"/>
  <c r="AS39" i="7"/>
  <c r="AS38" i="7"/>
  <c r="AS37" i="7"/>
  <c r="AS36" i="7"/>
  <c r="AS35" i="7"/>
  <c r="AS34" i="7"/>
  <c r="AS33" i="7"/>
  <c r="AS32" i="7"/>
  <c r="AS31" i="7"/>
  <c r="AS30" i="7"/>
  <c r="AS29" i="7"/>
  <c r="AS28" i="7"/>
  <c r="AS27" i="7"/>
  <c r="AS26" i="7"/>
  <c r="AS25" i="7"/>
  <c r="AS24" i="7"/>
  <c r="AS23" i="7"/>
  <c r="AS22" i="7"/>
  <c r="AS21" i="7"/>
  <c r="AS20" i="7"/>
  <c r="AS19" i="7"/>
  <c r="AS18" i="7"/>
  <c r="AS17" i="7"/>
  <c r="AS16" i="7"/>
  <c r="AS15" i="7"/>
  <c r="AS14" i="7"/>
  <c r="AS13" i="7"/>
  <c r="AS12" i="7"/>
  <c r="AS11" i="7"/>
  <c r="AS10" i="7"/>
  <c r="AS9" i="7"/>
  <c r="AS8" i="7"/>
  <c r="AS7" i="7"/>
  <c r="AS6" i="7"/>
  <c r="AS5" i="7"/>
  <c r="AS4" i="7"/>
  <c r="AS3" i="7"/>
  <c r="AS2" i="7"/>
  <c r="AK46" i="1"/>
  <c r="AK74" i="1"/>
  <c r="AK67" i="1"/>
  <c r="AK7" i="1"/>
  <c r="AK30" i="1"/>
  <c r="AK17" i="1"/>
  <c r="AK26" i="1"/>
  <c r="AK6" i="1"/>
  <c r="AK19" i="1"/>
  <c r="AK78" i="1"/>
  <c r="AK76" i="1"/>
  <c r="AK75" i="1"/>
  <c r="AK77" i="1"/>
  <c r="AK33" i="1"/>
  <c r="AK2" i="1"/>
  <c r="AK4" i="1"/>
  <c r="AK36" i="1"/>
  <c r="AK42" i="1"/>
  <c r="AK45" i="1"/>
  <c r="AK28" i="1"/>
  <c r="AK3" i="1"/>
  <c r="AK8" i="1"/>
  <c r="AK27" i="1"/>
  <c r="AK79" i="1"/>
  <c r="AK29" i="1"/>
  <c r="AK18" i="1"/>
  <c r="AK40" i="1"/>
  <c r="AK43" i="1"/>
  <c r="AK35" i="1"/>
  <c r="AK44" i="1"/>
  <c r="AK39" i="1"/>
  <c r="AK41" i="1"/>
  <c r="AK20" i="1"/>
  <c r="AK5" i="1"/>
  <c r="AK34" i="1"/>
  <c r="AK24" i="1"/>
  <c r="AK23" i="1"/>
  <c r="AK22" i="1"/>
  <c r="AK21" i="1"/>
  <c r="AK37" i="1"/>
  <c r="AK25" i="1"/>
  <c r="AK68" i="1"/>
  <c r="AK69" i="1"/>
  <c r="AK72" i="1"/>
  <c r="AK71" i="1"/>
  <c r="AK12" i="1"/>
  <c r="AK13" i="1"/>
  <c r="AK70" i="1"/>
  <c r="AK15" i="1"/>
  <c r="AK14" i="1"/>
  <c r="AK54" i="1"/>
  <c r="AK53" i="1"/>
  <c r="AK52" i="1"/>
  <c r="AK51" i="1"/>
  <c r="AK50" i="1"/>
  <c r="AK32" i="1"/>
  <c r="AK31" i="1"/>
  <c r="AK49" i="1"/>
  <c r="AK48" i="1"/>
  <c r="AK11" i="1"/>
  <c r="AK16" i="1"/>
  <c r="AK62" i="1"/>
  <c r="AK61" i="1"/>
  <c r="AK60" i="1"/>
  <c r="AK59" i="1"/>
  <c r="AK85" i="1"/>
  <c r="AK84" i="1"/>
  <c r="AK83" i="1"/>
  <c r="AK82" i="1"/>
  <c r="AK81" i="1"/>
  <c r="AK80" i="1"/>
  <c r="AK58" i="1"/>
  <c r="AK57" i="1"/>
  <c r="AK56" i="1"/>
  <c r="AK55" i="1"/>
  <c r="AK10" i="1"/>
  <c r="AK9" i="1"/>
  <c r="AK47" i="1"/>
  <c r="AK87" i="1"/>
  <c r="AK86" i="1"/>
  <c r="AK65" i="1"/>
  <c r="AK64" i="1"/>
  <c r="AK63" i="1"/>
</calcChain>
</file>

<file path=xl/sharedStrings.xml><?xml version="1.0" encoding="utf-8"?>
<sst xmlns="http://schemas.openxmlformats.org/spreadsheetml/2006/main" count="3072" uniqueCount="598">
  <si>
    <t>Número de Documento</t>
  </si>
  <si>
    <t>VAOPE Codigo Evento</t>
  </si>
  <si>
    <t>Nombre del tipo</t>
  </si>
  <si>
    <t>Nombre del contacto a mostrar en la factura</t>
  </si>
  <si>
    <t>Fecha de factura</t>
  </si>
  <si>
    <t>Fecha</t>
  </si>
  <si>
    <t>Fecha de vencimiento</t>
  </si>
  <si>
    <t>Origen</t>
  </si>
  <si>
    <t>Referencia</t>
  </si>
  <si>
    <t>Vendedor</t>
  </si>
  <si>
    <t>Equipo de ventas</t>
  </si>
  <si>
    <t>Actividades</t>
  </si>
  <si>
    <t>Empresa</t>
  </si>
  <si>
    <t>Importe sin impuestos firmado</t>
  </si>
  <si>
    <t>Impuesto firmado</t>
  </si>
  <si>
    <t>Total firmado</t>
  </si>
  <si>
    <t>Total en divisa firmado</t>
  </si>
  <si>
    <t>Importe pendiente firmado</t>
  </si>
  <si>
    <t>Moneda</t>
  </si>
  <si>
    <t>Por revisar</t>
  </si>
  <si>
    <t>Estado de pago</t>
  </si>
  <si>
    <t>Facturación electrónica</t>
  </si>
  <si>
    <t>Nivel de bloqueo de EDI</t>
  </si>
  <si>
    <t>Mensaje de error de EDI</t>
  </si>
  <si>
    <t>Estado</t>
  </si>
  <si>
    <t>01-FB01-00000051</t>
  </si>
  <si>
    <t>Factura</t>
  </si>
  <si>
    <t>CORPORACION MUKANRANKO S.A.C.</t>
  </si>
  <si>
    <t>SAMUEL CHUQUISTA</t>
  </si>
  <si>
    <t>Ventas</t>
  </si>
  <si>
    <t>COLABORATIVA S.A.C.</t>
  </si>
  <si>
    <t>PEN</t>
  </si>
  <si>
    <t>Sin pagar</t>
  </si>
  <si>
    <t>Enviado</t>
  </si>
  <si>
    <t>Registrado</t>
  </si>
  <si>
    <t>JP Producciones Generales EIRL</t>
  </si>
  <si>
    <t>RF PROMOTORA DE ESPECTACULOS E.I.R.L</t>
  </si>
  <si>
    <t>A &amp; Q AYLLU S.A.C.</t>
  </si>
  <si>
    <t>G &amp; N MUSIC S.A.C.</t>
  </si>
  <si>
    <t>MACHA MUNIVE JULIO</t>
  </si>
  <si>
    <t>REYNOSO BENDEZU CARLOS ARTURO</t>
  </si>
  <si>
    <t>Fecha Evento</t>
  </si>
  <si>
    <t>nro_productos</t>
  </si>
  <si>
    <t>Nombre Producto</t>
  </si>
  <si>
    <t>Distribucion_analitica</t>
  </si>
  <si>
    <t>%distribucion</t>
  </si>
  <si>
    <t>Valor Unitario</t>
  </si>
  <si>
    <t>Precio_Unitario</t>
  </si>
  <si>
    <t>Descuento</t>
  </si>
  <si>
    <t>Tipo_cambio</t>
  </si>
  <si>
    <t>Nombre Cuenta</t>
  </si>
  <si>
    <t>Campos</t>
  </si>
  <si>
    <t>Q</t>
  </si>
  <si>
    <t>Encontrados</t>
  </si>
  <si>
    <t>No encontrados</t>
  </si>
  <si>
    <t>Etiquetas de fila</t>
  </si>
  <si>
    <t>Total general</t>
  </si>
  <si>
    <t>(en blanco)</t>
  </si>
  <si>
    <t xml:space="preserve"> Importe sin impuestos firmado</t>
  </si>
  <si>
    <t>FechaEvento_fechaFactura</t>
  </si>
  <si>
    <t>Feb</t>
  </si>
  <si>
    <t>Mar</t>
  </si>
  <si>
    <t>Ago</t>
  </si>
  <si>
    <t>Set</t>
  </si>
  <si>
    <t>Nro productos</t>
  </si>
  <si>
    <t>Importe sin IGV por estado factura</t>
  </si>
  <si>
    <t>Importe sin IGV por nombre producto</t>
  </si>
  <si>
    <t>Importe sin IGV por Organizador</t>
  </si>
  <si>
    <t>Importe sin IGV por Distribucion analitica</t>
  </si>
  <si>
    <t>Tipo de Validación</t>
  </si>
  <si>
    <t>Detalle / Reglas</t>
  </si>
  <si>
    <t>Frecuencia</t>
  </si>
  <si>
    <t>Responsable</t>
  </si>
  <si>
    <t>Excel Odoo – Ventas</t>
  </si>
  <si>
    <t>Estructura</t>
  </si>
  <si>
    <r>
      <t xml:space="preserve">Verificar columnas: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Cantidad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</t>
    </r>
  </si>
  <si>
    <t>Cada descarga</t>
  </si>
  <si>
    <t>Integridad</t>
  </si>
  <si>
    <r>
      <t xml:space="preserve">Todas las ventas deben tener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 válidos</t>
    </r>
  </si>
  <si>
    <t>Duplicados</t>
  </si>
  <si>
    <t>Rangos</t>
  </si>
  <si>
    <r>
      <t>Cantidad &gt;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 &gt;=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 &gt;=0</t>
    </r>
  </si>
  <si>
    <t>Excel Odoo – Costos</t>
  </si>
  <si>
    <r>
      <t xml:space="preserve">Verificar columnas: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CostoUnitario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Impuesto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FechaCosto</t>
    </r>
  </si>
  <si>
    <r>
      <t xml:space="preserve">Cada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del archivo de ventas debe tener costo asociado</t>
    </r>
  </si>
  <si>
    <t>JSON ETL</t>
  </si>
  <si>
    <t>Mapeo</t>
  </si>
  <si>
    <t>Campos JSON coinciden con dimensiones y hechos del modelo estrella</t>
  </si>
  <si>
    <t>Cada ETL</t>
  </si>
  <si>
    <t>Consistencia</t>
  </si>
  <si>
    <t>Totales por fecha, producto y cliente coinciden con Excel</t>
  </si>
  <si>
    <t>Integridad referencial</t>
  </si>
  <si>
    <r>
      <t xml:space="preserve">Cada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 debe existir en dimensión de ventas y sus claves foráneas en otras dimensiones</t>
    </r>
  </si>
  <si>
    <t>Reglas de negocio</t>
  </si>
  <si>
    <t>Descuentos, impuestos, costos calculados según reglas de Odoo</t>
  </si>
  <si>
    <t>Modelo relacional</t>
  </si>
  <si>
    <r>
      <t>Revisar FK entre hecho y dimensiones (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FechaID</t>
    </r>
    <r>
      <rPr>
        <sz val="11"/>
        <color theme="1"/>
        <rFont val="Calibri"/>
        <family val="2"/>
        <scheme val="minor"/>
      </rPr>
      <t>)</t>
    </r>
  </si>
  <si>
    <t>Cada carga</t>
  </si>
  <si>
    <t>Totales</t>
  </si>
  <si>
    <t>Sumatoria de ventas y costos por periodo coincide con JSON</t>
  </si>
  <si>
    <t>Power BI</t>
  </si>
  <si>
    <t>Totales y KPIs</t>
  </si>
  <si>
    <r>
      <t>Verificar que las medidas DAX (</t>
    </r>
    <r>
      <rPr>
        <sz val="10"/>
        <color theme="1"/>
        <rFont val="Arial Unicode MS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SUMX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AVERAGEX</t>
    </r>
    <r>
      <rPr>
        <sz val="11"/>
        <color theme="1"/>
        <rFont val="Calibri"/>
        <family val="2"/>
        <scheme val="minor"/>
      </rPr>
      <t>, margen`) reflejen datos correctos</t>
    </r>
  </si>
  <si>
    <t>Cada reporte / actualización</t>
  </si>
  <si>
    <t>BI Developer</t>
  </si>
  <si>
    <t>Filtros y segmentaciones</t>
  </si>
  <si>
    <t>Validar que filtros por fecha, producto o región no alteren totales esperados</t>
  </si>
  <si>
    <t>Alertas</t>
  </si>
  <si>
    <t>Revisar errores de fórmula o valores inesperados</t>
  </si>
  <si>
    <t>No debe haber FacturaID repetidos</t>
  </si>
  <si>
    <t>Evento</t>
  </si>
  <si>
    <t>01-FB01-00000075</t>
  </si>
  <si>
    <t>CORPORACION LA CHOZA S.A.C.</t>
  </si>
  <si>
    <t>01-FB01-00000074</t>
  </si>
  <si>
    <t>01-F001-00000104</t>
  </si>
  <si>
    <t>Corazón Serrano - Almuerzo de camaradería</t>
  </si>
  <si>
    <t>S00117</t>
  </si>
  <si>
    <t>01-F001-00000103</t>
  </si>
  <si>
    <t>S00111</t>
  </si>
  <si>
    <t>01-F001-00000102</t>
  </si>
  <si>
    <t>S00105</t>
  </si>
  <si>
    <t>01-F001-00000101</t>
  </si>
  <si>
    <t>S00100</t>
  </si>
  <si>
    <t>Pagado</t>
  </si>
  <si>
    <t>01-FB01-00000073</t>
  </si>
  <si>
    <t>01-FB01-00000072</t>
  </si>
  <si>
    <t>01-FB01-00000071</t>
  </si>
  <si>
    <t>01-FB01-00000070</t>
  </si>
  <si>
    <t>01-FB01-00000069</t>
  </si>
  <si>
    <t>01-FB01-00000068</t>
  </si>
  <si>
    <t>01-FB01-00000067</t>
  </si>
  <si>
    <t>01-FB01-00000066</t>
  </si>
  <si>
    <t>01-FB01-00000065</t>
  </si>
  <si>
    <t>01-FB01-00000064</t>
  </si>
  <si>
    <t>01-FB01-00000063</t>
  </si>
  <si>
    <t>01-FB01-00000062</t>
  </si>
  <si>
    <t>01-FB01-00000061</t>
  </si>
  <si>
    <t>01-FB01-00000060</t>
  </si>
  <si>
    <t>01-FB01-00000059</t>
  </si>
  <si>
    <t>01-FB01-00000058</t>
  </si>
  <si>
    <t>01-F001-00000100</t>
  </si>
  <si>
    <t>S00097</t>
  </si>
  <si>
    <t>01-FB01-00000057</t>
  </si>
  <si>
    <t>01-FB01-00000056</t>
  </si>
  <si>
    <t>01-FB01-00000055</t>
  </si>
  <si>
    <t>01-FB01-00000054</t>
  </si>
  <si>
    <t>01-FB01-00000053</t>
  </si>
  <si>
    <t>01-FB01-00000052</t>
  </si>
  <si>
    <t>01-FB01-00000050</t>
  </si>
  <si>
    <t>01-FB01-00000049</t>
  </si>
  <si>
    <t>01-FB01-00000048</t>
  </si>
  <si>
    <t>Por enviar</t>
  </si>
  <si>
    <t>01-FB01-00000047</t>
  </si>
  <si>
    <t>01-FB01-00000046</t>
  </si>
  <si>
    <t>01-FB01-00000045</t>
  </si>
  <si>
    <t>01-FB01-00000044</t>
  </si>
  <si>
    <t>01-FB01-00000043</t>
  </si>
  <si>
    <t>01-FB01-00000042</t>
  </si>
  <si>
    <t>01-FB01-00000041</t>
  </si>
  <si>
    <t>01-FB01-00000040</t>
  </si>
  <si>
    <t>01-FB01-00000039</t>
  </si>
  <si>
    <t>01-FB01-00000038</t>
  </si>
  <si>
    <t>01-FB01-00000036</t>
  </si>
  <si>
    <t>01-FB01-00000035</t>
  </si>
  <si>
    <t>01-FB01-00000033</t>
  </si>
  <si>
    <t>01-FB01-00000032</t>
  </si>
  <si>
    <t>01-FB01-00000030</t>
  </si>
  <si>
    <t>01-FB01-00000029</t>
  </si>
  <si>
    <t>01-FB01-00000028</t>
  </si>
  <si>
    <t>01-FB01-00000027</t>
  </si>
  <si>
    <t>01-FB01-00000026</t>
  </si>
  <si>
    <t>01-FB01-00000025</t>
  </si>
  <si>
    <t>01-FB01-00000024</t>
  </si>
  <si>
    <t>01-FB01-00000023</t>
  </si>
  <si>
    <t>01-FB01-00000022</t>
  </si>
  <si>
    <t>01-FB01-00000021</t>
  </si>
  <si>
    <t>01-F001-00000014</t>
  </si>
  <si>
    <t>01-F001-00000013</t>
  </si>
  <si>
    <t>Error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</si>
  <si>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20250000000000219531611 error: Error en envio de documento '&lt;/p&gt;</t>
  </si>
  <si>
    <t>01-F001-00000011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</si>
  <si>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20250000000000219531206 error: Error en envio de documento '&lt;/p&gt;</t>
  </si>
  <si>
    <t>01-F001-00000015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</si>
  <si>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20250000000000219542213 error: Error en envio de documento '&lt;/p&gt;</t>
  </si>
  <si>
    <t>01-F001-00000012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</si>
  <si>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20250000000000219531484 error: Error en envio de documento '&lt;/p&gt;</t>
  </si>
  <si>
    <t>01-F001-00000010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</si>
  <si>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20250000000000219381562 error: Error en envio de documento '&lt;/p&gt;</t>
  </si>
  <si>
    <t>01-F001-00000009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</si>
  <si>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20250000000000219381126 error: Error en envio de documento '&lt;/p&gt;</t>
  </si>
  <si>
    <t>01-F001-00000008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</si>
  <si>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20250000000000219380996 error: Error en envio de documento '&lt;/p&gt;</t>
  </si>
  <si>
    <t>01-F001-00000007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</si>
  <si>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20250000000000219378878 error: Error en envio de documento '&lt;/p&gt;</t>
  </si>
  <si>
    <t>01-F001-00000006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</si>
  <si>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20250000000000219378822 error: Error en envio de documento '&lt;/p&gt;</t>
  </si>
  <si>
    <t>01-F001-00000004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</si>
  <si>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20250000000000219378571 error: Error en envio de documento '&lt;/p&gt;</t>
  </si>
  <si>
    <t>01-F001-00000003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</si>
  <si>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20250000000000219377864 error: Error en envio de documento '&lt;/p&gt;</t>
  </si>
  <si>
    <t>01-F001-00000002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</si>
  <si>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20250000000000219376776 error: Error en envio de documento '&lt;/p&gt;</t>
  </si>
  <si>
    <t>01-FB01-00000034</t>
  </si>
  <si>
    <t>01-FB01-00000031</t>
  </si>
  <si>
    <t>01-FB01-00000020</t>
  </si>
  <si>
    <t>01-FB01-00000019</t>
  </si>
  <si>
    <t>01-FB01-00000018</t>
  </si>
  <si>
    <t>01-FB01-00000017</t>
  </si>
  <si>
    <t>01-FB01-00000016</t>
  </si>
  <si>
    <t>01-F001-00000005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</si>
  <si>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20250000000000219378770 error: Error en envio de documento '&lt;/p&gt;</t>
  </si>
  <si>
    <t>01-F001-00000001</t>
  </si>
  <si>
    <t>&lt;p&gt;Your RUC is not linked to Estela (formerly Digiflow) as OSE, please make sure you have followed this process in the SUNAT portal:
1. Linked Estela (formerly Digiflow) as OSE.
2. Authorize Estela (formerly Digiflow) as PSE.
Reference: 
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
Detalle:  
' ticket: 20250000000000219307111 error: Error en envio de documento '&lt;/p&gt;</t>
  </si>
  <si>
    <t>01-</t>
  </si>
  <si>
    <t>S00060</t>
  </si>
  <si>
    <t>&lt;p&gt;Su RUC no está vinculado a Digiflow como OSE, por favor asegúrese de haber seguido este proceso en el portal de la SUNAT:
1. Vincular Digiflow como OSE.
2. Autorizar Digiflow como PSE.
Referencia: 
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
Detalle:  
' ticket: 20250000000000208663785 error: Error en envio de documeto '&lt;/p&gt;</t>
  </si>
  <si>
    <t>ESTADO</t>
  </si>
  <si>
    <t>Cuenta de Fecha de factura</t>
  </si>
  <si>
    <t>Suma de Impuesto firmado</t>
  </si>
  <si>
    <t>Suma de Total firmado</t>
  </si>
  <si>
    <t>Importe IGV por estado factura</t>
  </si>
  <si>
    <t>Importe Total por estado factura</t>
  </si>
  <si>
    <t>Cantidad</t>
  </si>
  <si>
    <t>serie_correlativo</t>
  </si>
  <si>
    <t>numero</t>
  </si>
  <si>
    <t>fecha_de_emision</t>
  </si>
  <si>
    <t>hora_de_emision</t>
  </si>
  <si>
    <t>nom_proveedor</t>
  </si>
  <si>
    <t>cat_proveedor</t>
  </si>
  <si>
    <t>tipo_documento</t>
  </si>
  <si>
    <t>doc_proveedor</t>
  </si>
  <si>
    <t>items</t>
  </si>
  <si>
    <t>factura.fecha_emision</t>
  </si>
  <si>
    <t>factura.cliente</t>
  </si>
  <si>
    <t>factura.id_cliente</t>
  </si>
  <si>
    <t>factura.total</t>
  </si>
  <si>
    <t>factura.moneda</t>
  </si>
  <si>
    <t>factura.estado</t>
  </si>
  <si>
    <t>item.id_producto</t>
  </si>
  <si>
    <t>item.codigo_producto</t>
  </si>
  <si>
    <t>item.nom_producto</t>
  </si>
  <si>
    <t>item.categoria_producto</t>
  </si>
  <si>
    <t>item.cantidad</t>
  </si>
  <si>
    <t>item.valor_unitario</t>
  </si>
  <si>
    <t>item.precio_unitario</t>
  </si>
  <si>
    <t>item.descuento</t>
  </si>
  <si>
    <t>item.subtotal</t>
  </si>
  <si>
    <t>item.porcentaje_de_igv</t>
  </si>
  <si>
    <t>item.igv</t>
  </si>
  <si>
    <t>item.total</t>
  </si>
  <si>
    <t>item.moneda</t>
  </si>
  <si>
    <t>item.tipo_de_cambio</t>
  </si>
  <si>
    <t>item.id_estado</t>
  </si>
  <si>
    <t>item.nombre_estado</t>
  </si>
  <si>
    <t>item.id_vendedor</t>
  </si>
  <si>
    <t>item.nom_vendedor</t>
  </si>
  <si>
    <t>item.id_cuenta_analitica</t>
  </si>
  <si>
    <t>item.nom_cuenta_analitica</t>
  </si>
  <si>
    <t>item.distribucion_analitica</t>
  </si>
  <si>
    <t>item.evento.id_evento</t>
  </si>
  <si>
    <t>item.evento.nom_evento</t>
  </si>
  <si>
    <t>item.evento.Fecha_hora_ini_event</t>
  </si>
  <si>
    <t>item.evento.Fecha_hora_fin_event</t>
  </si>
  <si>
    <t>item.evento.id_organizador</t>
  </si>
  <si>
    <t>item.evento.nom_organizador</t>
  </si>
  <si>
    <t>item.evento.tipo_organizador</t>
  </si>
  <si>
    <t>(01) Factura FB01</t>
  </si>
  <si>
    <t>00000075</t>
  </si>
  <si>
    <t>COMISIÃ“N PAGOS DIGITALES SEGUN CONTRATO -</t>
  </si>
  <si>
    <t>posted</t>
  </si>
  <si>
    <t>Publicado</t>
  </si>
  <si>
    <t>00000074</t>
  </si>
  <si>
    <t>Cliente</t>
  </si>
  <si>
    <t>(01) Factura F001</t>
  </si>
  <si>
    <t>00000104</t>
  </si>
  <si>
    <t>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'posted', 'nombre_estado': 'Publicado',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101, 'nom_cuenta_analitica': '[Validadores] DELIVERY', 'distribucion_analitica': [[{'cÃ³digo': 101, 'nom_distribucion': 'DELIVERY', 'sub_categoria': '', 'porcentaje': '100.00'}, {'cÃ³digo': 102, 'nom_distribucion': 'IME', 'sub_categoria': '', 'porcentaje': '100.00'}]]}]</t>
  </si>
  <si>
    <t>DESARROLLO DE CONTENIDO</t>
  </si>
  <si>
    <t>service</t>
  </si>
  <si>
    <t>[Validadores] DELIVERY</t>
  </si>
  <si>
    <t>[[{'cÃ³digo': 101, 'nom_distribucion': 'DELIVERY', 'sub_categoria': '', 'porcentaje': '100.00'}, {'cÃ³digo': 102, 'nom_distribucion': 'IME', 'sub_categoria': '', 'porcentaje': '100.00'}]]</t>
  </si>
  <si>
    <t>CorazÃ³n Serrano - Almuerzo de camaraderÃ­a</t>
  </si>
  <si>
    <t>COMBO ANCLADOS</t>
  </si>
  <si>
    <t>00000103</t>
  </si>
  <si>
    <t>00000102</t>
  </si>
  <si>
    <t>00000101</t>
  </si>
  <si>
    <t>00000073</t>
  </si>
  <si>
    <t>00000072</t>
  </si>
  <si>
    <t>00000071</t>
  </si>
  <si>
    <t>00000070</t>
  </si>
  <si>
    <t>00000069</t>
  </si>
  <si>
    <t>00000068</t>
  </si>
  <si>
    <t>00000067</t>
  </si>
  <si>
    <t>COMISIÃ“N VAOPE SEGUN CONTRATO -</t>
  </si>
  <si>
    <t>00000066</t>
  </si>
  <si>
    <t>00000065</t>
  </si>
  <si>
    <t>00000064</t>
  </si>
  <si>
    <t>00000063</t>
  </si>
  <si>
    <t>PERSONAL -</t>
  </si>
  <si>
    <t>00000062</t>
  </si>
  <si>
    <t>00000061</t>
  </si>
  <si>
    <t>00000060</t>
  </si>
  <si>
    <t>00000059</t>
  </si>
  <si>
    <t>00000058</t>
  </si>
  <si>
    <t>00000100</t>
  </si>
  <si>
    <t>00000057</t>
  </si>
  <si>
    <t>00000056</t>
  </si>
  <si>
    <t>00000055</t>
  </si>
  <si>
    <t>00000054</t>
  </si>
  <si>
    <t>00000053</t>
  </si>
  <si>
    <t>00000052</t>
  </si>
  <si>
    <t>00000051</t>
  </si>
  <si>
    <t>00000050</t>
  </si>
  <si>
    <t>00000049</t>
  </si>
  <si>
    <t>00000048</t>
  </si>
  <si>
    <t>00000047</t>
  </si>
  <si>
    <t>00000046</t>
  </si>
  <si>
    <t>ENTRADAS IMPRESAS - ORDEN DE VENTA N663  Corazn Serrano en el Centro de Convenciones Scencia de la Molina /  FULL COLOR GENERAL /  BRAZALETES PLATINUM / BRAZALETES VIP</t>
  </si>
  <si>
    <t>[]</t>
  </si>
  <si>
    <t>00000045</t>
  </si>
  <si>
    <t>00000044</t>
  </si>
  <si>
    <t>00000043</t>
  </si>
  <si>
    <t>00000042</t>
  </si>
  <si>
    <t>00000041</t>
  </si>
  <si>
    <t>00000040</t>
  </si>
  <si>
    <t>00000039</t>
  </si>
  <si>
    <t>00000038</t>
  </si>
  <si>
    <t>00000036</t>
  </si>
  <si>
    <t>00000035</t>
  </si>
  <si>
    <t>00000033</t>
  </si>
  <si>
    <t>COMISIÃ“N PAGOS DIGITALES SEGUN CONTRATO</t>
  </si>
  <si>
    <t>00000032</t>
  </si>
  <si>
    <t>00000030</t>
  </si>
  <si>
    <t>00000029</t>
  </si>
  <si>
    <t>00000028</t>
  </si>
  <si>
    <t>DIFUSION MAILING</t>
  </si>
  <si>
    <t>00000027</t>
  </si>
  <si>
    <t>00000026</t>
  </si>
  <si>
    <t>00000025</t>
  </si>
  <si>
    <t>00000024</t>
  </si>
  <si>
    <t>00000023</t>
  </si>
  <si>
    <t>00000022</t>
  </si>
  <si>
    <t>00000021</t>
  </si>
  <si>
    <t>00000014</t>
  </si>
  <si>
    <t>00000013</t>
  </si>
  <si>
    <t>00000011</t>
  </si>
  <si>
    <t>COMISIÃ“N PAGOS DIGITALES SEGÃšN CONTRATO</t>
  </si>
  <si>
    <t>00000015</t>
  </si>
  <si>
    <t>00000012</t>
  </si>
  <si>
    <t>00000010</t>
  </si>
  <si>
    <t>00000009</t>
  </si>
  <si>
    <t>00000008</t>
  </si>
  <si>
    <t>00000007</t>
  </si>
  <si>
    <t>00000006</t>
  </si>
  <si>
    <t>00000004</t>
  </si>
  <si>
    <t>COMISION CORTESIA - emision cortesia</t>
  </si>
  <si>
    <t>00000003</t>
  </si>
  <si>
    <t>COMISION CORTESIA - CortesÃ­a</t>
  </si>
  <si>
    <t>00000002</t>
  </si>
  <si>
    <t>00000034</t>
  </si>
  <si>
    <t>00000031</t>
  </si>
  <si>
    <t>00000020</t>
  </si>
  <si>
    <t>00000019</t>
  </si>
  <si>
    <t>00000018</t>
  </si>
  <si>
    <t>00000017</t>
  </si>
  <si>
    <t>00000016</t>
  </si>
  <si>
    <t>00000005</t>
  </si>
  <si>
    <t>00000001</t>
  </si>
  <si>
    <t>FFF1</t>
  </si>
  <si>
    <t>ENTRADAS IMPRESAS FULL COLOR GENERAL, BRAZALETES VIP -CORAZÃ“N SERRANO BARRANCA - 09/02 Y PERSONAL DELIVERY</t>
  </si>
  <si>
    <t>consu</t>
  </si>
  <si>
    <t xml:space="preserve">ENTRADAS IMPRESAS * FULL COLOR GENERAL </t>
  </si>
  <si>
    <t>FB01</t>
  </si>
  <si>
    <t>COMISION CORTESIA - ACTUALIZACION GRAFICA</t>
  </si>
  <si>
    <t>Cuenta de fecha_de_emision</t>
  </si>
  <si>
    <t>Suma de item.subtotal</t>
  </si>
  <si>
    <t>Suma de item.igv</t>
  </si>
  <si>
    <t>Suma de item.total</t>
  </si>
  <si>
    <t>Importes por codigo</t>
  </si>
  <si>
    <t>Importes por 1.Fecha Evento o 2.Fecha factura</t>
  </si>
  <si>
    <t>Importes por Fecha factura</t>
  </si>
  <si>
    <t>Importes por Fecha factura JSON</t>
  </si>
  <si>
    <t>Importes por Fecha factura ODOO</t>
  </si>
  <si>
    <t>UNIFICADO</t>
  </si>
  <si>
    <t>(01) Factura F00100000001</t>
  </si>
  <si>
    <t>(01) Factura F00100000002</t>
  </si>
  <si>
    <t>(01) Factura F00100000003</t>
  </si>
  <si>
    <t>(01) Factura F00100000004</t>
  </si>
  <si>
    <t>(01) Factura F00100000005</t>
  </si>
  <si>
    <t>(01) Factura F00100000006</t>
  </si>
  <si>
    <t>(01) Factura F00100000007</t>
  </si>
  <si>
    <t>(01) Factura F00100000008</t>
  </si>
  <si>
    <t>(01) Factura F00100000009</t>
  </si>
  <si>
    <t>(01) Factura F00100000010</t>
  </si>
  <si>
    <t>(01) Factura F00100000011</t>
  </si>
  <si>
    <t>(01) Factura F00100000012</t>
  </si>
  <si>
    <t>(01) Factura F00100000013</t>
  </si>
  <si>
    <t>(01) Factura F00100000014</t>
  </si>
  <si>
    <t>(01) Factura F00100000015</t>
  </si>
  <si>
    <t>(01) Factura F00100000100</t>
  </si>
  <si>
    <t>(01) Factura F00100000101</t>
  </si>
  <si>
    <t>(01) Factura F00100000102</t>
  </si>
  <si>
    <t>(01) Factura F00100000103</t>
  </si>
  <si>
    <t>(01) Factura F00100000104</t>
  </si>
  <si>
    <t>(01) Factura FB0100000016</t>
  </si>
  <si>
    <t>(01) Factura FB0100000017</t>
  </si>
  <si>
    <t>(01) Factura FB0100000018</t>
  </si>
  <si>
    <t>(01) Factura FB0100000019</t>
  </si>
  <si>
    <t>(01) Factura FB0100000020</t>
  </si>
  <si>
    <t>(01) Factura FB0100000021</t>
  </si>
  <si>
    <t>(01) Factura FB0100000022</t>
  </si>
  <si>
    <t>(01) Factura FB0100000023</t>
  </si>
  <si>
    <t>(01) Factura FB0100000024</t>
  </si>
  <si>
    <t>(01) Factura FB0100000025</t>
  </si>
  <si>
    <t>(01) Factura FB0100000026</t>
  </si>
  <si>
    <t>(01) Factura FB0100000027</t>
  </si>
  <si>
    <t>(01) Factura FB0100000028</t>
  </si>
  <si>
    <t>(01) Factura FB0100000029</t>
  </si>
  <si>
    <t>(01) Factura FB0100000030</t>
  </si>
  <si>
    <t>(01) Factura FB0100000031</t>
  </si>
  <si>
    <t>(01) Factura FB0100000032</t>
  </si>
  <si>
    <t>(01) Factura FB0100000033</t>
  </si>
  <si>
    <t>(01) Factura FB0100000034</t>
  </si>
  <si>
    <t>(01) Factura FB0100000035</t>
  </si>
  <si>
    <t>(01) Factura FB0100000036</t>
  </si>
  <si>
    <t>(01) Factura FB0100000038</t>
  </si>
  <si>
    <t>(01) Factura FB0100000039</t>
  </si>
  <si>
    <t>(01) Factura FB0100000040</t>
  </si>
  <si>
    <t>(01) Factura FB0100000041</t>
  </si>
  <si>
    <t>(01) Factura FB0100000042</t>
  </si>
  <si>
    <t>(01) Factura FB0100000043</t>
  </si>
  <si>
    <t>(01) Factura FB0100000044</t>
  </si>
  <si>
    <t>(01) Factura FB0100000045</t>
  </si>
  <si>
    <t>(01) Factura FB0100000046</t>
  </si>
  <si>
    <t>(01) Factura FB0100000047</t>
  </si>
  <si>
    <t>(01) Factura FB0100000048</t>
  </si>
  <si>
    <t>(01) Factura FB0100000049</t>
  </si>
  <si>
    <t>(01) Factura FB0100000050</t>
  </si>
  <si>
    <t>(01) Factura FB0100000051</t>
  </si>
  <si>
    <t>(01) Factura FB0100000052</t>
  </si>
  <si>
    <t>(01) Factura FB0100000053</t>
  </si>
  <si>
    <t>(01) Factura FB0100000054</t>
  </si>
  <si>
    <t>(01) Factura FB0100000055</t>
  </si>
  <si>
    <t>(01) Factura FB0100000056</t>
  </si>
  <si>
    <t>(01) Factura FB0100000057</t>
  </si>
  <si>
    <t>(01) Factura FB0100000058</t>
  </si>
  <si>
    <t>(01) Factura FB0100000059</t>
  </si>
  <si>
    <t>(01) Factura FB0100000060</t>
  </si>
  <si>
    <t>(01) Factura FB0100000061</t>
  </si>
  <si>
    <t>(01) Factura FB0100000062</t>
  </si>
  <si>
    <t>(01) Factura FB0100000063</t>
  </si>
  <si>
    <t>(01) Factura FB0100000064</t>
  </si>
  <si>
    <t>(01) Factura FB0100000065</t>
  </si>
  <si>
    <t>(01) Factura FB0100000066</t>
  </si>
  <si>
    <t>(01) Factura FB0100000067</t>
  </si>
  <si>
    <t>(01) Factura FB0100000068</t>
  </si>
  <si>
    <t>(01) Factura FB0100000069</t>
  </si>
  <si>
    <t>(01) Factura FB0100000070</t>
  </si>
  <si>
    <t>(01) Factura FB0100000071</t>
  </si>
  <si>
    <t>(01) Factura FB0100000072</t>
  </si>
  <si>
    <t>(01) Factura FB0100000073</t>
  </si>
  <si>
    <t>(01) Factura FB0100000074</t>
  </si>
  <si>
    <t>(01) Factura FB0100000075</t>
  </si>
  <si>
    <t>FFF1219</t>
  </si>
  <si>
    <t>FFF1220</t>
  </si>
  <si>
    <t>Detalles para Suma de item.total - UNIFICADO: (01) Factura F00100000104</t>
  </si>
  <si>
    <t>JSON</t>
  </si>
  <si>
    <t>DESCARGA ODOO</t>
  </si>
  <si>
    <t>not_paid</t>
  </si>
  <si>
    <t>Test 2,461</t>
  </si>
  <si>
    <t>paid</t>
  </si>
  <si>
    <t>nombre_empresa</t>
  </si>
  <si>
    <t>10-Feb</t>
  </si>
  <si>
    <t>23-Mar</t>
  </si>
  <si>
    <t>27-Mar</t>
  </si>
  <si>
    <t>22-Ago</t>
  </si>
  <si>
    <t>25-Ago</t>
  </si>
  <si>
    <t>27-Ago</t>
  </si>
  <si>
    <t>29-Ago</t>
  </si>
  <si>
    <t>2-Set</t>
  </si>
  <si>
    <t>3-Set</t>
  </si>
  <si>
    <t>8-Set</t>
  </si>
  <si>
    <t>12-Set</t>
  </si>
  <si>
    <t>16-Set</t>
  </si>
  <si>
    <t>17-Set</t>
  </si>
  <si>
    <t>19-Set</t>
  </si>
  <si>
    <t>F FFI</t>
  </si>
  <si>
    <t>DIFUSION DE EVENTO NIV 1</t>
  </si>
  <si>
    <t xml:space="preserve">full color </t>
  </si>
  <si>
    <t>F FFI00000001</t>
  </si>
  <si>
    <t>00000077</t>
  </si>
  <si>
    <t>00000076</t>
  </si>
  <si>
    <t>PRODUCCIONES Y PROMOTORA DE EVENTOS AAA S.A.C.</t>
  </si>
  <si>
    <t>Oct</t>
  </si>
  <si>
    <t>01-FB01-00000077</t>
  </si>
  <si>
    <t>01-FB01-00000076</t>
  </si>
  <si>
    <t>&lt;p&gt;Unexpected error occurred: 'latin-1' codec can't encode character '\u0307' in position 8553: Body ('̇') is not valid Latin-1. Use body.encode('utf-8') if you want to send it encoded in UTF-8.&lt;/p&gt;</t>
  </si>
  <si>
    <t>(01) Factura FB0100000077</t>
  </si>
  <si>
    <t>(01) Factura FB0100000076</t>
  </si>
  <si>
    <t>4-Oct</t>
  </si>
  <si>
    <t>6-Oct</t>
  </si>
  <si>
    <t>[{'id_producto': '1', 'codigo_producto': '', 'nom_producto': 'COMISIÃ“N PAGOS DIGITALES SEGÃšN CONTRATO', 'categoria_producto': '', 'cantidad': '1.0', 'valor_unitario': 177.29, 'precio_unitario': 209.2, 'descuento': None, 'subtotal': 177.29, 'porcentaje_de_igv': '18.00', 'igv': 31.91, 'total': 209.2, 'moneda': '1', 'tipo_de_cambio': '', 'id_estado': 'not_paid', 'nombre_estado': 'Sin pagar', 'evento': {'id_evento': '2461', 'nom_evento': 'Test 2,461', 'Fecha_hora_ini_event': '2025-10-31', 'Fecha_hora_fin_event': '2025-10-31', 'id_organizador': '', 'nom_organizador': 'CORPORACION LA CHOZA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</si>
  <si>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7012100 MercaderÃ­as-Venta Local-Terceros</t>
  </si>
  <si>
    <t>[[{'cÃ³digo': 137, 'nom_distribucion': 'Validadores', 'sub_categoria': 'TI', 'porcentaje': '100.00'}]]</t>
  </si>
  <si>
    <t>[{'id_producto': '1', 'codigo_producto': '', 'nom_producto': 'COMISIÃ“N PAGOS DIGITALES SEGÃšN CONTRATO', 'categoria_producto': '', 'cantidad': '1.0', 'valor_unitario': 425.93, 'precio_unitario': 502.6, 'descuento': None, 'subtotal': 425.93, 'porcentaje_de_igv': '18.00', 'igv': 76.67, 'total': 502.6, 'moneda': '1', 'tipo_de_cambio': '', 'id_estado': 'not_paid', 'nombre_estado': 'Sin pagar', 'evento': {'id_evento': '', 'nom_evento': '', 'Fecha_hora_ini_event': '', 'Fecha_hora_fin_event': '', 'id_organizador': '', 'nom_organizador': 'PRODUCCIONES Y PROMOTORA DE EVENTOS AAA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</si>
  <si>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'', 'nom_producto': 'COMISIÃ“N PAGOS DIGITALES SEGUN CONTRATO -', 'categoria_producto': '', 'cantidad': '1.0', 'valor_unitario': 1355.93, 'precio_unitario': 1600.0, 'descuento': None, 'subtotal': 1355.93, 'porcentaje_de_igv': '18.00', 'igv': 244.07, 'total': 1600.0, 'moneda': '1', 'tipo_de_cambio': '', 'id_estado': 'not_paid', 'nombre_estado': 'Sin pagar', 'evento': {'id_evento': '2461', 'nom_evento': 'Test 2,461', 'Fecha_hora_ini_event': '2025-10-31', 'Fecha_hora_fin_event': '2025-10-31', 'id_organizador': '', 'nom_organizador': 'CORPORACION LA CHOZA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</si>
  <si>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</si>
  <si>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102, 'nom_distribucion': 'Validadores', 'sub_categoria': 'IME',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102, 'nom_distribucion': 'Validadores', 'sub_categoria': 'IME', 'porcentaje': '100.00'}]]}]</t>
  </si>
  <si>
    <t>[[{'cÃ³digo': 101, 'nom_distribucion': 'Validadores', 'sub_categoria': 'DELIVERY', 'porcentaje': '100.00'}, {'cÃ³digo': 102, 'nom_distribucion': 'Validadores', 'sub_categoria': 'IME', 'porcentaje': '100.00'}]]</t>
  </si>
  <si>
    <t>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102, 'nom_distribucion': 'Validadores', 'sub_categoria': 'IME', 'porcentaje': '100.00'}]]}]</t>
  </si>
  <si>
    <t>[{'id_producto': '1', 'codigo_producto': '232', 'nom_producto': 'DESARROLLO DE CONTENIDO', 'categoria_producto': 'service', 'cantidad': '2.0', 'valor_unitario': 0.0, 'precio_unitario': 0.0, 'descuento': None, 'subtotal': 0.0, 'porcentaje_de_igv': '0.00', 'igv': 0.0, 'total': 0.0, 'moneda': '1', 'tipo_de_cambio': '', 'id_estado': 'paid', 'nombre_estado': 'Pagado',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102, 'nom_distribucion': 'Validadores', 'sub_categoria': 'IME', 'porcentaje': '100.00'}]]}]</t>
  </si>
  <si>
    <t>(03) Boleta B001</t>
  </si>
  <si>
    <t>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</si>
  <si>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'COMISIÃ“N PAGOS DIGITALES SEGUN CONTRATO -', 'categoria_producto': '', 'cantidad': '1.0', 'valor_unitario': 47.46, 'precio_unitario': 56.0, 'descuento': None, 'subtotal': 47.46, 'porcentaje_de_igv': '17.99', 'igv': 8.54, 'total': 56.0,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</si>
  <si>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'COMISIÃ“N PAGOS DIGITALES SEGUN CONTRATO -', 'categoria_producto': '', 'cantidad': '1.0', 'valor_unitario': 67.8, 'precio_unitario': 80.0, 'descuento': None, 'subtotal': 67.8, 'porcentaje_de_igv': '17.99', 'igv': 12.2, 'total': 80.0,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</si>
  <si>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</si>
  <si>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</si>
  <si>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</si>
  <si>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'COMISIÃ“N VAOPE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</si>
  <si>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</si>
  <si>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'COMISIÃ“N PAGOS DIGITALES SEGUN CONTRATO -', 'categoria_producto': '', 'cantidad': '1.0', 'valor_unitario': 169.49, 'precio_unitario': 200.0, 'descuento': None, 'subtotal': 169.49, 'porcentaje_de_igv': '18.00', 'igv': 30.51, 'total': 200.0,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</si>
  <si>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</si>
  <si>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'PERSONAL -', 'categoria_producto': '', 'cantidad': '1.0', 'valor_unitario': 101.69, 'precio_unitario': 119.99, 'descuento': None, 'subtotal': 101.69, 'porcentaje_de_igv': '18.00', 'igv': 18.3, 'total': 119.99,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</si>
  <si>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</si>
  <si>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'COMISIÃ“N PAGOS DIGITALES SEGUN CONTRATO -', 'categoria_producto': '', 'cantidad': '1.0', 'valor_unitario': 16.95, 'precio_unitario': 20.0, 'descuento': None, 'subtotal': 16.95, 'porcentaje_de_igv': '17.99', 'igv': 3.05, 'total': 20.0,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</si>
  <si>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</si>
  <si>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</si>
  <si>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</si>
  <si>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'232', 'nom_producto': 'DESARROLLO DE CONTENIDO', 'categoria_producto': 'service', 'cantidad': '1.0', 'valor_unitario': 0.0, 'precio_unitario': 0.0, 'descuento': None, 'subtotal': 0.0, 'porcentaje_de_igv': '0.00', 'igv': 0.0, 'total': 0.0, 'moneda': '1', 'tipo_de_cambio': '', 'id_estado': 'paid', 'nombre_estado': 'Pagado',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102, 'nom_distribucion': 'Validadores', 'sub_categoria': 'IME', 'porcentaje': '100.00'}]]}]</t>
  </si>
  <si>
    <t>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</si>
  <si>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'COMISIÃ“N PAGOS DIGITALES SEGUN CONTRATO -', 'categoria_producto': '', 'cantidad': '1.0', 'valor_unitario': 118.64, 'precio_unitario': 140.0, 'descuento': None, 'subtotal': 118.64, 'porcentaje_de_igv': '18.00', 'igv': 21.36, 'total': 140.0,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</si>
  <si>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'COMISIÃ“N PAGOS DIGITALES SEGUN CONTRATO -', 'categoria_producto': '', 'cantidad': '1.0', 'valor_unitario': 110.17, 'precio_unitario': 130.0, 'descuento': None, 'subtotal': 110.17, 'porcentaje_de_igv': '18.00', 'igv': 19.83, 'total': 130.0,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</si>
  <si>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'COMISIÃ“N PAGOS DIGITALES SEGUN CONTRATO -', 'categoria_producto': '', 'cantidad': '1.0', 'valor_unitario': 135.59, 'precio_unitario': 160.0, 'descuento': None, 'subtotal': 135.59, 'porcentaje_de_igv': '18.00', 'igv': 24.41, 'total': 160.0,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</si>
  <si>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'COMISIÃ“N PAGOS DIGITALES SEGUN CONTRATO -', 'categoria_producto': '', 'cantidad': '1.0', 'valor_unitario': 93.22, 'precio_unitario': 110.0, 'descuento': None, 'subtotal': 93.22, 'porcentaje_de_igv': '18.00', 'igv': 16.78, 'total': 110.0,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</si>
  <si>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</si>
  <si>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</si>
  <si>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'COMISIÃ“N PAGOS DIGITALES SEGUN CONTRATO -', 'categoria_producto': '', 'cantidad': '1.0', 'valor_unitario': 104.24, 'precio_unitario': 123.0, 'descuento': None, 'subtotal': 104.24, 'porcentaje_de_igv': '18.00', 'igv': 18.76, 'total': 123.0,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</si>
  <si>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</si>
  <si>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</si>
  <si>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</si>
  <si>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[[{'cÃ³digo': 104, 'nom_distribucion': 'Validadores', 'sub_categoria': 'VIAJE', 'porcentaje': '20.00'}, {'cÃ³digo': 132, 'nom_distribucion': 'Validadores', 'sub_categoria': 'VIÃTICOS', 'porcentaje': '30.00'}, {'cÃ³digo': 137, 'nom_distribucion': 'Validadores', 'sub_categoria': 'TI', 'porcentaje': '50.00'}]]}]</t>
  </si>
  <si>
    <t>[[{'cÃ³digo': 104, 'nom_distribucion': 'Validadores', 'sub_categoria': 'VIAJE', 'porcentaje': '20.00'}, {'cÃ³digo': 132, 'nom_distribucion': 'Validadores', 'sub_categoria': 'VIÃTICOS', 'porcentaje': '30.00'}, {'cÃ³digo': 137, 'nom_distribucion': 'Validadores', 'sub_categoria': 'TI', 'porcentaje': '50.00'}]]</t>
  </si>
  <si>
    <t>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</si>
  <si>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'', 'nom_producto': 'COMISIÃ“N PAGOS DIGITALES SEGUN CONTRATO -', 'categoria_producto': '', 'cantidad': '1.0', 'valor_unitario': 78.81, 'precio_unitario': 93.0, 'descuento': None, 'subtotal': 78.81, 'porcentaje_de_igv': '18.01', 'igv': 14.19, 'total': 93.0,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</si>
  <si>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</si>
  <si>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'', 'nom_producto': 'COMISIÃ“N PAGOS DIGITALES SEGUN CONTRATO',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</si>
  <si>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'', 'nom_producto': 'COMISIÃ“N PAGOS DIGITALES SEGUN CONTRATO -', 'categoria_producto': '', 'cantidad': '1.0', 'valor_unitario': 54.15, 'precio_unitario': 63.9, 'descuento': None, 'subtotal': 54.15, 'porcentaje_de_igv': '18.01', 'igv': 9.75, 'total': 63.9,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</si>
  <si>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'231', 'nom_producto': 'DIFUSION MAILING', 'categoria_producto': 'service', 'cantidad': '1.0', 'valor_unitario': 900.0, 'precio_unitario': 1062.0, 'descuento': None, 'subtotal': 900.0, 'porcentaje_de_igv': '18.00', 'igv': 162.0, 'total': 1062.0,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</si>
  <si>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'', 'nom_producto': 'COMISIÃ“N PAGOS DIGITALES SEGUN CONTRATO -', 'categoria_producto': '', 'cantidad': '1.0', 'valor_unitario': 53.9, 'precio_unitario': 63.6, 'descuento': None, 'subtotal': 53.9, 'porcentaje_de_igv': '18.00', 'igv': 9.7, 'total': 63.6,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</si>
  <si>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'', 'nom_producto': 'COMISIÃ“N PAGOS DIGITALES SEGUN CONTRATO -', 'categoria_producto': '', 'cantidad': '1.0', 'valor_unitario': 53.81, 'precio_unitario': 63.5, 'descuento': None, 'subtotal': 53.81, 'porcentaje_de_igv': '18.01', 'igv': 9.69, 'total': 63.5,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</si>
  <si>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'', 'nom_producto': 'PERSONAL -', 'categoria_producto': '', 'cantidad': '1.0', 'valor_unitario': 1016.95, 'precio_unitario': 1200.0, 'descuento': None, 'subtotal': 1016.95, 'porcentaje_de_igv': '18.00', 'igv': 183.05, 'total': 1200.0,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</si>
  <si>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'', 'nom_producto': 'PERSONAL -', 'categoria_producto': '', 'cantidad': '1.0', 'valor_unitario': 805.08, 'precio_unitario': 949.99, 'descuento': None, 'subtotal': 805.08, 'porcentaje_de_igv': '18.00', 'igv': 144.91, 'total': 949.99,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</si>
  <si>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'', 'nom_producto': 'PERSONAL -', 'categoria_producto': '', 'cantidad': '1.0', 'valor_unitario': 677.97, 'precio_unitario': 800.0, 'descuento': None, 'subtotal': 677.97, 'porcentaje_de_igv': '18.00', 'igv': 122.03, 'total': 800.0,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</si>
  <si>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'', 'nom_producto': 'COMISIÃ“N PAGOS DIGITALES SEGUN CONTRATO -', 'categoria_producto': '', 'cantidad': '1.0', 'valor_unitario': 51.99, 'precio_unitario': 61.35, 'descuento': None, 'subtotal': 51.99, 'porcentaje_de_igv': '18.00', 'igv': 9.36, 'total': 61.35,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</si>
  <si>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'', 'nom_producto': 'COMISIÃ“N PAGOS DIGITALES SEGUN CONTRATO -', 'categoria_producto': '', 'cantidad': '1.0', 'valor_unitario': 55.34, 'precio_unitario': 65.3, 'descuento': None, 'subtotal': 55.34, 'porcentaje_de_igv': '18.00', 'igv': 9.96, 'total': 65.3,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</si>
  <si>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'', 'nom_producto': 'COMISIÃ“N PAGOS DIGITALES SEGUN CONTRATO -', 'categoria_producto': '', 'cantidad': '1.0', 'valor_unitario': 51.86, 'precio_unitario': 61.19, 'descuento': None, 'subtotal': 51.86, 'porcentaje_de_igv': '17.99', 'igv': 9.33, 'total': 61.19,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</si>
  <si>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'', 'nom_producto': 'COMISIÃ“N PAGOS DIGITALES SEGÃšN CONTRATO', 'categoria_producto': '', 'cantidad': '1.0', 'valor_unitario': 51.86, 'precio_unitario': 61.19, 'descuento': None, 'subtotal': 51.86, 'porcentaje_de_igv': '17.99', 'igv': 9.33, 'total': 61.19,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</si>
  <si>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</si>
  <si>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'', 'nom_producto': 'COMISION CORTESIA - emision cortesia',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</si>
  <si>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'', 'nom_producto': 'COMISION CORTESIA - CortesÃ­a',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1106, 'nom_cuenta_analitica': '7012100 MercaderÃ­as-Venta Local-Terceros', 'distribucion_analitica': []}]</t>
  </si>
  <si>
    <t>[{'id_producto': '1', 'codigo_producto': '232', 'nom_producto': 'DESARROLLO DE CONTENIDO', 'categoria_producto': 'service', 'cantidad': '1.0', 'valor_unitario': 104.24, 'precio_unitario': 123.0, 'descuento': None, 'subtotal': 104.24, 'porcentaje_de_igv': '18.00', 'igv': 18.76, 'total': 123.0,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103, 'nom_distribucion': 'Validadores', 'sub_categoria': 'PERSONAL', 'porcentaje': '100.00'}]]}, {'id_producto': '2', 'codigo_producto': '227', 'nom_producto': 'DIFUSION DE EVENTO NIV 1', 'categoria_producto': 'service', 'cantidad': '1.0', 'valor_unitario': 103.39, 'precio_unitario': 122.0, 'descuento': None, 'subtotal': 103.39, 'porcentaje_de_igv': '18.00', 'igv': 18.61, 'total': 122.0,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103, 'nom_distribucion': 'Validadores', 'sub_categoria': 'PERSONAL', 'porcentaje': '100.00'}]]}, {'id_producto': '3', 'codigo_producto': '220', 'nom_producto': 'full color ', 'categoria_producto': 'consu', 'cantidad': '1.0', 'valor_unitario': 102.54, 'precio_unitario': 121.0, 'descuento': None, 'subtotal': 102.54, 'porcentaje_de_igv': '18.00', 'igv': 18.46, 'total': 121.0,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'100.00'}]]}]</t>
  </si>
  <si>
    <t>[[{'cÃ³digo': 101, 'nom_distribucion': 'Validadores', 'sub_categoria': 'DELIVERY', 'porcentaje': '100.00'}, {'cÃ³digo': 103, 'nom_distribucion': 'Validadores', 'sub_categoria': 'PERSONAL', 'porcentaje': '100.00'}]]</t>
  </si>
  <si>
    <t>[[{'cÃ³digo': 103, 'nom_distribucion': 'Validadores', 'sub_categoria': 'PERSONAL', 'porcentaje': '100.00'}]]</t>
  </si>
  <si>
    <t>[[{'cÃ³digo': 101, 'nom_distribucion': 'Validadores', 'sub_categoria': 'DELIVERY', 'porcentaje': '100.00'}]]</t>
  </si>
  <si>
    <t>[{'id_producto': '1', 'codigo_producto': '984', 'nom_producto': 'ENTRADAS IMPRESAS FULL COLOR GENERAL, BRAZALETES VIP -CORAZÃ“N SERRANO BARRANCA - 09/02 Y PERSONAL DELIVERY', 'categoria_producto': 'consu', 'cantidad': '1.0', 'valor_unitario': 1241.0, 'precio_unitario': 1464.38, 'descuento': None, 'subtotal': 1241.0, 'porcentaje_de_igv': '18.00', 'igv': 223.38, 'total': 1464.38,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[[{'cÃ³digo': 83, 'nom_distribucion': 'Impresos', 'sub_categoria': 'INSUMO', 'porcentaje': '100.00'}]]}]</t>
  </si>
  <si>
    <t>[[{'cÃ³digo': 83, 'nom_distribucion': 'Impresos', 'sub_categoria': 'INSUMO', 'porcentaje': '100.00'}]]</t>
  </si>
  <si>
    <t>[{'id_producto': '1', 'codigo_producto': '983', 'nom_producto': 'ENTRADAS IMPRESAS * FULL COLOR GENERAL ', 'categoria_producto': 'consu', 'cantidad': '1.0', 'valor_unitario': 400.0, 'precio_unitario': 472.0, 'descuento': None, 'subtotal': 400.0, 'porcentaje_de_igv': '18.00', 'igv': 72.0, 'total': 472.0, 'moneda': '1', 'tipo_de_cambio': '', 'id_estado': 'not_paid', 'nombre_estado': 'Sin pagar', 'evento': {'id_evento': '', 'nom_evento': '', 'Fecha_hora_ini_event': '', 'Fecha_hora_fin_event': '', 'id_organizador': '', 'nom_organizador': 'MACHA MUNIVE JULIO', 'tipo_organizador': ''}, 'id_vendedor': 2, 'nom_vendedor': 'SAMUEL CHUQUISTA', 'id_cuenta_analitica': 1106, 'nom_cuenta_analitica': '7012100 MercaderÃ­as-Venta Local-Terceros', 'distribucion_analitica': [[{'cÃ³digo': 83, 'nom_distribucion': 'Impresos', 'sub_categoria': 'INSUMO', 'porcentaje': '100.00'}]]}]</t>
  </si>
  <si>
    <t>[{'id_producto': '1', 'codigo_producto': '982', 'nom_producto': 'COMISION CORTESIA - ACTUALIZACION GRAFICA', 'categoria_producto': 'consu', 'cantidad': '1.0', 'valor_unitario': 107.37, 'precio_unitario': 126.7, 'descuento': None, 'subtotal': 107.37, 'porcentaje_de_igv': '18.00', 'igv': 19.33, 'total': 126.7, 'moneda': '1', 'tipo_de_cambio': '', 'id_estado': 'not_paid', 'nombre_estado': 'Sin pagar', 'evento': {'id_evento': '', 'nom_evento': '', 'Fecha_hora_ini_event': '', 'Fecha_hora_fin_event': '', 'id_organizador': '', 'nom_organizador': 'REYNOSO BENDEZU CARLOS ARTURO', 'tipo_organizador': ''}, 'id_vendedor': 2, 'nom_vendedor': 'SAMUEL CHUQUISTA', 'id_cuenta_analitica': 1106, 'nom_cuenta_analitica': '7012100 MercaderÃ­as-Venta Local-Terceros', 'distribucion_analitica': [[{'cÃ³digo': 105, 'nom_distribucion': 'Administrativo', 'sub_categoria': 'COMISIÃ“N', 'porcentaje': '100.00'}]]}]</t>
  </si>
  <si>
    <t>[[{'cÃ³digo': 105, 'nom_distribucion': 'Administrativo', 'sub_categoria': 'COMISIÃ“N', 'porcentaje': '100.00'}]]</t>
  </si>
  <si>
    <t>(03) Boleta B00100000001</t>
  </si>
  <si>
    <t>03-B001-00000001</t>
  </si>
  <si>
    <t>Detalles para Suma de item.total - UNIFICADO: F FFI00000001</t>
  </si>
  <si>
    <t>Cuenta de UNIFICADO</t>
  </si>
  <si>
    <t xml:space="preserve"> 85 facturas unicas:</t>
  </si>
  <si>
    <t>Pruebas Johan:</t>
  </si>
  <si>
    <t>(01) Factura FB01-00000078</t>
  </si>
  <si>
    <t>00000078</t>
  </si>
  <si>
    <t>[{'id_producto': '1', 'codigo_producto': '215', 'nom_producto': 'COMISION POR VENTA DE ENTRADA',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[]}]</t>
  </si>
  <si>
    <t>COMISION POR VENTA DE ENTRADA</t>
  </si>
  <si>
    <t>Resultados</t>
  </si>
  <si>
    <t>Observaciones</t>
  </si>
  <si>
    <t>No se verifica la distribucion analitica</t>
  </si>
  <si>
    <t>Se agrega la distribucion analitica en una sola linea con 100% todos</t>
  </si>
  <si>
    <t>(01) Factura FB01-00000079</t>
  </si>
  <si>
    <t>Se verifica distribucuion analitica</t>
  </si>
  <si>
    <t>Se agrega la distribucion 1 area por cada linea con % correspondiente a la suma 100%</t>
  </si>
  <si>
    <t>(01) Factura FB01-00000080</t>
  </si>
  <si>
    <t>00000080</t>
  </si>
  <si>
    <t>[{'id_producto': '1', 'codigo_producto': '228', 'nom_producto': 'COMBO ANCLADOS', 'categoria_producto': 'service', 'cantidad': '1.0', 'valor_unitario': 350.0, 'precio_unitario': 413.0, 'descuento': None, 'subtotal': 350.0, 'porcentaje_de_igv': '18.00', 'igv': 63.0, 'total': 413.0,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[]}, {'id_producto': '2', 'codigo_producto': '216', 'nom_producto': 'COMISIÃ“N PAGOS DIGITALES SEGUN CONTRATO', 'categoria_producto': 'service', 'cantidad': '1.0', 'valor_unitario': 350.0, 'precio_unitario': 413.0, 'descuento': None, 'subtotal': 350.0, 'porcentaje_de_igv': '18.00', 'igv': 63.0, 'total': 413.0,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6155, 'nom_cuenta_analitica': '1011101 CAJA MN', 'distribucion_analitica': [[{'cÃ³digo': 96, 'nom_distribucion': 'RR.HH', 'sub_categoria': 'INTEGRACION', 'porcentaje': '20.00'}, {'cÃ³digo': 99, 'nom_distribucion': 'TI', 'sub_categoria': 'PROVEEDOR DIGITAL', 'porcentaje': '30.00'}, {'cÃ³digo': 101, 'nom_distribucion': 'Validadores', 'sub_categoria': 'DELIVERY', 'porcentaje': '50.00'}]]}, {'id_producto': '3', 'codigo_producto': '223', 'nom_producto': 'Boleto Premium', 'categoria_producto': 'consu', 'cantidad': '1.0', 'valor_unitario': 900.0, 'precio_unitario': 1062.0, 'descuento': None, 'subtotal': 900.0, 'porcentaje_de_igv': '18.00', 'igv': 162.0, 'total': 1062.0,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1230, 'nom_cuenta_analitica': '1031001 Efectivo', 'distribucion_analitica': [[{'cÃ³digo': 87, 'nom_distribucion': 'Marketing', 'sub_categoria': 'IME', 'porcentaje': '20.00'}, {'cÃ³digo': 93, 'nom_distribucion': 'Operaciones', 'sub_categoria': 'IME', 'porcentaje': '20.00'}, {'cÃ³digo': 101, 'nom_distribucion': 'Validadores', 'sub_categoria': 'DELIVERY', 'porcentaje': '10.00'}]]}]</t>
  </si>
  <si>
    <t>1011101 CAJA MN</t>
  </si>
  <si>
    <t>[[{'cÃ³digo': 96, 'nom_distribucion': 'RR.HH', 'sub_categoria': 'INTEGRACION', 'porcentaje': '20.00'}, {'cÃ³digo': 99, 'nom_distribucion': 'TI', 'sub_categoria': 'PROVEEDOR DIGITAL', 'porcentaje': '30.00'}, {'cÃ³digo': 101, 'nom_distribucion': 'Validadores', 'sub_categoria': 'DELIVERY', 'porcentaje': '50.00'}]]</t>
  </si>
  <si>
    <t>Boleto Premium</t>
  </si>
  <si>
    <t>1031001 Efectivo</t>
  </si>
  <si>
    <t>[[{'cÃ³digo': 87, 'nom_distribucion': 'Marketing', 'sub_categoria': 'IME', 'porcentaje': '20.00'}, {'cÃ³digo': 93, 'nom_distribucion': 'Operaciones', 'sub_categoria': 'IME', 'porcentaje': '20.00'}, {'cÃ³digo': 101, 'nom_distribucion': 'Validadores', 'sub_categoria': 'DELIVERY', 'porcentaje': '10.00'}]]</t>
  </si>
  <si>
    <t>00000079</t>
  </si>
  <si>
    <t>[{'id_producto': '1', 'codigo_producto': '228', 'nom_producto': 'COMBO ANCLADOS', 'categoria_producto': 'service', 'cantidad': '1.0', 'valor_unitario': 350.0, 'precio_unitario': 413.0, 'descuento': None, 'subtotal': 350.0, 'porcentaje_de_igv': '18.00', 'igv': 63.0, 'total': 413.0,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97, 'nom_distribucion': 'RR.HH', 'sub_categoria': 'BENEFICIOS', 'porcentaje': '50.00'}, {'cÃ³digo': 98, 'nom_distribucion': 'TI', 'sub_categoria': 'IME', 'porcentaje': '30.00'}, {'cÃ³digo': 101, 'nom_distribucion': 'Validadores', 'sub_categoria': 'DELIVERY', 'porcentaje': '20.00'}]]}]</t>
  </si>
  <si>
    <t>[[{'cÃ³digo': 97, 'nom_distribucion': 'RR.HH', 'sub_categoria': 'BENEFICIOS', 'porcentaje': '50.00'}, {'cÃ³digo': 98, 'nom_distribucion': 'TI', 'sub_categoria': 'IME', 'porcentaje': '30.00'}, {'cÃ³digo': 101, 'nom_distribucion': 'Validadores', 'sub_categoria': 'DELIVERY', 'porcentaje': '20.00'}]]</t>
  </si>
  <si>
    <t>Se verifican datos en 2 de 3 productos</t>
  </si>
  <si>
    <t>Cumple el guardado de datos cuando se agregan distribuciones por fila y su % que el total sume 100%, los otros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</si>
</sst>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14" fontId="0" fillId="4" borderId="0" xfId="0" applyNumberFormat="1" applyFill="1"/>
    <xf numFmtId="14" fontId="0" fillId="0" borderId="0" xfId="0" applyNumberFormat="1"/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5" fillId="0" borderId="0" xfId="0" pivotButton="1" applyFont="1"/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0" fillId="0" borderId="0" xfId="0" quotePrefix="1"/>
    <xf numFmtId="22" fontId="0" fillId="0" borderId="0" xfId="0" applyNumberFormat="1"/>
    <xf numFmtId="14" fontId="5" fillId="0" borderId="0" xfId="0" applyNumberFormat="1" applyFont="1" applyAlignment="1">
      <alignment horizontal="left" indent="1"/>
    </xf>
    <xf numFmtId="0" fontId="5" fillId="3" borderId="0" xfId="0" applyFont="1" applyFill="1" applyAlignment="1">
      <alignment horizontal="left"/>
    </xf>
    <xf numFmtId="0" fontId="0" fillId="3" borderId="0" xfId="0" applyFill="1"/>
    <xf numFmtId="0" fontId="6" fillId="3" borderId="0" xfId="0" applyFont="1" applyFill="1"/>
    <xf numFmtId="0" fontId="5" fillId="0" borderId="0" xfId="0" applyFont="1" applyAlignment="1">
      <alignment horizontal="left" indent="1"/>
    </xf>
    <xf numFmtId="14" fontId="5" fillId="0" borderId="0" xfId="0" applyNumberFormat="1" applyFont="1" applyAlignment="1">
      <alignment horizontal="left" indent="2"/>
    </xf>
    <xf numFmtId="0" fontId="5" fillId="0" borderId="0" xfId="0" applyFont="1" applyAlignment="1">
      <alignment horizontal="left" indent="2"/>
    </xf>
    <xf numFmtId="0" fontId="5" fillId="3" borderId="0" xfId="0" applyFont="1" applyFill="1"/>
    <xf numFmtId="0" fontId="4" fillId="0" borderId="0" xfId="0" quotePrefix="1" applyFont="1"/>
    <xf numFmtId="0" fontId="5" fillId="0" borderId="1" xfId="0" applyFont="1" applyBorder="1"/>
  </cellXfs>
  <cellStyles count="1">
    <cellStyle name="Normal" xfId="0" builtinId="0"/>
  </cellStyles>
  <dxfs count="136">
    <dxf>
      <numFmt numFmtId="19" formatCode="d/mm/yyyy"/>
    </dxf>
    <dxf>
      <numFmt numFmtId="19" formatCode="d/mm/yyyy"/>
    </dxf>
    <dxf>
      <numFmt numFmtId="19" formatCode="d/mm/yyyy"/>
    </dxf>
    <dxf>
      <numFmt numFmtId="27" formatCode="d/mm/yyyy\ hh:mm"/>
    </dxf>
    <dxf>
      <numFmt numFmtId="19" formatCode="d/mm/yyyy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9" formatCode="d/mm/yyyy"/>
    </dxf>
    <dxf>
      <numFmt numFmtId="19" formatCode="d/mm/yyyy"/>
    </dxf>
    <dxf>
      <numFmt numFmtId="19" formatCode="d/mm/yyyy"/>
    </dxf>
    <dxf>
      <numFmt numFmtId="27" formatCode="d/mm/yyyy\ hh:mm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659131</xdr:colOff>
      <xdr:row>25</xdr:row>
      <xdr:rowOff>30480</xdr:rowOff>
    </xdr:from>
    <xdr:to>
      <xdr:col>6</xdr:col>
      <xdr:colOff>2428875</xdr:colOff>
      <xdr:row>43</xdr:row>
      <xdr:rowOff>152399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807CEC-D183-917B-42C7-D82614A2E394}"/>
            </a:ext>
          </a:extLst>
        </xdr:cNvPr>
        <xdr:cNvSpPr txBox="1"/>
      </xdr:nvSpPr>
      <xdr:spPr>
        <a:xfrm>
          <a:off x="6355081" y="4107180"/>
          <a:ext cx="2969894" cy="30365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/>
            <a:t>Anotaciones:</a:t>
          </a:r>
          <a:br>
            <a:rPr lang="es-PE" sz="1100"/>
          </a:br>
          <a:r>
            <a:rPr lang="es-PE" sz="1100"/>
            <a:t>- IDVENTO</a:t>
          </a:r>
          <a:r>
            <a:rPr lang="es-PE" sz="1100" baseline="0"/>
            <a:t> -&gt; Solo visualizo el codigo nro 2, hay otros codigos en odoo en ese campo que no llegan dentro de los 83 regisros (2,544.00) </a:t>
          </a:r>
          <a:br>
            <a:rPr lang="es-PE" sz="1100" baseline="0"/>
          </a:br>
          <a:r>
            <a:rPr lang="es-PE" sz="1100" baseline="0"/>
            <a:t>- EN JSON el registro fecha emision 06-02-2025 con nro FB-01-1420 sale en descarga odoo para el dia 07-02-2025 con codigo 01-</a:t>
          </a:r>
          <a:br>
            <a:rPr lang="es-PE" sz="1100" baseline="0"/>
          </a:br>
          <a:r>
            <a:rPr lang="es-PE" sz="1100" baseline="0"/>
            <a:t>- La cantidad de registros cuadran pero no los montos de subtotal vs sin impuesto firmado / igv vs impuesto firmado / total vs Total firmado </a:t>
          </a:r>
          <a:br>
            <a:rPr lang="es-PE" sz="1100" baseline="0"/>
          </a:br>
          <a:r>
            <a:rPr lang="es-PE" sz="1100" baseline="0"/>
            <a:t>- Al parecer falta 1 registro en el json vs el exportado de odoo, salen 83 en el json pero 1 registro tiene 2 productos factura = </a:t>
          </a:r>
          <a:r>
            <a:rPr lang="es-PE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00000104, en el exportado salen 83 facturas</a:t>
          </a:r>
          <a:r>
            <a:rPr lang="es-PE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acumuladas.</a:t>
          </a:r>
          <a:r>
            <a:rPr lang="es-PE">
              <a:effectLst/>
            </a:rPr>
            <a:t> </a:t>
          </a:r>
          <a:endParaRPr lang="es-PE" sz="1100"/>
        </a:p>
      </xdr:txBody>
    </xdr:sp>
    <xdr:clientData/>
  </xdr:twoCellAnchor>
  <xdr:twoCellAnchor editAs="oneCell">
    <xdr:from>
      <xdr:col>45</xdr:col>
      <xdr:colOff>171450</xdr:colOff>
      <xdr:row>0</xdr:row>
      <xdr:rowOff>0</xdr:rowOff>
    </xdr:from>
    <xdr:to>
      <xdr:col>62</xdr:col>
      <xdr:colOff>154205</xdr:colOff>
      <xdr:row>33</xdr:row>
      <xdr:rowOff>134238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5FA964E-A1E1-F884-F1A3-EBF6D0BC9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84075" y="0"/>
          <a:ext cx="12936755" cy="636358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39.544902314818" createdVersion="8" refreshedVersion="8" minRefreshableVersion="3" recordCount="85" xr:uid="{B40C0C83-F1B6-431E-AC66-10D6C726A89F}">
  <cacheSource type="worksheet">
    <worksheetSource ref="A1:AK86" sheet="FactClientes_InterfaceODOO"/>
  </cacheSource>
  <cacheFields count="39">
    <cacheField name="Número de Documento" numFmtId="4">
      <sharedItems count="83">
        <s v="01-FB01-00000077"/>
        <s v="01-FB01-00000076"/>
        <s v="01-FB01-00000075"/>
        <s v="01-FB01-00000074"/>
        <s v="01-F001-00000104"/>
        <s v="01-F001-00000103"/>
        <s v="01-F001-00000102"/>
        <s v="01-F001-00000101"/>
        <s v="03-B001-00000001"/>
        <s v="01-FB01-00000073"/>
        <s v="01-FB01-00000072"/>
        <s v="01-FB01-00000071"/>
        <s v="01-FB01-00000070"/>
        <s v="01-FB01-00000069"/>
        <s v="01-FB01-00000068"/>
        <s v="01-FB01-00000067"/>
        <s v="01-FB01-00000066"/>
        <s v="01-FB01-00000065"/>
        <s v="01-FB01-00000064"/>
        <s v="01-FB01-00000063"/>
        <s v="01-FB01-00000062"/>
        <s v="01-FB01-00000061"/>
        <s v="01-FB01-00000060"/>
        <s v="01-FB01-00000059"/>
        <s v="01-FB01-00000058"/>
        <s v="01-F001-00000100"/>
        <s v="01-FB01-00000057"/>
        <s v="01-FB01-00000056"/>
        <s v="01-FB01-00000055"/>
        <s v="01-FB01-00000054"/>
        <s v="01-FB01-00000053"/>
        <s v="01-FB01-00000052"/>
        <s v="01-FB01-00000051"/>
        <s v="01-FB01-00000050"/>
        <s v="01-FB01-00000049"/>
        <s v="01-FB01-00000048"/>
        <s v="01-FB01-00000047"/>
        <s v="01-FB01-00000046"/>
        <s v="01-FB01-00000045"/>
        <s v="01-FB01-00000044"/>
        <s v="01-FB01-00000043"/>
        <s v="01-FB01-00000042"/>
        <s v="01-FB01-00000041"/>
        <s v="01-FB01-00000040"/>
        <s v="01-FB01-00000039"/>
        <s v="01-FB01-00000038"/>
        <s v="01-FB01-00000036"/>
        <s v="01-FB01-00000035"/>
        <s v="01-FB01-00000033"/>
        <s v="01-FB01-00000032"/>
        <s v="01-FB01-00000030"/>
        <s v="01-FB01-00000029"/>
        <s v="01-FB01-00000028"/>
        <s v="01-FB01-00000027"/>
        <s v="01-FB01-00000026"/>
        <s v="01-FB01-00000025"/>
        <s v="01-FB01-00000024"/>
        <s v="01-FB01-00000023"/>
        <s v="01-FB01-00000022"/>
        <s v="01-FB01-00000021"/>
        <s v="01-F001-00000014"/>
        <s v="01-F001-00000013"/>
        <s v="01-F001-00000011"/>
        <s v="01-F001-00000015"/>
        <s v="01-F001-00000012"/>
        <s v="01-F001-00000010"/>
        <s v="01-F001-00000009"/>
        <s v="01-F001-00000008"/>
        <s v="01-F001-00000007"/>
        <s v="01-F001-00000006"/>
        <s v="01-F001-00000004"/>
        <s v="01-F001-00000003"/>
        <s v="01-F001-00000002"/>
        <s v="01-FB01-00000034"/>
        <s v="01-FB01-00000031"/>
        <s v="01-FB01-00000020"/>
        <s v="01-FB01-00000019"/>
        <s v="01-FB01-00000018"/>
        <s v="01-FB01-00000017"/>
        <s v="01-FB01-00000016"/>
        <s v="01-F001-00000005"/>
        <s v="01-F001-00000001"/>
        <s v="01-"/>
      </sharedItems>
    </cacheField>
    <cacheField name="VAOPE Codigo Evento" numFmtId="4">
      <sharedItems containsSemiMixedTypes="0" containsString="0" containsNumber="1" containsInteger="1" minValue="0" maxValue="2544"/>
    </cacheField>
    <cacheField name="Evento" numFmtId="4">
      <sharedItems containsBlank="1"/>
    </cacheField>
    <cacheField name="Nombre del tipo" numFmtId="4">
      <sharedItems/>
    </cacheField>
    <cacheField name="Nombre del contacto a mostrar en la factura" numFmtId="4">
      <sharedItems count="9">
        <s v="CORPORACION LA CHOZA S.A.C."/>
        <s v="PRODUCCIONES Y PROMOTORA DE EVENTOS AAA S.A.C."/>
        <s v="JP Producciones Generales EIRL"/>
        <s v="A &amp; Q AYLLU S.A.C."/>
        <s v="CORPORACION MUKANRANKO S.A.C."/>
        <s v="G &amp; N MUSIC S.A.C."/>
        <s v="RF PROMOTORA DE ESPECTACULOS E.I.R.L"/>
        <s v="MACHA MUNIVE JULIO"/>
        <s v="REYNOSO BENDEZU CARLOS ARTURO" u="1"/>
      </sharedItems>
    </cacheField>
    <cacheField name="Fecha de factura" numFmtId="164">
      <sharedItems containsSemiMixedTypes="0" containsNonDate="0" containsDate="1" containsString="0" minDate="2025-02-07T00:00:00" maxDate="2025-10-07T00:00:00" count="17">
        <d v="2025-10-06T00:00:00"/>
        <d v="2025-10-04T00:00:00"/>
        <d v="2025-09-19T00:00:00"/>
        <d v="2025-09-17T00:00:00"/>
        <d v="2025-09-16T00:00:00"/>
        <d v="2025-09-12T00:00:00"/>
        <d v="2025-09-08T00:00:00"/>
        <d v="2025-09-03T00:00:00"/>
        <d v="2025-09-02T00:00:00"/>
        <d v="2025-08-29T00:00:00"/>
        <d v="2025-08-27T00:00:00"/>
        <d v="2025-08-25T00:00:00"/>
        <d v="2025-08-22T00:00:00"/>
        <d v="2025-03-27T00:00:00"/>
        <d v="2025-03-23T00:00:00"/>
        <d v="2025-02-10T00:00:00"/>
        <d v="2025-02-07T00:00:00" u="1"/>
      </sharedItems>
      <fieldGroup par="38"/>
    </cacheField>
    <cacheField name="Fecha" numFmtId="164">
      <sharedItems containsSemiMixedTypes="0" containsNonDate="0" containsDate="1" containsString="0" minDate="2025-02-10T00:00:00" maxDate="2025-10-07T00:00:00"/>
    </cacheField>
    <cacheField name="Fecha de vencimiento" numFmtId="164">
      <sharedItems containsSemiMixedTypes="0" containsNonDate="0" containsDate="1" containsString="0" minDate="2025-02-10T00:00:00" maxDate="2025-10-07T00:00:00"/>
    </cacheField>
    <cacheField name="Origen" numFmtId="4">
      <sharedItems containsBlank="1"/>
    </cacheField>
    <cacheField name="Referencia" numFmtId="4">
      <sharedItems containsNonDate="0" containsString="0" containsBlank="1"/>
    </cacheField>
    <cacheField name="Vendedor" numFmtId="4">
      <sharedItems/>
    </cacheField>
    <cacheField name="Equipo de ventas" numFmtId="4">
      <sharedItems/>
    </cacheField>
    <cacheField name="Actividades" numFmtId="4">
      <sharedItems containsNonDate="0" containsString="0" containsBlank="1"/>
    </cacheField>
    <cacheField name="Empresa" numFmtId="4">
      <sharedItems/>
    </cacheField>
    <cacheField name="Importe sin impuestos firmado" numFmtId="4">
      <sharedItems containsString="0" containsBlank="1" containsNumber="1" minValue="16.95" maxValue="4000"/>
    </cacheField>
    <cacheField name="Impuesto firmado" numFmtId="4">
      <sharedItems containsString="0" containsBlank="1" containsNumber="1" minValue="3.05" maxValue="720"/>
    </cacheField>
    <cacheField name="Total firmado" numFmtId="4">
      <sharedItems containsString="0" containsBlank="1" containsNumber="1" minValue="20" maxValue="4720"/>
    </cacheField>
    <cacheField name="Total en divisa firmado" numFmtId="4">
      <sharedItems containsString="0" containsBlank="1" containsNumber="1" minValue="20" maxValue="4720"/>
    </cacheField>
    <cacheField name="Importe pendiente firmado" numFmtId="4">
      <sharedItems containsString="0" containsBlank="1" containsNumber="1" minValue="20" maxValue="4720"/>
    </cacheField>
    <cacheField name="Moneda" numFmtId="4">
      <sharedItems/>
    </cacheField>
    <cacheField name="Por revisar" numFmtId="4">
      <sharedItems/>
    </cacheField>
    <cacheField name="Estado de pago" numFmtId="4">
      <sharedItems/>
    </cacheField>
    <cacheField name="Facturación electrónica" numFmtId="4">
      <sharedItems/>
    </cacheField>
    <cacheField name="Nivel de bloqueo de EDI" numFmtId="4">
      <sharedItems containsBlank="1"/>
    </cacheField>
    <cacheField name="Mensaje de error de EDI" numFmtId="4">
      <sharedItems containsBlank="1" longText="1"/>
    </cacheField>
    <cacheField name="Estado" numFmtId="4">
      <sharedItems count="1">
        <s v="Registrado"/>
      </sharedItems>
    </cacheField>
    <cacheField name="Valor Unitario" numFmtId="4">
      <sharedItems containsNonDate="0" containsString="0" containsBlank="1"/>
    </cacheField>
    <cacheField name="Precio_Unitario" numFmtId="4">
      <sharedItems containsNonDate="0" containsString="0" containsBlank="1"/>
    </cacheField>
    <cacheField name="Descuento" numFmtId="4">
      <sharedItems containsNonDate="0" containsString="0" containsBlank="1"/>
    </cacheField>
    <cacheField name="Tipo_cambio" numFmtId="4">
      <sharedItems containsNonDate="0" containsString="0" containsBlank="1"/>
    </cacheField>
    <cacheField name="Fecha Even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 count="1">
        <m/>
      </sharedItems>
    </cacheField>
    <cacheField name="Distribucion_analitica" numFmtId="0">
      <sharedItems containsNonDate="0" containsString="0" containsBlank="1" count="1">
        <m/>
      </sharedItems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  <cacheField name="FechaEvento_fechaFactura" numFmtId="14">
      <sharedItems containsSemiMixedTypes="0" containsNonDate="0" containsDate="1" containsString="0" minDate="2025-02-07T00:00:00" maxDate="2025-10-07T00:00:00" count="17">
        <d v="2025-10-06T00:00:00"/>
        <d v="2025-10-04T00:00:00"/>
        <d v="2025-09-19T00:00:00"/>
        <d v="2025-09-17T00:00:00"/>
        <d v="2025-09-16T00:00:00"/>
        <d v="2025-09-12T00:00:00"/>
        <d v="2025-09-08T00:00:00"/>
        <d v="2025-09-03T00:00:00"/>
        <d v="2025-09-02T00:00:00"/>
        <d v="2025-08-29T00:00:00"/>
        <d v="2025-08-27T00:00:00"/>
        <d v="2025-08-25T00:00:00"/>
        <d v="2025-08-22T00:00:00"/>
        <d v="2025-03-27T00:00:00"/>
        <d v="2025-03-23T00:00:00"/>
        <d v="2025-02-10T00:00:00"/>
        <d v="2025-02-07T00:00:00" u="1"/>
      </sharedItems>
    </cacheField>
    <cacheField name="Días (Fecha de factura)" numFmtId="0" databaseField="0">
      <fieldGroup base="5">
        <rangePr groupBy="days" startDate="2025-02-10T00:00:00" endDate="2025-10-07T00:00:00"/>
        <groupItems count="368">
          <s v="&lt;10/02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7/10/2025"/>
        </groupItems>
      </fieldGroup>
    </cacheField>
    <cacheField name="Meses (Fecha de factura)" numFmtId="0" databaseField="0">
      <fieldGroup base="5">
        <rangePr groupBy="months" startDate="2025-02-10T00:00:00" endDate="2025-10-07T00:00:00"/>
        <groupItems count="14">
          <s v="&lt;10/02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7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39.682454050926" createdVersion="8" refreshedVersion="8" minRefreshableVersion="3" recordCount="88" xr:uid="{EB3E5C7F-AFC6-4A87-BEC9-42364F47E623}">
  <cacheSource type="worksheet">
    <worksheetSource ref="A1:AS89" sheet="facturas_con_items_json"/>
  </cacheSource>
  <cacheFields count="47">
    <cacheField name="serie_correlativo" numFmtId="0">
      <sharedItems/>
    </cacheField>
    <cacheField name="numero" numFmtId="0">
      <sharedItems containsMixedTypes="1" containsNumber="1" containsInteger="1" minValue="219" maxValue="220"/>
    </cacheField>
    <cacheField name="nombre_empresa" numFmtId="0">
      <sharedItems/>
    </cacheField>
    <cacheField name="fecha_de_emision" numFmtId="14">
      <sharedItems containsSemiMixedTypes="0" containsNonDate="0" containsDate="1" containsString="0" minDate="2025-02-07T00:00:00" maxDate="2025-10-07T00:00:00" count="17">
        <d v="2025-10-06T00:00:00"/>
        <d v="2025-10-04T00:00:00"/>
        <d v="2025-09-19T00:00:00"/>
        <d v="2025-09-17T00:00:00"/>
        <d v="2025-09-16T00:00:00"/>
        <d v="2025-09-12T00:00:00"/>
        <d v="2025-09-08T00:00:00"/>
        <d v="2025-09-02T00:00:00"/>
        <d v="2025-08-29T00:00:00"/>
        <d v="2025-08-27T00:00:00"/>
        <d v="2025-08-25T00:00:00"/>
        <d v="2025-08-22T00:00:00"/>
        <d v="2025-08-26T00:00:00"/>
        <d v="2025-08-21T00:00:00"/>
        <d v="2025-03-23T00:00:00"/>
        <d v="2025-02-10T00:00:00"/>
        <d v="2025-02-07T00:00:00" u="1"/>
      </sharedItems>
      <fieldGroup par="46"/>
    </cacheField>
    <cacheField name="hora_de_emision" numFmtId="22">
      <sharedItems containsSemiMixedTypes="0" containsNonDate="0" containsDate="1" containsString="0" minDate="2025-10-09T00:00:00" maxDate="2025-10-09T18:21:31"/>
    </cacheField>
    <cacheField name="nom_proveedor" numFmtId="0">
      <sharedItems count="9">
        <s v="CORPORACION LA CHOZA S.A.C."/>
        <s v="PRODUCCIONES Y PROMOTORA DE EVENTOS AAA S.A.C."/>
        <s v="JP Producciones Generales EIRL"/>
        <s v="A &amp; Q AYLLU S.A.C."/>
        <s v="CORPORACION MUKANRANKO S.A.C."/>
        <s v="G &amp; N MUSIC S.A.C."/>
        <s v="RF PROMOTORA DE ESPECTACULOS E.I.R.L"/>
        <s v="MACHA MUNIVE JULIO"/>
        <s v="REYNOSO BENDEZU CARLOS ARTURO" u="1"/>
      </sharedItems>
    </cacheField>
    <cacheField name="cat_proveedor" numFmtId="0">
      <sharedItems containsBlank="1"/>
    </cacheField>
    <cacheField name="tipo_documento" numFmtId="0">
      <sharedItems containsSemiMixedTypes="0" containsString="0" containsNumber="1" containsInteger="1" minValue="6" maxValue="6"/>
    </cacheField>
    <cacheField name="doc_proveedor" numFmtId="0">
      <sharedItems containsSemiMixedTypes="0" containsString="0" containsNumber="1" containsInteger="1" minValue="10198893710" maxValue="20612433489"/>
    </cacheField>
    <cacheField name="items" numFmtId="0">
      <sharedItems longText="1"/>
    </cacheField>
    <cacheField name="factura.fecha_emision" numFmtId="14">
      <sharedItems containsSemiMixedTypes="0" containsNonDate="0" containsDate="1" containsString="0" minDate="2025-02-10T00:00:00" maxDate="2025-10-07T00:00:00"/>
    </cacheField>
    <cacheField name="factura.cliente" numFmtId="0">
      <sharedItems containsNonDate="0" containsString="0" containsBlank="1"/>
    </cacheField>
    <cacheField name="factura.id_cliente" numFmtId="0">
      <sharedItems containsNonDate="0" containsString="0" containsBlank="1"/>
    </cacheField>
    <cacheField name="factura.total" numFmtId="0">
      <sharedItems containsNonDate="0" containsString="0" containsBlank="1"/>
    </cacheField>
    <cacheField name="factura.moneda" numFmtId="0">
      <sharedItems containsNonDate="0" containsString="0" containsBlank="1"/>
    </cacheField>
    <cacheField name="factura.estado" numFmtId="0">
      <sharedItems containsNonDate="0" containsString="0" containsBlank="1"/>
    </cacheField>
    <cacheField name="item.id_producto" numFmtId="0">
      <sharedItems containsSemiMixedTypes="0" containsString="0" containsNumber="1" containsInteger="1" minValue="1" maxValue="3"/>
    </cacheField>
    <cacheField name="item.codigo_producto" numFmtId="0">
      <sharedItems containsString="0" containsBlank="1" containsNumber="1" containsInteger="1" minValue="220" maxValue="984"/>
    </cacheField>
    <cacheField name="item.nom_producto" numFmtId="0">
      <sharedItems count="16">
        <s v="COMISIÃ“N PAGOS DIGITALES SEGÃšN CONTRATO"/>
        <s v="COMISIÃ“N PAGOS DIGITALES SEGUN CONTRATO -"/>
        <s v="DESARROLLO DE CONTENIDO"/>
        <s v="COMBO ANCLADOS"/>
        <s v="COMISIÃ“N VAOPE SEGUN CONTRATO -"/>
        <s v="PERSONAL -"/>
        <s v="ENTRADAS IMPRESAS - ORDEN DE VENTA N663  Corazn Serrano en el Centro de Convenciones Scencia de la Molina /  FULL COLOR GENERAL /  BRAZALETES PLATINUM / BRAZALETES VIP"/>
        <s v="COMISIÃ“N PAGOS DIGITALES SEGUN CONTRATO"/>
        <s v="DIFUSION MAILING"/>
        <s v="COMISION CORTESIA - emision cortesia"/>
        <s v="COMISION CORTESIA - CortesÃ­a"/>
        <s v="DIFUSION DE EVENTO NIV 1"/>
        <s v="full color "/>
        <s v="ENTRADAS IMPRESAS FULL COLOR GENERAL, BRAZALETES VIP -CORAZÃ“N SERRANO BARRANCA - 09/02 Y PERSONAL DELIVERY"/>
        <s v="ENTRADAS IMPRESAS * FULL COLOR GENERAL "/>
        <s v="COMISION CORTESIA - ACTUALIZACION GRAFICA" u="1"/>
      </sharedItems>
    </cacheField>
    <cacheField name="item.categoria_producto" numFmtId="0">
      <sharedItems containsBlank="1"/>
    </cacheField>
    <cacheField name="item.cantidad" numFmtId="0">
      <sharedItems containsSemiMixedTypes="0" containsString="0" containsNumber="1" containsInteger="1" minValue="1" maxValue="2"/>
    </cacheField>
    <cacheField name="item.valor_unitario" numFmtId="0">
      <sharedItems containsSemiMixedTypes="0" containsString="0" containsNumber="1" minValue="0" maxValue="1355.93"/>
    </cacheField>
    <cacheField name="item.precio_unitario" numFmtId="0">
      <sharedItems containsSemiMixedTypes="0" containsString="0" containsNumber="1" minValue="0" maxValue="1600"/>
    </cacheField>
    <cacheField name="item.descuento" numFmtId="0">
      <sharedItems containsNonDate="0" containsString="0" containsBlank="1"/>
    </cacheField>
    <cacheField name="item.subtotal" numFmtId="0">
      <sharedItems containsSemiMixedTypes="0" containsString="0" containsNumber="1" minValue="0" maxValue="2000"/>
    </cacheField>
    <cacheField name="item.porcentaje_de_igv" numFmtId="0">
      <sharedItems containsSemiMixedTypes="0" containsString="0" containsNumber="1" minValue="0" maxValue="18.010000000000002"/>
    </cacheField>
    <cacheField name="item.igv" numFmtId="0">
      <sharedItems containsSemiMixedTypes="0" containsString="0" containsNumber="1" minValue="0" maxValue="360"/>
    </cacheField>
    <cacheField name="item.total" numFmtId="0">
      <sharedItems containsSemiMixedTypes="0" containsString="0" containsNumber="1" minValue="0" maxValue="2360"/>
    </cacheField>
    <cacheField name="item.moneda" numFmtId="0">
      <sharedItems containsSemiMixedTypes="0" containsString="0" containsNumber="1" containsInteger="1" minValue="1" maxValue="1"/>
    </cacheField>
    <cacheField name="item.tipo_de_cambio" numFmtId="0">
      <sharedItems containsNonDate="0" containsString="0" containsBlank="1"/>
    </cacheField>
    <cacheField name="item.id_estado" numFmtId="0">
      <sharedItems/>
    </cacheField>
    <cacheField name="item.nombre_estado" numFmtId="0">
      <sharedItems count="2">
        <s v="Sin pagar"/>
        <s v="Pagado"/>
      </sharedItems>
    </cacheField>
    <cacheField name="item.id_vendedor" numFmtId="0">
      <sharedItems containsSemiMixedTypes="0" containsString="0" containsNumber="1" containsInteger="1" minValue="2" maxValue="2"/>
    </cacheField>
    <cacheField name="item.nom_vendedor" numFmtId="0">
      <sharedItems/>
    </cacheField>
    <cacheField name="item.id_cuenta_analitica" numFmtId="0">
      <sharedItems containsSemiMixedTypes="0" containsString="0" containsNumber="1" containsInteger="1" minValue="1106" maxValue="1106"/>
    </cacheField>
    <cacheField name="item.nom_cuenta_analitica" numFmtId="0">
      <sharedItems/>
    </cacheField>
    <cacheField name="item.distribucion_analitica" numFmtId="0">
      <sharedItems longText="1"/>
    </cacheField>
    <cacheField name="item.evento.id_evento" numFmtId="0">
      <sharedItems containsString="0" containsBlank="1" containsNumber="1" containsInteger="1" minValue="2" maxValue="2461"/>
    </cacheField>
    <cacheField name="item.evento.nom_evento" numFmtId="0">
      <sharedItems containsBlank="1"/>
    </cacheField>
    <cacheField name="item.evento.Fecha_hora_ini_event" numFmtId="0">
      <sharedItems containsNonDate="0" containsDate="1" containsString="0" containsBlank="1" minDate="2021-08-01T00:00:00" maxDate="2025-11-01T00:00:00"/>
    </cacheField>
    <cacheField name="item.evento.Fecha_hora_fin_event" numFmtId="0">
      <sharedItems containsNonDate="0" containsDate="1" containsString="0" containsBlank="1" minDate="2021-08-01T00:00:00" maxDate="2025-11-01T00:00:00"/>
    </cacheField>
    <cacheField name="item.evento.id_organizador" numFmtId="0">
      <sharedItems containsNonDate="0" containsString="0" containsBlank="1"/>
    </cacheField>
    <cacheField name="item.evento.nom_organizador" numFmtId="0">
      <sharedItems/>
    </cacheField>
    <cacheField name="item.evento.tipo_organizador" numFmtId="0">
      <sharedItems containsNonDate="0" containsString="0" containsBlank="1"/>
    </cacheField>
    <cacheField name="UNIFICADO" numFmtId="0">
      <sharedItems count="86">
        <s v="(01) Factura FB0100000077"/>
        <s v="(01) Factura FB0100000076"/>
        <s v="(01) Factura FB0100000075"/>
        <s v="(01) Factura FB0100000074"/>
        <s v="(01) Factura F00100000104"/>
        <s v="(01) Factura F00100000103"/>
        <s v="(01) Factura F00100000102"/>
        <s v="(01) Factura F00100000101"/>
        <s v="(03) Boleta B00100000001"/>
        <s v="(01) Factura FB0100000073"/>
        <s v="(01) Factura FB0100000072"/>
        <s v="(01) Factura FB0100000071"/>
        <s v="(01) Factura FB0100000070"/>
        <s v="(01) Factura FB0100000069"/>
        <s v="(01) Factura FB0100000068"/>
        <s v="(01) Factura FB0100000067"/>
        <s v="(01) Factura FB0100000066"/>
        <s v="(01) Factura FB0100000065"/>
        <s v="(01) Factura FB0100000064"/>
        <s v="(01) Factura FB0100000063"/>
        <s v="(01) Factura FB0100000062"/>
        <s v="(01) Factura FB0100000061"/>
        <s v="(01) Factura FB0100000060"/>
        <s v="(01) Factura FB0100000059"/>
        <s v="(01) Factura FB0100000058"/>
        <s v="(01) Factura F00100000100"/>
        <s v="(01) Factura FB0100000057"/>
        <s v="(01) Factura FB0100000056"/>
        <s v="(01) Factura FB0100000055"/>
        <s v="(01) Factura FB0100000054"/>
        <s v="(01) Factura FB0100000053"/>
        <s v="(01) Factura FB0100000052"/>
        <s v="(01) Factura FB0100000051"/>
        <s v="(01) Factura FB0100000050"/>
        <s v="(01) Factura FB0100000049"/>
        <s v="(01) Factura FB0100000048"/>
        <s v="(01) Factura FB0100000047"/>
        <s v="(01) Factura FB0100000046"/>
        <s v="(01) Factura FB0100000045"/>
        <s v="(01) Factura FB0100000044"/>
        <s v="(01) Factura FB0100000043"/>
        <s v="(01) Factura FB0100000042"/>
        <s v="(01) Factura FB0100000041"/>
        <s v="(01) Factura FB0100000040"/>
        <s v="(01) Factura FB0100000039"/>
        <s v="(01) Factura FB0100000038"/>
        <s v="(01) Factura FB0100000036"/>
        <s v="(01) Factura FB0100000035"/>
        <s v="(01) Factura FB0100000033"/>
        <s v="(01) Factura FB0100000032"/>
        <s v="(01) Factura FB0100000030"/>
        <s v="(01) Factura FB0100000029"/>
        <s v="(01) Factura FB0100000028"/>
        <s v="(01) Factura FB0100000027"/>
        <s v="(01) Factura FB0100000026"/>
        <s v="(01) Factura FB0100000025"/>
        <s v="(01) Factura FB0100000024"/>
        <s v="(01) Factura FB0100000023"/>
        <s v="(01) Factura FB0100000022"/>
        <s v="(01) Factura FB0100000021"/>
        <s v="(01) Factura F00100000014"/>
        <s v="(01) Factura F00100000013"/>
        <s v="(01) Factura F00100000011"/>
        <s v="(01) Factura F00100000015"/>
        <s v="(01) Factura F00100000012"/>
        <s v="(01) Factura F00100000010"/>
        <s v="(01) Factura F00100000009"/>
        <s v="(01) Factura F00100000008"/>
        <s v="(01) Factura F00100000007"/>
        <s v="(01) Factura F00100000006"/>
        <s v="(01) Factura F00100000004"/>
        <s v="(01) Factura F00100000003"/>
        <s v="(01) Factura F00100000002"/>
        <s v="(01) Factura FB0100000034"/>
        <s v="(01) Factura FB0100000031"/>
        <s v="(01) Factura FB0100000020"/>
        <s v="(01) Factura FB0100000019"/>
        <s v="(01) Factura FB0100000018"/>
        <s v="(01) Factura FB0100000017"/>
        <s v="(01) Factura FB0100000016"/>
        <s v="(01) Factura F00100000005"/>
        <s v="(01) Factura F00100000001"/>
        <s v="F FFI00000001"/>
        <s v="FFF1220"/>
        <s v="FFF1219"/>
        <s v="FB011420" u="1"/>
      </sharedItems>
    </cacheField>
    <cacheField name="Días (fecha_de_emision)" numFmtId="0" databaseField="0">
      <fieldGroup base="3">
        <rangePr groupBy="days" startDate="2025-02-10T00:00:00" endDate="2025-10-07T00:00:00"/>
        <groupItems count="368">
          <s v="&lt;10/02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7/10/2025"/>
        </groupItems>
      </fieldGroup>
    </cacheField>
    <cacheField name="Meses (fecha_de_emision)" numFmtId="0" databaseField="0">
      <fieldGroup base="3">
        <rangePr groupBy="months" startDate="2025-02-10T00:00:00" endDate="2025-10-07T00:00:00"/>
        <groupItems count="14">
          <s v="&lt;10/02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7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x v="0"/>
    <n v="2461"/>
    <s v="Test 2,461"/>
    <s v="Factura"/>
    <x v="0"/>
    <x v="0"/>
    <d v="2025-10-06T00:00:00"/>
    <d v="2025-10-06T00:00:00"/>
    <m/>
    <m/>
    <s v="SAMUEL CHUQUISTA"/>
    <s v="Ventas"/>
    <m/>
    <s v="COLABORATIVA S.A.C."/>
    <n v="177.29"/>
    <n v="31.91"/>
    <n v="209.2"/>
    <n v="209.2"/>
    <n v="209.2"/>
    <s v="PEN"/>
    <b v="0"/>
    <s v="Sin pagar"/>
    <s v="Enviado"/>
    <m/>
    <m/>
    <x v="0"/>
    <m/>
    <m/>
    <m/>
    <m/>
    <m/>
    <m/>
    <x v="0"/>
    <x v="0"/>
    <m/>
    <m/>
    <x v="0"/>
  </r>
  <r>
    <x v="1"/>
    <n v="2441"/>
    <m/>
    <s v="Factura"/>
    <x v="1"/>
    <x v="1"/>
    <d v="2025-10-04T00:00:00"/>
    <d v="2025-10-04T00:00:00"/>
    <m/>
    <m/>
    <s v="SAMUEL CHUQUISTA"/>
    <s v="Ventas"/>
    <m/>
    <s v="COLABORATIVA S.A.C."/>
    <n v="425.93"/>
    <n v="76.67"/>
    <n v="502.6"/>
    <n v="502.6"/>
    <n v="502.6"/>
    <s v="PEN"/>
    <b v="0"/>
    <s v="Sin pagar"/>
    <s v="Por enviar"/>
    <s v="Error"/>
    <s v="&lt;p&gt;Unexpected error occurred: 'latin-1' codec can't encode character '\u0307' in position 8553: Body ('̇') is not valid Latin-1. Use body.encode('utf-8') if you want to send it encoded in UTF-8.&lt;/p&gt;"/>
    <x v="0"/>
    <m/>
    <m/>
    <m/>
    <m/>
    <m/>
    <m/>
    <x v="0"/>
    <x v="0"/>
    <m/>
    <m/>
    <x v="1"/>
  </r>
  <r>
    <x v="2"/>
    <n v="2461"/>
    <s v="Test 2,461"/>
    <s v="Factura"/>
    <x v="0"/>
    <x v="2"/>
    <d v="2025-09-19T00:00:00"/>
    <d v="2025-09-19T00:00:00"/>
    <m/>
    <m/>
    <s v="SAMUEL CHUQUISTA"/>
    <s v="Ventas"/>
    <m/>
    <s v="COLABORATIVA S.A.C."/>
    <n v="1355.93"/>
    <n v="244.07"/>
    <n v="1600"/>
    <n v="1600"/>
    <n v="1600"/>
    <s v="PEN"/>
    <b v="0"/>
    <s v="Sin pagar"/>
    <s v="Enviado"/>
    <m/>
    <m/>
    <x v="0"/>
    <m/>
    <m/>
    <m/>
    <m/>
    <m/>
    <m/>
    <x v="0"/>
    <x v="0"/>
    <m/>
    <m/>
    <x v="2"/>
  </r>
  <r>
    <x v="3"/>
    <n v="2259"/>
    <m/>
    <s v="Factura"/>
    <x v="2"/>
    <x v="2"/>
    <d v="2025-09-19T00:00:00"/>
    <d v="2025-09-19T00:00:00"/>
    <m/>
    <m/>
    <s v="SAMUEL CHUQUISTA"/>
    <s v="Ventas"/>
    <m/>
    <s v="COLABORATIVA S.A.C."/>
    <n v="50.85"/>
    <n v="9.15"/>
    <n v="60"/>
    <n v="60"/>
    <n v="60"/>
    <s v="PEN"/>
    <b v="0"/>
    <s v="Sin pagar"/>
    <s v="Enviado"/>
    <m/>
    <m/>
    <x v="0"/>
    <m/>
    <m/>
    <m/>
    <m/>
    <m/>
    <m/>
    <x v="0"/>
    <x v="0"/>
    <m/>
    <m/>
    <x v="2"/>
  </r>
  <r>
    <x v="4"/>
    <n v="2"/>
    <s v="Corazón Serrano - Almuerzo de camaradería"/>
    <s v="Factura"/>
    <x v="3"/>
    <x v="2"/>
    <d v="2025-09-19T00:00:00"/>
    <d v="2025-09-19T00:00:00"/>
    <s v="S00117"/>
    <m/>
    <s v="SAMUEL CHUQUISTA"/>
    <s v="Ventas"/>
    <m/>
    <s v="COLABORATIVA S.A.C."/>
    <n v="4000"/>
    <n v="720"/>
    <n v="4720"/>
    <n v="4720"/>
    <n v="4720"/>
    <s v="PEN"/>
    <b v="0"/>
    <s v="Sin pagar"/>
    <s v="Enviado"/>
    <m/>
    <m/>
    <x v="0"/>
    <m/>
    <m/>
    <m/>
    <m/>
    <m/>
    <m/>
    <x v="0"/>
    <x v="0"/>
    <m/>
    <m/>
    <x v="2"/>
  </r>
  <r>
    <x v="5"/>
    <n v="2"/>
    <s v="Corazón Serrano - Almuerzo de camaradería"/>
    <s v="Factura"/>
    <x v="3"/>
    <x v="2"/>
    <d v="2025-09-19T00:00:00"/>
    <d v="2025-09-19T00:00:00"/>
    <s v="S00111"/>
    <m/>
    <s v="SAMUEL CHUQUISTA"/>
    <s v="Ventas"/>
    <m/>
    <s v="COLABORATIVA S.A.C."/>
    <n v="2000"/>
    <n v="360"/>
    <n v="2360"/>
    <n v="2360"/>
    <n v="2360"/>
    <s v="PEN"/>
    <b v="0"/>
    <s v="Sin pagar"/>
    <s v="Enviado"/>
    <m/>
    <m/>
    <x v="0"/>
    <m/>
    <m/>
    <m/>
    <m/>
    <m/>
    <m/>
    <x v="0"/>
    <x v="0"/>
    <m/>
    <m/>
    <x v="2"/>
  </r>
  <r>
    <x v="6"/>
    <n v="2"/>
    <s v="Corazón Serrano - Almuerzo de camaradería"/>
    <s v="Factura"/>
    <x v="3"/>
    <x v="2"/>
    <d v="2025-09-19T00:00:00"/>
    <d v="2025-09-19T00:00:00"/>
    <s v="S00105"/>
    <m/>
    <s v="SAMUEL CHUQUISTA"/>
    <s v="Ventas"/>
    <m/>
    <s v="COLABORATIVA S.A.C."/>
    <n v="2000"/>
    <n v="360"/>
    <n v="2360"/>
    <n v="2360"/>
    <n v="2360"/>
    <s v="PEN"/>
    <b v="0"/>
    <s v="Sin pagar"/>
    <s v="Enviado"/>
    <m/>
    <m/>
    <x v="0"/>
    <m/>
    <m/>
    <m/>
    <m/>
    <m/>
    <m/>
    <x v="0"/>
    <x v="0"/>
    <m/>
    <m/>
    <x v="2"/>
  </r>
  <r>
    <x v="7"/>
    <n v="2"/>
    <s v="Corazón Serrano - Almuerzo de camaradería"/>
    <s v="Factura"/>
    <x v="3"/>
    <x v="2"/>
    <d v="2025-09-19T00:00:00"/>
    <d v="2025-09-19T00:00:00"/>
    <s v="S00100"/>
    <m/>
    <s v="SAMUEL CHUQUISTA"/>
    <s v="Ventas"/>
    <m/>
    <s v="COLABORATIVA S.A.C."/>
    <m/>
    <m/>
    <m/>
    <m/>
    <m/>
    <s v="PEN"/>
    <b v="0"/>
    <s v="Pagado"/>
    <s v="Enviado"/>
    <m/>
    <m/>
    <x v="0"/>
    <m/>
    <m/>
    <m/>
    <m/>
    <m/>
    <m/>
    <x v="0"/>
    <x v="0"/>
    <m/>
    <m/>
    <x v="2"/>
  </r>
  <r>
    <x v="8"/>
    <n v="2337"/>
    <m/>
    <s v="Factura"/>
    <x v="4"/>
    <x v="3"/>
    <d v="2025-09-17T00:00:00"/>
    <d v="2025-09-17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x v="0"/>
    <m/>
    <m/>
    <x v="3"/>
  </r>
  <r>
    <x v="9"/>
    <n v="2544"/>
    <m/>
    <s v="Factura"/>
    <x v="5"/>
    <x v="3"/>
    <d v="2025-09-17T00:00:00"/>
    <d v="2025-09-17T00:00:00"/>
    <m/>
    <m/>
    <s v="SAMUEL CHUQUISTA"/>
    <s v="Ventas"/>
    <m/>
    <s v="COLABORATIVA S.A.C."/>
    <n v="47.46"/>
    <n v="8.5399999999999991"/>
    <n v="56"/>
    <n v="56"/>
    <n v="56"/>
    <s v="PEN"/>
    <b v="0"/>
    <s v="Sin pagar"/>
    <s v="Enviado"/>
    <m/>
    <m/>
    <x v="0"/>
    <m/>
    <m/>
    <m/>
    <m/>
    <m/>
    <m/>
    <x v="0"/>
    <x v="0"/>
    <m/>
    <m/>
    <x v="3"/>
  </r>
  <r>
    <x v="10"/>
    <n v="2544"/>
    <m/>
    <s v="Factura"/>
    <x v="5"/>
    <x v="3"/>
    <d v="2025-09-17T00:00:00"/>
    <d v="2025-09-17T00:00:00"/>
    <m/>
    <m/>
    <s v="SAMUEL CHUQUISTA"/>
    <s v="Ventas"/>
    <m/>
    <s v="COLABORATIVA S.A.C."/>
    <n v="67.8"/>
    <n v="12.2"/>
    <n v="80"/>
    <n v="80"/>
    <n v="80"/>
    <s v="PEN"/>
    <b v="0"/>
    <s v="Sin pagar"/>
    <s v="Enviado"/>
    <m/>
    <m/>
    <x v="0"/>
    <m/>
    <m/>
    <m/>
    <m/>
    <m/>
    <m/>
    <x v="0"/>
    <x v="0"/>
    <m/>
    <m/>
    <x v="3"/>
  </r>
  <r>
    <x v="11"/>
    <n v="2544"/>
    <m/>
    <s v="Factura"/>
    <x v="5"/>
    <x v="3"/>
    <d v="2025-09-17T00:00:00"/>
    <d v="2025-09-17T00:00:00"/>
    <m/>
    <m/>
    <s v="SAMUEL CHUQUISTA"/>
    <s v="Ventas"/>
    <m/>
    <s v="COLABORATIVA S.A.C."/>
    <n v="55.93"/>
    <n v="10.07"/>
    <n v="66"/>
    <n v="66"/>
    <n v="66"/>
    <s v="PEN"/>
    <b v="0"/>
    <s v="Sin pagar"/>
    <s v="Enviado"/>
    <m/>
    <m/>
    <x v="0"/>
    <m/>
    <m/>
    <m/>
    <m/>
    <m/>
    <m/>
    <x v="0"/>
    <x v="0"/>
    <m/>
    <m/>
    <x v="3"/>
  </r>
  <r>
    <x v="12"/>
    <n v="2544"/>
    <m/>
    <s v="Factura"/>
    <x v="5"/>
    <x v="3"/>
    <d v="2025-09-17T00:00:00"/>
    <d v="2025-09-17T00:00:00"/>
    <m/>
    <m/>
    <s v="SAMUEL CHUQUISTA"/>
    <s v="Ventas"/>
    <m/>
    <s v="COLABORATIVA S.A.C."/>
    <n v="76.27"/>
    <n v="13.73"/>
    <n v="90"/>
    <n v="90"/>
    <n v="90"/>
    <s v="PEN"/>
    <b v="0"/>
    <s v="Sin pagar"/>
    <s v="Enviado"/>
    <m/>
    <m/>
    <x v="0"/>
    <m/>
    <m/>
    <m/>
    <m/>
    <m/>
    <m/>
    <x v="0"/>
    <x v="0"/>
    <m/>
    <m/>
    <x v="3"/>
  </r>
  <r>
    <x v="13"/>
    <n v="2544"/>
    <m/>
    <s v="Factura"/>
    <x v="5"/>
    <x v="3"/>
    <d v="2025-09-17T00:00:00"/>
    <d v="2025-09-17T00:00:00"/>
    <m/>
    <m/>
    <s v="SAMUEL CHUQUISTA"/>
    <s v="Ventas"/>
    <m/>
    <s v="COLABORATIVA S.A.C."/>
    <n v="67.8"/>
    <n v="12.2"/>
    <n v="80"/>
    <n v="80"/>
    <n v="80"/>
    <s v="PEN"/>
    <b v="0"/>
    <s v="Sin pagar"/>
    <s v="Enviado"/>
    <m/>
    <m/>
    <x v="0"/>
    <m/>
    <m/>
    <m/>
    <m/>
    <m/>
    <m/>
    <x v="0"/>
    <x v="0"/>
    <m/>
    <m/>
    <x v="3"/>
  </r>
  <r>
    <x v="14"/>
    <n v="2544"/>
    <m/>
    <s v="Factura"/>
    <x v="5"/>
    <x v="3"/>
    <d v="2025-09-17T00:00:00"/>
    <d v="2025-09-17T00:00:00"/>
    <m/>
    <m/>
    <s v="SAMUEL CHUQUISTA"/>
    <s v="Ventas"/>
    <m/>
    <s v="COLABORATIVA S.A.C."/>
    <n v="50.85"/>
    <n v="9.15"/>
    <n v="60"/>
    <n v="60"/>
    <n v="60"/>
    <s v="PEN"/>
    <b v="0"/>
    <s v="Sin pagar"/>
    <s v="Enviado"/>
    <m/>
    <m/>
    <x v="0"/>
    <m/>
    <m/>
    <m/>
    <m/>
    <m/>
    <m/>
    <x v="0"/>
    <x v="0"/>
    <m/>
    <m/>
    <x v="3"/>
  </r>
  <r>
    <x v="15"/>
    <n v="2544"/>
    <m/>
    <s v="Factura"/>
    <x v="5"/>
    <x v="3"/>
    <d v="2025-09-17T00:00:00"/>
    <d v="2025-09-17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x v="0"/>
    <m/>
    <m/>
    <m/>
    <m/>
    <m/>
    <m/>
    <x v="0"/>
    <x v="0"/>
    <m/>
    <m/>
    <x v="3"/>
  </r>
  <r>
    <x v="16"/>
    <n v="2544"/>
    <m/>
    <s v="Factura"/>
    <x v="5"/>
    <x v="3"/>
    <d v="2025-09-17T00:00:00"/>
    <d v="2025-09-17T00:00:00"/>
    <m/>
    <m/>
    <s v="SAMUEL CHUQUISTA"/>
    <s v="Ventas"/>
    <m/>
    <s v="COLABORATIVA S.A.C."/>
    <n v="74.58"/>
    <n v="13.42"/>
    <n v="88"/>
    <n v="88"/>
    <n v="88"/>
    <s v="PEN"/>
    <b v="0"/>
    <s v="Sin pagar"/>
    <s v="Enviado"/>
    <m/>
    <m/>
    <x v="0"/>
    <m/>
    <m/>
    <m/>
    <m/>
    <m/>
    <m/>
    <x v="0"/>
    <x v="0"/>
    <m/>
    <m/>
    <x v="3"/>
  </r>
  <r>
    <x v="17"/>
    <n v="2544"/>
    <m/>
    <s v="Factura"/>
    <x v="5"/>
    <x v="3"/>
    <d v="2025-09-17T00:00:00"/>
    <d v="2025-09-17T00:00:00"/>
    <m/>
    <m/>
    <s v="SAMUEL CHUQUISTA"/>
    <s v="Ventas"/>
    <m/>
    <s v="COLABORATIVA S.A.C."/>
    <n v="169.49"/>
    <n v="30.51"/>
    <n v="200"/>
    <n v="200"/>
    <n v="200"/>
    <s v="PEN"/>
    <b v="0"/>
    <s v="Sin pagar"/>
    <s v="Enviado"/>
    <m/>
    <m/>
    <x v="0"/>
    <m/>
    <m/>
    <m/>
    <m/>
    <m/>
    <m/>
    <x v="0"/>
    <x v="0"/>
    <m/>
    <m/>
    <x v="3"/>
  </r>
  <r>
    <x v="18"/>
    <n v="2544"/>
    <m/>
    <s v="Factura"/>
    <x v="5"/>
    <x v="3"/>
    <d v="2025-09-17T00:00:00"/>
    <d v="2025-09-17T00:00:00"/>
    <m/>
    <m/>
    <s v="SAMUEL CHUQUISTA"/>
    <s v="Ventas"/>
    <m/>
    <s v="COLABORATIVA S.A.C."/>
    <n v="127.12"/>
    <n v="22.88"/>
    <n v="150"/>
    <n v="150"/>
    <n v="150"/>
    <s v="PEN"/>
    <b v="0"/>
    <s v="Sin pagar"/>
    <s v="Enviado"/>
    <m/>
    <m/>
    <x v="0"/>
    <m/>
    <m/>
    <m/>
    <m/>
    <m/>
    <m/>
    <x v="0"/>
    <x v="0"/>
    <m/>
    <m/>
    <x v="3"/>
  </r>
  <r>
    <x v="19"/>
    <n v="2259"/>
    <m/>
    <s v="Factura"/>
    <x v="2"/>
    <x v="3"/>
    <d v="2025-09-17T00:00:00"/>
    <d v="2025-09-17T00:00:00"/>
    <m/>
    <m/>
    <s v="SAMUEL CHUQUISTA"/>
    <s v="Ventas"/>
    <m/>
    <s v="COLABORATIVA S.A.C."/>
    <n v="101.69"/>
    <n v="18.3"/>
    <n v="119.99"/>
    <n v="119.99"/>
    <n v="119.99"/>
    <s v="PEN"/>
    <b v="0"/>
    <s v="Sin pagar"/>
    <s v="Enviado"/>
    <m/>
    <m/>
    <x v="0"/>
    <m/>
    <m/>
    <m/>
    <m/>
    <m/>
    <m/>
    <x v="0"/>
    <x v="0"/>
    <m/>
    <m/>
    <x v="3"/>
  </r>
  <r>
    <x v="20"/>
    <n v="2259"/>
    <m/>
    <s v="Factura"/>
    <x v="2"/>
    <x v="3"/>
    <d v="2025-09-17T00:00:00"/>
    <d v="2025-09-17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x v="0"/>
    <m/>
    <m/>
    <m/>
    <m/>
    <m/>
    <m/>
    <x v="0"/>
    <x v="0"/>
    <m/>
    <m/>
    <x v="3"/>
  </r>
  <r>
    <x v="21"/>
    <n v="2259"/>
    <m/>
    <s v="Factura"/>
    <x v="2"/>
    <x v="3"/>
    <d v="2025-09-17T00:00:00"/>
    <d v="2025-09-17T00:00:00"/>
    <m/>
    <m/>
    <s v="SAMUEL CHUQUISTA"/>
    <s v="Ventas"/>
    <m/>
    <s v="COLABORATIVA S.A.C."/>
    <n v="16.95"/>
    <n v="3.05"/>
    <n v="20"/>
    <n v="20"/>
    <n v="20"/>
    <s v="PEN"/>
    <b v="0"/>
    <s v="Sin pagar"/>
    <s v="Enviado"/>
    <m/>
    <m/>
    <x v="0"/>
    <m/>
    <m/>
    <m/>
    <m/>
    <m/>
    <m/>
    <x v="0"/>
    <x v="0"/>
    <m/>
    <m/>
    <x v="3"/>
  </r>
  <r>
    <x v="22"/>
    <n v="2259"/>
    <m/>
    <s v="Factura"/>
    <x v="2"/>
    <x v="3"/>
    <d v="2025-09-17T00:00:00"/>
    <d v="2025-09-17T00:00:00"/>
    <m/>
    <m/>
    <s v="SAMUEL CHUQUISTA"/>
    <s v="Ventas"/>
    <m/>
    <s v="COLABORATIVA S.A.C."/>
    <n v="84.75"/>
    <n v="15.26"/>
    <n v="100.01"/>
    <n v="100.01"/>
    <n v="100.01"/>
    <s v="PEN"/>
    <b v="0"/>
    <s v="Sin pagar"/>
    <s v="Enviado"/>
    <m/>
    <m/>
    <x v="0"/>
    <m/>
    <m/>
    <m/>
    <m/>
    <m/>
    <m/>
    <x v="0"/>
    <x v="0"/>
    <m/>
    <m/>
    <x v="3"/>
  </r>
  <r>
    <x v="23"/>
    <n v="2337"/>
    <m/>
    <s v="Factura"/>
    <x v="4"/>
    <x v="3"/>
    <d v="2025-09-17T00:00:00"/>
    <d v="2025-09-17T00:00:00"/>
    <m/>
    <m/>
    <s v="SAMUEL CHUQUISTA"/>
    <s v="Ventas"/>
    <m/>
    <s v="COLABORATIVA S.A.C."/>
    <n v="55.93"/>
    <n v="10.07"/>
    <n v="66"/>
    <n v="66"/>
    <n v="66"/>
    <s v="PEN"/>
    <b v="0"/>
    <s v="Sin pagar"/>
    <s v="Enviado"/>
    <m/>
    <m/>
    <x v="0"/>
    <m/>
    <m/>
    <m/>
    <m/>
    <m/>
    <m/>
    <x v="0"/>
    <x v="0"/>
    <m/>
    <m/>
    <x v="3"/>
  </r>
  <r>
    <x v="24"/>
    <n v="2337"/>
    <m/>
    <s v="Factura"/>
    <x v="4"/>
    <x v="3"/>
    <d v="2025-09-17T00:00:00"/>
    <d v="2025-09-17T00:00:00"/>
    <m/>
    <m/>
    <s v="SAMUEL CHUQUISTA"/>
    <s v="Ventas"/>
    <m/>
    <s v="COLABORATIVA S.A.C."/>
    <n v="74.58"/>
    <n v="13.42"/>
    <n v="88"/>
    <n v="88"/>
    <n v="88"/>
    <s v="PEN"/>
    <b v="0"/>
    <s v="Sin pagar"/>
    <s v="Enviado"/>
    <m/>
    <m/>
    <x v="0"/>
    <m/>
    <m/>
    <m/>
    <m/>
    <m/>
    <m/>
    <x v="0"/>
    <x v="0"/>
    <m/>
    <m/>
    <x v="3"/>
  </r>
  <r>
    <x v="25"/>
    <n v="2"/>
    <s v="Corazón Serrano - Almuerzo de camaradería"/>
    <s v="Factura"/>
    <x v="3"/>
    <x v="4"/>
    <d v="2025-09-16T00:00:00"/>
    <d v="2025-09-16T00:00:00"/>
    <s v="S00097"/>
    <m/>
    <s v="SAMUEL CHUQUISTA"/>
    <s v="Ventas"/>
    <m/>
    <s v="COLABORATIVA S.A.C."/>
    <m/>
    <m/>
    <m/>
    <m/>
    <m/>
    <s v="PEN"/>
    <b v="0"/>
    <s v="Pagado"/>
    <s v="Enviado"/>
    <m/>
    <m/>
    <x v="0"/>
    <m/>
    <m/>
    <m/>
    <m/>
    <m/>
    <m/>
    <x v="0"/>
    <x v="0"/>
    <m/>
    <m/>
    <x v="4"/>
  </r>
  <r>
    <x v="26"/>
    <n v="2337"/>
    <m/>
    <s v="Factura"/>
    <x v="4"/>
    <x v="5"/>
    <d v="2025-09-12T00:00:00"/>
    <d v="2025-09-12T00:00:00"/>
    <m/>
    <m/>
    <s v="SAMUEL CHUQUISTA"/>
    <s v="Ventas"/>
    <m/>
    <s v="COLABORATIVA S.A.C."/>
    <n v="33.9"/>
    <n v="6.1"/>
    <n v="40"/>
    <n v="40"/>
    <n v="40"/>
    <s v="PEN"/>
    <b v="0"/>
    <s v="Sin pagar"/>
    <s v="Enviado"/>
    <m/>
    <m/>
    <x v="0"/>
    <m/>
    <m/>
    <m/>
    <m/>
    <m/>
    <m/>
    <x v="0"/>
    <x v="0"/>
    <m/>
    <m/>
    <x v="5"/>
  </r>
  <r>
    <x v="27"/>
    <n v="2337"/>
    <m/>
    <s v="Factura"/>
    <x v="4"/>
    <x v="6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x v="0"/>
    <m/>
    <m/>
    <x v="6"/>
  </r>
  <r>
    <x v="28"/>
    <n v="2337"/>
    <m/>
    <s v="Factura"/>
    <x v="4"/>
    <x v="6"/>
    <d v="2025-09-08T00:00:00"/>
    <d v="2025-09-08T00:00:00"/>
    <m/>
    <m/>
    <s v="SAMUEL CHUQUISTA"/>
    <s v="Ventas"/>
    <m/>
    <s v="COLABORATIVA S.A.C."/>
    <n v="118.64"/>
    <n v="21.36"/>
    <n v="140"/>
    <n v="140"/>
    <n v="140"/>
    <s v="PEN"/>
    <b v="0"/>
    <s v="Sin pagar"/>
    <s v="Enviado"/>
    <m/>
    <m/>
    <x v="0"/>
    <m/>
    <m/>
    <m/>
    <m/>
    <m/>
    <m/>
    <x v="0"/>
    <x v="0"/>
    <m/>
    <m/>
    <x v="6"/>
  </r>
  <r>
    <x v="29"/>
    <n v="2337"/>
    <m/>
    <s v="Factura"/>
    <x v="4"/>
    <x v="6"/>
    <d v="2025-09-08T00:00:00"/>
    <d v="2025-09-08T00:00:00"/>
    <m/>
    <m/>
    <s v="SAMUEL CHUQUISTA"/>
    <s v="Ventas"/>
    <m/>
    <s v="COLABORATIVA S.A.C."/>
    <n v="110.17"/>
    <n v="19.829999999999998"/>
    <n v="130"/>
    <n v="130"/>
    <n v="130"/>
    <s v="PEN"/>
    <b v="0"/>
    <s v="Sin pagar"/>
    <s v="Enviado"/>
    <m/>
    <m/>
    <x v="0"/>
    <m/>
    <m/>
    <m/>
    <m/>
    <m/>
    <m/>
    <x v="0"/>
    <x v="0"/>
    <m/>
    <m/>
    <x v="6"/>
  </r>
  <r>
    <x v="30"/>
    <n v="2337"/>
    <m/>
    <s v="Factura"/>
    <x v="4"/>
    <x v="6"/>
    <d v="2025-09-08T00:00:00"/>
    <d v="2025-09-08T00:00:00"/>
    <m/>
    <m/>
    <s v="SAMUEL CHUQUISTA"/>
    <s v="Ventas"/>
    <m/>
    <s v="COLABORATIVA S.A.C."/>
    <n v="135.59"/>
    <n v="24.41"/>
    <n v="160"/>
    <n v="160"/>
    <n v="160"/>
    <s v="PEN"/>
    <b v="0"/>
    <s v="Sin pagar"/>
    <s v="Enviado"/>
    <m/>
    <m/>
    <x v="0"/>
    <m/>
    <m/>
    <m/>
    <m/>
    <m/>
    <m/>
    <x v="0"/>
    <x v="0"/>
    <m/>
    <m/>
    <x v="6"/>
  </r>
  <r>
    <x v="31"/>
    <n v="2337"/>
    <m/>
    <s v="Factura"/>
    <x v="4"/>
    <x v="6"/>
    <d v="2025-09-08T00:00:00"/>
    <d v="2025-09-08T00:00:00"/>
    <m/>
    <m/>
    <s v="SAMUEL CHUQUISTA"/>
    <s v="Ventas"/>
    <m/>
    <s v="COLABORATIVA S.A.C."/>
    <n v="93.22"/>
    <n v="16.78"/>
    <n v="110"/>
    <n v="110"/>
    <n v="110"/>
    <s v="PEN"/>
    <b v="0"/>
    <s v="Sin pagar"/>
    <s v="Enviado"/>
    <m/>
    <m/>
    <x v="0"/>
    <m/>
    <m/>
    <m/>
    <m/>
    <m/>
    <m/>
    <x v="0"/>
    <x v="0"/>
    <m/>
    <m/>
    <x v="6"/>
  </r>
  <r>
    <x v="32"/>
    <n v="2337"/>
    <m/>
    <s v="Factura"/>
    <x v="4"/>
    <x v="6"/>
    <d v="2025-09-08T00:00:00"/>
    <d v="2025-09-08T00:00:00"/>
    <m/>
    <m/>
    <s v="SAMUEL CHUQUISTA"/>
    <s v="Ventas"/>
    <m/>
    <s v="COLABORATIVA S.A.C."/>
    <n v="127.12"/>
    <n v="22.88"/>
    <n v="150"/>
    <n v="150"/>
    <n v="150"/>
    <s v="PEN"/>
    <b v="0"/>
    <s v="Sin pagar"/>
    <s v="Enviado"/>
    <m/>
    <m/>
    <x v="0"/>
    <m/>
    <m/>
    <m/>
    <m/>
    <m/>
    <m/>
    <x v="0"/>
    <x v="0"/>
    <m/>
    <m/>
    <x v="6"/>
  </r>
  <r>
    <x v="33"/>
    <n v="2337"/>
    <m/>
    <s v="Factura"/>
    <x v="4"/>
    <x v="6"/>
    <d v="2025-09-08T00:00:00"/>
    <d v="2025-09-08T00:00:00"/>
    <m/>
    <m/>
    <s v="SAMUEL CHUQUISTA"/>
    <s v="Ventas"/>
    <m/>
    <s v="COLABORATIVA S.A.C."/>
    <n v="110.17"/>
    <n v="19.829999999999998"/>
    <n v="130"/>
    <n v="130"/>
    <n v="130"/>
    <s v="PEN"/>
    <b v="0"/>
    <s v="Sin pagar"/>
    <s v="Enviado"/>
    <m/>
    <m/>
    <x v="0"/>
    <m/>
    <m/>
    <m/>
    <m/>
    <m/>
    <m/>
    <x v="0"/>
    <x v="0"/>
    <m/>
    <m/>
    <x v="6"/>
  </r>
  <r>
    <x v="34"/>
    <n v="2337"/>
    <m/>
    <s v="Factura"/>
    <x v="4"/>
    <x v="6"/>
    <d v="2025-09-08T00:00:00"/>
    <d v="2025-09-08T00:00:00"/>
    <m/>
    <m/>
    <s v="SAMUEL CHUQUISTA"/>
    <s v="Ventas"/>
    <m/>
    <s v="COLABORATIVA S.A.C."/>
    <n v="84.75"/>
    <n v="15.26"/>
    <n v="100.01"/>
    <n v="100.01"/>
    <n v="100.01"/>
    <s v="PEN"/>
    <b v="0"/>
    <s v="Sin pagar"/>
    <s v="Enviado"/>
    <m/>
    <m/>
    <x v="0"/>
    <m/>
    <m/>
    <m/>
    <m/>
    <m/>
    <m/>
    <x v="0"/>
    <x v="0"/>
    <m/>
    <m/>
    <x v="6"/>
  </r>
  <r>
    <x v="35"/>
    <n v="2337"/>
    <m/>
    <s v="Factura"/>
    <x v="4"/>
    <x v="6"/>
    <d v="2025-09-08T00:00:00"/>
    <d v="2025-09-08T00:00:00"/>
    <m/>
    <m/>
    <s v="SAMUEL CHUQUISTA"/>
    <s v="Ventas"/>
    <m/>
    <s v="COLABORATIVA S.A.C."/>
    <n v="104.24"/>
    <n v="18.760000000000002"/>
    <n v="123"/>
    <n v="123"/>
    <n v="123"/>
    <s v="PEN"/>
    <b v="0"/>
    <s v="Sin pagar"/>
    <s v="Por enviar"/>
    <m/>
    <m/>
    <x v="0"/>
    <m/>
    <m/>
    <m/>
    <m/>
    <m/>
    <m/>
    <x v="0"/>
    <x v="0"/>
    <m/>
    <m/>
    <x v="6"/>
  </r>
  <r>
    <x v="36"/>
    <n v="2337"/>
    <m/>
    <s v="Factura"/>
    <x v="4"/>
    <x v="6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x v="0"/>
    <m/>
    <m/>
    <x v="6"/>
  </r>
  <r>
    <x v="37"/>
    <n v="2337"/>
    <m/>
    <s v="Factura"/>
    <x v="4"/>
    <x v="6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x v="0"/>
    <m/>
    <m/>
    <x v="6"/>
  </r>
  <r>
    <x v="38"/>
    <n v="2337"/>
    <m/>
    <s v="Factura"/>
    <x v="4"/>
    <x v="6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x v="0"/>
    <m/>
    <m/>
    <x v="6"/>
  </r>
  <r>
    <x v="39"/>
    <n v="2337"/>
    <m/>
    <s v="Factura"/>
    <x v="4"/>
    <x v="6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x v="0"/>
    <m/>
    <m/>
    <x v="6"/>
  </r>
  <r>
    <x v="40"/>
    <n v="2337"/>
    <m/>
    <s v="Factura"/>
    <x v="4"/>
    <x v="6"/>
    <d v="2025-09-08T00:00:00"/>
    <d v="2025-09-08T00:00:00"/>
    <m/>
    <m/>
    <s v="SAMUEL CHUQUISTA"/>
    <s v="Ventas"/>
    <m/>
    <s v="COLABORATIVA S.A.C."/>
    <n v="65.25"/>
    <n v="11.75"/>
    <n v="77"/>
    <n v="77"/>
    <n v="77"/>
    <s v="PEN"/>
    <b v="0"/>
    <s v="Sin pagar"/>
    <s v="Enviado"/>
    <m/>
    <m/>
    <x v="0"/>
    <m/>
    <m/>
    <m/>
    <m/>
    <m/>
    <m/>
    <x v="0"/>
    <x v="0"/>
    <m/>
    <m/>
    <x v="6"/>
  </r>
  <r>
    <x v="41"/>
    <n v="1254"/>
    <m/>
    <s v="Factura"/>
    <x v="2"/>
    <x v="6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6"/>
  </r>
  <r>
    <x v="42"/>
    <n v="1254"/>
    <m/>
    <s v="Factura"/>
    <x v="2"/>
    <x v="6"/>
    <d v="2025-09-08T00:00:00"/>
    <d v="2025-09-08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6"/>
  </r>
  <r>
    <x v="43"/>
    <n v="2337"/>
    <m/>
    <s v="Factura"/>
    <x v="4"/>
    <x v="6"/>
    <d v="2025-09-08T00:00:00"/>
    <d v="2025-09-08T00:00:00"/>
    <m/>
    <m/>
    <s v="SAMUEL CHUQUISTA"/>
    <s v="Ventas"/>
    <m/>
    <s v="COLABORATIVA S.A.C."/>
    <n v="76.27"/>
    <n v="13.73"/>
    <n v="90"/>
    <n v="90"/>
    <n v="90"/>
    <s v="PEN"/>
    <b v="0"/>
    <s v="Sin pagar"/>
    <s v="Enviado"/>
    <m/>
    <m/>
    <x v="0"/>
    <m/>
    <m/>
    <m/>
    <m/>
    <m/>
    <m/>
    <x v="0"/>
    <x v="0"/>
    <m/>
    <m/>
    <x v="6"/>
  </r>
  <r>
    <x v="44"/>
    <n v="2337"/>
    <m/>
    <s v="Factura"/>
    <x v="4"/>
    <x v="6"/>
    <d v="2025-09-08T00:00:00"/>
    <d v="2025-09-08T00:00:00"/>
    <m/>
    <m/>
    <s v="SAMUEL CHUQUISTA"/>
    <s v="Ventas"/>
    <m/>
    <s v="COLABORATIVA S.A.C."/>
    <n v="78.81"/>
    <n v="14.19"/>
    <n v="93"/>
    <n v="93"/>
    <n v="93"/>
    <s v="PEN"/>
    <b v="0"/>
    <s v="Sin pagar"/>
    <s v="Enviado"/>
    <m/>
    <m/>
    <x v="0"/>
    <m/>
    <m/>
    <m/>
    <m/>
    <m/>
    <m/>
    <x v="0"/>
    <x v="0"/>
    <m/>
    <m/>
    <x v="6"/>
  </r>
  <r>
    <x v="45"/>
    <n v="1254"/>
    <m/>
    <s v="Factura"/>
    <x v="2"/>
    <x v="7"/>
    <d v="2025-09-03T00:00:00"/>
    <d v="2025-09-03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7"/>
  </r>
  <r>
    <x v="46"/>
    <n v="1254"/>
    <m/>
    <s v="Factura"/>
    <x v="2"/>
    <x v="8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8"/>
  </r>
  <r>
    <x v="47"/>
    <n v="1254"/>
    <m/>
    <s v="Factura"/>
    <x v="2"/>
    <x v="8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8"/>
  </r>
  <r>
    <x v="48"/>
    <n v="1254"/>
    <m/>
    <s v="Factura"/>
    <x v="2"/>
    <x v="8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8"/>
  </r>
  <r>
    <x v="49"/>
    <n v="1254"/>
    <m/>
    <s v="Factura"/>
    <x v="2"/>
    <x v="8"/>
    <d v="2025-09-02T00:00:00"/>
    <d v="2025-09-0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8"/>
  </r>
  <r>
    <x v="50"/>
    <n v="2337"/>
    <m/>
    <s v="Factura"/>
    <x v="4"/>
    <x v="8"/>
    <d v="2025-09-02T00:00:00"/>
    <d v="2025-09-02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x v="0"/>
    <m/>
    <m/>
    <m/>
    <m/>
    <m/>
    <m/>
    <x v="0"/>
    <x v="0"/>
    <m/>
    <m/>
    <x v="8"/>
  </r>
  <r>
    <x v="51"/>
    <n v="2337"/>
    <m/>
    <s v="Factura"/>
    <x v="4"/>
    <x v="9"/>
    <d v="2025-08-29T00:00:00"/>
    <d v="2025-08-29T00:00:00"/>
    <m/>
    <m/>
    <s v="SAMUEL CHUQUISTA"/>
    <s v="Ventas"/>
    <m/>
    <s v="COLABORATIVA S.A.C."/>
    <n v="54.15"/>
    <n v="9.75"/>
    <n v="63.9"/>
    <n v="63.9"/>
    <n v="63.9"/>
    <s v="PEN"/>
    <b v="0"/>
    <s v="Sin pagar"/>
    <s v="Enviado"/>
    <m/>
    <m/>
    <x v="0"/>
    <m/>
    <m/>
    <m/>
    <m/>
    <m/>
    <m/>
    <x v="0"/>
    <x v="0"/>
    <m/>
    <m/>
    <x v="9"/>
  </r>
  <r>
    <x v="52"/>
    <n v="0"/>
    <m/>
    <s v="Factura"/>
    <x v="4"/>
    <x v="10"/>
    <d v="2025-08-27T00:00:00"/>
    <d v="2025-08-27T00:00:00"/>
    <m/>
    <m/>
    <s v="SAMUEL CHUQUISTA"/>
    <s v="Ventas"/>
    <m/>
    <s v="COLABORATIVA S.A.C."/>
    <n v="900"/>
    <n v="162"/>
    <n v="1062"/>
    <n v="1062"/>
    <n v="1062"/>
    <s v="PEN"/>
    <b v="0"/>
    <s v="Sin pagar"/>
    <s v="Enviado"/>
    <m/>
    <m/>
    <x v="0"/>
    <m/>
    <m/>
    <m/>
    <m/>
    <m/>
    <m/>
    <x v="0"/>
    <x v="0"/>
    <m/>
    <m/>
    <x v="10"/>
  </r>
  <r>
    <x v="53"/>
    <n v="2337"/>
    <m/>
    <s v="Factura"/>
    <x v="4"/>
    <x v="10"/>
    <d v="2025-08-27T00:00:00"/>
    <d v="2025-08-27T00:00:00"/>
    <m/>
    <m/>
    <s v="SAMUEL CHUQUISTA"/>
    <s v="Ventas"/>
    <m/>
    <s v="COLABORATIVA S.A.C."/>
    <n v="53.9"/>
    <n v="9.6999999999999993"/>
    <n v="63.6"/>
    <n v="63.6"/>
    <n v="63.6"/>
    <s v="PEN"/>
    <b v="0"/>
    <s v="Sin pagar"/>
    <s v="Enviado"/>
    <m/>
    <m/>
    <x v="0"/>
    <m/>
    <m/>
    <m/>
    <m/>
    <m/>
    <m/>
    <x v="0"/>
    <x v="0"/>
    <m/>
    <m/>
    <x v="10"/>
  </r>
  <r>
    <x v="54"/>
    <n v="2337"/>
    <m/>
    <s v="Factura"/>
    <x v="4"/>
    <x v="10"/>
    <d v="2025-08-27T00:00:00"/>
    <d v="2025-08-27T00:00:00"/>
    <m/>
    <m/>
    <s v="SAMUEL CHUQUISTA"/>
    <s v="Ventas"/>
    <m/>
    <s v="COLABORATIVA S.A.C."/>
    <n v="53.81"/>
    <n v="9.69"/>
    <n v="63.5"/>
    <n v="63.5"/>
    <n v="63.5"/>
    <s v="PEN"/>
    <b v="0"/>
    <s v="Sin pagar"/>
    <s v="Enviado"/>
    <m/>
    <m/>
    <x v="0"/>
    <m/>
    <m/>
    <m/>
    <m/>
    <m/>
    <m/>
    <x v="0"/>
    <x v="0"/>
    <m/>
    <m/>
    <x v="10"/>
  </r>
  <r>
    <x v="55"/>
    <n v="2337"/>
    <m/>
    <s v="Factura"/>
    <x v="4"/>
    <x v="10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Enviado"/>
    <m/>
    <m/>
    <x v="0"/>
    <m/>
    <m/>
    <m/>
    <m/>
    <m/>
    <m/>
    <x v="0"/>
    <x v="0"/>
    <m/>
    <m/>
    <x v="10"/>
  </r>
  <r>
    <x v="56"/>
    <n v="2337"/>
    <m/>
    <s v="Factura"/>
    <x v="4"/>
    <x v="10"/>
    <d v="2025-08-27T00:00:00"/>
    <d v="2025-08-27T00:00:00"/>
    <m/>
    <m/>
    <s v="SAMUEL CHUQUISTA"/>
    <s v="Ventas"/>
    <m/>
    <s v="COLABORATIVA S.A.C."/>
    <n v="1016.95"/>
    <n v="183.05"/>
    <n v="1200"/>
    <n v="1200"/>
    <n v="1200"/>
    <s v="PEN"/>
    <b v="0"/>
    <s v="Sin pagar"/>
    <s v="Por enviar"/>
    <m/>
    <m/>
    <x v="0"/>
    <m/>
    <m/>
    <m/>
    <m/>
    <m/>
    <m/>
    <x v="0"/>
    <x v="0"/>
    <m/>
    <m/>
    <x v="10"/>
  </r>
  <r>
    <x v="57"/>
    <n v="2337"/>
    <m/>
    <s v="Factura"/>
    <x v="4"/>
    <x v="10"/>
    <d v="2025-08-27T00:00:00"/>
    <d v="2025-08-27T00:00:00"/>
    <m/>
    <m/>
    <s v="SAMUEL CHUQUISTA"/>
    <s v="Ventas"/>
    <m/>
    <s v="COLABORATIVA S.A.C."/>
    <n v="805.08"/>
    <n v="144.91"/>
    <n v="949.99"/>
    <n v="949.99"/>
    <n v="949.99"/>
    <s v="PEN"/>
    <b v="0"/>
    <s v="Sin pagar"/>
    <s v="Por enviar"/>
    <m/>
    <m/>
    <x v="0"/>
    <m/>
    <m/>
    <m/>
    <m/>
    <m/>
    <m/>
    <x v="0"/>
    <x v="0"/>
    <m/>
    <m/>
    <x v="10"/>
  </r>
  <r>
    <x v="58"/>
    <n v="2337"/>
    <m/>
    <s v="Factura"/>
    <x v="4"/>
    <x v="10"/>
    <d v="2025-08-27T00:00:00"/>
    <d v="2025-08-27T00:00:00"/>
    <m/>
    <m/>
    <s v="SAMUEL CHUQUISTA"/>
    <s v="Ventas"/>
    <m/>
    <s v="COLABORATIVA S.A.C."/>
    <n v="677.97"/>
    <n v="122.03"/>
    <n v="800"/>
    <n v="800"/>
    <n v="800"/>
    <s v="PEN"/>
    <b v="0"/>
    <s v="Sin pagar"/>
    <s v="Enviado"/>
    <m/>
    <m/>
    <x v="0"/>
    <m/>
    <m/>
    <m/>
    <m/>
    <m/>
    <m/>
    <x v="0"/>
    <x v="0"/>
    <m/>
    <m/>
    <x v="10"/>
  </r>
  <r>
    <x v="59"/>
    <n v="2337"/>
    <m/>
    <s v="Factura"/>
    <x v="4"/>
    <x v="10"/>
    <d v="2025-08-27T00:00:00"/>
    <d v="2025-08-27T00:00:00"/>
    <m/>
    <m/>
    <s v="SAMUEL CHUQUISTA"/>
    <s v="Ventas"/>
    <m/>
    <s v="COLABORATIVA S.A.C."/>
    <n v="51.99"/>
    <n v="9.36"/>
    <n v="61.35"/>
    <n v="61.35"/>
    <n v="61.35"/>
    <s v="PEN"/>
    <b v="0"/>
    <s v="Sin pagar"/>
    <s v="Enviado"/>
    <m/>
    <m/>
    <x v="0"/>
    <m/>
    <m/>
    <m/>
    <m/>
    <m/>
    <m/>
    <x v="0"/>
    <x v="0"/>
    <m/>
    <m/>
    <x v="10"/>
  </r>
  <r>
    <x v="60"/>
    <n v="2525"/>
    <m/>
    <s v="Factura"/>
    <x v="4"/>
    <x v="11"/>
    <d v="2025-08-25T00:00:00"/>
    <d v="2025-08-25T00:00:00"/>
    <m/>
    <m/>
    <s v="SAMUEL CHUQUISTA"/>
    <s v="Ventas"/>
    <m/>
    <s v="COLABORATIVA S.A.C."/>
    <n v="55.34"/>
    <n v="9.9600000000000009"/>
    <n v="65.3"/>
    <n v="65.3"/>
    <n v="65.3"/>
    <s v="PEN"/>
    <b v="0"/>
    <s v="Sin pagar"/>
    <s v="Enviado"/>
    <m/>
    <m/>
    <x v="0"/>
    <m/>
    <m/>
    <m/>
    <m/>
    <m/>
    <m/>
    <x v="0"/>
    <x v="0"/>
    <m/>
    <m/>
    <x v="11"/>
  </r>
  <r>
    <x v="61"/>
    <n v="0"/>
    <m/>
    <s v="Factura"/>
    <x v="4"/>
    <x v="11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611 error: Error en envio de documento '&lt;/p&gt;"/>
    <x v="0"/>
    <m/>
    <m/>
    <m/>
    <m/>
    <m/>
    <m/>
    <x v="0"/>
    <x v="0"/>
    <m/>
    <m/>
    <x v="11"/>
  </r>
  <r>
    <x v="62"/>
    <n v="0"/>
    <m/>
    <s v="Factura"/>
    <x v="4"/>
    <x v="11"/>
    <d v="2025-08-25T00:00:00"/>
    <d v="2025-08-25T00:00:00"/>
    <m/>
    <m/>
    <s v="SAMUEL CHUQUISTA"/>
    <s v="Ventas"/>
    <m/>
    <s v="COLABORATIVA S.A.C."/>
    <n v="51.86"/>
    <n v="9.33"/>
    <n v="61.19"/>
    <n v="61.19"/>
    <n v="61.19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206 error: Error en envio de documento '&lt;/p&gt;"/>
    <x v="0"/>
    <m/>
    <m/>
    <m/>
    <m/>
    <m/>
    <m/>
    <x v="0"/>
    <x v="0"/>
    <m/>
    <m/>
    <x v="11"/>
  </r>
  <r>
    <x v="63"/>
    <n v="0"/>
    <m/>
    <s v="Factura"/>
    <x v="2"/>
    <x v="12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42213 error: Error en envio de documento '&lt;/p&gt;"/>
    <x v="0"/>
    <m/>
    <m/>
    <m/>
    <m/>
    <m/>
    <m/>
    <x v="0"/>
    <x v="0"/>
    <m/>
    <m/>
    <x v="12"/>
  </r>
  <r>
    <x v="64"/>
    <n v="0"/>
    <m/>
    <s v="Factura"/>
    <x v="2"/>
    <x v="12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531484 error: Error en envio de documento '&lt;/p&gt;"/>
    <x v="0"/>
    <m/>
    <m/>
    <m/>
    <m/>
    <m/>
    <m/>
    <x v="0"/>
    <x v="0"/>
    <m/>
    <m/>
    <x v="12"/>
  </r>
  <r>
    <x v="65"/>
    <n v="0"/>
    <m/>
    <s v="Factura"/>
    <x v="2"/>
    <x v="12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562 error: Error en envio de documento '&lt;/p&gt;"/>
    <x v="0"/>
    <m/>
    <m/>
    <m/>
    <m/>
    <m/>
    <m/>
    <x v="0"/>
    <x v="0"/>
    <m/>
    <m/>
    <x v="12"/>
  </r>
  <r>
    <x v="66"/>
    <n v="0"/>
    <m/>
    <s v="Factura"/>
    <x v="2"/>
    <x v="12"/>
    <d v="2025-08-22T00:00:00"/>
    <d v="2025-08-22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1126 error: Error en envio de documento '&lt;/p&gt;"/>
    <x v="0"/>
    <m/>
    <m/>
    <m/>
    <m/>
    <m/>
    <m/>
    <x v="0"/>
    <x v="0"/>
    <m/>
    <m/>
    <x v="12"/>
  </r>
  <r>
    <x v="67"/>
    <n v="0"/>
    <m/>
    <s v="Factura"/>
    <x v="2"/>
    <x v="12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80996 error: Error en envio de documento '&lt;/p&gt;"/>
    <x v="0"/>
    <m/>
    <m/>
    <m/>
    <m/>
    <m/>
    <m/>
    <x v="0"/>
    <x v="0"/>
    <m/>
    <m/>
    <x v="12"/>
  </r>
  <r>
    <x v="68"/>
    <n v="0"/>
    <m/>
    <s v="Factura"/>
    <x v="2"/>
    <x v="12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78 error: Error en envio de documento '&lt;/p&gt;"/>
    <x v="0"/>
    <m/>
    <m/>
    <m/>
    <m/>
    <m/>
    <m/>
    <x v="0"/>
    <x v="0"/>
    <m/>
    <m/>
    <x v="12"/>
  </r>
  <r>
    <x v="69"/>
    <n v="0"/>
    <m/>
    <s v="Factura"/>
    <x v="2"/>
    <x v="12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822 error: Error en envio de documento '&lt;/p&gt;"/>
    <x v="0"/>
    <m/>
    <m/>
    <m/>
    <m/>
    <m/>
    <m/>
    <x v="0"/>
    <x v="0"/>
    <m/>
    <m/>
    <x v="12"/>
  </r>
  <r>
    <x v="70"/>
    <n v="0"/>
    <m/>
    <s v="Factura"/>
    <x v="6"/>
    <x v="12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571 error: Error en envio de documento '&lt;/p&gt;"/>
    <x v="0"/>
    <m/>
    <m/>
    <m/>
    <m/>
    <m/>
    <m/>
    <x v="0"/>
    <x v="0"/>
    <m/>
    <m/>
    <x v="12"/>
  </r>
  <r>
    <x v="71"/>
    <n v="0"/>
    <m/>
    <s v="Factura"/>
    <x v="6"/>
    <x v="12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7864 error: Error en envio de documento '&lt;/p&gt;"/>
    <x v="0"/>
    <m/>
    <m/>
    <m/>
    <m/>
    <m/>
    <m/>
    <x v="0"/>
    <x v="0"/>
    <m/>
    <m/>
    <x v="12"/>
  </r>
  <r>
    <x v="72"/>
    <n v="0"/>
    <m/>
    <s v="Factura"/>
    <x v="6"/>
    <x v="12"/>
    <d v="2025-08-22T00:00:00"/>
    <d v="2025-08-22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6776 error: Error en envio de documento '&lt;/p&gt;"/>
    <x v="0"/>
    <m/>
    <m/>
    <m/>
    <m/>
    <m/>
    <m/>
    <x v="0"/>
    <x v="0"/>
    <m/>
    <m/>
    <x v="12"/>
  </r>
  <r>
    <x v="73"/>
    <n v="1254"/>
    <m/>
    <s v="Factura"/>
    <x v="2"/>
    <x v="13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13"/>
  </r>
  <r>
    <x v="74"/>
    <n v="1254"/>
    <m/>
    <s v="Factura"/>
    <x v="2"/>
    <x v="13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13"/>
  </r>
  <r>
    <x v="75"/>
    <n v="1234"/>
    <m/>
    <s v="Factura"/>
    <x v="2"/>
    <x v="13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13"/>
  </r>
  <r>
    <x v="76"/>
    <n v="1234"/>
    <m/>
    <s v="Factura"/>
    <x v="2"/>
    <x v="13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13"/>
  </r>
  <r>
    <x v="77"/>
    <n v="1234"/>
    <m/>
    <s v="Factura"/>
    <x v="2"/>
    <x v="13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13"/>
  </r>
  <r>
    <x v="78"/>
    <n v="1233"/>
    <m/>
    <s v="Factura"/>
    <x v="2"/>
    <x v="13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13"/>
  </r>
  <r>
    <x v="79"/>
    <n v="0"/>
    <m/>
    <s v="Factura"/>
    <x v="2"/>
    <x v="13"/>
    <d v="2025-03-27T00:00:00"/>
    <d v="2025-03-27T00:00:00"/>
    <m/>
    <m/>
    <s v="SAMUEL CHUQUISTA"/>
    <s v="Ventas"/>
    <m/>
    <s v="COLABORATIVA S.A.C."/>
    <n v="322"/>
    <n v="57.96"/>
    <n v="379.96"/>
    <n v="379.96"/>
    <n v="379.96"/>
    <s v="PEN"/>
    <b v="0"/>
    <s v="Sin pagar"/>
    <s v="Enviado"/>
    <m/>
    <m/>
    <x v="0"/>
    <m/>
    <m/>
    <m/>
    <m/>
    <m/>
    <m/>
    <x v="0"/>
    <x v="0"/>
    <m/>
    <m/>
    <x v="13"/>
  </r>
  <r>
    <x v="80"/>
    <n v="0"/>
    <m/>
    <s v="Factura"/>
    <x v="2"/>
    <x v="13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78770 error: Error en envio de documento '&lt;/p&gt;"/>
    <x v="0"/>
    <m/>
    <m/>
    <m/>
    <m/>
    <m/>
    <m/>
    <x v="0"/>
    <x v="0"/>
    <m/>
    <m/>
    <x v="13"/>
  </r>
  <r>
    <x v="81"/>
    <n v="0"/>
    <m/>
    <s v="Factura"/>
    <x v="2"/>
    <x v="13"/>
    <d v="2025-03-27T00:00:00"/>
    <d v="2025-03-27T00:00:00"/>
    <m/>
    <m/>
    <s v="SAMUEL CHUQUISTA"/>
    <s v="Ventas"/>
    <m/>
    <s v="COLABORATIVA S.A.C."/>
    <m/>
    <m/>
    <m/>
    <m/>
    <m/>
    <s v="PEN"/>
    <b v="0"/>
    <s v="Pagado"/>
    <s v="Por enviar"/>
    <s v="Error"/>
    <s v="&lt;p&gt;Your RUC is not linked to Estela (formerly Digiflow) as OSE, please make sure you have followed this process in the SUNAT portal:_x000a_1. Linked Estela (formerly Digiflow) as OSE._x000a_2. Authorize Estela (formerly Digiflow) as PSE._x000a_Reference: _x000a_https://www.odoo.com/documentation/17.0/applications/finance/accounting/fiscal_localizations/localizations/peru.html#what-do-you-need-to-do&lt;br&gt;&lt;br&gt;&lt;b&gt;Original message:&lt;/b&gt;&lt;br&gt;154|El RUC del archivo no corresponde al RUC del usuario o el proveedor no esta autorizado a enviar comprobantes del contribuyente _x000a_Detalle:  _x000a_' ticket: 20250000000000219307111 error: Error en envio de documento '&lt;/p&gt;"/>
    <x v="0"/>
    <m/>
    <m/>
    <m/>
    <m/>
    <m/>
    <m/>
    <x v="0"/>
    <x v="0"/>
    <m/>
    <m/>
    <x v="13"/>
  </r>
  <r>
    <x v="82"/>
    <n v="0"/>
    <m/>
    <s v="Factura"/>
    <x v="3"/>
    <x v="14"/>
    <d v="2025-03-23T00:00:00"/>
    <d v="2025-03-23T00:00:00"/>
    <s v="S00060"/>
    <m/>
    <s v="SAMUEL CHUQUISTA"/>
    <s v="Ventas"/>
    <m/>
    <s v="COLABORATIVA S.A.C."/>
    <n v="310.17"/>
    <n v="55.83"/>
    <n v="366"/>
    <n v="366"/>
    <n v="366"/>
    <s v="PEN"/>
    <b v="0"/>
    <s v="Sin pagar"/>
    <s v="Por enviar"/>
    <m/>
    <m/>
    <x v="0"/>
    <m/>
    <m/>
    <m/>
    <m/>
    <m/>
    <m/>
    <x v="0"/>
    <x v="0"/>
    <m/>
    <m/>
    <x v="14"/>
  </r>
  <r>
    <x v="82"/>
    <n v="0"/>
    <m/>
    <s v="Factura"/>
    <x v="5"/>
    <x v="15"/>
    <d v="2025-02-10T00:00:00"/>
    <d v="2025-02-10T00:00:00"/>
    <m/>
    <m/>
    <s v="SAMUEL CHUQUISTA"/>
    <s v="Ventas"/>
    <m/>
    <s v="COLABORATIVA S.A.C."/>
    <n v="1241"/>
    <n v="223.38"/>
    <n v="1464.38"/>
    <n v="1464.38"/>
    <n v="1464.38"/>
    <s v="PEN"/>
    <b v="0"/>
    <s v="Sin pagar"/>
    <s v="Por enviar"/>
    <m/>
    <m/>
    <x v="0"/>
    <m/>
    <m/>
    <m/>
    <m/>
    <m/>
    <m/>
    <x v="0"/>
    <x v="0"/>
    <m/>
    <m/>
    <x v="15"/>
  </r>
  <r>
    <x v="82"/>
    <n v="0"/>
    <m/>
    <s v="Factura"/>
    <x v="7"/>
    <x v="15"/>
    <d v="2025-02-10T00:00:00"/>
    <d v="2025-02-10T00:00:00"/>
    <m/>
    <m/>
    <s v="SAMUEL CHUQUISTA"/>
    <s v="Ventas"/>
    <m/>
    <s v="COLABORATIVA S.A.C."/>
    <n v="400"/>
    <n v="72"/>
    <n v="472"/>
    <n v="472"/>
    <n v="472"/>
    <s v="PEN"/>
    <b v="0"/>
    <s v="Sin pagar"/>
    <s v="Por enviar"/>
    <s v="Error"/>
    <s v="&lt;p&gt;Su RUC no está vinculado a Digiflow como OSE, por favor asegúrese de haber seguido este proceso en el portal de la SUNAT:_x000a_1. Vincular Digiflow como OSE._x000a_2. Autorizar Digiflow como PSE._x000a_Referencia: _x000a_https://www.odoo.com/documentation/17.0/applications/finance/accounting/fiscal_localizations/localizations/peru.html#what-do-you-need-to-do&lt;br&gt;&lt;br&gt;&lt;b&gt;Mensaje original:&lt;/b&gt;&lt;br&gt;154|El RUC del archivo no corresponde al RUC del usuario o el proveedor no esta autorizado a enviar comprobantes del contribuyente _x000a_Detalle:  _x000a_' ticket: 20250000000000208663785 error: Error en envio de documeto '&lt;/p&gt;"/>
    <x v="0"/>
    <m/>
    <m/>
    <m/>
    <m/>
    <m/>
    <m/>
    <x v="0"/>
    <x v="0"/>
    <m/>
    <m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(01) Factura FB01"/>
    <s v="00000077"/>
    <s v="COLABORATIVA S.A.C."/>
    <x v="0"/>
    <d v="2025-10-09T09:43:31"/>
    <x v="0"/>
    <m/>
    <n v="6"/>
    <n v="20553193169"/>
    <s v="[{'id_producto': '1', 'codigo_producto': '', 'nom_producto': 'COMISIÃ“N PAGOS DIGITALES SEGÃšN CONTRATO', 'categoria_producto': '', 'cantidad': '1.0', 'valor_unitario': 177.29, 'precio_unitario': 209.2, 'descuento': None, 'subtotal': 177.29, 'porcentaje_de_igv': '18.00', 'igv': 31.91, 'total': 209.2, 'moneda': '1', 'tipo_de_cambio': '', 'id_estado': 'not_paid', 'nombre_estado': 'Sin pagar', 'evento': {'id_evento': '2461', 'nom_evento': 'Test 2,461', 'Fecha_hora_ini_event': '2025-10-31', 'Fecha_hora_fin_event': '2025-10-31', 'id_organizador': '', 'nom_organizador': 'CORPORACION LA CHOZA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10-06T00:00:00"/>
    <m/>
    <m/>
    <m/>
    <m/>
    <m/>
    <n v="1"/>
    <m/>
    <x v="0"/>
    <m/>
    <n v="1"/>
    <n v="177.29"/>
    <n v="209.2"/>
    <m/>
    <n v="177.29"/>
    <n v="18"/>
    <n v="31.91"/>
    <n v="209.2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n v="2461"/>
    <s v="Test 2,461"/>
    <d v="2025-10-31T00:00:00"/>
    <d v="2025-10-31T00:00:00"/>
    <m/>
    <s v="CORPORACION LA CHOZA S.A.C."/>
    <m/>
    <x v="0"/>
  </r>
  <r>
    <s v="(01) Factura FB01"/>
    <s v="00000076"/>
    <s v="COLABORATIVA S.A.C."/>
    <x v="1"/>
    <d v="2025-10-09T18:21:31"/>
    <x v="1"/>
    <s v="Cliente"/>
    <n v="6"/>
    <n v="20600299060"/>
    <s v="[{'id_producto': '1', 'codigo_producto': '', 'nom_producto': 'COMISIÃ“N PAGOS DIGITALES SEGÃšN CONTRATO', 'categoria_producto': '', 'cantidad': '1.0', 'valor_unitario': 425.93, 'precio_unitario': 502.6, 'descuento': None, 'subtotal': 425.93, 'porcentaje_de_igv': '18.00', 'igv': 76.67, 'total': 502.6, 'moneda': '1', 'tipo_de_cambio': '', 'id_estado': 'not_paid', 'nombre_estado': 'Sin pagar', 'evento': {'id_evento': '', 'nom_evento': '', 'Fecha_hora_ini_event': '', 'Fecha_hora_fin_event': '', 'id_organizador': '', 'nom_organizador': 'PRODUCCIONES Y PROMOTORA DE EVENTOS AAA S.A.C.', 'tipo_organizador': ''}, 'id_vendedor': 2, 'nom_vendedor': 'SAMUEL CHUQUISTA', 'id_cuenta_analitica': 1106, 'nom_cuenta_analitica': '7012100 MercaderÃ­as-Venta Local-Terceros', 'distribucion_analitica': []}]"/>
    <d v="2025-10-04T00:00:00"/>
    <m/>
    <m/>
    <m/>
    <m/>
    <m/>
    <n v="1"/>
    <m/>
    <x v="0"/>
    <m/>
    <n v="1"/>
    <n v="425.93"/>
    <n v="502.6"/>
    <m/>
    <n v="425.93"/>
    <n v="18"/>
    <n v="76.67"/>
    <n v="502.6"/>
    <n v="1"/>
    <m/>
    <s v="not_paid"/>
    <x v="0"/>
    <n v="2"/>
    <s v="SAMUEL CHUQUISTA"/>
    <n v="1106"/>
    <s v="7012100 MercaderÃ­as-Venta Local-Terceros"/>
    <s v="[]"/>
    <m/>
    <m/>
    <m/>
    <m/>
    <m/>
    <s v="PRODUCCIONES Y PROMOTORA DE EVENTOS AAA S.A.C."/>
    <m/>
    <x v="1"/>
  </r>
  <r>
    <s v="(01) Factura FB01"/>
    <s v="00000075"/>
    <s v="COLABORATIVA S.A.C."/>
    <x v="2"/>
    <d v="2025-10-09T11:20:26"/>
    <x v="0"/>
    <m/>
    <n v="6"/>
    <n v="20553193169"/>
    <s v="[{'id_producto': '1', 'codigo_producto': '', 'nom_producto': 'COMISIÃ“N PAGOS DIGITALES SEGUN CONTRATO -', 'categoria_producto': '', 'cantidad': '1.0', 'valor_unitario': 1355.93, 'precio_unitario': 1600.0, 'descuento': None, 'subtotal': 1355.93, 'porcentaje_de_igv': '18.00', 'igv': 244.07, 'total': 1600.0, 'moneda': '1', 'tipo_de_cambio': '', 'id_estado': 'not_paid', 'nombre_estado': 'Sin pagar', 'evento': {'id_evento': '2461', 'nom_evento': 'Test 2,461', 'Fecha_hora_ini_event': '2025-10-31', 'Fecha_hora_fin_event': '2025-10-31', 'id_organizador': '', 'nom_organizador': 'CORPORACION LA CHOZA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19T00:00:00"/>
    <m/>
    <m/>
    <m/>
    <m/>
    <m/>
    <n v="1"/>
    <m/>
    <x v="1"/>
    <m/>
    <n v="1"/>
    <n v="1355.93"/>
    <n v="1600"/>
    <m/>
    <n v="1355.93"/>
    <n v="18"/>
    <n v="244.07"/>
    <n v="1600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n v="2461"/>
    <s v="Test 2,461"/>
    <d v="2025-10-31T00:00:00"/>
    <d v="2025-10-31T00:00:00"/>
    <m/>
    <s v="CORPORACION LA CHOZA S.A.C."/>
    <m/>
    <x v="2"/>
  </r>
  <r>
    <s v="(01) Factura FB01"/>
    <s v="00000074"/>
    <s v="COLABORATIVA S.A.C."/>
    <x v="2"/>
    <d v="2025-10-09T11:02:12"/>
    <x v="2"/>
    <s v="Cliente"/>
    <n v="6"/>
    <n v="20608361074"/>
    <s v="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19T00:00:00"/>
    <m/>
    <m/>
    <m/>
    <m/>
    <m/>
    <n v="1"/>
    <m/>
    <x v="1"/>
    <m/>
    <n v="1"/>
    <n v="50.85"/>
    <n v="60"/>
    <m/>
    <n v="50.85"/>
    <n v="17.989999999999998"/>
    <n v="9.15"/>
    <n v="60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JP Producciones Generales EIRL"/>
    <m/>
    <x v="3"/>
  </r>
  <r>
    <s v="(01) Factura F001"/>
    <s v="00000104"/>
    <s v="COLABORATIVA S.A.C."/>
    <x v="2"/>
    <d v="2025-10-09T10:46:13"/>
    <x v="3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2, 'nom_distribucion': 'Validadores', 'sub_categoria': 'IME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2, 'nom_distribucion': 'Validadores', 'sub_categoria': 'IME', 'porcentaje': '100.00'}]]}]"/>
    <d v="2025-09-19T00:00:00"/>
    <m/>
    <m/>
    <m/>
    <m/>
    <m/>
    <n v="1"/>
    <n v="232"/>
    <x v="2"/>
    <s v="service"/>
    <n v="2"/>
    <n v="1000"/>
    <n v="1180"/>
    <m/>
    <n v="2000"/>
    <n v="18"/>
    <n v="360"/>
    <n v="2360"/>
    <n v="1"/>
    <m/>
    <s v="not_paid"/>
    <x v="0"/>
    <n v="2"/>
    <s v="SAMUEL CHUQUISTA"/>
    <n v="1106"/>
    <s v="7012100 MercaderÃ­as-Venta Local-Terceros"/>
    <s v="[[{'cÃ³digo': 101, 'nom_distribucion': 'Validadores', 'sub_categoria': 'DELIVERY', 'porcentaje': '100.00'}, {'cÃ³digo': 102, 'nom_distribucion': 'Validadores', 'sub_categoria': 'IME', 'porcentaje': '100.00'}]]"/>
    <n v="2"/>
    <s v="CorazÃ³n Serrano - Almuerzo de camaraderÃ­a"/>
    <d v="2021-08-01T00:00:00"/>
    <d v="2021-08-01T00:00:00"/>
    <m/>
    <s v="A &amp; Q AYLLU S.A.C."/>
    <m/>
    <x v="4"/>
  </r>
  <r>
    <s v="(01) Factura F001"/>
    <s v="00000104"/>
    <s v="COLABORATIVA S.A.C."/>
    <x v="2"/>
    <d v="2025-10-09T10:46:13"/>
    <x v="3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2, 'nom_distribucion': 'Validadores', 'sub_categoria': 'IME', 'porcentaje': '100.00'}]]}, {'id_producto': '2', 'codigo_producto': '228', 'nom_producto': 'COMBO ANCLADOS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2, 'nom_distribucion': 'Validadores', 'sub_categoria': 'IME', 'porcentaje': '100.00'}]]}]"/>
    <d v="2025-09-19T00:00:00"/>
    <m/>
    <m/>
    <m/>
    <m/>
    <m/>
    <n v="2"/>
    <n v="228"/>
    <x v="3"/>
    <s v="service"/>
    <n v="2"/>
    <n v="1000"/>
    <n v="1180"/>
    <m/>
    <n v="2000"/>
    <n v="18"/>
    <n v="360"/>
    <n v="2360"/>
    <n v="1"/>
    <m/>
    <s v="not_paid"/>
    <x v="0"/>
    <n v="2"/>
    <s v="SAMUEL CHUQUISTA"/>
    <n v="1106"/>
    <s v="7012100 MercaderÃ­as-Venta Local-Terceros"/>
    <s v="[[{'cÃ³digo': 101, 'nom_distribucion': 'Validadores', 'sub_categoria': 'DELIVERY', 'porcentaje': '100.00'}, {'cÃ³digo': 102, 'nom_distribucion': 'Validadores', 'sub_categoria': 'IME', 'porcentaje': '100.00'}]]"/>
    <n v="2"/>
    <s v="CorazÃ³n Serrano - Almuerzo de camaraderÃ­a"/>
    <d v="2021-08-01T00:00:00"/>
    <d v="2021-08-01T00:00:00"/>
    <m/>
    <s v="A &amp; Q AYLLU S.A.C."/>
    <m/>
    <x v="4"/>
  </r>
  <r>
    <s v="(01) Factura F001"/>
    <s v="00000103"/>
    <s v="COLABORATIVA S.A.C."/>
    <x v="2"/>
    <d v="2025-10-09T10:41:24"/>
    <x v="3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2, 'nom_distribucion': 'Validadores', 'sub_categoria': 'IME', 'porcentaje': '100.00'}]]}]"/>
    <d v="2025-09-19T00:00:00"/>
    <m/>
    <m/>
    <m/>
    <m/>
    <m/>
    <n v="1"/>
    <n v="232"/>
    <x v="2"/>
    <s v="service"/>
    <n v="2"/>
    <n v="1000"/>
    <n v="1180"/>
    <m/>
    <n v="2000"/>
    <n v="18"/>
    <n v="360"/>
    <n v="2360"/>
    <n v="1"/>
    <m/>
    <s v="not_paid"/>
    <x v="0"/>
    <n v="2"/>
    <s v="SAMUEL CHUQUISTA"/>
    <n v="1106"/>
    <s v="7012100 MercaderÃ­as-Venta Local-Terceros"/>
    <s v="[[{'cÃ³digo': 101, 'nom_distribucion': 'Validadores', 'sub_categoria': 'DELIVERY', 'porcentaje': '100.00'}, {'cÃ³digo': 102, 'nom_distribucion': 'Validadores', 'sub_categoria': 'IME', 'porcentaje': '100.00'}]]"/>
    <n v="2"/>
    <s v="CorazÃ³n Serrano - Almuerzo de camaraderÃ­a"/>
    <d v="2021-08-01T00:00:00"/>
    <d v="2021-08-01T00:00:00"/>
    <m/>
    <s v="A &amp; Q AYLLU S.A.C."/>
    <m/>
    <x v="5"/>
  </r>
  <r>
    <s v="(01) Factura F001"/>
    <s v="00000102"/>
    <s v="COLABORATIVA S.A.C."/>
    <x v="2"/>
    <d v="2025-10-09T10:35:57"/>
    <x v="3"/>
    <m/>
    <n v="6"/>
    <n v="20609168961"/>
    <s v="[{'id_producto': '1', 'codigo_producto': '232', 'nom_producto': 'DESARROLLO DE CONTENIDO', 'categoria_producto': 'service', 'cantidad': '2.0', 'valor_unitario': 1000.0, 'precio_unitario': 1180.0, 'descuento': None, 'subtotal': 2000.0, 'porcentaje_de_igv': '18.00', 'igv': 360.0, 'total': 2360.0, 'moneda': '1', 'tipo_de_cambio': '', 'id_estado': 'not_paid', 'nombre_estado': 'Sin pagar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2, 'nom_distribucion': 'Validadores', 'sub_categoria': 'IME', 'porcentaje': '100.00'}]]}]"/>
    <d v="2025-09-19T00:00:00"/>
    <m/>
    <m/>
    <m/>
    <m/>
    <m/>
    <n v="1"/>
    <n v="232"/>
    <x v="2"/>
    <s v="service"/>
    <n v="2"/>
    <n v="1000"/>
    <n v="1180"/>
    <m/>
    <n v="2000"/>
    <n v="18"/>
    <n v="360"/>
    <n v="2360"/>
    <n v="1"/>
    <m/>
    <s v="not_paid"/>
    <x v="0"/>
    <n v="2"/>
    <s v="SAMUEL CHUQUISTA"/>
    <n v="1106"/>
    <s v="7012100 MercaderÃ­as-Venta Local-Terceros"/>
    <s v="[[{'cÃ³digo': 101, 'nom_distribucion': 'Validadores', 'sub_categoria': 'DELIVERY', 'porcentaje': '100.00'}, {'cÃ³digo': 102, 'nom_distribucion': 'Validadores', 'sub_categoria': 'IME', 'porcentaje': '100.00'}]]"/>
    <n v="2"/>
    <s v="CorazÃ³n Serrano - Almuerzo de camaraderÃ­a"/>
    <d v="2021-08-01T00:00:00"/>
    <d v="2021-08-01T00:00:00"/>
    <m/>
    <s v="A &amp; Q AYLLU S.A.C."/>
    <m/>
    <x v="6"/>
  </r>
  <r>
    <s v="(01) Factura F001"/>
    <s v="00000101"/>
    <s v="COLABORATIVA S.A.C."/>
    <x v="2"/>
    <d v="2025-10-09T10:05:28"/>
    <x v="3"/>
    <m/>
    <n v="6"/>
    <n v="20609168961"/>
    <s v="[{'id_producto': '1', 'codigo_producto': '232', 'nom_producto': 'DESARROLLO DE CONTENIDO', 'categoria_producto': 'service', 'cantidad': '2.0', 'valor_unitario': 0.0, 'precio_unitario': 0.0, 'descuento': None, 'subtotal': 0.0, 'porcentaje_de_igv': '0.00', 'igv': 0.0, 'total': 0.0, 'moneda': '1', 'tipo_de_cambio': '', 'id_estado': 'paid', 'nombre_estado': 'Pag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2, 'nom_distribucion': 'Validadores', 'sub_categoria': 'IME', 'porcentaje': '100.00'}]]}]"/>
    <d v="2025-09-19T00:00:00"/>
    <m/>
    <m/>
    <m/>
    <m/>
    <m/>
    <n v="1"/>
    <n v="232"/>
    <x v="2"/>
    <s v="service"/>
    <n v="2"/>
    <n v="0"/>
    <n v="0"/>
    <m/>
    <n v="0"/>
    <n v="0"/>
    <n v="0"/>
    <n v="0"/>
    <n v="1"/>
    <m/>
    <s v="paid"/>
    <x v="1"/>
    <n v="2"/>
    <s v="SAMUEL CHUQUISTA"/>
    <n v="1106"/>
    <s v="7012100 MercaderÃ­as-Venta Local-Terceros"/>
    <s v="[[{'cÃ³digo': 101, 'nom_distribucion': 'Validadores', 'sub_categoria': 'DELIVERY', 'porcentaje': '100.00'}, {'cÃ³digo': 102, 'nom_distribucion': 'Validadores', 'sub_categoria': 'IME', 'porcentaje': '100.00'}]]"/>
    <n v="2"/>
    <s v="CorazÃ³n Serrano - Almuerzo de camaraderÃ­a"/>
    <d v="2021-08-01T00:00:00"/>
    <d v="2021-08-01T00:00:00"/>
    <m/>
    <s v="A &amp; Q AYLLU S.A.C."/>
    <m/>
    <x v="7"/>
  </r>
  <r>
    <s v="(03) Boleta B001"/>
    <s v="00000001"/>
    <s v="COLABORATIVA S.A.C."/>
    <x v="0"/>
    <d v="2025-10-09T12:48:00"/>
    <x v="4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10-06T00:00:00"/>
    <m/>
    <m/>
    <m/>
    <m/>
    <m/>
    <n v="1"/>
    <m/>
    <x v="1"/>
    <m/>
    <n v="1"/>
    <n v="65.25"/>
    <n v="77"/>
    <m/>
    <n v="65.25"/>
    <n v="18.010000000000002"/>
    <n v="11.75"/>
    <n v="77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CORPORACION MUKANRANKO S.A.C."/>
    <m/>
    <x v="8"/>
  </r>
  <r>
    <s v="(01) Factura FB01"/>
    <s v="00000073"/>
    <s v="COLABORATIVA S.A.C."/>
    <x v="3"/>
    <d v="2025-10-09T15:44:09"/>
    <x v="5"/>
    <m/>
    <n v="6"/>
    <n v="20611018925"/>
    <s v="[{'id_producto': '1', 'codigo_producto': '', 'nom_producto': 'COMISIÃ“N PAGOS DIGITALES SEGUN CONTRATO -', 'categoria_producto': '', 'cantidad': '1.0', 'valor_unitario': 47.46, 'precio_unitario': 56.0, 'descuento': None, 'subtotal': 47.46, 'porcentaje_de_igv': '17.99', 'igv': 8.54, 'total': 56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17T00:00:00"/>
    <m/>
    <m/>
    <m/>
    <m/>
    <m/>
    <n v="1"/>
    <m/>
    <x v="1"/>
    <m/>
    <n v="1"/>
    <n v="47.46"/>
    <n v="56"/>
    <m/>
    <n v="47.46"/>
    <n v="17.989999999999998"/>
    <n v="8.5399999999999991"/>
    <n v="56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G &amp; N MUSIC S.A.C."/>
    <m/>
    <x v="9"/>
  </r>
  <r>
    <s v="(01) Factura FB01"/>
    <s v="00000072"/>
    <s v="COLABORATIVA S.A.C."/>
    <x v="3"/>
    <d v="2025-10-09T15:32:37"/>
    <x v="5"/>
    <m/>
    <n v="6"/>
    <n v="20611018925"/>
    <s v="[{'id_producto': '1', 'codigo_producto': '', 'nom_producto': 'COMISIÃ“N PAGOS DIGITALES SEGUN CONTRATO -', 'categoria_producto': '', 'cantidad': '1.0', 'valor_unitario': 67.8, 'precio_unitario': 80.0, 'descuento': None, 'subtotal': 67.8, 'porcentaje_de_igv': '17.99', 'igv': 12.2, 'total': 8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17T00:00:00"/>
    <m/>
    <m/>
    <m/>
    <m/>
    <m/>
    <n v="1"/>
    <m/>
    <x v="1"/>
    <m/>
    <n v="1"/>
    <n v="67.8"/>
    <n v="80"/>
    <m/>
    <n v="67.8"/>
    <n v="17.989999999999998"/>
    <n v="12.2"/>
    <n v="80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G &amp; N MUSIC S.A.C."/>
    <m/>
    <x v="10"/>
  </r>
  <r>
    <s v="(01) Factura FB01"/>
    <s v="00000071"/>
    <s v="COLABORATIVA S.A.C."/>
    <x v="3"/>
    <d v="2025-10-09T15:21:18"/>
    <x v="5"/>
    <m/>
    <n v="6"/>
    <n v="20611018925"/>
    <s v="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17T00:00:00"/>
    <m/>
    <m/>
    <m/>
    <m/>
    <m/>
    <n v="1"/>
    <m/>
    <x v="1"/>
    <m/>
    <n v="1"/>
    <n v="55.93"/>
    <n v="66"/>
    <m/>
    <n v="55.93"/>
    <n v="18"/>
    <n v="10.07"/>
    <n v="66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G &amp; N MUSIC S.A.C."/>
    <m/>
    <x v="11"/>
  </r>
  <r>
    <s v="(01) Factura FB01"/>
    <s v="00000070"/>
    <s v="COLABORATIVA S.A.C."/>
    <x v="3"/>
    <d v="2025-10-09T15:15:13"/>
    <x v="5"/>
    <m/>
    <n v="6"/>
    <n v="20611018925"/>
    <s v="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17T00:00:00"/>
    <m/>
    <m/>
    <m/>
    <m/>
    <m/>
    <n v="1"/>
    <m/>
    <x v="1"/>
    <m/>
    <n v="1"/>
    <n v="76.27"/>
    <n v="90"/>
    <m/>
    <n v="76.27"/>
    <n v="18"/>
    <n v="13.73"/>
    <n v="90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G &amp; N MUSIC S.A.C."/>
    <m/>
    <x v="12"/>
  </r>
  <r>
    <s v="(01) Factura FB01"/>
    <s v="00000069"/>
    <s v="COLABORATIVA S.A.C."/>
    <x v="3"/>
    <d v="2025-10-09T14:53:14"/>
    <x v="5"/>
    <m/>
    <n v="6"/>
    <n v="20611018925"/>
    <s v="[{'id_producto': '1', 'codigo_producto': '', 'nom_producto': 'COMISIÃ“N PAGOS DIGITALES SEGUN CONTRATO -', 'categoria_producto': '', 'cantidad': '1.0', 'valor_unitario': 67.8, 'precio_unitario': 80.0, 'descuento': None, 'subtotal': 67.8, 'porcentaje_de_igv': '17.99', 'igv': 12.2, 'total': 8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17T00:00:00"/>
    <m/>
    <m/>
    <m/>
    <m/>
    <m/>
    <n v="1"/>
    <m/>
    <x v="1"/>
    <m/>
    <n v="1"/>
    <n v="67.8"/>
    <n v="80"/>
    <m/>
    <n v="67.8"/>
    <n v="17.989999999999998"/>
    <n v="12.2"/>
    <n v="80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G &amp; N MUSIC S.A.C."/>
    <m/>
    <x v="13"/>
  </r>
  <r>
    <s v="(01) Factura FB01"/>
    <s v="00000068"/>
    <s v="COLABORATIVA S.A.C."/>
    <x v="3"/>
    <d v="2025-10-09T14:32:30"/>
    <x v="5"/>
    <m/>
    <n v="6"/>
    <n v="20611018925"/>
    <s v="[{'id_producto': '1', 'codigo_producto': '', 'nom_producto': 'COMISIÃ“N PAGOS DIGITALES SEGUN CONTRATO -', 'categoria_producto': '', 'cantidad': '1.0', 'valor_unitario': 50.85, 'precio_unitario': 60.0, 'descuento': None, 'subtotal': 50.85, 'porcentaje_de_igv': '17.99', 'igv': 9.15, 'total': 6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17T00:00:00"/>
    <m/>
    <m/>
    <m/>
    <m/>
    <m/>
    <n v="1"/>
    <m/>
    <x v="1"/>
    <m/>
    <n v="1"/>
    <n v="50.85"/>
    <n v="60"/>
    <m/>
    <n v="50.85"/>
    <n v="17.989999999999998"/>
    <n v="9.15"/>
    <n v="60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G &amp; N MUSIC S.A.C."/>
    <m/>
    <x v="14"/>
  </r>
  <r>
    <s v="(01) Factura FB01"/>
    <s v="00000067"/>
    <s v="COLABORATIVA S.A.C."/>
    <x v="3"/>
    <d v="2025-10-09T12:51:12"/>
    <x v="5"/>
    <m/>
    <n v="6"/>
    <n v="20611018925"/>
    <s v="[{'id_producto': '1', 'codigo_producto': '', 'nom_producto': 'COMISIÃ“N VAOPE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17T00:00:00"/>
    <m/>
    <m/>
    <m/>
    <m/>
    <m/>
    <n v="1"/>
    <m/>
    <x v="4"/>
    <m/>
    <n v="1"/>
    <n v="33.9"/>
    <n v="40"/>
    <m/>
    <n v="33.9"/>
    <n v="17.989999999999998"/>
    <n v="6.1"/>
    <n v="40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G &amp; N MUSIC S.A.C."/>
    <m/>
    <x v="15"/>
  </r>
  <r>
    <s v="(01) Factura FB01"/>
    <s v="00000066"/>
    <s v="COLABORATIVA S.A.C."/>
    <x v="3"/>
    <d v="2025-10-09T12:28:49"/>
    <x v="5"/>
    <m/>
    <n v="6"/>
    <n v="20611018925"/>
    <s v="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17T00:00:00"/>
    <m/>
    <m/>
    <m/>
    <m/>
    <m/>
    <n v="1"/>
    <m/>
    <x v="1"/>
    <m/>
    <n v="1"/>
    <n v="74.58"/>
    <n v="88"/>
    <m/>
    <n v="74.58"/>
    <n v="17.989999999999998"/>
    <n v="13.42"/>
    <n v="88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G &amp; N MUSIC S.A.C."/>
    <m/>
    <x v="16"/>
  </r>
  <r>
    <s v="(01) Factura FB01"/>
    <s v="00000065"/>
    <s v="COLABORATIVA S.A.C."/>
    <x v="3"/>
    <d v="2025-10-09T12:09:33"/>
    <x v="5"/>
    <m/>
    <n v="6"/>
    <n v="20611018925"/>
    <s v="[{'id_producto': '1', 'codigo_producto': '', 'nom_producto': 'COMISIÃ“N PAGOS DIGITALES SEGUN CONTRATO -', 'categoria_producto': '', 'cantidad': '1.0', 'valor_unitario': 169.49, 'precio_unitario': 200.0, 'descuento': None, 'subtotal': 169.49, 'porcentaje_de_igv': '18.00', 'igv': 30.51, 'total': 20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17T00:00:00"/>
    <m/>
    <m/>
    <m/>
    <m/>
    <m/>
    <n v="1"/>
    <m/>
    <x v="1"/>
    <m/>
    <n v="1"/>
    <n v="169.49"/>
    <n v="200"/>
    <m/>
    <n v="169.49"/>
    <n v="18"/>
    <n v="30.51"/>
    <n v="200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G &amp; N MUSIC S.A.C."/>
    <m/>
    <x v="17"/>
  </r>
  <r>
    <s v="(01) Factura FB01"/>
    <s v="00000064"/>
    <s v="COLABORATIVA S.A.C."/>
    <x v="3"/>
    <d v="2025-10-09T12:08:30"/>
    <x v="5"/>
    <m/>
    <n v="6"/>
    <n v="20611018925"/>
    <s v="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17T00:00:00"/>
    <m/>
    <m/>
    <m/>
    <m/>
    <m/>
    <n v="1"/>
    <m/>
    <x v="1"/>
    <m/>
    <n v="1"/>
    <n v="127.12"/>
    <n v="150"/>
    <m/>
    <n v="127.12"/>
    <n v="18"/>
    <n v="22.88"/>
    <n v="150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G &amp; N MUSIC S.A.C."/>
    <m/>
    <x v="18"/>
  </r>
  <r>
    <s v="(01) Factura FB01"/>
    <s v="00000063"/>
    <s v="COLABORATIVA S.A.C."/>
    <x v="3"/>
    <d v="2025-10-09T10:46:52"/>
    <x v="2"/>
    <s v="Cliente"/>
    <n v="6"/>
    <n v="20608361074"/>
    <s v="[{'id_producto': '1', 'codigo_producto': '', 'nom_producto': 'PERSONAL -', 'categoria_producto': '', 'cantidad': '1.0', 'valor_unitario': 101.69, 'precio_unitario': 119.99, 'descuento': None, 'subtotal': 101.69, 'porcentaje_de_igv': '18.00', 'igv': 18.3, 'total': 119.99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17T00:00:00"/>
    <m/>
    <m/>
    <m/>
    <m/>
    <m/>
    <n v="1"/>
    <m/>
    <x v="5"/>
    <m/>
    <n v="1"/>
    <n v="101.69"/>
    <n v="119.99"/>
    <m/>
    <n v="101.69"/>
    <n v="18"/>
    <n v="18.3"/>
    <n v="119.99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JP Producciones Generales EIRL"/>
    <m/>
    <x v="19"/>
  </r>
  <r>
    <s v="(01) Factura FB01"/>
    <s v="00000062"/>
    <s v="COLABORATIVA S.A.C."/>
    <x v="3"/>
    <d v="2025-10-09T10:20:51"/>
    <x v="2"/>
    <s v="Cliente"/>
    <n v="6"/>
    <n v="20608361074"/>
    <s v="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17T00:00:00"/>
    <m/>
    <m/>
    <m/>
    <m/>
    <m/>
    <n v="1"/>
    <m/>
    <x v="1"/>
    <m/>
    <n v="1"/>
    <n v="33.9"/>
    <n v="40"/>
    <m/>
    <n v="33.9"/>
    <n v="17.989999999999998"/>
    <n v="6.1"/>
    <n v="40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JP Producciones Generales EIRL"/>
    <m/>
    <x v="20"/>
  </r>
  <r>
    <s v="(01) Factura FB01"/>
    <s v="00000061"/>
    <s v="COLABORATIVA S.A.C."/>
    <x v="3"/>
    <d v="2025-10-09T10:17:23"/>
    <x v="2"/>
    <s v="Cliente"/>
    <n v="6"/>
    <n v="20608361074"/>
    <s v="[{'id_producto': '1', 'codigo_producto': '', 'nom_producto': 'COMISIÃ“N PAGOS DIGITALES SEGUN CONTRATO -', 'categoria_producto': '', 'cantidad': '1.0', 'valor_unitario': 16.95, 'precio_unitario': 20.0, 'descuento': None, 'subtotal': 16.95, 'porcentaje_de_igv': '17.99', 'igv': 3.05, 'total': 20.0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17T00:00:00"/>
    <m/>
    <m/>
    <m/>
    <m/>
    <m/>
    <n v="1"/>
    <m/>
    <x v="1"/>
    <m/>
    <n v="1"/>
    <n v="16.95"/>
    <n v="20"/>
    <m/>
    <n v="16.95"/>
    <n v="17.989999999999998"/>
    <n v="3.05"/>
    <n v="20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JP Producciones Generales EIRL"/>
    <m/>
    <x v="21"/>
  </r>
  <r>
    <s v="(01) Factura FB01"/>
    <s v="00000060"/>
    <s v="COLABORATIVA S.A.C."/>
    <x v="3"/>
    <d v="2025-10-09T10:03:56"/>
    <x v="2"/>
    <s v="Cliente"/>
    <n v="6"/>
    <n v="20608361074"/>
    <s v="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17T00:00:00"/>
    <m/>
    <m/>
    <m/>
    <m/>
    <m/>
    <n v="1"/>
    <m/>
    <x v="1"/>
    <m/>
    <n v="1"/>
    <n v="84.75"/>
    <n v="100.01"/>
    <m/>
    <n v="84.75"/>
    <n v="18.010000000000002"/>
    <n v="15.26"/>
    <n v="100.01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JP Producciones Generales EIRL"/>
    <m/>
    <x v="22"/>
  </r>
  <r>
    <s v="(01) Factura FB01"/>
    <s v="00000059"/>
    <s v="COLABORATIVA S.A.C."/>
    <x v="3"/>
    <d v="2025-10-09T09:57:22"/>
    <x v="4"/>
    <m/>
    <n v="6"/>
    <n v="20609593076"/>
    <s v="[{'id_producto': '1', 'codigo_producto': '', 'nom_producto': 'COMISIÃ“N PAGOS DIGITALES SEGUN CONTRATO -', 'categoria_producto': '', 'cantidad': '1.0', 'valor_unitario': 55.93, 'precio_unitario': 66.0, 'descuento': None, 'subtotal': 55.93, 'porcentaje_de_igv': '18.00', 'igv': 10.07, 'total': 66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17T00:00:00"/>
    <m/>
    <m/>
    <m/>
    <m/>
    <m/>
    <n v="1"/>
    <m/>
    <x v="1"/>
    <m/>
    <n v="1"/>
    <n v="55.93"/>
    <n v="66"/>
    <m/>
    <n v="55.93"/>
    <n v="18"/>
    <n v="10.07"/>
    <n v="66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CORPORACION MUKANRANKO S.A.C."/>
    <m/>
    <x v="23"/>
  </r>
  <r>
    <s v="(01) Factura FB01"/>
    <s v="00000058"/>
    <s v="COLABORATIVA S.A.C."/>
    <x v="3"/>
    <d v="2025-10-09T09:52:10"/>
    <x v="4"/>
    <m/>
    <n v="6"/>
    <n v="20609593076"/>
    <s v="[{'id_producto': '1', 'codigo_producto': '', 'nom_producto': 'COMISIÃ“N PAGOS DIGITALES SEGUN CONTRATO -', 'categoria_producto': '', 'cantidad': '1.0', 'valor_unitario': 74.58, 'precio_unitario': 88.0, 'descuento': None, 'subtotal': 74.58, 'porcentaje_de_igv': '17.99', 'igv': 13.42, 'total': 88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17T00:00:00"/>
    <m/>
    <m/>
    <m/>
    <m/>
    <m/>
    <n v="1"/>
    <m/>
    <x v="1"/>
    <m/>
    <n v="1"/>
    <n v="74.58"/>
    <n v="88"/>
    <m/>
    <n v="74.58"/>
    <n v="17.989999999999998"/>
    <n v="13.42"/>
    <n v="88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CORPORACION MUKANRANKO S.A.C."/>
    <m/>
    <x v="24"/>
  </r>
  <r>
    <s v="(01) Factura F001"/>
    <s v="00000100"/>
    <s v="COLABORATIVA S.A.C."/>
    <x v="4"/>
    <d v="2025-10-09T11:05:29"/>
    <x v="3"/>
    <m/>
    <n v="6"/>
    <n v="20609168961"/>
    <s v="[{'id_producto': '1', 'codigo_producto': '232', 'nom_producto': 'DESARROLLO DE CONTENIDO', 'categoria_producto': 'service', 'cantidad': '1.0', 'valor_unitario': 0.0, 'precio_unitario': 0.0, 'descuento': None, 'subtotal': 0.0, 'porcentaje_de_igv': '0.00', 'igv': 0.0, 'total': 0.0, 'moneda': '1', 'tipo_de_cambio': '', 'id_estado': 'paid', 'nombre_estado': 'Pagado', 'evento': {'id_evento': '2', 'nom_evento': 'CorazÃ³n Serrano - Almuerzo de camaraderÃ­a', 'Fecha_hora_ini_event': '2021-08-01', 'Fecha_hora_fin_event': '2021-08-01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2, 'nom_distribucion': 'Validadores', 'sub_categoria': 'IME', 'porcentaje': '100.00'}]]}]"/>
    <d v="2025-09-16T00:00:00"/>
    <m/>
    <m/>
    <m/>
    <m/>
    <m/>
    <n v="1"/>
    <n v="232"/>
    <x v="2"/>
    <s v="service"/>
    <n v="1"/>
    <n v="0"/>
    <n v="0"/>
    <m/>
    <n v="0"/>
    <n v="0"/>
    <n v="0"/>
    <n v="0"/>
    <n v="1"/>
    <m/>
    <s v="paid"/>
    <x v="1"/>
    <n v="2"/>
    <s v="SAMUEL CHUQUISTA"/>
    <n v="1106"/>
    <s v="7012100 MercaderÃ­as-Venta Local-Terceros"/>
    <s v="[[{'cÃ³digo': 101, 'nom_distribucion': 'Validadores', 'sub_categoria': 'DELIVERY', 'porcentaje': '100.00'}, {'cÃ³digo': 102, 'nom_distribucion': 'Validadores', 'sub_categoria': 'IME', 'porcentaje': '100.00'}]]"/>
    <n v="2"/>
    <s v="CorazÃ³n Serrano - Almuerzo de camaraderÃ­a"/>
    <d v="2021-08-01T00:00:00"/>
    <d v="2021-08-01T00:00:00"/>
    <m/>
    <s v="A &amp; Q AYLLU S.A.C."/>
    <m/>
    <x v="25"/>
  </r>
  <r>
    <s v="(01) Factura FB01"/>
    <s v="00000057"/>
    <s v="COLABORATIVA S.A.C."/>
    <x v="5"/>
    <d v="2025-10-09T13:12:09"/>
    <x v="4"/>
    <m/>
    <n v="6"/>
    <n v="20609593076"/>
    <s v="[{'id_producto': '1', 'codigo_producto': '', 'nom_producto': 'COMISIÃ“N PAGOS DIGITALES SEGUN CONTRATO -', 'categoria_producto': '', 'cantidad': '1.0', 'valor_unitario': 33.9, 'precio_unitario': 40.0, 'descuento': None, 'subtotal': 33.9, 'porcentaje_de_igv': '17.99', 'igv': 6.1, 'total': 4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12T00:00:00"/>
    <m/>
    <m/>
    <m/>
    <m/>
    <m/>
    <n v="1"/>
    <m/>
    <x v="1"/>
    <m/>
    <n v="1"/>
    <n v="33.9"/>
    <n v="40"/>
    <m/>
    <n v="33.9"/>
    <n v="17.989999999999998"/>
    <n v="6.1"/>
    <n v="40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CORPORACION MUKANRANKO S.A.C."/>
    <m/>
    <x v="26"/>
  </r>
  <r>
    <s v="(01) Factura FB01"/>
    <s v="00000056"/>
    <s v="COLABORATIVA S.A.C."/>
    <x v="5"/>
    <d v="2025-10-09T13:08:42"/>
    <x v="4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12T00:00:00"/>
    <m/>
    <m/>
    <m/>
    <m/>
    <m/>
    <n v="1"/>
    <m/>
    <x v="1"/>
    <m/>
    <n v="1"/>
    <n v="65.25"/>
    <n v="77"/>
    <m/>
    <n v="65.25"/>
    <n v="18.010000000000002"/>
    <n v="11.75"/>
    <n v="77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CORPORACION MUKANRANKO S.A.C."/>
    <m/>
    <x v="27"/>
  </r>
  <r>
    <s v="(01) Factura FB01"/>
    <s v="00000055"/>
    <s v="COLABORATIVA S.A.C."/>
    <x v="6"/>
    <d v="2025-10-09T18:07:30"/>
    <x v="4"/>
    <m/>
    <n v="6"/>
    <n v="20609593076"/>
    <s v="[{'id_producto': '1', 'codigo_producto': '', 'nom_producto': 'COMISIÃ“N PAGOS DIGITALES SEGUN CONTRATO -', 'categoria_producto': '', 'cantidad': '1.0', 'valor_unitario': 118.64, 'precio_unitario': 140.0, 'descuento': None, 'subtotal': 118.64, 'porcentaje_de_igv': '18.00', 'igv': 21.36, 'total': 14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08T00:00:00"/>
    <m/>
    <m/>
    <m/>
    <m/>
    <m/>
    <n v="1"/>
    <m/>
    <x v="1"/>
    <m/>
    <n v="1"/>
    <n v="118.64"/>
    <n v="140"/>
    <m/>
    <n v="118.64"/>
    <n v="18"/>
    <n v="21.36"/>
    <n v="140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CORPORACION MUKANRANKO S.A.C."/>
    <m/>
    <x v="28"/>
  </r>
  <r>
    <s v="(01) Factura FB01"/>
    <s v="00000054"/>
    <s v="COLABORATIVA S.A.C."/>
    <x v="6"/>
    <d v="2025-10-09T18:02:19"/>
    <x v="4"/>
    <m/>
    <n v="6"/>
    <n v="20609593076"/>
    <s v="[{'id_producto': '1', 'codigo_producto': '', 'nom_producto': 'COMISIÃ“N PAGOS DIGITALES SEGUN CONTRATO -', 'categoria_producto': '', 'cantidad': '1.0', 'valor_unitario': 110.17, 'precio_unitario': 130.0, 'descuento': None, 'subtotal': 110.17, 'porcentaje_de_igv': '18.00', 'igv': 19.83, 'total': 13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08T00:00:00"/>
    <m/>
    <m/>
    <m/>
    <m/>
    <m/>
    <n v="1"/>
    <m/>
    <x v="1"/>
    <m/>
    <n v="1"/>
    <n v="110.17"/>
    <n v="130"/>
    <m/>
    <n v="110.17"/>
    <n v="18"/>
    <n v="19.829999999999998"/>
    <n v="130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CORPORACION MUKANRANKO S.A.C."/>
    <m/>
    <x v="29"/>
  </r>
  <r>
    <s v="(01) Factura FB01"/>
    <s v="00000053"/>
    <s v="COLABORATIVA S.A.C."/>
    <x v="6"/>
    <d v="2025-10-09T17:46:13"/>
    <x v="4"/>
    <m/>
    <n v="6"/>
    <n v="20609593076"/>
    <s v="[{'id_producto': '1', 'codigo_producto': '', 'nom_producto': 'COMISIÃ“N PAGOS DIGITALES SEGUN CONTRATO -', 'categoria_producto': '', 'cantidad': '1.0', 'valor_unitario': 135.59, 'precio_unitario': 160.0, 'descuento': None, 'subtotal': 135.59, 'porcentaje_de_igv': '18.00', 'igv': 24.41, 'total': 16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08T00:00:00"/>
    <m/>
    <m/>
    <m/>
    <m/>
    <m/>
    <n v="1"/>
    <m/>
    <x v="1"/>
    <m/>
    <n v="1"/>
    <n v="135.59"/>
    <n v="160"/>
    <m/>
    <n v="135.59"/>
    <n v="18"/>
    <n v="24.41"/>
    <n v="160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CORPORACION MUKANRANKO S.A.C."/>
    <m/>
    <x v="30"/>
  </r>
  <r>
    <s v="(01) Factura FB01"/>
    <s v="00000052"/>
    <s v="COLABORATIVA S.A.C."/>
    <x v="6"/>
    <d v="2025-10-09T16:15:56"/>
    <x v="4"/>
    <m/>
    <n v="6"/>
    <n v="20609593076"/>
    <s v="[{'id_producto': '1', 'codigo_producto': '', 'nom_producto': 'COMISIÃ“N PAGOS DIGITALES SEGUN CONTRATO -', 'categoria_producto': '', 'cantidad': '1.0', 'valor_unitario': 93.22, 'precio_unitario': 110.0, 'descuento': None, 'subtotal': 93.22, 'porcentaje_de_igv': '18.00', 'igv': 16.78, 'total': 11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08T00:00:00"/>
    <m/>
    <m/>
    <m/>
    <m/>
    <m/>
    <n v="1"/>
    <m/>
    <x v="1"/>
    <m/>
    <n v="1"/>
    <n v="93.22"/>
    <n v="110"/>
    <m/>
    <n v="93.22"/>
    <n v="18"/>
    <n v="16.78"/>
    <n v="110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CORPORACION MUKANRANKO S.A.C."/>
    <m/>
    <x v="31"/>
  </r>
  <r>
    <s v="(01) Factura FB01"/>
    <s v="00000051"/>
    <s v="COLABORATIVA S.A.C."/>
    <x v="6"/>
    <d v="2025-10-09T14:37:02"/>
    <x v="4"/>
    <m/>
    <n v="6"/>
    <n v="20609593076"/>
    <s v="[{'id_producto': '1', 'codigo_producto': '', 'nom_producto': 'COMISIÃ“N PAGOS DIGITALES SEGUN CONTRATO -', 'categoria_producto': '', 'cantidad': '1.0', 'valor_unitario': 127.12, 'precio_unitario': 150.0, 'descuento': None, 'subtotal': 127.12, 'porcentaje_de_igv': '18.00', 'igv': 22.88, 'total': 15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08T00:00:00"/>
    <m/>
    <m/>
    <m/>
    <m/>
    <m/>
    <n v="1"/>
    <m/>
    <x v="1"/>
    <m/>
    <n v="1"/>
    <n v="127.12"/>
    <n v="150"/>
    <m/>
    <n v="127.12"/>
    <n v="18"/>
    <n v="22.88"/>
    <n v="150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CORPORACION MUKANRANKO S.A.C."/>
    <m/>
    <x v="32"/>
  </r>
  <r>
    <s v="(01) Factura FB01"/>
    <s v="00000050"/>
    <s v="COLABORATIVA S.A.C."/>
    <x v="6"/>
    <d v="2025-10-09T14:31:46"/>
    <x v="4"/>
    <m/>
    <n v="6"/>
    <n v="20609593076"/>
    <s v="[{'id_producto': '1', 'codigo_producto': '', 'nom_producto': 'COMISIÃ“N PAGOS DIGITALES SEGUN CONTRATO -', 'categoria_producto': '', 'cantidad': '1.0', 'valor_unitario': 110.17, 'precio_unitario': 130.0, 'descuento': None, 'subtotal': 110.17, 'porcentaje_de_igv': '18.00', 'igv': 19.83, 'total': 13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08T00:00:00"/>
    <m/>
    <m/>
    <m/>
    <m/>
    <m/>
    <n v="1"/>
    <m/>
    <x v="1"/>
    <m/>
    <n v="1"/>
    <n v="110.17"/>
    <n v="130"/>
    <m/>
    <n v="110.17"/>
    <n v="18"/>
    <n v="19.829999999999998"/>
    <n v="130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CORPORACION MUKANRANKO S.A.C."/>
    <m/>
    <x v="33"/>
  </r>
  <r>
    <s v="(01) Factura FB01"/>
    <s v="00000049"/>
    <s v="COLABORATIVA S.A.C."/>
    <x v="6"/>
    <d v="2025-10-09T13:31:32"/>
    <x v="4"/>
    <m/>
    <n v="6"/>
    <n v="20609593076"/>
    <s v="[{'id_producto': '1', 'codigo_producto': '', 'nom_producto': 'COMISIÃ“N PAGOS DIGITALES SEGUN CONTRATO -', 'categoria_producto': '', 'cantidad': '1.0', 'valor_unitario': 84.75, 'precio_unitario': 100.01, 'descuento': None, 'subtotal': 84.75, 'porcentaje_de_igv': '18.01', 'igv': 15.26, 'total': 100.01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08T00:00:00"/>
    <m/>
    <m/>
    <m/>
    <m/>
    <m/>
    <n v="1"/>
    <m/>
    <x v="1"/>
    <m/>
    <n v="1"/>
    <n v="84.75"/>
    <n v="100.01"/>
    <m/>
    <n v="84.75"/>
    <n v="18.010000000000002"/>
    <n v="15.26"/>
    <n v="100.01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CORPORACION MUKANRANKO S.A.C."/>
    <m/>
    <x v="34"/>
  </r>
  <r>
    <s v="(01) Factura FB01"/>
    <s v="00000048"/>
    <s v="COLABORATIVA S.A.C."/>
    <x v="6"/>
    <d v="2025-10-09T13:08:55"/>
    <x v="4"/>
    <m/>
    <n v="6"/>
    <n v="20609593076"/>
    <s v="[{'id_producto': '1', 'codigo_producto': '', 'nom_producto': 'COMISIÃ“N PAGOS DIGITALES SEGUN CONTRATO -', 'categoria_producto': '', 'cantidad': '1.0', 'valor_unitario': 104.24, 'precio_unitario': 123.0, 'descuento': None, 'subtotal': 104.24, 'porcentaje_de_igv': '18.00', 'igv': 18.76, 'total': 123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08T00:00:00"/>
    <m/>
    <m/>
    <m/>
    <m/>
    <m/>
    <n v="1"/>
    <m/>
    <x v="1"/>
    <m/>
    <n v="1"/>
    <n v="104.24"/>
    <n v="123"/>
    <m/>
    <n v="104.24"/>
    <n v="18"/>
    <n v="18.760000000000002"/>
    <n v="123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CORPORACION MUKANRANKO S.A.C."/>
    <m/>
    <x v="35"/>
  </r>
  <r>
    <s v="(01) Factura FB01"/>
    <s v="00000047"/>
    <s v="COLABORATIVA S.A.C."/>
    <x v="6"/>
    <d v="2025-10-09T12:54:57"/>
    <x v="4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08T00:00:00"/>
    <m/>
    <m/>
    <m/>
    <m/>
    <m/>
    <n v="1"/>
    <m/>
    <x v="1"/>
    <m/>
    <n v="1"/>
    <n v="65.25"/>
    <n v="77"/>
    <m/>
    <n v="65.25"/>
    <n v="18.010000000000002"/>
    <n v="11.75"/>
    <n v="77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CORPORACION MUKANRANKO S.A.C."/>
    <m/>
    <x v="36"/>
  </r>
  <r>
    <s v="(01) Factura FB01"/>
    <s v="00000046"/>
    <s v="COLABORATIVA S.A.C."/>
    <x v="6"/>
    <d v="2025-10-09T12:53:49"/>
    <x v="4"/>
    <m/>
    <n v="6"/>
    <n v="20609593076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"/>
    <d v="2025-09-08T00:00:00"/>
    <m/>
    <m/>
    <m/>
    <m/>
    <m/>
    <n v="1"/>
    <m/>
    <x v="6"/>
    <m/>
    <n v="1"/>
    <n v="65.25"/>
    <n v="77"/>
    <m/>
    <n v="65.25"/>
    <n v="18.010000000000002"/>
    <n v="11.75"/>
    <n v="77"/>
    <n v="1"/>
    <m/>
    <s v="not_paid"/>
    <x v="0"/>
    <n v="2"/>
    <s v="SAMUEL CHUQUISTA"/>
    <n v="1106"/>
    <s v="7012100 MercaderÃ­as-Venta Local-Terceros"/>
    <s v="[]"/>
    <m/>
    <m/>
    <m/>
    <m/>
    <m/>
    <s v="CORPORACION MUKANRANKO S.A.C."/>
    <m/>
    <x v="37"/>
  </r>
  <r>
    <s v="(01) Factura FB01"/>
    <s v="00000045"/>
    <s v="COLABORATIVA S.A.C."/>
    <x v="6"/>
    <d v="2025-10-09T12:43:32"/>
    <x v="4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"/>
    <d v="2025-09-08T00:00:00"/>
    <m/>
    <m/>
    <m/>
    <m/>
    <m/>
    <n v="1"/>
    <m/>
    <x v="1"/>
    <m/>
    <n v="1"/>
    <n v="65.25"/>
    <n v="77"/>
    <m/>
    <n v="65.25"/>
    <n v="18.010000000000002"/>
    <n v="11.75"/>
    <n v="77"/>
    <n v="1"/>
    <m/>
    <s v="not_paid"/>
    <x v="0"/>
    <n v="2"/>
    <s v="SAMUEL CHUQUISTA"/>
    <n v="1106"/>
    <s v="7012100 MercaderÃ­as-Venta Local-Terceros"/>
    <s v="[]"/>
    <m/>
    <m/>
    <m/>
    <m/>
    <m/>
    <s v="CORPORACION MUKANRANKO S.A.C."/>
    <m/>
    <x v="38"/>
  </r>
  <r>
    <s v="(01) Factura FB01"/>
    <s v="00000044"/>
    <s v="COLABORATIVA S.A.C."/>
    <x v="6"/>
    <d v="2025-10-09T12:37:55"/>
    <x v="4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"/>
    <d v="2025-09-08T00:00:00"/>
    <m/>
    <m/>
    <m/>
    <m/>
    <m/>
    <n v="1"/>
    <m/>
    <x v="1"/>
    <m/>
    <n v="1"/>
    <n v="65.25"/>
    <n v="77"/>
    <m/>
    <n v="65.25"/>
    <n v="18.010000000000002"/>
    <n v="11.75"/>
    <n v="77"/>
    <n v="1"/>
    <m/>
    <s v="not_paid"/>
    <x v="0"/>
    <n v="2"/>
    <s v="SAMUEL CHUQUISTA"/>
    <n v="1106"/>
    <s v="7012100 MercaderÃ­as-Venta Local-Terceros"/>
    <s v="[]"/>
    <m/>
    <m/>
    <m/>
    <m/>
    <m/>
    <s v="CORPORACION MUKANRANKO S.A.C."/>
    <m/>
    <x v="39"/>
  </r>
  <r>
    <s v="(01) Factura FB01"/>
    <s v="00000043"/>
    <s v="COLABORATIVA S.A.C."/>
    <x v="6"/>
    <d v="2025-10-09T10:48:26"/>
    <x v="4"/>
    <m/>
    <n v="6"/>
    <n v="20609593076"/>
    <s v="[{'id_producto': '1', 'codigo_producto': '', 'nom_producto': 'COMISIÃ“N PAGOS DIGITALES SEGUN CONTRATO -', 'categoria_producto': '', 'cantidad': '1.0', 'valor_unitario': 65.25, 'precio_unitario': 77.0, 'descuento': None, 'subtotal': 65.25, 'porcentaje_de_igv': '18.01', 'igv': 11.75, 'total': 77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"/>
    <d v="2025-09-08T00:00:00"/>
    <m/>
    <m/>
    <m/>
    <m/>
    <m/>
    <n v="1"/>
    <m/>
    <x v="1"/>
    <m/>
    <n v="1"/>
    <n v="65.25"/>
    <n v="77"/>
    <m/>
    <n v="65.25"/>
    <n v="18.010000000000002"/>
    <n v="11.75"/>
    <n v="77"/>
    <n v="1"/>
    <m/>
    <s v="not_paid"/>
    <x v="0"/>
    <n v="2"/>
    <s v="SAMUEL CHUQUISTA"/>
    <n v="1106"/>
    <s v="7012100 MercaderÃ­as-Venta Local-Terceros"/>
    <s v="[]"/>
    <m/>
    <m/>
    <m/>
    <m/>
    <m/>
    <s v="CORPORACION MUKANRANKO S.A.C."/>
    <m/>
    <x v="40"/>
  </r>
  <r>
    <s v="(01) Factura FB01"/>
    <s v="00000042"/>
    <s v="COLABORATIVA S.A.C."/>
    <x v="6"/>
    <d v="2025-10-09T09:06:59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Ã³digo': 137, 'nom_distribucion': 'Validadores', 'sub_categoria': 'TI', 'porcentaje': '100.00'}]]}]"/>
    <d v="2025-09-08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n v="1106"/>
    <s v="7012100 MercaderÃ­as-Venta Local-Terceros"/>
    <s v="[[{'cÃ³digo': 137, 'nom_distribucion': 'Validadores', 'sub_categoria': 'TI', 'porcentaje': '100.00'}]]"/>
    <m/>
    <m/>
    <m/>
    <m/>
    <m/>
    <s v="JP Producciones Generales EIRL"/>
    <m/>
    <x v="41"/>
  </r>
  <r>
    <s v="(01) Factura FB01"/>
    <s v="00000041"/>
    <s v="COLABORATIVA S.A.C."/>
    <x v="6"/>
    <d v="2025-10-09T09:06:28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Ã³digo': 104, 'nom_distribucion': 'Validadores', 'sub_categoria': 'VIAJE', 'porcentaje': '20.00'}, {'cÃ³digo': 132, 'nom_distribucion': 'Validadores', 'sub_categoria': 'VIÃTICOS', 'porcentaje': '30.00'}, {'cÃ³digo': 137, 'nom_distribucion': 'Validadores', 'sub_categoria': 'TI', 'porcentaje': '50.00'}]]}]"/>
    <d v="2025-09-08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n v="1106"/>
    <s v="7012100 MercaderÃ­as-Venta Local-Terceros"/>
    <s v="[[{'cÃ³digo': 104, 'nom_distribucion': 'Validadores', 'sub_categoria': 'VIAJE', 'porcentaje': '20.00'}, {'cÃ³digo': 132, 'nom_distribucion': 'Validadores', 'sub_categoria': 'VIÃTICOS', 'porcentaje': '30.00'}, {'cÃ³digo': 137, 'nom_distribucion': 'Validadores', 'sub_categoria': 'TI', 'porcentaje': '50.00'}]]"/>
    <m/>
    <m/>
    <m/>
    <m/>
    <m/>
    <s v="JP Producciones Generales EIRL"/>
    <m/>
    <x v="42"/>
  </r>
  <r>
    <s v="(01) Factura FB01"/>
    <s v="00000040"/>
    <s v="COLABORATIVA S.A.C."/>
    <x v="6"/>
    <d v="2025-10-09T09:03:36"/>
    <x v="4"/>
    <m/>
    <n v="6"/>
    <n v="20609593076"/>
    <s v="[{'id_producto': '1', 'codigo_producto': '', 'nom_producto': 'COMISIÃ“N PAGOS DIGITALES SEGUN CONTRATO -', 'categoria_producto': '', 'cantidad': '1.0', 'valor_unitario': 76.27, 'precio_unitario': 90.0, 'descuento': None, 'subtotal': 76.27, 'porcentaje_de_igv': '18.00', 'igv': 13.73, 'total': 9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"/>
    <d v="2025-09-08T00:00:00"/>
    <m/>
    <m/>
    <m/>
    <m/>
    <m/>
    <n v="1"/>
    <m/>
    <x v="1"/>
    <m/>
    <n v="1"/>
    <n v="76.27"/>
    <n v="90"/>
    <m/>
    <n v="76.27"/>
    <n v="18"/>
    <n v="13.73"/>
    <n v="90"/>
    <n v="1"/>
    <m/>
    <s v="not_paid"/>
    <x v="0"/>
    <n v="2"/>
    <s v="SAMUEL CHUQUISTA"/>
    <n v="1106"/>
    <s v="7012100 MercaderÃ­as-Venta Local-Terceros"/>
    <s v="[]"/>
    <m/>
    <m/>
    <m/>
    <m/>
    <m/>
    <s v="CORPORACION MUKANRANKO S.A.C."/>
    <m/>
    <x v="43"/>
  </r>
  <r>
    <s v="(01) Factura FB01"/>
    <s v="00000039"/>
    <s v="COLABORATIVA S.A.C."/>
    <x v="6"/>
    <d v="2025-10-09T09:00:00"/>
    <x v="4"/>
    <m/>
    <n v="6"/>
    <n v="20609593076"/>
    <s v="[{'id_producto': '1', 'codigo_producto': '', 'nom_producto': 'COMISIÃ“N PAGOS DIGITALES SEGUN CONTRATO -', 'categoria_producto': '', 'cantidad': '1.0', 'valor_unitario': 78.81, 'precio_unitario': 93.0, 'descuento': None, 'subtotal': 78.81, 'porcentaje_de_igv': '18.01', 'igv': 14.19, 'total': 93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"/>
    <d v="2025-09-08T00:00:00"/>
    <m/>
    <m/>
    <m/>
    <m/>
    <m/>
    <n v="1"/>
    <m/>
    <x v="1"/>
    <m/>
    <n v="1"/>
    <n v="78.81"/>
    <n v="93"/>
    <m/>
    <n v="78.81"/>
    <n v="18.010000000000002"/>
    <n v="14.19"/>
    <n v="93"/>
    <n v="1"/>
    <m/>
    <s v="not_paid"/>
    <x v="0"/>
    <n v="2"/>
    <s v="SAMUEL CHUQUISTA"/>
    <n v="1106"/>
    <s v="7012100 MercaderÃ­as-Venta Local-Terceros"/>
    <s v="[]"/>
    <m/>
    <m/>
    <m/>
    <m/>
    <m/>
    <s v="CORPORACION MUKANRANKO S.A.C."/>
    <m/>
    <x v="44"/>
  </r>
  <r>
    <s v="(01) Factura FB01"/>
    <s v="00000038"/>
    <s v="COLABORATIVA S.A.C."/>
    <x v="6"/>
    <d v="2025-10-09T08:56:30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Ã³digo': 104, 'nom_distribucion': 'Validadores', 'sub_categoria': 'VIAJE', 'porcentaje': '20.00'}, {'cÃ³digo': 132, 'nom_distribucion': 'Validadores', 'sub_categoria': 'VIÃTICOS', 'porcentaje': '30.00'}, {'cÃ³digo': 137, 'nom_distribucion': 'Validadores', 'sub_categoria': 'TI', 'porcentaje': '50.00'}]]}]"/>
    <d v="2025-09-08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n v="1106"/>
    <s v="7012100 MercaderÃ­as-Venta Local-Terceros"/>
    <s v="[[{'cÃ³digo': 104, 'nom_distribucion': 'Validadores', 'sub_categoria': 'VIAJE', 'porcentaje': '20.00'}, {'cÃ³digo': 132, 'nom_distribucion': 'Validadores', 'sub_categoria': 'VIÃTICOS', 'porcentaje': '30.00'}, {'cÃ³digo': 137, 'nom_distribucion': 'Validadores', 'sub_categoria': 'TI', 'porcentaje': '50.00'}]]"/>
    <m/>
    <m/>
    <m/>
    <m/>
    <m/>
    <s v="JP Producciones Generales EIRL"/>
    <m/>
    <x v="45"/>
  </r>
  <r>
    <s v="(01) Factura FB01"/>
    <s v="00000036"/>
    <s v="COLABORATIVA S.A.C."/>
    <x v="7"/>
    <d v="2025-10-09T15:27:25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[{'cÃ³digo': 104, 'nom_distribucion': 'Validadores', 'sub_categoria': 'VIAJE', 'porcentaje': '20.00'}, {'cÃ³digo': 132, 'nom_distribucion': 'Validadores', 'sub_categoria': 'VIÃTICOS', 'porcentaje': '30.00'}, {'cÃ³digo': 137, 'nom_distribucion': 'Validadores', 'sub_categoria': 'TI', 'porcentaje': '50.00'}]]}]"/>
    <d v="2025-09-02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n v="1106"/>
    <s v="7012100 MercaderÃ­as-Venta Local-Terceros"/>
    <s v="[[{'cÃ³digo': 104, 'nom_distribucion': 'Validadores', 'sub_categoria': 'VIAJE', 'porcentaje': '20.00'}, {'cÃ³digo': 132, 'nom_distribucion': 'Validadores', 'sub_categoria': 'VIÃTICOS', 'porcentaje': '30.00'}, {'cÃ³digo': 137, 'nom_distribucion': 'Validadores', 'sub_categoria': 'TI', 'porcentaje': '50.00'}]]"/>
    <m/>
    <m/>
    <m/>
    <m/>
    <m/>
    <s v="JP Producciones Generales EIRL"/>
    <m/>
    <x v="46"/>
  </r>
  <r>
    <s v="(01) Factura FB01"/>
    <s v="00000035"/>
    <s v="COLABORATIVA S.A.C."/>
    <x v="7"/>
    <d v="2025-10-09T15:20:25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09-02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n v="1106"/>
    <s v="7012100 MercaderÃ­as-Venta Local-Terceros"/>
    <s v="[]"/>
    <m/>
    <m/>
    <m/>
    <m/>
    <m/>
    <s v="JP Producciones Generales EIRL"/>
    <m/>
    <x v="47"/>
  </r>
  <r>
    <s v="(01) Factura FB01"/>
    <s v="00000033"/>
    <s v="COLABORATIVA S.A.C."/>
    <x v="7"/>
    <d v="2025-10-09T12:57:55"/>
    <x v="2"/>
    <s v="Cliente"/>
    <n v="6"/>
    <n v="20608361074"/>
    <s v="[{'id_producto': '1', 'codigo_producto': '', 'nom_producto': 'COMISIÃ“N PAGOS DIGITALES SEGUN CONTRATO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09-02T00:00:00"/>
    <m/>
    <m/>
    <m/>
    <m/>
    <m/>
    <n v="1"/>
    <m/>
    <x v="7"/>
    <m/>
    <n v="1"/>
    <n v="322"/>
    <n v="379.96"/>
    <m/>
    <n v="322"/>
    <n v="18"/>
    <n v="57.96"/>
    <n v="379.96"/>
    <n v="1"/>
    <m/>
    <s v="not_paid"/>
    <x v="0"/>
    <n v="2"/>
    <s v="SAMUEL CHUQUISTA"/>
    <n v="1106"/>
    <s v="7012100 MercaderÃ­as-Venta Local-Terceros"/>
    <s v="[]"/>
    <m/>
    <m/>
    <m/>
    <m/>
    <m/>
    <s v="JP Producciones Generales EIRL"/>
    <m/>
    <x v="48"/>
  </r>
  <r>
    <s v="(01) Factura FB01"/>
    <s v="00000032"/>
    <s v="COLABORATIVA S.A.C."/>
    <x v="7"/>
    <d v="2025-10-09T12:49:58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09-02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n v="1106"/>
    <s v="7012100 MercaderÃ­as-Venta Local-Terceros"/>
    <s v="[]"/>
    <m/>
    <m/>
    <m/>
    <m/>
    <m/>
    <s v="JP Producciones Generales EIRL"/>
    <m/>
    <x v="49"/>
  </r>
  <r>
    <s v="(01) Factura FB01"/>
    <s v="00000030"/>
    <s v="COLABORATIVA S.A.C."/>
    <x v="7"/>
    <d v="2025-10-09T12:13:13"/>
    <x v="4"/>
    <m/>
    <n v="6"/>
    <n v="20609593076"/>
    <s v="[{'id_producto': '1', 'codigo_producto': '', 'nom_producto': 'COMISIÃ“N PAGOS DIGITALES SEGUN CONTRATO -', 'categoria_producto': '', 'cantidad': '1.0', 'valor_unitario': 54.15, 'precio_unitario': 63.9, 'descuento': None, 'subtotal': 54.15, 'porcentaje_de_igv': '18.01', 'igv': 9.75, 'total': 63.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"/>
    <d v="2025-09-02T00:00:00"/>
    <m/>
    <m/>
    <m/>
    <m/>
    <m/>
    <n v="1"/>
    <m/>
    <x v="1"/>
    <m/>
    <n v="1"/>
    <n v="54.15"/>
    <n v="63.9"/>
    <m/>
    <n v="54.15"/>
    <n v="18.010000000000002"/>
    <n v="9.75"/>
    <n v="63.9"/>
    <n v="1"/>
    <m/>
    <s v="not_paid"/>
    <x v="0"/>
    <n v="2"/>
    <s v="SAMUEL CHUQUISTA"/>
    <n v="1106"/>
    <s v="7012100 MercaderÃ­as-Venta Local-Terceros"/>
    <s v="[]"/>
    <m/>
    <m/>
    <m/>
    <m/>
    <m/>
    <s v="CORPORACION MUKANRANKO S.A.C."/>
    <m/>
    <x v="50"/>
  </r>
  <r>
    <s v="(01) Factura FB01"/>
    <s v="00000029"/>
    <s v="COLABORATIVA S.A.C."/>
    <x v="8"/>
    <d v="2025-10-09T11:14:46"/>
    <x v="4"/>
    <m/>
    <n v="6"/>
    <n v="20609593076"/>
    <s v="[{'id_producto': '1', 'codigo_producto': '', 'nom_producto': 'COMISIÃ“N PAGOS DIGITALES SEGUN CONTRATO -', 'categoria_producto': '', 'cantidad': '1.0', 'valor_unitario': 54.15, 'precio_unitario': 63.9, 'descuento': None, 'subtotal': 54.15, 'porcentaje_de_igv': '18.01', 'igv': 9.75, 'total': 63.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"/>
    <d v="2025-08-29T00:00:00"/>
    <m/>
    <m/>
    <m/>
    <m/>
    <m/>
    <n v="1"/>
    <m/>
    <x v="1"/>
    <m/>
    <n v="1"/>
    <n v="54.15"/>
    <n v="63.9"/>
    <m/>
    <n v="54.15"/>
    <n v="18.010000000000002"/>
    <n v="9.75"/>
    <n v="63.9"/>
    <n v="1"/>
    <m/>
    <s v="not_paid"/>
    <x v="0"/>
    <n v="2"/>
    <s v="SAMUEL CHUQUISTA"/>
    <n v="1106"/>
    <s v="7012100 MercaderÃ­as-Venta Local-Terceros"/>
    <s v="[]"/>
    <m/>
    <m/>
    <m/>
    <m/>
    <m/>
    <s v="CORPORACION MUKANRANKO S.A.C."/>
    <m/>
    <x v="51"/>
  </r>
  <r>
    <s v="(01) Factura FB01"/>
    <s v="00000028"/>
    <s v="COLABORATIVA S.A.C."/>
    <x v="9"/>
    <d v="2025-10-09T15:24:46"/>
    <x v="4"/>
    <m/>
    <n v="6"/>
    <n v="20609593076"/>
    <s v="[{'id_producto': '1', 'codigo_producto': '231', 'nom_producto': 'DIFUSION MAILING', 'categoria_producto': 'service', 'cantidad': '1.0', 'valor_unitario': 900.0, 'precio_unitario': 1062.0, 'descuento': None, 'subtotal': 900.0, 'porcentaje_de_igv': '18.00', 'igv': 162.0, 'total': 1062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"/>
    <d v="2025-08-27T00:00:00"/>
    <m/>
    <m/>
    <m/>
    <m/>
    <m/>
    <n v="1"/>
    <n v="231"/>
    <x v="8"/>
    <s v="service"/>
    <n v="1"/>
    <n v="900"/>
    <n v="1062"/>
    <m/>
    <n v="900"/>
    <n v="18"/>
    <n v="162"/>
    <n v="1062"/>
    <n v="1"/>
    <m/>
    <s v="not_paid"/>
    <x v="0"/>
    <n v="2"/>
    <s v="SAMUEL CHUQUISTA"/>
    <n v="1106"/>
    <s v="7012100 MercaderÃ­as-Venta Local-Terceros"/>
    <s v="[]"/>
    <m/>
    <m/>
    <m/>
    <m/>
    <m/>
    <s v="CORPORACION MUKANRANKO S.A.C."/>
    <m/>
    <x v="52"/>
  </r>
  <r>
    <s v="(01) Factura FB01"/>
    <s v="00000027"/>
    <s v="COLABORATIVA S.A.C."/>
    <x v="9"/>
    <d v="2025-10-09T15:12:52"/>
    <x v="4"/>
    <m/>
    <n v="6"/>
    <n v="20609593076"/>
    <s v="[{'id_producto': '1', 'codigo_producto': '', 'nom_producto': 'COMISIÃ“N PAGOS DIGITALES SEGUN CONTRATO -', 'categoria_producto': '', 'cantidad': '1.0', 'valor_unitario': 53.9, 'precio_unitario': 63.6, 'descuento': None, 'subtotal': 53.9, 'porcentaje_de_igv': '18.00', 'igv': 9.7, 'total': 63.6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"/>
    <d v="2025-08-27T00:00:00"/>
    <m/>
    <m/>
    <m/>
    <m/>
    <m/>
    <n v="1"/>
    <m/>
    <x v="1"/>
    <m/>
    <n v="1"/>
    <n v="53.9"/>
    <n v="63.6"/>
    <m/>
    <n v="53.9"/>
    <n v="18"/>
    <n v="9.6999999999999993"/>
    <n v="63.6"/>
    <n v="1"/>
    <m/>
    <s v="not_paid"/>
    <x v="0"/>
    <n v="2"/>
    <s v="SAMUEL CHUQUISTA"/>
    <n v="1106"/>
    <s v="7012100 MercaderÃ­as-Venta Local-Terceros"/>
    <s v="[]"/>
    <m/>
    <m/>
    <m/>
    <m/>
    <m/>
    <s v="CORPORACION MUKANRANKO S.A.C."/>
    <m/>
    <x v="53"/>
  </r>
  <r>
    <s v="(01) Factura FB01"/>
    <s v="00000026"/>
    <s v="COLABORATIVA S.A.C."/>
    <x v="9"/>
    <d v="2025-10-09T15:09:12"/>
    <x v="4"/>
    <m/>
    <n v="6"/>
    <n v="20609593076"/>
    <s v="[{'id_producto': '1', 'codigo_producto': '', 'nom_producto': 'COMISIÃ“N PAGOS DIGITALES SEGUN CONTRATO -', 'categoria_producto': '', 'cantidad': '1.0', 'valor_unitario': 53.81, 'precio_unitario': 63.5, 'descuento': None, 'subtotal': 53.81, 'porcentaje_de_igv': '18.01', 'igv': 9.69, 'total': 63.5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"/>
    <d v="2025-08-27T00:00:00"/>
    <m/>
    <m/>
    <m/>
    <m/>
    <m/>
    <n v="1"/>
    <m/>
    <x v="1"/>
    <m/>
    <n v="1"/>
    <n v="53.81"/>
    <n v="63.5"/>
    <m/>
    <n v="53.81"/>
    <n v="18.010000000000002"/>
    <n v="9.69"/>
    <n v="63.5"/>
    <n v="1"/>
    <m/>
    <s v="not_paid"/>
    <x v="0"/>
    <n v="2"/>
    <s v="SAMUEL CHUQUISTA"/>
    <n v="1106"/>
    <s v="7012100 MercaderÃ­as-Venta Local-Terceros"/>
    <s v="[]"/>
    <m/>
    <m/>
    <m/>
    <m/>
    <m/>
    <s v="CORPORACION MUKANRANKO S.A.C."/>
    <m/>
    <x v="54"/>
  </r>
  <r>
    <s v="(01) Factura FB01"/>
    <s v="00000025"/>
    <s v="COLABORATIVA S.A.C."/>
    <x v="9"/>
    <d v="2025-10-09T14:49:59"/>
    <x v="4"/>
    <m/>
    <n v="6"/>
    <n v="20609593076"/>
    <s v="[{'id_producto': '1', 'codigo_producto': '', 'nom_producto': 'PERSONAL -', 'categoria_producto': '', 'cantidad': '1.0', 'valor_unitario': 1016.95, 'precio_unitario': 1200.0, 'descuento': None, 'subtotal': 1016.95, 'porcentaje_de_igv': '18.00', 'igv': 183.05, 'total': 120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"/>
    <d v="2025-08-27T00:00:00"/>
    <m/>
    <m/>
    <m/>
    <m/>
    <m/>
    <n v="1"/>
    <m/>
    <x v="5"/>
    <m/>
    <n v="1"/>
    <n v="1016.95"/>
    <n v="1200"/>
    <m/>
    <n v="1016.95"/>
    <n v="18"/>
    <n v="183.05"/>
    <n v="1200"/>
    <n v="1"/>
    <m/>
    <s v="not_paid"/>
    <x v="0"/>
    <n v="2"/>
    <s v="SAMUEL CHUQUISTA"/>
    <n v="1106"/>
    <s v="7012100 MercaderÃ­as-Venta Local-Terceros"/>
    <s v="[]"/>
    <m/>
    <m/>
    <m/>
    <m/>
    <m/>
    <s v="CORPORACION MUKANRANKO S.A.C."/>
    <m/>
    <x v="55"/>
  </r>
  <r>
    <s v="(01) Factura FB01"/>
    <s v="00000024"/>
    <s v="COLABORATIVA S.A.C."/>
    <x v="9"/>
    <d v="2025-10-09T14:38:20"/>
    <x v="4"/>
    <m/>
    <n v="6"/>
    <n v="20609593076"/>
    <s v="[{'id_producto': '1', 'codigo_producto': '', 'nom_producto': 'PERSONAL -', 'categoria_producto': '', 'cantidad': '1.0', 'valor_unitario': 1016.95, 'precio_unitario': 1200.0, 'descuento': None, 'subtotal': 1016.95, 'porcentaje_de_igv': '18.00', 'igv': 183.05, 'total': 120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"/>
    <d v="2025-08-27T00:00:00"/>
    <m/>
    <m/>
    <m/>
    <m/>
    <m/>
    <n v="1"/>
    <m/>
    <x v="5"/>
    <m/>
    <n v="1"/>
    <n v="1016.95"/>
    <n v="1200"/>
    <m/>
    <n v="1016.95"/>
    <n v="18"/>
    <n v="183.05"/>
    <n v="1200"/>
    <n v="1"/>
    <m/>
    <s v="not_paid"/>
    <x v="0"/>
    <n v="2"/>
    <s v="SAMUEL CHUQUISTA"/>
    <n v="1106"/>
    <s v="7012100 MercaderÃ­as-Venta Local-Terceros"/>
    <s v="[]"/>
    <m/>
    <m/>
    <m/>
    <m/>
    <m/>
    <s v="CORPORACION MUKANRANKO S.A.C."/>
    <m/>
    <x v="56"/>
  </r>
  <r>
    <s v="(01) Factura FB01"/>
    <s v="00000023"/>
    <s v="COLABORATIVA S.A.C."/>
    <x v="9"/>
    <d v="2025-10-09T14:34:28"/>
    <x v="4"/>
    <m/>
    <n v="6"/>
    <n v="20609593076"/>
    <s v="[{'id_producto': '1', 'codigo_producto': '', 'nom_producto': 'PERSONAL -', 'categoria_producto': '', 'cantidad': '1.0', 'valor_unitario': 805.08, 'precio_unitario': 949.99, 'descuento': None, 'subtotal': 805.08, 'porcentaje_de_igv': '18.00', 'igv': 144.91, 'total': 949.9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"/>
    <d v="2025-08-27T00:00:00"/>
    <m/>
    <m/>
    <m/>
    <m/>
    <m/>
    <n v="1"/>
    <m/>
    <x v="5"/>
    <m/>
    <n v="1"/>
    <n v="805.08"/>
    <n v="949.99"/>
    <m/>
    <n v="805.08"/>
    <n v="18"/>
    <n v="144.91"/>
    <n v="949.99"/>
    <n v="1"/>
    <m/>
    <s v="not_paid"/>
    <x v="0"/>
    <n v="2"/>
    <s v="SAMUEL CHUQUISTA"/>
    <n v="1106"/>
    <s v="7012100 MercaderÃ­as-Venta Local-Terceros"/>
    <s v="[]"/>
    <m/>
    <m/>
    <m/>
    <m/>
    <m/>
    <s v="CORPORACION MUKANRANKO S.A.C."/>
    <m/>
    <x v="57"/>
  </r>
  <r>
    <s v="(01) Factura FB01"/>
    <s v="00000022"/>
    <s v="COLABORATIVA S.A.C."/>
    <x v="9"/>
    <d v="2025-10-09T12:25:43"/>
    <x v="4"/>
    <m/>
    <n v="6"/>
    <n v="20609593076"/>
    <s v="[{'id_producto': '1', 'codigo_producto': '', 'nom_producto': 'PERSONAL -', 'categoria_producto': '', 'cantidad': '1.0', 'valor_unitario': 677.97, 'precio_unitario': 800.0, 'descuento': None, 'subtotal': 677.97, 'porcentaje_de_igv': '18.00', 'igv': 122.03, 'total': 800.0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"/>
    <d v="2025-08-27T00:00:00"/>
    <m/>
    <m/>
    <m/>
    <m/>
    <m/>
    <n v="1"/>
    <m/>
    <x v="5"/>
    <m/>
    <n v="1"/>
    <n v="677.97"/>
    <n v="800"/>
    <m/>
    <n v="677.97"/>
    <n v="18"/>
    <n v="122.03"/>
    <n v="800"/>
    <n v="1"/>
    <m/>
    <s v="not_paid"/>
    <x v="0"/>
    <n v="2"/>
    <s v="SAMUEL CHUQUISTA"/>
    <n v="1106"/>
    <s v="7012100 MercaderÃ­as-Venta Local-Terceros"/>
    <s v="[]"/>
    <m/>
    <m/>
    <m/>
    <m/>
    <m/>
    <s v="CORPORACION MUKANRANKO S.A.C."/>
    <m/>
    <x v="58"/>
  </r>
  <r>
    <s v="(01) Factura FB01"/>
    <s v="00000021"/>
    <s v="COLABORATIVA S.A.C."/>
    <x v="9"/>
    <d v="2025-10-09T12:07:18"/>
    <x v="4"/>
    <m/>
    <n v="6"/>
    <n v="20609593076"/>
    <s v="[{'id_producto': '1', 'codigo_producto': '', 'nom_producto': 'COMISIÃ“N PAGOS DIGITALES SEGUN CONTRATO -', 'categoria_producto': '', 'cantidad': '1.0', 'valor_unitario': 51.99, 'precio_unitario': 61.35, 'descuento': None, 'subtotal': 51.99, 'porcentaje_de_igv': '18.00', 'igv': 9.36, 'total': 61.35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"/>
    <d v="2025-08-27T00:00:00"/>
    <m/>
    <m/>
    <m/>
    <m/>
    <m/>
    <n v="1"/>
    <m/>
    <x v="1"/>
    <m/>
    <n v="1"/>
    <n v="51.99"/>
    <n v="61.35"/>
    <m/>
    <n v="51.99"/>
    <n v="18"/>
    <n v="9.36"/>
    <n v="61.35"/>
    <n v="1"/>
    <m/>
    <s v="not_paid"/>
    <x v="0"/>
    <n v="2"/>
    <s v="SAMUEL CHUQUISTA"/>
    <n v="1106"/>
    <s v="7012100 MercaderÃ­as-Venta Local-Terceros"/>
    <s v="[]"/>
    <m/>
    <m/>
    <m/>
    <m/>
    <m/>
    <s v="CORPORACION MUKANRANKO S.A.C."/>
    <m/>
    <x v="59"/>
  </r>
  <r>
    <s v="(01) Factura F001"/>
    <s v="00000014"/>
    <s v="COLABORATIVA S.A.C."/>
    <x v="10"/>
    <d v="2025-10-09T10:38:25"/>
    <x v="4"/>
    <m/>
    <n v="6"/>
    <n v="20609593076"/>
    <s v="[{'id_producto': '1', 'codigo_producto': '', 'nom_producto': 'COMISIÃ“N PAGOS DIGITALES SEGUN CONTRATO -', 'categoria_producto': '', 'cantidad': '1.0', 'valor_unitario': 55.34, 'precio_unitario': 65.3, 'descuento': None, 'subtotal': 55.34, 'porcentaje_de_igv': '18.00', 'igv': 9.96, 'total': 65.3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"/>
    <d v="2025-08-25T00:00:00"/>
    <m/>
    <m/>
    <m/>
    <m/>
    <m/>
    <n v="1"/>
    <m/>
    <x v="1"/>
    <m/>
    <n v="1"/>
    <n v="55.34"/>
    <n v="65.3"/>
    <m/>
    <n v="55.34"/>
    <n v="18"/>
    <n v="9.9600000000000009"/>
    <n v="65.3"/>
    <n v="1"/>
    <m/>
    <s v="not_paid"/>
    <x v="0"/>
    <n v="2"/>
    <s v="SAMUEL CHUQUISTA"/>
    <n v="1106"/>
    <s v="7012100 MercaderÃ­as-Venta Local-Terceros"/>
    <s v="[]"/>
    <m/>
    <m/>
    <m/>
    <m/>
    <m/>
    <s v="CORPORACION MUKANRANKO S.A.C."/>
    <m/>
    <x v="60"/>
  </r>
  <r>
    <s v="(01) Factura F001"/>
    <s v="00000013"/>
    <s v="COLABORATIVA S.A.C."/>
    <x v="10"/>
    <d v="2025-10-09T09:04:28"/>
    <x v="4"/>
    <m/>
    <n v="6"/>
    <n v="20609593076"/>
    <s v="[{'id_producto': '1', 'codigo_producto': '', 'nom_producto': 'COMISIÃ“N PAGOS DIGITALES SEGUN CONTRATO -', 'categoria_producto': '', 'cantidad': '1.0', 'valor_unitario': 51.86, 'precio_unitario': 61.19, 'descuento': None, 'subtotal': 51.86, 'porcentaje_de_igv': '17.99', 'igv': 9.33, 'total': 61.1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"/>
    <d v="2025-08-25T00:00:00"/>
    <m/>
    <m/>
    <m/>
    <m/>
    <m/>
    <n v="1"/>
    <m/>
    <x v="1"/>
    <m/>
    <n v="1"/>
    <n v="51.86"/>
    <n v="61.19"/>
    <m/>
    <n v="51.86"/>
    <n v="17.989999999999998"/>
    <n v="9.33"/>
    <n v="61.19"/>
    <n v="1"/>
    <m/>
    <s v="not_paid"/>
    <x v="0"/>
    <n v="2"/>
    <s v="SAMUEL CHUQUISTA"/>
    <n v="1106"/>
    <s v="7012100 MercaderÃ­as-Venta Local-Terceros"/>
    <s v="[]"/>
    <m/>
    <m/>
    <m/>
    <m/>
    <m/>
    <s v="CORPORACION MUKANRANKO S.A.C."/>
    <m/>
    <x v="61"/>
  </r>
  <r>
    <s v="(01) Factura F001"/>
    <s v="00000011"/>
    <s v="COLABORATIVA S.A.C."/>
    <x v="10"/>
    <d v="2025-10-09T08:54:19"/>
    <x v="4"/>
    <m/>
    <n v="6"/>
    <n v="20609593076"/>
    <s v="[{'id_producto': '1', 'codigo_producto': '', 'nom_producto': 'COMISIÃ“N PAGOS DIGITALES SEGÃšN CONTRATO', 'categoria_producto': '', 'cantidad': '1.0', 'valor_unitario': 51.86, 'precio_unitario': 61.19, 'descuento': None, 'subtotal': 51.86, 'porcentaje_de_igv': '17.99', 'igv': 9.33, 'total': 61.19, 'moneda': '1', 'tipo_de_cambio': '', 'id_estado': 'not_paid', 'nombre_estado': 'Sin pagar', 'evento': {'id_evento': '', 'nom_evento': '', 'Fecha_hora_ini_event': '', 'Fecha_hora_fin_event': '', 'id_organizador': '', 'nom_organizador': 'CORPORACION MUKANRANKO S.A.C.', 'tipo_organizador': ''}, 'id_vendedor': 2, 'nom_vendedor': 'SAMUEL CHUQUISTA', 'id_cuenta_analitica': 1106, 'nom_cuenta_analitica': '7012100 MercaderÃ­as-Venta Local-Terceros', 'distribucion_analitica': []}]"/>
    <d v="2025-08-25T00:00:00"/>
    <m/>
    <m/>
    <m/>
    <m/>
    <m/>
    <n v="1"/>
    <m/>
    <x v="0"/>
    <m/>
    <n v="1"/>
    <n v="51.86"/>
    <n v="61.19"/>
    <m/>
    <n v="51.86"/>
    <n v="17.989999999999998"/>
    <n v="9.33"/>
    <n v="61.19"/>
    <n v="1"/>
    <m/>
    <s v="not_paid"/>
    <x v="0"/>
    <n v="2"/>
    <s v="SAMUEL CHUQUISTA"/>
    <n v="1106"/>
    <s v="7012100 MercaderÃ­as-Venta Local-Terceros"/>
    <s v="[]"/>
    <m/>
    <m/>
    <m/>
    <m/>
    <m/>
    <s v="CORPORACION MUKANRANKO S.A.C."/>
    <m/>
    <x v="62"/>
  </r>
  <r>
    <s v="(01) Factura F001"/>
    <s v="00000015"/>
    <s v="COLABORATIVA S.A.C."/>
    <x v="10"/>
    <d v="2025-10-09T12:52:03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08-25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n v="1106"/>
    <s v="7012100 MercaderÃ­as-Venta Local-Terceros"/>
    <s v="[]"/>
    <m/>
    <m/>
    <m/>
    <m/>
    <m/>
    <s v="JP Producciones Generales EIRL"/>
    <m/>
    <x v="63"/>
  </r>
  <r>
    <s v="(01) Factura F001"/>
    <s v="00000012"/>
    <s v="COLABORATIVA S.A.C."/>
    <x v="10"/>
    <d v="2025-10-09T09:01:27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08-25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n v="1106"/>
    <s v="7012100 MercaderÃ­as-Venta Local-Terceros"/>
    <s v="[]"/>
    <m/>
    <m/>
    <m/>
    <m/>
    <m/>
    <s v="JP Producciones Generales EIRL"/>
    <m/>
    <x v="64"/>
  </r>
  <r>
    <s v="(01) Factura F001"/>
    <s v="00000010"/>
    <s v="COLABORATIVA S.A.C."/>
    <x v="11"/>
    <d v="2025-10-09T17:24:31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08-22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n v="1106"/>
    <s v="7012100 MercaderÃ­as-Venta Local-Terceros"/>
    <s v="[]"/>
    <m/>
    <m/>
    <m/>
    <m/>
    <m/>
    <s v="JP Producciones Generales EIRL"/>
    <m/>
    <x v="65"/>
  </r>
  <r>
    <s v="(01) Factura F001"/>
    <s v="00000009"/>
    <s v="COLABORATIVA S.A.C."/>
    <x v="11"/>
    <d v="2025-10-09T17:13:36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08-22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n v="1106"/>
    <s v="7012100 MercaderÃ­as-Venta Local-Terceros"/>
    <s v="[]"/>
    <m/>
    <m/>
    <m/>
    <m/>
    <m/>
    <s v="JP Producciones Generales EIRL"/>
    <m/>
    <x v="66"/>
  </r>
  <r>
    <s v="(01) Factura F001"/>
    <s v="00000008"/>
    <s v="COLABORATIVA S.A.C."/>
    <x v="11"/>
    <d v="2025-10-09T17:10:18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08-22T00:00:00"/>
    <m/>
    <m/>
    <m/>
    <m/>
    <m/>
    <n v="1"/>
    <m/>
    <x v="6"/>
    <m/>
    <n v="1"/>
    <n v="0"/>
    <n v="0"/>
    <m/>
    <n v="0"/>
    <n v="0"/>
    <n v="0"/>
    <n v="0"/>
    <n v="1"/>
    <m/>
    <s v="paid"/>
    <x v="1"/>
    <n v="2"/>
    <s v="SAMUEL CHUQUISTA"/>
    <n v="1106"/>
    <s v="7012100 MercaderÃ­as-Venta Local-Terceros"/>
    <s v="[]"/>
    <m/>
    <m/>
    <m/>
    <m/>
    <m/>
    <s v="JP Producciones Generales EIRL"/>
    <m/>
    <x v="67"/>
  </r>
  <r>
    <s v="(01) Factura F001"/>
    <s v="00000007"/>
    <s v="COLABORATIVA S.A.C."/>
    <x v="11"/>
    <d v="2025-10-09T16:16:30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08-22T00:00:00"/>
    <m/>
    <m/>
    <m/>
    <m/>
    <m/>
    <n v="1"/>
    <m/>
    <x v="6"/>
    <m/>
    <n v="1"/>
    <n v="0"/>
    <n v="0"/>
    <m/>
    <n v="0"/>
    <n v="0"/>
    <n v="0"/>
    <n v="0"/>
    <n v="1"/>
    <m/>
    <s v="paid"/>
    <x v="1"/>
    <n v="2"/>
    <s v="SAMUEL CHUQUISTA"/>
    <n v="1106"/>
    <s v="7012100 MercaderÃ­as-Venta Local-Terceros"/>
    <s v="[]"/>
    <m/>
    <m/>
    <m/>
    <m/>
    <m/>
    <s v="JP Producciones Generales EIRL"/>
    <m/>
    <x v="68"/>
  </r>
  <r>
    <s v="(01) Factura F001"/>
    <s v="00000006"/>
    <s v="COLABORATIVA S.A.C."/>
    <x v="11"/>
    <d v="2025-10-09T16:15:11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08-22T00:00:00"/>
    <m/>
    <m/>
    <m/>
    <m/>
    <m/>
    <n v="1"/>
    <m/>
    <x v="6"/>
    <m/>
    <n v="1"/>
    <n v="0"/>
    <n v="0"/>
    <m/>
    <n v="0"/>
    <n v="0"/>
    <n v="0"/>
    <n v="0"/>
    <n v="1"/>
    <m/>
    <s v="paid"/>
    <x v="1"/>
    <n v="2"/>
    <s v="SAMUEL CHUQUISTA"/>
    <n v="1106"/>
    <s v="7012100 MercaderÃ­as-Venta Local-Terceros"/>
    <s v="[]"/>
    <m/>
    <m/>
    <m/>
    <m/>
    <m/>
    <s v="JP Producciones Generales EIRL"/>
    <m/>
    <x v="69"/>
  </r>
  <r>
    <s v="(01) Factura F001"/>
    <s v="00000004"/>
    <s v="COLABORATIVA S.A.C."/>
    <x v="11"/>
    <d v="2025-10-09T16:08:44"/>
    <x v="6"/>
    <m/>
    <n v="6"/>
    <n v="20612433489"/>
    <s v="[{'id_producto': '1', 'codigo_producto': '', 'nom_producto': 'COMISION CORTESIA - emision cortesia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1106, 'nom_cuenta_analitica': '7012100 MercaderÃ­as-Venta Local-Terceros', 'distribucion_analitica': []}]"/>
    <d v="2025-08-22T00:00:00"/>
    <m/>
    <m/>
    <m/>
    <m/>
    <m/>
    <n v="1"/>
    <m/>
    <x v="9"/>
    <m/>
    <n v="1"/>
    <n v="0"/>
    <n v="0"/>
    <m/>
    <n v="0"/>
    <n v="0"/>
    <n v="0"/>
    <n v="0"/>
    <n v="1"/>
    <m/>
    <s v="paid"/>
    <x v="1"/>
    <n v="2"/>
    <s v="SAMUEL CHUQUISTA"/>
    <n v="1106"/>
    <s v="7012100 MercaderÃ­as-Venta Local-Terceros"/>
    <s v="[]"/>
    <m/>
    <m/>
    <m/>
    <m/>
    <m/>
    <s v="RF PROMOTORA DE ESPECTACULOS E.I.R.L"/>
    <m/>
    <x v="70"/>
  </r>
  <r>
    <s v="(01) Factura F001"/>
    <s v="00000003"/>
    <s v="COLABORATIVA S.A.C."/>
    <x v="11"/>
    <d v="2025-10-09T15:50:29"/>
    <x v="6"/>
    <m/>
    <n v="6"/>
    <n v="20612433489"/>
    <s v="[{'id_producto': '1', 'codigo_producto': '', 'nom_producto': 'COMISION CORTESIA - CortesÃ­a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1106, 'nom_cuenta_analitica': '7012100 MercaderÃ­as-Venta Local-Terceros', 'distribucion_analitica': []}]"/>
    <d v="2025-08-22T00:00:00"/>
    <m/>
    <m/>
    <m/>
    <m/>
    <m/>
    <n v="1"/>
    <m/>
    <x v="10"/>
    <m/>
    <n v="1"/>
    <n v="0"/>
    <n v="0"/>
    <m/>
    <n v="0"/>
    <n v="0"/>
    <n v="0"/>
    <n v="0"/>
    <n v="1"/>
    <m/>
    <s v="paid"/>
    <x v="1"/>
    <n v="2"/>
    <s v="SAMUEL CHUQUISTA"/>
    <n v="1106"/>
    <s v="7012100 MercaderÃ­as-Venta Local-Terceros"/>
    <s v="[]"/>
    <m/>
    <m/>
    <m/>
    <m/>
    <m/>
    <s v="RF PROMOTORA DE ESPECTACULOS E.I.R.L"/>
    <m/>
    <x v="71"/>
  </r>
  <r>
    <s v="(01) Factura F001"/>
    <s v="00000002"/>
    <s v="COLABORATIVA S.A.C."/>
    <x v="11"/>
    <d v="2025-10-09T15:23:33"/>
    <x v="6"/>
    <m/>
    <n v="6"/>
    <n v="20612433489"/>
    <s v="[{'id_producto': '1', 'codigo_producto': '', 'nom_producto': 'COMISION CORTESIA - emision cortesia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RF PROMOTORA DE ESPECTACULOS E.I.R.L', 'tipo_organizador': ''}, 'id_vendedor': 2, 'nom_vendedor': 'SAMUEL CHUQUISTA', 'id_cuenta_analitica': 1106, 'nom_cuenta_analitica': '7012100 MercaderÃ­as-Venta Local-Terceros', 'distribucion_analitica': []}]"/>
    <d v="2025-08-22T00:00:00"/>
    <m/>
    <m/>
    <m/>
    <m/>
    <m/>
    <n v="1"/>
    <m/>
    <x v="9"/>
    <m/>
    <n v="1"/>
    <n v="0"/>
    <n v="0"/>
    <m/>
    <n v="0"/>
    <n v="0"/>
    <n v="0"/>
    <n v="0"/>
    <n v="1"/>
    <m/>
    <s v="paid"/>
    <x v="1"/>
    <n v="2"/>
    <s v="SAMUEL CHUQUISTA"/>
    <n v="1106"/>
    <s v="7012100 MercaderÃ­as-Venta Local-Terceros"/>
    <s v="[]"/>
    <m/>
    <m/>
    <m/>
    <m/>
    <m/>
    <s v="RF PROMOTORA DE ESPECTACULOS E.I.R.L"/>
    <m/>
    <x v="72"/>
  </r>
  <r>
    <s v="(01) Factura FB01"/>
    <s v="00000034"/>
    <s v="COLABORATIVA S.A.C."/>
    <x v="7"/>
    <d v="2025-10-09T15:18:47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09-02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n v="1106"/>
    <s v="7012100 MercaderÃ­as-Venta Local-Terceros"/>
    <s v="[]"/>
    <m/>
    <m/>
    <m/>
    <m/>
    <m/>
    <s v="JP Producciones Generales EIRL"/>
    <m/>
    <x v="73"/>
  </r>
  <r>
    <s v="(01) Factura FB01"/>
    <s v="00000031"/>
    <s v="COLABORATIVA S.A.C."/>
    <x v="7"/>
    <d v="2025-10-09T12:48:40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09-02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n v="1106"/>
    <s v="7012100 MercaderÃ­as-Venta Local-Terceros"/>
    <s v="[]"/>
    <m/>
    <m/>
    <m/>
    <m/>
    <m/>
    <s v="JP Producciones Generales EIRL"/>
    <m/>
    <x v="74"/>
  </r>
  <r>
    <s v="(01) Factura FB01"/>
    <s v="00000020"/>
    <s v="COLABORATIVA S.A.C."/>
    <x v="12"/>
    <d v="2025-10-09T14:44:48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08-26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n v="1106"/>
    <s v="7012100 MercaderÃ­as-Venta Local-Terceros"/>
    <s v="[]"/>
    <m/>
    <m/>
    <m/>
    <m/>
    <m/>
    <s v="JP Producciones Generales EIRL"/>
    <m/>
    <x v="75"/>
  </r>
  <r>
    <s v="(01) Factura FB01"/>
    <s v="00000019"/>
    <s v="COLABORATIVA S.A.C."/>
    <x v="12"/>
    <d v="2025-10-09T14:41:23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08-26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n v="1106"/>
    <s v="7012100 MercaderÃ­as-Venta Local-Terceros"/>
    <s v="[]"/>
    <m/>
    <m/>
    <m/>
    <m/>
    <m/>
    <s v="JP Producciones Generales EIRL"/>
    <m/>
    <x v="76"/>
  </r>
  <r>
    <s v="(01) Factura FB01"/>
    <s v="00000018"/>
    <s v="COLABORATIVA S.A.C."/>
    <x v="12"/>
    <d v="2025-10-09T14:40:06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08-26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n v="1106"/>
    <s v="7012100 MercaderÃ­as-Venta Local-Terceros"/>
    <s v="[]"/>
    <m/>
    <m/>
    <m/>
    <m/>
    <m/>
    <s v="JP Producciones Generales EIRL"/>
    <m/>
    <x v="77"/>
  </r>
  <r>
    <s v="(01) Factura FB01"/>
    <s v="00000017"/>
    <s v="COLABORATIVA S.A.C."/>
    <x v="12"/>
    <d v="2025-10-09T14:26:56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08-26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n v="1106"/>
    <s v="7012100 MercaderÃ­as-Venta Local-Terceros"/>
    <s v="[]"/>
    <m/>
    <m/>
    <m/>
    <m/>
    <m/>
    <s v="JP Producciones Generales EIRL"/>
    <m/>
    <x v="78"/>
  </r>
  <r>
    <s v="(01) Factura FB01"/>
    <s v="00000016"/>
    <s v="COLABORATIVA S.A.C."/>
    <x v="12"/>
    <d v="2025-10-09T14:07:17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322.0, 'precio_unitario': 379.96, 'descuento': None, 'subtotal': 322.0, 'porcentaje_de_igv': '18.00', 'igv': 57.96, 'total': 379.96, 'moneda': '1', 'tipo_de_cambio': '', 'id_estado': 'not_paid', 'nombre_estado': 'Sin pagar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08-26T00:00:00"/>
    <m/>
    <m/>
    <m/>
    <m/>
    <m/>
    <n v="1"/>
    <m/>
    <x v="6"/>
    <m/>
    <n v="1"/>
    <n v="322"/>
    <n v="379.96"/>
    <m/>
    <n v="322"/>
    <n v="18"/>
    <n v="57.96"/>
    <n v="379.96"/>
    <n v="1"/>
    <m/>
    <s v="not_paid"/>
    <x v="0"/>
    <n v="2"/>
    <s v="SAMUEL CHUQUISTA"/>
    <n v="1106"/>
    <s v="7012100 MercaderÃ­as-Venta Local-Terceros"/>
    <s v="[]"/>
    <m/>
    <m/>
    <m/>
    <m/>
    <m/>
    <s v="JP Producciones Generales EIRL"/>
    <m/>
    <x v="79"/>
  </r>
  <r>
    <s v="(01) Factura F001"/>
    <s v="00000005"/>
    <s v="COLABORATIVA S.A.C."/>
    <x v="11"/>
    <d v="2025-10-09T16:13:49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08-22T00:00:00"/>
    <m/>
    <m/>
    <m/>
    <m/>
    <m/>
    <n v="1"/>
    <m/>
    <x v="6"/>
    <m/>
    <n v="1"/>
    <n v="0"/>
    <n v="0"/>
    <m/>
    <n v="0"/>
    <n v="0"/>
    <n v="0"/>
    <n v="0"/>
    <n v="1"/>
    <m/>
    <s v="paid"/>
    <x v="1"/>
    <n v="2"/>
    <s v="SAMUEL CHUQUISTA"/>
    <n v="1106"/>
    <s v="7012100 MercaderÃ­as-Venta Local-Terceros"/>
    <s v="[]"/>
    <m/>
    <m/>
    <m/>
    <m/>
    <m/>
    <s v="JP Producciones Generales EIRL"/>
    <m/>
    <x v="80"/>
  </r>
  <r>
    <s v="(01) Factura F001"/>
    <s v="00000001"/>
    <s v="COLABORATIVA S.A.C."/>
    <x v="13"/>
    <d v="2025-10-09T09:43:03"/>
    <x v="2"/>
    <s v="Cliente"/>
    <n v="6"/>
    <n v="20608361074"/>
    <s v="[{'id_producto': '1', 'codigo_producto': '', 'nom_producto': 'ENTRADAS IMPRESAS - ORDEN DE VENTA N663  Corazn Serrano en el Centro de Convenciones Scencia de la Molina /  FULL COLOR GENERAL /  BRAZALETES PLATINUM / BRAZALETES VIP', 'categoria_producto': '', 'cantidad': '1.0', 'valor_unitario': 0.0, 'precio_unitario': 0.0, 'descuento': None, 'subtotal': 0.0, 'porcentaje_de_igv': '0.00', 'igv': 0.0, 'total': 0.0, 'moneda': '1', 'tipo_de_cambio': '', 'id_estado': 'paid', 'nombre_estado': 'Pagado', 'evento': {'id_evento': '', 'nom_evento': '', 'Fecha_hora_ini_event': '', 'Fecha_hora_fin_event': '', 'id_organizador': '', 'nom_organizador': 'JP Producciones Generales EIRL', 'tipo_organizador': ''}, 'id_vendedor': 2, 'nom_vendedor': 'SAMUEL CHUQUISTA', 'id_cuenta_analitica': 1106, 'nom_cuenta_analitica': '7012100 MercaderÃ­as-Venta Local-Terceros', 'distribucion_analitica': []}]"/>
    <d v="2025-08-21T00:00:00"/>
    <m/>
    <m/>
    <m/>
    <m/>
    <m/>
    <n v="1"/>
    <m/>
    <x v="6"/>
    <m/>
    <n v="1"/>
    <n v="0"/>
    <n v="0"/>
    <m/>
    <n v="0"/>
    <n v="0"/>
    <n v="0"/>
    <n v="0"/>
    <n v="1"/>
    <m/>
    <s v="paid"/>
    <x v="1"/>
    <n v="2"/>
    <s v="SAMUEL CHUQUISTA"/>
    <n v="1106"/>
    <s v="7012100 MercaderÃ­as-Venta Local-Terceros"/>
    <s v="[]"/>
    <m/>
    <m/>
    <m/>
    <m/>
    <m/>
    <s v="JP Producciones Generales EIRL"/>
    <m/>
    <x v="81"/>
  </r>
  <r>
    <s v="F FFI"/>
    <s v="00000001"/>
    <s v="COLABORATIVA S.A.C."/>
    <x v="14"/>
    <d v="2025-10-09T00:00:00"/>
    <x v="3"/>
    <m/>
    <n v="6"/>
    <n v="20609168961"/>
    <s v="[{'id_producto': '1', 'codigo_producto': '232', 'nom_producto': 'DESARROLLO DE CONTENIDO', 'categoria_producto': 'service', 'cantidad': '1.0', 'valor_unitario': 104.24, 'precio_unitario': 123.0, 'descuento': None, 'subtotal': 104.24, 'porcentaje_de_igv': '18.00', 'igv': 18.76, 'total': 123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3, 'nom_distribucion': 'Validadores', 'sub_categoria': 'PERSONAL', 'porcentaje': '100.00'}]]}, {'id_producto': '2', 'codigo_producto': '227', 'nom_producto': 'DIFUSION DE EVENTO NIV 1', 'categoria_producto': 'service', 'cantidad': '1.0', 'valor_unitario': 103.39, 'precio_unitario': 122.0, 'descuento': None, 'subtotal': 103.39, 'porcentaje_de_igv': '18.00', 'igv': 18.61, 'total': 122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3, 'nom_distribucion': 'Validadores', 'sub_categoria': 'PERSONAL', 'porcentaje': '100.00'}]]}, {'id_producto': '3', 'codigo_producto': '220', 'nom_producto': 'full color ', 'categoria_producto': 'consu', 'cantidad': '1.0', 'valor_unitario': 102.54, 'precio_unitario': 121.0, 'descuento': None, 'subtotal': 102.54, 'porcentaje_de_igv': '18.00', 'igv': 18.46, 'total': 121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]]}]"/>
    <d v="2025-03-23T00:00:00"/>
    <m/>
    <m/>
    <m/>
    <m/>
    <m/>
    <n v="1"/>
    <n v="232"/>
    <x v="2"/>
    <s v="service"/>
    <n v="1"/>
    <n v="104.24"/>
    <n v="123"/>
    <m/>
    <n v="104.24"/>
    <n v="18"/>
    <n v="18.760000000000002"/>
    <n v="123"/>
    <n v="1"/>
    <m/>
    <s v="not_paid"/>
    <x v="0"/>
    <n v="2"/>
    <s v="SAMUEL CHUQUISTA"/>
    <n v="1106"/>
    <s v="7012100 MercaderÃ­as-Venta Local-Terceros"/>
    <s v="[[{'cÃ³digo': 101, 'nom_distribucion': 'Validadores', 'sub_categoria': 'DELIVERY', 'porcentaje': '100.00'}, {'cÃ³digo': 103, 'nom_distribucion': 'Validadores', 'sub_categoria': 'PERSONAL', 'porcentaje': '100.00'}]]"/>
    <m/>
    <m/>
    <m/>
    <m/>
    <m/>
    <s v="A &amp; Q AYLLU S.A.C."/>
    <m/>
    <x v="82"/>
  </r>
  <r>
    <s v="F FFI"/>
    <s v="00000001"/>
    <s v="COLABORATIVA S.A.C."/>
    <x v="14"/>
    <d v="2025-10-09T00:00:00"/>
    <x v="3"/>
    <m/>
    <n v="6"/>
    <n v="20609168961"/>
    <s v="[{'id_producto': '1', 'codigo_producto': '232', 'nom_producto': 'DESARROLLO DE CONTENIDO', 'categoria_producto': 'service', 'cantidad': '1.0', 'valor_unitario': 104.24, 'precio_unitario': 123.0, 'descuento': None, 'subtotal': 104.24, 'porcentaje_de_igv': '18.00', 'igv': 18.76, 'total': 123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3, 'nom_distribucion': 'Validadores', 'sub_categoria': 'PERSONAL', 'porcentaje': '100.00'}]]}, {'id_producto': '2', 'codigo_producto': '227', 'nom_producto': 'DIFUSION DE EVENTO NIV 1', 'categoria_producto': 'service', 'cantidad': '1.0', 'valor_unitario': 103.39, 'precio_unitario': 122.0, 'descuento': None, 'subtotal': 103.39, 'porcentaje_de_igv': '18.00', 'igv': 18.61, 'total': 122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3, 'nom_distribucion': 'Validadores', 'sub_categoria': 'PERSONAL', 'porcentaje': '100.00'}]]}, {'id_producto': '3', 'codigo_producto': '220', 'nom_producto': 'full color ', 'categoria_producto': 'consu', 'cantidad': '1.0', 'valor_unitario': 102.54, 'precio_unitario': 121.0, 'descuento': None, 'subtotal': 102.54, 'porcentaje_de_igv': '18.00', 'igv': 18.46, 'total': 121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]]}]"/>
    <d v="2025-03-23T00:00:00"/>
    <m/>
    <m/>
    <m/>
    <m/>
    <m/>
    <n v="2"/>
    <n v="227"/>
    <x v="11"/>
    <s v="service"/>
    <n v="1"/>
    <n v="103.39"/>
    <n v="122"/>
    <m/>
    <n v="103.39"/>
    <n v="18"/>
    <n v="18.61"/>
    <n v="122"/>
    <n v="1"/>
    <m/>
    <s v="not_paid"/>
    <x v="0"/>
    <n v="2"/>
    <s v="SAMUEL CHUQUISTA"/>
    <n v="1106"/>
    <s v="7012100 MercaderÃ­as-Venta Local-Terceros"/>
    <s v="[[{'cÃ³digo': 103, 'nom_distribucion': 'Validadores', 'sub_categoria': 'PERSONAL', 'porcentaje': '100.00'}]]"/>
    <m/>
    <m/>
    <m/>
    <m/>
    <m/>
    <s v="A &amp; Q AYLLU S.A.C."/>
    <m/>
    <x v="82"/>
  </r>
  <r>
    <s v="F FFI"/>
    <s v="00000001"/>
    <s v="COLABORATIVA S.A.C."/>
    <x v="14"/>
    <d v="2025-10-09T00:00:00"/>
    <x v="3"/>
    <m/>
    <n v="6"/>
    <n v="20609168961"/>
    <s v="[{'id_producto': '1', 'codigo_producto': '232', 'nom_producto': 'DESARROLLO DE CONTENIDO', 'categoria_producto': 'service', 'cantidad': '1.0', 'valor_unitario': 104.24, 'precio_unitario': 123.0, 'descuento': None, 'subtotal': 104.24, 'porcentaje_de_igv': '18.00', 'igv': 18.76, 'total': 123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, {'cÃ³digo': 103, 'nom_distribucion': 'Validadores', 'sub_categoria': 'PERSONAL', 'porcentaje': '100.00'}]]}, {'id_producto': '2', 'codigo_producto': '227', 'nom_producto': 'DIFUSION DE EVENTO NIV 1', 'categoria_producto': 'service', 'cantidad': '1.0', 'valor_unitario': 103.39, 'precio_unitario': 122.0, 'descuento': None, 'subtotal': 103.39, 'porcentaje_de_igv': '18.00', 'igv': 18.61, 'total': 122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3, 'nom_distribucion': 'Validadores', 'sub_categoria': 'PERSONAL', 'porcentaje': '100.00'}]]}, {'id_producto': '3', 'codigo_producto': '220', 'nom_producto': 'full color ', 'categoria_producto': 'consu', 'cantidad': '1.0', 'valor_unitario': 102.54, 'precio_unitario': 121.0, 'descuento': None, 'subtotal': 102.54, 'porcentaje_de_igv': '18.00', 'igv': 18.46, 'total': 121.0, 'moneda': '1', 'tipo_de_cambio': '', 'id_estado': 'not_paid', 'nombre_estado': 'Sin pagar', 'evento': {'id_evento': '', 'nom_evento': '', 'Fecha_hora_ini_event': '', 'Fecha_hora_fin_event': '', 'id_organizador': '', 'nom_organizador': 'A &amp; Q AYLLU S.A.C.', 'tipo_organizador': ''}, 'id_vendedor': 2, 'nom_vendedor': 'SAMUEL CHUQUISTA', 'id_cuenta_analitica': 1106, 'nom_cuenta_analitica': '7012100 MercaderÃ­as-Venta Local-Terceros', 'distribucion_analitica': [[{'cÃ³digo': 101, 'nom_distribucion': 'Validadores', 'sub_categoria': 'DELIVERY', 'porcentaje': '100.00'}]]}]"/>
    <d v="2025-03-23T00:00:00"/>
    <m/>
    <m/>
    <m/>
    <m/>
    <m/>
    <n v="3"/>
    <n v="220"/>
    <x v="12"/>
    <s v="consu"/>
    <n v="1"/>
    <n v="102.54"/>
    <n v="121"/>
    <m/>
    <n v="102.54"/>
    <n v="18"/>
    <n v="18.46"/>
    <n v="121"/>
    <n v="1"/>
    <m/>
    <s v="not_paid"/>
    <x v="0"/>
    <n v="2"/>
    <s v="SAMUEL CHUQUISTA"/>
    <n v="1106"/>
    <s v="7012100 MercaderÃ­as-Venta Local-Terceros"/>
    <s v="[[{'cÃ³digo': 101, 'nom_distribucion': 'Validadores', 'sub_categoria': 'DELIVERY', 'porcentaje': '100.00'}]]"/>
    <m/>
    <m/>
    <m/>
    <m/>
    <m/>
    <s v="A &amp; Q AYLLU S.A.C."/>
    <m/>
    <x v="82"/>
  </r>
  <r>
    <s v="FFF1"/>
    <n v="220"/>
    <s v="COLABORATIVA S.A.C."/>
    <x v="15"/>
    <d v="2025-10-09T00:00:00"/>
    <x v="5"/>
    <m/>
    <n v="6"/>
    <n v="20611018925"/>
    <s v="[{'id_producto': '1', 'codigo_producto': '984', 'nom_producto': 'ENTRADAS IMPRESAS FULL COLOR GENERAL, BRAZALETES VIP -CORAZÃ“N SERRANO BARRANCA - 09/02 Y PERSONAL DELIVERY', 'categoria_producto': 'consu', 'cantidad': '1.0', 'valor_unitario': 1241.0, 'precio_unitario': 1464.38, 'descuento': None, 'subtotal': 1241.0, 'porcentaje_de_igv': '18.00', 'igv': 223.38, 'total': 1464.38, 'moneda': '1', 'tipo_de_cambio': '', 'id_estado': 'not_paid', 'nombre_estado': 'Sin pagar', 'evento': {'id_evento': '', 'nom_evento': '', 'Fecha_hora_ini_event': '', 'Fecha_hora_fin_event': '', 'id_organizador': '', 'nom_organizador': 'G &amp; N MUSIC S.A.C.', 'tipo_organizador': ''}, 'id_vendedor': 2, 'nom_vendedor': 'SAMUEL CHUQUISTA', 'id_cuenta_analitica': 1106, 'nom_cuenta_analitica': '7012100 MercaderÃ­as-Venta Local-Terceros', 'distribucion_analitica': [[{'cÃ³digo': 83, 'nom_distribucion': 'Impresos', 'sub_categoria': 'INSUMO', 'porcentaje': '100.00'}]]}]"/>
    <d v="2025-02-10T00:00:00"/>
    <m/>
    <m/>
    <m/>
    <m/>
    <m/>
    <n v="1"/>
    <n v="984"/>
    <x v="13"/>
    <s v="consu"/>
    <n v="1"/>
    <n v="1241"/>
    <n v="1464.38"/>
    <m/>
    <n v="1241"/>
    <n v="18"/>
    <n v="223.38"/>
    <n v="1464.38"/>
    <n v="1"/>
    <m/>
    <s v="not_paid"/>
    <x v="0"/>
    <n v="2"/>
    <s v="SAMUEL CHUQUISTA"/>
    <n v="1106"/>
    <s v="7012100 MercaderÃ­as-Venta Local-Terceros"/>
    <s v="[[{'cÃ³digo': 83, 'nom_distribucion': 'Impresos', 'sub_categoria': 'INSUMO', 'porcentaje': '100.00'}]]"/>
    <m/>
    <m/>
    <m/>
    <m/>
    <m/>
    <s v="G &amp; N MUSIC S.A.C."/>
    <m/>
    <x v="83"/>
  </r>
  <r>
    <s v="FFF1"/>
    <n v="219"/>
    <s v="COLABORATIVA S.A.C."/>
    <x v="15"/>
    <d v="2025-10-09T00:00:00"/>
    <x v="7"/>
    <m/>
    <n v="6"/>
    <n v="10198893710"/>
    <s v="[{'id_producto': '1', 'codigo_producto': '983', 'nom_producto': 'ENTRADAS IMPRESAS * FULL COLOR GENERAL ', 'categoria_producto': 'consu', 'cantidad': '1.0', 'valor_unitario': 400.0, 'precio_unitario': 472.0, 'descuento': None, 'subtotal': 400.0, 'porcentaje_de_igv': '18.00', 'igv': 72.0, 'total': 472.0, 'moneda': '1', 'tipo_de_cambio': '', 'id_estado': 'not_paid', 'nombre_estado': 'Sin pagar', 'evento': {'id_evento': '', 'nom_evento': '', 'Fecha_hora_ini_event': '', 'Fecha_hora_fin_event': '', 'id_organizador': '', 'nom_organizador': 'MACHA MUNIVE JULIO', 'tipo_organizador': ''}, 'id_vendedor': 2, 'nom_vendedor': 'SAMUEL CHUQUISTA', 'id_cuenta_analitica': 1106, 'nom_cuenta_analitica': '7012100 MercaderÃ­as-Venta Local-Terceros', 'distribucion_analitica': [[{'cÃ³digo': 83, 'nom_distribucion': 'Impresos', 'sub_categoria': 'INSUMO', 'porcentaje': '100.00'}]]}]"/>
    <d v="2025-02-10T00:00:00"/>
    <m/>
    <m/>
    <m/>
    <m/>
    <m/>
    <n v="1"/>
    <n v="983"/>
    <x v="14"/>
    <s v="consu"/>
    <n v="1"/>
    <n v="400"/>
    <n v="472"/>
    <m/>
    <n v="400"/>
    <n v="18"/>
    <n v="72"/>
    <n v="472"/>
    <n v="1"/>
    <m/>
    <s v="not_paid"/>
    <x v="0"/>
    <n v="2"/>
    <s v="SAMUEL CHUQUISTA"/>
    <n v="1106"/>
    <s v="7012100 MercaderÃ­as-Venta Local-Terceros"/>
    <s v="[[{'cÃ³digo': 83, 'nom_distribucion': 'Impresos', 'sub_categoria': 'INSUMO', 'porcentaje': '100.00'}]]"/>
    <m/>
    <m/>
    <m/>
    <m/>
    <m/>
    <s v="MACHA MUNIVE JULIO"/>
    <m/>
    <x v="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B4F49-5AB9-4472-A180-CFAA6B85AB51}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8:F20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18">
        <item m="1"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2">
    <i>
      <x/>
    </i>
    <i t="grand">
      <x/>
    </i>
  </rowItems>
  <colItems count="1">
    <i/>
  </colItems>
  <dataFields count="1">
    <dataField name="Suma de Impuesto firmado" fld="15" baseField="0" baseItem="0"/>
  </dataFields>
  <formats count="6"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25" type="button" dataOnly="0" labelOnly="1" outline="0" axis="axisRow" fieldPosition="0"/>
    </format>
    <format dxfId="82">
      <pivotArea dataOnly="0" labelOnly="1" fieldPosition="0">
        <references count="1">
          <reference field="25" count="0"/>
        </references>
      </pivotArea>
    </format>
    <format dxfId="81">
      <pivotArea dataOnly="0" labelOnly="1" grandRow="1" outline="0" fieldPosition="0"/>
    </format>
    <format dxfId="8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582C8-EE30-4392-A653-DDB22BA4FF46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C10" firstHeaderRow="1" firstDataRow="1" firstDataCol="1"/>
  <pivotFields count="39">
    <pivotField showAll="0"/>
    <pivotField numFmtId="4" showAll="0"/>
    <pivotField showAll="0"/>
    <pivotField showAll="0"/>
    <pivotField showAll="0"/>
    <pivotField dataField="1" showAll="0">
      <items count="18">
        <item m="1"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2">
    <i>
      <x/>
    </i>
    <i t="grand">
      <x/>
    </i>
  </rowItems>
  <colItems count="1">
    <i/>
  </colItems>
  <dataFields count="1">
    <dataField name="Cuenta de Fecha de factura" fld="5" subtotal="count" baseField="0" baseItem="0"/>
  </dataFields>
  <formats count="6"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25" type="button" dataOnly="0" labelOnly="1" outline="0" axis="axisRow" fieldPosition="0"/>
    </format>
    <format dxfId="88">
      <pivotArea dataOnly="0" labelOnly="1" fieldPosition="0">
        <references count="1">
          <reference field="25" count="0"/>
        </references>
      </pivotArea>
    </format>
    <format dxfId="87">
      <pivotArea dataOnly="0" labelOnly="1" grandRow="1" outline="0" fieldPosition="0"/>
    </format>
    <format dxfId="8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3C51E-0656-4B15-92F9-6E69DB232879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9:F31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18">
        <item m="1"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2">
    <i>
      <x/>
    </i>
    <i t="grand">
      <x/>
    </i>
  </rowItems>
  <colItems count="1">
    <i/>
  </colItems>
  <dataFields count="1">
    <dataField name="Suma de Total firmado" fld="16" baseField="0" baseItem="0"/>
  </dataFields>
  <formats count="6"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25" type="button" dataOnly="0" labelOnly="1" outline="0" axis="axisRow" fieldPosition="0"/>
    </format>
    <format dxfId="94">
      <pivotArea dataOnly="0" labelOnly="1" fieldPosition="0">
        <references count="1">
          <reference field="25" count="0"/>
        </references>
      </pivotArea>
    </format>
    <format dxfId="93">
      <pivotArea dataOnly="0" labelOnly="1" grandRow="1" outline="0" fieldPosition="0"/>
    </format>
    <format dxfId="9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8AA87-5550-4FA1-AE69-1D6A1BF121ED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8:F10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18">
        <item m="1"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5"/>
  </rowFields>
  <rowItems count="2">
    <i>
      <x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25" type="button" dataOnly="0" labelOnly="1" outline="0" axis="axisRow" fieldPosition="0"/>
    </format>
    <format dxfId="100">
      <pivotArea dataOnly="0" labelOnly="1" fieldPosition="0">
        <references count="1">
          <reference field="25" count="0"/>
        </references>
      </pivotArea>
    </format>
    <format dxfId="99">
      <pivotArea dataOnly="0" labelOnly="1" grandRow="1" outline="0" fieldPosition="0"/>
    </format>
    <format dxfId="9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F7499-6173-4D99-9603-EAD311735DBB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8:O17" firstHeaderRow="0" firstDataRow="1" firstDataCol="1"/>
  <pivotFields count="39">
    <pivotField showAll="0"/>
    <pivotField numFmtId="4" showAll="0"/>
    <pivotField showAll="0"/>
    <pivotField showAll="0"/>
    <pivotField axis="axisRow" showAll="0">
      <items count="10">
        <item x="3"/>
        <item x="4"/>
        <item x="5"/>
        <item x="2"/>
        <item x="7"/>
        <item m="1" x="8"/>
        <item x="6"/>
        <item x="0"/>
        <item x="1"/>
        <item t="default"/>
      </items>
    </pivotField>
    <pivotField dataField="1" showAll="0">
      <items count="18">
        <item m="1"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6"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4" type="button" dataOnly="0" labelOnly="1" outline="0" axis="axisRow" fieldPosition="0"/>
    </format>
    <format dxfId="106">
      <pivotArea dataOnly="0" labelOnly="1" fieldPosition="0">
        <references count="1">
          <reference field="4" count="0"/>
        </references>
      </pivotArea>
    </format>
    <format dxfId="105">
      <pivotArea dataOnly="0" labelOnly="1" grandRow="1" outline="0" fieldPosition="0"/>
    </format>
    <format dxfId="10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6134E-AEF8-4BC6-8140-DC2BF6062433}" name="TablaDinámica2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F8:AJ92" firstHeaderRow="0" firstDataRow="1" firstDataCol="1"/>
  <pivotFields count="39">
    <pivotField axis="axisRow" showAll="0">
      <items count="84">
        <item x="82"/>
        <item x="81"/>
        <item x="72"/>
        <item x="71"/>
        <item x="70"/>
        <item x="80"/>
        <item x="69"/>
        <item x="68"/>
        <item x="67"/>
        <item x="66"/>
        <item x="65"/>
        <item x="62"/>
        <item x="64"/>
        <item x="61"/>
        <item x="60"/>
        <item x="63"/>
        <item x="25"/>
        <item x="7"/>
        <item x="6"/>
        <item x="5"/>
        <item x="4"/>
        <item x="79"/>
        <item x="78"/>
        <item x="77"/>
        <item x="76"/>
        <item x="75"/>
        <item x="59"/>
        <item x="58"/>
        <item x="57"/>
        <item x="56"/>
        <item x="55"/>
        <item x="54"/>
        <item x="53"/>
        <item x="52"/>
        <item x="51"/>
        <item x="50"/>
        <item x="74"/>
        <item x="49"/>
        <item x="48"/>
        <item x="73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3"/>
        <item x="2"/>
        <item x="0"/>
        <item x="1"/>
        <item x="8"/>
        <item t="default"/>
      </items>
    </pivotField>
    <pivotField numFmtId="4" showAll="0"/>
    <pivotField showAll="0"/>
    <pivotField showAll="0"/>
    <pivotField showAll="0"/>
    <pivotField dataField="1" showAll="0" sortType="ascending">
      <items count="18">
        <item m="1"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4">
    <format dxfId="113">
      <pivotArea type="all" dataOnly="0" outline="0" fieldPosition="0"/>
    </format>
    <format dxfId="112">
      <pivotArea outline="0" collapsedLevelsAreSubtotals="1" fieldPosition="0"/>
    </format>
    <format dxfId="111">
      <pivotArea dataOnly="0" labelOnly="1" grandRow="1" outline="0" fieldPosition="0"/>
    </format>
    <format dxfId="1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15C23-FFE0-4DA9-9708-67586A7B00F3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8:X46" firstHeaderRow="0" firstDataRow="1" firstDataCol="1"/>
  <pivotFields count="39">
    <pivotField showAll="0"/>
    <pivotField numFmtId="4" showAll="0"/>
    <pivotField showAll="0"/>
    <pivotField showAll="0"/>
    <pivotField showAll="0"/>
    <pivotField axis="axisRow" dataField="1" showAll="0" sortType="ascending">
      <items count="18">
        <item m="1"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38"/>
    <field x="37"/>
    <field x="5"/>
  </rowFields>
  <rowItems count="38">
    <i>
      <x v="2"/>
    </i>
    <i r="1">
      <x v="40"/>
    </i>
    <i r="2">
      <x v="1"/>
    </i>
    <i>
      <x v="3"/>
    </i>
    <i r="1">
      <x v="82"/>
    </i>
    <i r="2">
      <x v="2"/>
    </i>
    <i r="1">
      <x v="86"/>
    </i>
    <i r="2">
      <x v="3"/>
    </i>
    <i>
      <x v="8"/>
    </i>
    <i r="1">
      <x v="234"/>
    </i>
    <i r="2">
      <x v="4"/>
    </i>
    <i r="1">
      <x v="237"/>
    </i>
    <i r="2">
      <x v="5"/>
    </i>
    <i r="1">
      <x v="239"/>
    </i>
    <i r="2">
      <x v="6"/>
    </i>
    <i r="1">
      <x v="241"/>
    </i>
    <i r="2">
      <x v="7"/>
    </i>
    <i>
      <x v="9"/>
    </i>
    <i r="1">
      <x v="245"/>
    </i>
    <i r="2">
      <x v="8"/>
    </i>
    <i r="1">
      <x v="246"/>
    </i>
    <i r="2">
      <x v="9"/>
    </i>
    <i r="1">
      <x v="251"/>
    </i>
    <i r="2">
      <x v="10"/>
    </i>
    <i r="1">
      <x v="255"/>
    </i>
    <i r="2">
      <x v="11"/>
    </i>
    <i r="1">
      <x v="259"/>
    </i>
    <i r="2">
      <x v="12"/>
    </i>
    <i r="1">
      <x v="260"/>
    </i>
    <i r="2">
      <x v="13"/>
    </i>
    <i r="1">
      <x v="262"/>
    </i>
    <i r="2">
      <x v="14"/>
    </i>
    <i>
      <x v="10"/>
    </i>
    <i r="1">
      <x v="277"/>
    </i>
    <i r="2">
      <x v="15"/>
    </i>
    <i r="1">
      <x v="279"/>
    </i>
    <i r="2"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4">
    <format dxfId="117">
      <pivotArea type="all" dataOnly="0" outline="0" fieldPosition="0"/>
    </format>
    <format dxfId="116">
      <pivotArea outline="0" collapsedLevelsAreSubtotals="1" fieldPosition="0"/>
    </format>
    <format dxfId="115">
      <pivotArea dataOnly="0" labelOnly="1" grandRow="1" outline="0" fieldPosition="0"/>
    </format>
    <format dxfId="1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140D4-A1D5-40E9-B5B1-F003A7EF8C55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Z8:AD25" firstHeaderRow="0" firstDataRow="1" firstDataCol="1"/>
  <pivotFields count="39">
    <pivotField showAll="0"/>
    <pivotField numFmtId="4" showAll="0"/>
    <pivotField showAll="0"/>
    <pivotField showAll="0"/>
    <pivotField showAll="0"/>
    <pivotField dataField="1" showAll="0">
      <items count="18">
        <item m="1"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 sortType="ascending">
      <items count="18">
        <item m="1"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6"/>
  </rowFields>
  <row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6"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36" type="button" dataOnly="0" labelOnly="1" outline="0" axis="axisRow" fieldPosition="0"/>
    </format>
    <format dxfId="120">
      <pivotArea dataOnly="0" labelOnly="1" fieldPosition="0">
        <references count="1">
          <reference field="36" count="0"/>
        </references>
      </pivotArea>
    </format>
    <format dxfId="119">
      <pivotArea dataOnly="0" labelOnly="1" grandRow="1" outline="0" fieldPosition="0"/>
    </format>
    <format dxfId="1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559728-0C8A-4B59-8A8F-696E4F99F0F6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8:I10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18">
        <item m="1"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2"/>
  </rowFields>
  <rowItems count="2">
    <i>
      <x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32" type="button" dataOnly="0" labelOnly="1" outline="0" axis="axisRow" fieldPosition="0"/>
    </format>
    <format dxfId="126">
      <pivotArea dataOnly="0" labelOnly="1" fieldPosition="0">
        <references count="1">
          <reference field="32" count="0"/>
        </references>
      </pivotArea>
    </format>
    <format dxfId="125">
      <pivotArea dataOnly="0" labelOnly="1" grandRow="1" outline="0" fieldPosition="0"/>
    </format>
    <format dxfId="1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DFF3C-43B5-4574-8712-19696A1C3364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Q8:R10" firstHeaderRow="1" firstDataRow="1" firstDataCol="1"/>
  <pivotFields count="39">
    <pivotField showAll="0"/>
    <pivotField numFmtId="4" showAll="0"/>
    <pivotField showAll="0"/>
    <pivotField showAll="0"/>
    <pivotField showAll="0"/>
    <pivotField showAll="0">
      <items count="18">
        <item m="1"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3"/>
  </rowFields>
  <rowItems count="2">
    <i>
      <x/>
    </i>
    <i t="grand">
      <x/>
    </i>
  </rowItems>
  <colItems count="1">
    <i/>
  </colItems>
  <dataFields count="1">
    <dataField name=" Importe sin impuestos firmado" fld="14" baseField="0" baseItem="0"/>
  </dataFields>
  <formats count="6"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33" type="button" dataOnly="0" labelOnly="1" outline="0" axis="axisRow" fieldPosition="0"/>
    </format>
    <format dxfId="132">
      <pivotArea dataOnly="0" labelOnly="1" fieldPosition="0">
        <references count="1">
          <reference field="33" count="0"/>
        </references>
      </pivotArea>
    </format>
    <format dxfId="131">
      <pivotArea dataOnly="0" labelOnly="1" grandRow="1" outline="0" fieldPosition="0"/>
    </format>
    <format dxfId="13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641C0-9D51-4CE3-AF40-ECCC25D27529}" name="TablaDinámica1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:N12" firstHeaderRow="0" firstDataRow="1" firstDataCol="1"/>
  <pivotFields count="47">
    <pivotField showAll="0"/>
    <pivotField showAll="0"/>
    <pivotField showAll="0"/>
    <pivotField dataField="1" numFmtId="14" showAll="0">
      <items count="18">
        <item x="13"/>
        <item x="11"/>
        <item x="10"/>
        <item x="12"/>
        <item x="9"/>
        <item x="8"/>
        <item x="7"/>
        <item x="6"/>
        <item x="5"/>
        <item x="4"/>
        <item x="3"/>
        <item x="2"/>
        <item x="0"/>
        <item x="1"/>
        <item x="14"/>
        <item x="15"/>
        <item m="1" x="16"/>
        <item t="default"/>
      </items>
    </pivotField>
    <pivotField numFmtId="22" showAll="0"/>
    <pivotField axis="axisRow" showAll="0">
      <items count="10">
        <item x="3"/>
        <item x="0"/>
        <item x="4"/>
        <item x="5"/>
        <item x="2"/>
        <item x="7"/>
        <item m="1" x="8"/>
        <item x="6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4" baseField="0" baseItem="0"/>
    <dataField name="Suma de item.igv" fld="26" baseField="0" baseItem="0"/>
    <dataField name="Suma de item.total" fld="27" baseField="0" baseItem="0"/>
  </dataFields>
  <formats count="6">
    <format dxfId="10">
      <pivotArea type="all" dataOnly="0" outline="0" fieldPosition="0"/>
    </format>
    <format dxfId="9">
      <pivotArea outline="0" collapsedLevelsAreSubtotals="1" fieldPosition="0"/>
    </format>
    <format dxfId="8">
      <pivotArea field="5" type="button" dataOnly="0" labelOnly="1" outline="0" axis="axisRow" fieldPosition="0"/>
    </format>
    <format dxfId="7">
      <pivotArea dataOnly="0" labelOnly="1" fieldPosition="0">
        <references count="1">
          <reference field="5" count="0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DD88E-EF82-46CC-B7B6-D10ECAEBFA32}" name="TablaDinámica1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3:V27" firstHeaderRow="0" firstDataRow="1" firstDataCol="1"/>
  <pivotFields count="47">
    <pivotField showAll="0"/>
    <pivotField showAll="0"/>
    <pivotField showAll="0"/>
    <pivotField axis="axisRow" dataField="1" numFmtId="14" showAll="0" sortType="ascending">
      <items count="18">
        <item sd="0" m="1" x="16"/>
        <item sd="0" x="15"/>
        <item x="14"/>
        <item x="13"/>
        <item sd="0" x="11"/>
        <item sd="0" x="10"/>
        <item sd="0" x="12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 sd="0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7">
        <item x="81"/>
        <item x="72"/>
        <item x="71"/>
        <item x="70"/>
        <item x="80"/>
        <item x="69"/>
        <item x="68"/>
        <item x="67"/>
        <item x="66"/>
        <item x="65"/>
        <item x="62"/>
        <item x="64"/>
        <item x="61"/>
        <item x="60"/>
        <item x="63"/>
        <item x="25"/>
        <item x="7"/>
        <item x="6"/>
        <item x="5"/>
        <item x="4"/>
        <item x="79"/>
        <item x="78"/>
        <item x="77"/>
        <item x="76"/>
        <item x="75"/>
        <item x="59"/>
        <item x="58"/>
        <item x="57"/>
        <item x="56"/>
        <item x="55"/>
        <item x="54"/>
        <item x="53"/>
        <item x="52"/>
        <item x="51"/>
        <item x="50"/>
        <item x="74"/>
        <item x="49"/>
        <item x="48"/>
        <item x="73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3"/>
        <item x="2"/>
        <item x="1"/>
        <item x="0"/>
        <item x="82"/>
        <item m="1" x="85"/>
        <item x="84"/>
        <item x="83"/>
        <item x="8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x="0"/>
        <item t="default"/>
      </items>
    </pivotField>
    <pivotField axis="axisRow" showAll="0">
      <items count="15">
        <item sd="0" x="0"/>
        <item sd="0" x="1"/>
        <item x="2"/>
        <item x="3"/>
        <item sd="0" x="4"/>
        <item sd="0" x="5"/>
        <item sd="0" x="6"/>
        <item sd="0" x="7"/>
        <item x="8"/>
        <item x="9"/>
        <item x="10"/>
        <item sd="0" x="11"/>
        <item sd="0" x="12"/>
        <item sd="0" x="13"/>
        <item t="default" sd="0"/>
      </items>
    </pivotField>
  </pivotFields>
  <rowFields count="3">
    <field x="46"/>
    <field x="3"/>
    <field x="44"/>
  </rowFields>
  <rowItems count="24">
    <i>
      <x v="2"/>
    </i>
    <i r="1">
      <x v="1"/>
    </i>
    <i>
      <x v="3"/>
    </i>
    <i r="1">
      <x v="2"/>
    </i>
    <i r="2">
      <x v="81"/>
    </i>
    <i>
      <x v="8"/>
    </i>
    <i r="1">
      <x v="3"/>
    </i>
    <i r="2">
      <x/>
    </i>
    <i r="1">
      <x v="4"/>
    </i>
    <i r="1">
      <x v="5"/>
    </i>
    <i r="1">
      <x v="6"/>
    </i>
    <i r="1">
      <x v="7"/>
    </i>
    <i r="1">
      <x v="8"/>
    </i>
    <i>
      <x v="9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"/>
    </i>
    <i r="1">
      <x v="15"/>
    </i>
    <i r="1"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4" baseField="0" baseItem="0"/>
    <dataField name="Suma de item.igv" fld="26" baseField="0" baseItem="0"/>
    <dataField name="Suma de item.total" fld="27" baseField="0" baseItem="0"/>
  </dataFields>
  <formats count="6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3" type="button" dataOnly="0" labelOnly="1" outline="0" axis="axisRow" fieldPosition="1"/>
    </format>
    <format dxfId="13">
      <pivotArea dataOnly="0" labelOnly="1" fieldPosition="0">
        <references count="1">
          <reference field="3" count="0"/>
        </references>
      </pivotArea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39EAE-B6E9-4505-A4F2-478B309EEA26}" name="TablaDinámica1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H19" firstHeaderRow="1" firstDataRow="1" firstDataCol="1"/>
  <pivotFields count="47">
    <pivotField showAll="0"/>
    <pivotField showAll="0"/>
    <pivotField showAll="0"/>
    <pivotField numFmtId="14" showAll="0">
      <items count="18">
        <item x="13"/>
        <item x="11"/>
        <item x="10"/>
        <item x="12"/>
        <item x="9"/>
        <item x="8"/>
        <item x="7"/>
        <item x="6"/>
        <item x="5"/>
        <item x="4"/>
        <item x="3"/>
        <item x="2"/>
        <item x="0"/>
        <item x="1"/>
        <item x="14"/>
        <item x="15"/>
        <item m="1" x="16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7">
        <item x="3"/>
        <item x="0"/>
        <item x="7"/>
        <item x="1"/>
        <item x="4"/>
        <item m="1" x="15"/>
        <item x="10"/>
        <item x="9"/>
        <item x="2"/>
        <item x="8"/>
        <item x="6"/>
        <item x="14"/>
        <item x="13"/>
        <item x="5"/>
        <item x="11"/>
        <item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16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a de item.subtotal" fld="24" baseField="0" baseItem="0"/>
  </dataFields>
  <formats count="6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8" type="button" dataOnly="0" labelOnly="1" outline="0" axis="axisRow" fieldPosition="0"/>
    </format>
    <format dxfId="19">
      <pivotArea dataOnly="0" labelOnly="1" fieldPosition="0">
        <references count="1">
          <reference field="18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AFEA86-497B-4B7A-8658-AB27D986266C}" name="TablaDinámica1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P4" firstHeaderRow="1" firstDataRow="1" firstDataCol="0"/>
  <pivotFields count="47">
    <pivotField showAll="0"/>
    <pivotField showAll="0"/>
    <pivotField showAll="0"/>
    <pivotField numFmtId="14" showAll="0">
      <items count="18">
        <item x="13"/>
        <item x="11"/>
        <item x="10"/>
        <item x="12"/>
        <item x="9"/>
        <item x="8"/>
        <item x="7"/>
        <item x="6"/>
        <item x="5"/>
        <item x="4"/>
        <item x="3"/>
        <item x="2"/>
        <item x="0"/>
        <item x="1"/>
        <item x="14"/>
        <item x="15"/>
        <item m="1" x="16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a de item.subtotal" fld="24" baseField="0" baseItem="0"/>
  </dataFields>
  <formats count="3"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C6D8E-318A-4C88-95AA-8FFE5689A6B7}" name="TablaDinámica1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47">
    <pivotField showAll="0"/>
    <pivotField showAll="0"/>
    <pivotField showAll="0"/>
    <pivotField dataField="1" numFmtId="14" showAll="0">
      <items count="18">
        <item x="13"/>
        <item x="11"/>
        <item x="10"/>
        <item x="12"/>
        <item x="9"/>
        <item x="8"/>
        <item x="7"/>
        <item x="6"/>
        <item x="5"/>
        <item x="4"/>
        <item x="3"/>
        <item x="2"/>
        <item x="0"/>
        <item x="1"/>
        <item x="14"/>
        <item x="15"/>
        <item m="1" x="16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Cuenta de fecha_de_emision" fld="3" subtotal="count" baseField="0" baseItem="0"/>
  </dataFields>
  <formats count="6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31" type="button" dataOnly="0" labelOnly="1" outline="0" axis="axisRow" fieldPosition="0"/>
    </format>
    <format dxfId="28">
      <pivotArea dataOnly="0" labelOnly="1" fieldPosition="0">
        <references count="1">
          <reference field="31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56882C-745D-4065-BE32-DA3B426BB3E1}" name="TablaDinámica1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7:E20" firstHeaderRow="1" firstDataRow="1" firstDataCol="1"/>
  <pivotFields count="47">
    <pivotField showAll="0"/>
    <pivotField showAll="0"/>
    <pivotField showAll="0"/>
    <pivotField numFmtId="14" showAll="0">
      <items count="18">
        <item x="13"/>
        <item x="11"/>
        <item x="10"/>
        <item x="12"/>
        <item x="9"/>
        <item x="8"/>
        <item x="7"/>
        <item x="6"/>
        <item x="5"/>
        <item x="4"/>
        <item x="3"/>
        <item x="2"/>
        <item x="0"/>
        <item x="1"/>
        <item x="14"/>
        <item x="15"/>
        <item m="1" x="16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Suma de item.total" fld="27" baseField="0" baseItem="0"/>
  </dataFields>
  <formats count="6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31" type="button" dataOnly="0" labelOnly="1" outline="0" axis="axisRow" fieldPosition="0"/>
    </format>
    <format dxfId="34">
      <pivotArea dataOnly="0" labelOnly="1" fieldPosition="0">
        <references count="1">
          <reference field="31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A55932-20B7-4C28-BF68-80F8DAE53F57}" name="TablaDinámica1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6" firstHeaderRow="1" firstDataRow="1" firstDataCol="1"/>
  <pivotFields count="47">
    <pivotField showAll="0"/>
    <pivotField showAll="0"/>
    <pivotField showAll="0"/>
    <pivotField numFmtId="14" showAll="0">
      <items count="18">
        <item x="13"/>
        <item x="11"/>
        <item x="10"/>
        <item x="12"/>
        <item x="9"/>
        <item x="8"/>
        <item x="7"/>
        <item x="6"/>
        <item x="5"/>
        <item x="4"/>
        <item x="3"/>
        <item x="2"/>
        <item x="0"/>
        <item x="1"/>
        <item x="14"/>
        <item x="15"/>
        <item m="1" x="16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Suma de item.subtotal" fld="24" baseField="0" baseItem="0"/>
  </dataFields>
  <formats count="6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31" type="button" dataOnly="0" labelOnly="1" outline="0" axis="axisRow" fieldPosition="0"/>
    </format>
    <format dxfId="40">
      <pivotArea dataOnly="0" labelOnly="1" fieldPosition="0">
        <references count="1">
          <reference field="31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9FA9D-8C1C-4E57-9964-60047143D279}" name="TablaDinámica2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X3:AB25" firstHeaderRow="0" firstDataRow="1" firstDataCol="1"/>
  <pivotFields count="39">
    <pivotField axis="axisRow" showAll="0">
      <items count="84">
        <item x="82"/>
        <item x="81"/>
        <item x="72"/>
        <item x="71"/>
        <item x="70"/>
        <item x="80"/>
        <item x="69"/>
        <item x="68"/>
        <item x="67"/>
        <item x="66"/>
        <item x="65"/>
        <item x="62"/>
        <item x="64"/>
        <item x="61"/>
        <item x="60"/>
        <item x="63"/>
        <item x="25"/>
        <item x="7"/>
        <item x="6"/>
        <item x="5"/>
        <item x="4"/>
        <item x="79"/>
        <item x="78"/>
        <item x="77"/>
        <item x="76"/>
        <item x="75"/>
        <item x="59"/>
        <item x="58"/>
        <item x="57"/>
        <item x="56"/>
        <item x="55"/>
        <item x="54"/>
        <item x="53"/>
        <item x="52"/>
        <item x="51"/>
        <item x="50"/>
        <item x="74"/>
        <item x="49"/>
        <item x="48"/>
        <item x="73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3"/>
        <item x="2"/>
        <item x="1"/>
        <item x="0"/>
        <item x="8"/>
        <item t="default"/>
      </items>
    </pivotField>
    <pivotField numFmtId="4" showAll="0"/>
    <pivotField showAll="0"/>
    <pivotField showAll="0"/>
    <pivotField showAll="0"/>
    <pivotField axis="axisRow" dataField="1" showAll="0" sortType="ascending">
      <items count="18">
        <item sd="0" m="1" x="16"/>
        <item sd="0" x="15"/>
        <item sd="0" x="14"/>
        <item sd="0" x="13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 sd="0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38"/>
    <field x="5"/>
    <field x="0"/>
  </rowFields>
  <rowItems count="22">
    <i>
      <x v="2"/>
    </i>
    <i r="1">
      <x v="1"/>
    </i>
    <i>
      <x v="3"/>
    </i>
    <i r="1">
      <x v="2"/>
    </i>
    <i r="1">
      <x v="3"/>
    </i>
    <i>
      <x v="8"/>
    </i>
    <i r="1">
      <x v="4"/>
    </i>
    <i r="1">
      <x v="5"/>
    </i>
    <i r="1">
      <x v="6"/>
    </i>
    <i r="1">
      <x v="7"/>
    </i>
    <i>
      <x v="9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10"/>
    </i>
    <i r="1">
      <x v="15"/>
    </i>
    <i r="1"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4">
    <format dxfId="47">
      <pivotArea type="all" dataOnly="0" outline="0" fieldPosition="0"/>
    </format>
    <format dxfId="46">
      <pivotArea outline="0" collapsedLevelsAreSubtotals="1" fieldPosition="0"/>
    </format>
    <format dxfId="45">
      <pivotArea dataOnly="0" labelOnly="1" grandRow="1" outline="0" fieldPosition="0"/>
    </format>
    <format dxfId="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CAB42-2755-42CE-AFE0-46620F6B0BBB}" name="TablaDinámica2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J2:AN86" firstHeaderRow="0" firstDataRow="1" firstDataCol="1"/>
  <pivotFields count="39">
    <pivotField axis="axisRow" showAll="0">
      <items count="84">
        <item x="82"/>
        <item x="81"/>
        <item x="72"/>
        <item x="71"/>
        <item x="70"/>
        <item x="80"/>
        <item x="69"/>
        <item x="68"/>
        <item x="67"/>
        <item x="66"/>
        <item x="65"/>
        <item x="62"/>
        <item x="64"/>
        <item x="61"/>
        <item x="60"/>
        <item x="63"/>
        <item x="25"/>
        <item x="7"/>
        <item x="6"/>
        <item x="5"/>
        <item x="4"/>
        <item x="79"/>
        <item x="78"/>
        <item x="77"/>
        <item x="76"/>
        <item x="75"/>
        <item x="59"/>
        <item x="58"/>
        <item x="57"/>
        <item x="56"/>
        <item x="55"/>
        <item x="54"/>
        <item x="53"/>
        <item x="52"/>
        <item x="51"/>
        <item x="50"/>
        <item x="74"/>
        <item x="49"/>
        <item x="48"/>
        <item x="73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3"/>
        <item x="2"/>
        <item x="0"/>
        <item x="1"/>
        <item x="8"/>
        <item t="default"/>
      </items>
    </pivotField>
    <pivotField numFmtId="4" showAll="0"/>
    <pivotField showAll="0"/>
    <pivotField showAll="0"/>
    <pivotField showAll="0"/>
    <pivotField dataField="1" showAll="0" sortType="ascending">
      <items count="18">
        <item m="1"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5" subtotal="count" baseField="0" baseItem="0"/>
    <dataField name=" Importe sin impuestos firmado" fld="14" baseField="0" baseItem="0"/>
    <dataField name="Suma de Impuesto firmado" fld="15" baseField="0" baseItem="0"/>
    <dataField name="Suma de Total firmado" fld="16" baseField="0" baseItem="0"/>
  </dataFields>
  <formats count="8">
    <format dxfId="55">
      <pivotArea type="all" dataOnly="0" outline="0" fieldPosition="0"/>
    </format>
    <format dxfId="54">
      <pivotArea outline="0" collapsedLevelsAreSubtotals="1" fieldPosition="0"/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51">
      <pivotArea collapsedLevelsAreSubtotals="1" fieldPosition="0">
        <references count="1">
          <reference field="0" count="1">
            <x v="0"/>
          </reference>
        </references>
      </pivotArea>
    </format>
    <format dxfId="50">
      <pivotArea dataOnly="0" labelOnly="1" fieldPosition="0">
        <references count="1">
          <reference field="0" count="1">
            <x v="0"/>
          </reference>
        </references>
      </pivotArea>
    </format>
    <format dxfId="49">
      <pivotArea collapsedLevelsAreSubtotals="1" fieldPosition="0">
        <references count="1">
          <reference field="0" count="1">
            <x v="0"/>
          </reference>
        </references>
      </pivotArea>
    </format>
    <format dxfId="48">
      <pivotArea dataOnly="0" labelOnly="1" fieldPosition="0">
        <references count="1">
          <reference field="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52F1D-7AA7-4733-9AFF-5D01F88CE480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28:E114" firstHeaderRow="1" firstDataRow="1" firstDataCol="1"/>
  <pivotFields count="47">
    <pivotField showAll="0"/>
    <pivotField showAll="0"/>
    <pivotField showAll="0"/>
    <pivotField numFmtId="14" showAll="0">
      <items count="18">
        <item x="13"/>
        <item x="11"/>
        <item x="10"/>
        <item x="12"/>
        <item x="9"/>
        <item x="8"/>
        <item x="7"/>
        <item x="6"/>
        <item x="5"/>
        <item x="4"/>
        <item x="3"/>
        <item x="2"/>
        <item x="0"/>
        <item x="1"/>
        <item x="14"/>
        <item x="15"/>
        <item m="1" x="16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87">
        <item x="81"/>
        <item x="72"/>
        <item x="71"/>
        <item x="70"/>
        <item x="80"/>
        <item x="69"/>
        <item x="68"/>
        <item x="67"/>
        <item x="66"/>
        <item x="65"/>
        <item x="62"/>
        <item x="64"/>
        <item x="61"/>
        <item x="60"/>
        <item x="63"/>
        <item x="25"/>
        <item x="7"/>
        <item x="6"/>
        <item x="5"/>
        <item x="4"/>
        <item x="79"/>
        <item x="78"/>
        <item x="77"/>
        <item x="76"/>
        <item x="75"/>
        <item x="59"/>
        <item x="58"/>
        <item x="57"/>
        <item x="56"/>
        <item x="55"/>
        <item x="54"/>
        <item x="53"/>
        <item x="52"/>
        <item x="51"/>
        <item x="50"/>
        <item x="74"/>
        <item x="49"/>
        <item x="48"/>
        <item x="73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3"/>
        <item x="2"/>
        <item x="1"/>
        <item x="0"/>
        <item x="8"/>
        <item x="82"/>
        <item m="1" x="85"/>
        <item x="84"/>
        <item x="83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4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4"/>
    </i>
    <i>
      <x v="85"/>
    </i>
    <i t="grand">
      <x/>
    </i>
  </rowItems>
  <colItems count="1">
    <i/>
  </colItems>
  <dataFields count="1">
    <dataField name="Cuenta de UNIFICADO" fld="44" subtotal="count" baseField="0" baseItem="0"/>
  </dataFields>
  <formats count="5"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31" type="button" dataOnly="0" labelOnly="1" outline="0"/>
    </format>
    <format dxfId="57">
      <pivotArea dataOnly="0" labelOnly="1" grandRow="1" outline="0" fieldPosition="0"/>
    </format>
    <format dxfId="5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60BC5-5825-4174-80A0-BBF0915E2E2D}" name="TablaDinámica1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0:E13" firstHeaderRow="1" firstDataRow="1" firstDataCol="1"/>
  <pivotFields count="47">
    <pivotField showAll="0"/>
    <pivotField showAll="0"/>
    <pivotField showAll="0"/>
    <pivotField numFmtId="14" showAll="0">
      <items count="18">
        <item x="13"/>
        <item x="11"/>
        <item x="10"/>
        <item x="12"/>
        <item x="9"/>
        <item x="8"/>
        <item x="7"/>
        <item x="6"/>
        <item x="5"/>
        <item x="4"/>
        <item x="3"/>
        <item x="2"/>
        <item x="0"/>
        <item x="1"/>
        <item x="14"/>
        <item x="15"/>
        <item m="1" x="16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Suma de item.igv" fld="26" baseField="0" baseItem="0"/>
  </dataFields>
  <formats count="6"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31" type="button" dataOnly="0" labelOnly="1" outline="0" axis="axisRow" fieldPosition="0"/>
    </format>
    <format dxfId="63">
      <pivotArea dataOnly="0" labelOnly="1" fieldPosition="0">
        <references count="1">
          <reference field="31" count="0"/>
        </references>
      </pivotArea>
    </format>
    <format dxfId="62">
      <pivotArea dataOnly="0" labelOnly="1" grandRow="1" outline="0" fieldPosition="0"/>
    </format>
    <format dxfId="6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5022E-71E7-45E4-9392-AD2DB10B90D3}" name="TablaDinámica2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D3:AH89" firstHeaderRow="0" firstDataRow="1" firstDataCol="1"/>
  <pivotFields count="47">
    <pivotField showAll="0"/>
    <pivotField showAll="0"/>
    <pivotField showAll="0"/>
    <pivotField dataField="1" numFmtId="14" showAll="0" sortType="ascending">
      <items count="18">
        <item m="1" x="16"/>
        <item x="15"/>
        <item x="14"/>
        <item x="13"/>
        <item x="11"/>
        <item x="10"/>
        <item x="12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7"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m="1" x="85"/>
        <item x="0"/>
        <item x="1"/>
        <item x="8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x="0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x="8"/>
        <item x="9"/>
        <item sd="0" x="10"/>
        <item sd="0" x="11"/>
        <item sd="0" x="12"/>
        <item sd="0" x="13"/>
        <item t="default"/>
      </items>
    </pivotField>
  </pivotFields>
  <rowFields count="1">
    <field x="44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3"/>
    </i>
    <i>
      <x v="84"/>
    </i>
    <i>
      <x v="8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4" baseField="0" baseItem="0"/>
    <dataField name="Suma de item.igv" fld="26" baseField="0" baseItem="0"/>
    <dataField name="Suma de item.total" fld="27" baseField="0" baseItem="0"/>
  </dataFields>
  <formats count="5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3" type="button" dataOnly="0" labelOnly="1" outline="0"/>
    </format>
    <format dxfId="68">
      <pivotArea dataOnly="0" labelOnly="1" grandRow="1" outline="0" fieldPosition="0"/>
    </format>
    <format dxfId="6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92AFC2-573E-4549-922F-28EC1FA96D56}" name="Tabla1" displayName="Tabla1" ref="A3:AS6" totalsRowShown="0">
  <autoFilter ref="A3:AS6" xr:uid="{F792AFC2-573E-4549-922F-28EC1FA96D56}"/>
  <tableColumns count="45">
    <tableColumn id="1" xr3:uid="{D1276704-1EF0-491B-81E5-DD8BF229935D}" name="serie_correlativo"/>
    <tableColumn id="2" xr3:uid="{0CB472E3-9FE6-42A6-8051-081E65931894}" name="numero"/>
    <tableColumn id="3" xr3:uid="{5FB4B6CE-0E32-447D-A969-1D6276F77823}" name="nombre_empresa"/>
    <tableColumn id="4" xr3:uid="{82A7C7E2-5155-4E7A-B79E-7875E65F0447}" name="fecha_de_emision" dataDxfId="79"/>
    <tableColumn id="5" xr3:uid="{2E22642F-ABF9-4E3F-9464-679D6B4E6B14}" name="hora_de_emision" dataDxfId="78"/>
    <tableColumn id="6" xr3:uid="{C6B8CF47-0744-44A1-A8F1-7D9787DC146E}" name="nom_proveedor"/>
    <tableColumn id="7" xr3:uid="{030D4BD7-D994-4C3C-9BC7-83C67C8AE163}" name="cat_proveedor"/>
    <tableColumn id="8" xr3:uid="{FF5F0EFE-4A90-4CA4-A00A-B25096B1917D}" name="tipo_documento"/>
    <tableColumn id="9" xr3:uid="{5EAE06F9-44E5-4623-AE28-1C11BE21B68F}" name="doc_proveedor"/>
    <tableColumn id="10" xr3:uid="{12C23F9A-4442-434C-A949-649C49F21F5A}" name="items"/>
    <tableColumn id="11" xr3:uid="{287E6336-4290-40C4-B700-43F8BB31A764}" name="factura.fecha_emision" dataDxfId="77"/>
    <tableColumn id="12" xr3:uid="{B7D825A2-874C-4D94-B843-859ABE75B21F}" name="factura.cliente"/>
    <tableColumn id="13" xr3:uid="{1FB4964A-7332-434C-9081-93E2D3F80C94}" name="factura.id_cliente"/>
    <tableColumn id="14" xr3:uid="{45C2D0A5-C3ED-4F2A-BCAE-78F947030B3D}" name="factura.total"/>
    <tableColumn id="15" xr3:uid="{E7A4B564-A30B-4BC1-9A4F-F35C8DECDBE1}" name="factura.moneda"/>
    <tableColumn id="16" xr3:uid="{1C4FA4CC-1BFD-4A0A-81F1-69B265EB8305}" name="factura.estado"/>
    <tableColumn id="17" xr3:uid="{9534932B-210C-4DB8-9E10-88004023E991}" name="item.id_producto"/>
    <tableColumn id="18" xr3:uid="{80FD0F18-DE24-4D47-A94D-76DF1868D7EC}" name="item.codigo_producto"/>
    <tableColumn id="19" xr3:uid="{C387E2F9-2E67-40FF-BF10-B5F1E04A5D57}" name="item.nom_producto"/>
    <tableColumn id="20" xr3:uid="{A6A15BFF-E03C-4E20-BE17-49C734CC3B60}" name="item.categoria_producto"/>
    <tableColumn id="21" xr3:uid="{ABEB75CB-EC06-4317-A850-F4BECDFE1B98}" name="item.cantidad"/>
    <tableColumn id="22" xr3:uid="{B2EFE65B-A1CA-4131-8940-53713ED9788F}" name="item.valor_unitario"/>
    <tableColumn id="23" xr3:uid="{53625959-E01A-447C-B405-B4B005190BF0}" name="item.precio_unitario"/>
    <tableColumn id="24" xr3:uid="{295BD49C-821B-45E1-AB12-C121DFDCD85E}" name="item.descuento"/>
    <tableColumn id="25" xr3:uid="{85872867-37D2-4440-B7CE-E7B1113606EA}" name="item.subtotal"/>
    <tableColumn id="26" xr3:uid="{AD291407-9B2F-4C81-83E6-66742BE8489D}" name="item.porcentaje_de_igv"/>
    <tableColumn id="27" xr3:uid="{FC7CBE47-7DF4-4BF0-A92D-BB295027A83B}" name="item.igv"/>
    <tableColumn id="28" xr3:uid="{2FFED5C7-943C-471D-ACAD-9C266864CCA9}" name="item.total"/>
    <tableColumn id="29" xr3:uid="{33406770-6A6B-4576-BA19-E9E9D8DD0D14}" name="item.moneda"/>
    <tableColumn id="30" xr3:uid="{1F49873C-A29A-4FDE-884D-41A8CDB8838A}" name="item.tipo_de_cambio"/>
    <tableColumn id="31" xr3:uid="{6B07375E-32CE-4BF5-83FA-BD7B47F47125}" name="item.id_estado"/>
    <tableColumn id="32" xr3:uid="{7D508187-0107-4524-8E38-8826CCFE8CE3}" name="item.nombre_estado"/>
    <tableColumn id="33" xr3:uid="{88495E5F-6072-441A-B578-28DB0D3DB749}" name="item.id_vendedor"/>
    <tableColumn id="34" xr3:uid="{73F0B386-1F10-4638-9211-8F00DD8E530F}" name="item.nom_vendedor"/>
    <tableColumn id="35" xr3:uid="{27F1F577-BBB3-47DC-B110-605CD8609896}" name="item.id_cuenta_analitica"/>
    <tableColumn id="36" xr3:uid="{F500DAB1-28A8-466C-8F81-490EDAC21E02}" name="item.nom_cuenta_analitica"/>
    <tableColumn id="37" xr3:uid="{5698467F-8723-43DE-ADBE-0DFFE07BC235}" name="item.distribucion_analitica"/>
    <tableColumn id="38" xr3:uid="{7D52DAA4-1688-4328-A369-362E4738206F}" name="item.evento.id_evento"/>
    <tableColumn id="39" xr3:uid="{94AC448A-67D1-4CC9-81F3-3478203D7E96}" name="item.evento.nom_evento"/>
    <tableColumn id="40" xr3:uid="{48B9465E-21B0-4888-9E47-6ABB92885A6D}" name="item.evento.Fecha_hora_ini_event"/>
    <tableColumn id="41" xr3:uid="{5ECF00CF-1D46-410E-A8EF-4D4AF6EF8782}" name="item.evento.Fecha_hora_fin_event"/>
    <tableColumn id="42" xr3:uid="{540BEAC6-4034-4D77-8F92-FA4D5610E46B}" name="item.evento.id_organizador"/>
    <tableColumn id="43" xr3:uid="{00C527BB-9995-4DFB-99E7-19DC44A5D7C8}" name="item.evento.nom_organizador"/>
    <tableColumn id="44" xr3:uid="{6466F782-D228-41B3-AFCA-8447622CBD56}" name="item.evento.tipo_organizador"/>
    <tableColumn id="45" xr3:uid="{790BA2AB-94D2-46C3-B1DE-420E23871DC5}" name="UNIFIC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49C049-863F-42A4-9D83-EFF71601984B}" name="Tabla2" displayName="Tabla2" ref="A3:AS5" totalsRowShown="0">
  <autoFilter ref="A3:AS5" xr:uid="{EE49C049-863F-42A4-9D83-EFF71601984B}"/>
  <tableColumns count="45">
    <tableColumn id="1" xr3:uid="{CAE80A53-0EC6-490C-B6B7-037C69A3C954}" name="serie_correlativo"/>
    <tableColumn id="2" xr3:uid="{6505705F-1338-4C8B-B634-28F382D83A72}" name="numero"/>
    <tableColumn id="3" xr3:uid="{B1D70D71-8D3B-4EB8-927D-4FC824D31CA8}" name="nombre_empresa"/>
    <tableColumn id="4" xr3:uid="{FB4690C2-0FB8-4C33-98D0-133AA955C2B6}" name="fecha_de_emision" dataDxfId="76"/>
    <tableColumn id="5" xr3:uid="{1F9C7FC0-DFD8-4026-9A9E-4660C5243FF1}" name="hora_de_emision" dataDxfId="75"/>
    <tableColumn id="6" xr3:uid="{FCBFC475-97D1-4DB5-931D-7C8FB31BE578}" name="nom_proveedor"/>
    <tableColumn id="7" xr3:uid="{7AB6D124-807D-4C91-9D0A-8B0A9A539893}" name="cat_proveedor"/>
    <tableColumn id="8" xr3:uid="{AA63C727-D4FE-4A56-B2E9-7B55BF1B1985}" name="tipo_documento"/>
    <tableColumn id="9" xr3:uid="{C41755F2-E0EE-4589-9E48-656FC0F8B677}" name="doc_proveedor"/>
    <tableColumn id="10" xr3:uid="{3884B8B4-E5A7-4E52-B26C-57B3580148D3}" name="items"/>
    <tableColumn id="11" xr3:uid="{334DB6A5-141A-446B-AC10-39005E9A5D69}" name="factura.fecha_emision" dataDxfId="74"/>
    <tableColumn id="12" xr3:uid="{CA8F30BE-55C4-4873-9AD8-CEE766607736}" name="factura.cliente"/>
    <tableColumn id="13" xr3:uid="{F8C7438C-4467-4007-B649-A431F68A35B2}" name="factura.id_cliente"/>
    <tableColumn id="14" xr3:uid="{B7D8EDF1-B147-4FA9-80FE-A27253B9105F}" name="factura.total"/>
    <tableColumn id="15" xr3:uid="{11DF8557-BE79-4175-BB68-1CD668922535}" name="factura.moneda"/>
    <tableColumn id="16" xr3:uid="{4F90B5AF-4CC9-499C-A42C-3D5577E744DB}" name="factura.estado"/>
    <tableColumn id="17" xr3:uid="{C3340F9E-04C4-4516-AB15-087E00DE729A}" name="item.id_producto"/>
    <tableColumn id="18" xr3:uid="{65822C7A-59CD-4729-B8C3-2F981DDCB56D}" name="item.codigo_producto"/>
    <tableColumn id="19" xr3:uid="{59AFA9C7-4F41-4695-B6AC-BD155CFB6030}" name="item.nom_producto"/>
    <tableColumn id="20" xr3:uid="{469C2B36-5049-4032-936D-2972566A7312}" name="item.categoria_producto"/>
    <tableColumn id="21" xr3:uid="{F7E28CDE-98F9-4B71-8D62-01EA34A6C8F5}" name="item.cantidad"/>
    <tableColumn id="22" xr3:uid="{66712E5D-C2EB-48BA-9747-4F5B108A681A}" name="item.valor_unitario"/>
    <tableColumn id="23" xr3:uid="{24F86BBB-75CC-4BF0-9DB8-FF72F0EB89EC}" name="item.precio_unitario"/>
    <tableColumn id="24" xr3:uid="{F16389D2-42BC-4D7B-B204-FBBC1C1B89B9}" name="item.descuento"/>
    <tableColumn id="25" xr3:uid="{738D96B0-0A28-43B7-B049-52F641C84A9D}" name="item.subtotal"/>
    <tableColumn id="26" xr3:uid="{22FFCE49-EBE8-46FF-A826-0E7C36ADFEDF}" name="item.porcentaje_de_igv"/>
    <tableColumn id="27" xr3:uid="{A47AA950-4B88-4C6E-8564-1D60DAB08081}" name="item.igv"/>
    <tableColumn id="28" xr3:uid="{74DD1918-B1BB-415F-BE78-1B1687DE75FC}" name="item.total"/>
    <tableColumn id="29" xr3:uid="{FB19DB73-4A5A-41B9-A92A-34CCD46DAF43}" name="item.moneda"/>
    <tableColumn id="30" xr3:uid="{BE0FD133-15FF-4672-BA64-90545C23607C}" name="item.tipo_de_cambio"/>
    <tableColumn id="31" xr3:uid="{2B118F17-ACCA-4714-A1A4-4910E47E1F36}" name="item.id_estado"/>
    <tableColumn id="32" xr3:uid="{9E58FC2E-7F5B-4580-8657-41810B304A53}" name="item.nombre_estado"/>
    <tableColumn id="33" xr3:uid="{A401DC09-8DB4-4785-B05E-3FA7961312BA}" name="item.id_vendedor"/>
    <tableColumn id="34" xr3:uid="{682FDBF7-928C-437C-A570-487BA636C074}" name="item.nom_vendedor"/>
    <tableColumn id="35" xr3:uid="{FD1E29B9-05EF-4663-ACCE-A74371E482EF}" name="item.id_cuenta_analitica"/>
    <tableColumn id="36" xr3:uid="{625F9AE8-BCA0-4062-9B1B-93CA247D3109}" name="item.nom_cuenta_analitica"/>
    <tableColumn id="37" xr3:uid="{5502619C-6476-44AD-BA4F-C1A116161666}" name="item.distribucion_analitica"/>
    <tableColumn id="38" xr3:uid="{B40D0A84-A6E1-4868-9399-4255EBCA5A5E}" name="item.evento.id_evento"/>
    <tableColumn id="39" xr3:uid="{D375C5EF-6EFC-4030-8EB6-95FCA013649C}" name="item.evento.nom_evento"/>
    <tableColumn id="40" xr3:uid="{42DDEFA3-205D-4EC3-B789-498235108F4C}" name="item.evento.Fecha_hora_ini_event" dataDxfId="73"/>
    <tableColumn id="41" xr3:uid="{B84E5518-5FD1-41C3-B0CF-65D544920896}" name="item.evento.Fecha_hora_fin_event" dataDxfId="72"/>
    <tableColumn id="42" xr3:uid="{58DFD8D3-C4ED-4BE0-88D7-F124CF81B8D7}" name="item.evento.id_organizador"/>
    <tableColumn id="43" xr3:uid="{4481442F-3786-43DA-AF3E-7B467598670A}" name="item.evento.nom_organizador"/>
    <tableColumn id="44" xr3:uid="{41BCA597-1287-4711-91C6-D859E33C5D15}" name="item.evento.tipo_organizador"/>
    <tableColumn id="45" xr3:uid="{171B4851-0739-418D-8AC2-E31D079AFB93}" name="UNIFICAD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CE2B26-E943-4F73-A6A8-7D6EF8630CB0}" name="Tabla3" displayName="Tabla3" ref="A3:AR5" totalsRowShown="0">
  <autoFilter ref="A3:AR5" xr:uid="{88CE2B26-E943-4F73-A6A8-7D6EF8630CB0}"/>
  <tableColumns count="44">
    <tableColumn id="1" xr3:uid="{4F68648D-E90C-48BC-A0D4-B48D88939423}" name="serie_correlativo"/>
    <tableColumn id="2" xr3:uid="{9E57290D-2FCB-42DE-B11D-ADD52B6819F1}" name="numero"/>
    <tableColumn id="3" xr3:uid="{1D8A3110-D59E-4942-B696-77B92FD03D7D}" name="fecha_de_emision" dataDxfId="4"/>
    <tableColumn id="4" xr3:uid="{5F3B341F-A6FB-4E9F-BCFA-3DEC14E930A1}" name="hora_de_emision" dataDxfId="3"/>
    <tableColumn id="5" xr3:uid="{A9E0C27A-07DD-4344-B094-BCBFCE544DA3}" name="nom_proveedor"/>
    <tableColumn id="6" xr3:uid="{455260C4-DC03-46AD-B3E3-37EF730AD562}" name="cat_proveedor"/>
    <tableColumn id="7" xr3:uid="{641F6808-00D9-49A4-8D84-B4CC1CED833B}" name="tipo_documento"/>
    <tableColumn id="8" xr3:uid="{0B2CF01D-020F-4B39-B6A9-B40749FD8500}" name="doc_proveedor"/>
    <tableColumn id="9" xr3:uid="{789EDCB7-7ED1-4B08-86AD-B69FB78F0ACF}" name="items"/>
    <tableColumn id="10" xr3:uid="{ACACE0E1-7DA1-48CF-8319-C37021AA0F9D}" name="factura.fecha_emision" dataDxfId="2"/>
    <tableColumn id="11" xr3:uid="{1308BF1B-D679-4342-B874-543766C28EB4}" name="factura.cliente"/>
    <tableColumn id="12" xr3:uid="{81C08371-9FE1-49C6-89F9-A94CE165D800}" name="factura.id_cliente"/>
    <tableColumn id="13" xr3:uid="{7302BE2A-F81A-436C-A940-E06854BB7434}" name="factura.total"/>
    <tableColumn id="14" xr3:uid="{FA77C760-C0FC-44C9-8080-54F89047E92A}" name="factura.moneda"/>
    <tableColumn id="15" xr3:uid="{DA17F859-B864-467C-A931-E3F3C56C932D}" name="factura.estado"/>
    <tableColumn id="16" xr3:uid="{2709EAAB-A587-4658-91C1-62D8E2E0CE17}" name="item.id_producto"/>
    <tableColumn id="17" xr3:uid="{B0070BB7-32DE-4368-8411-2A298B51792C}" name="item.codigo_producto"/>
    <tableColumn id="18" xr3:uid="{1B9A7B49-975C-4989-9BDD-B4E19EADA085}" name="item.nom_producto"/>
    <tableColumn id="19" xr3:uid="{C50CB790-30AD-4515-95E7-958AE54F0657}" name="item.categoria_producto"/>
    <tableColumn id="20" xr3:uid="{4036BA5A-45CC-429E-9E55-C08A1BE9F8EA}" name="item.cantidad"/>
    <tableColumn id="21" xr3:uid="{66C468C4-E901-4815-A859-C2D6123C7EF0}" name="item.valor_unitario"/>
    <tableColumn id="22" xr3:uid="{BA142883-4947-483E-908A-0F4646B5AF68}" name="item.precio_unitario"/>
    <tableColumn id="23" xr3:uid="{43D93250-D7A7-4893-9D8E-98F76BFFB539}" name="item.descuento"/>
    <tableColumn id="24" xr3:uid="{6CB79918-CF6A-43A0-A3F7-40A8DF4C47DB}" name="item.subtotal"/>
    <tableColumn id="25" xr3:uid="{31785142-BE4B-4383-9CE5-E70995A1652C}" name="item.porcentaje_de_igv"/>
    <tableColumn id="26" xr3:uid="{C5A745F3-4B0C-41AA-B3D5-E929EE41BC11}" name="item.igv"/>
    <tableColumn id="27" xr3:uid="{BD439896-9606-49D4-8EA8-3D0F350EFA3F}" name="item.total"/>
    <tableColumn id="28" xr3:uid="{08434356-D1FD-4EB3-8796-9801C8343114}" name="item.moneda"/>
    <tableColumn id="29" xr3:uid="{40898AA6-65EC-459C-9B8C-8F46916BE359}" name="item.tipo_de_cambio"/>
    <tableColumn id="30" xr3:uid="{E88A2817-4EFE-4462-906F-30C4FCA69FC9}" name="item.id_estado"/>
    <tableColumn id="31" xr3:uid="{04F91569-CE9C-4BDA-AF02-5F2C80B12124}" name="item.nombre_estado"/>
    <tableColumn id="32" xr3:uid="{CF999ABC-3D83-49C1-873E-C0BC08B64F29}" name="item.id_vendedor"/>
    <tableColumn id="33" xr3:uid="{32DA1ACC-71B2-4B18-9429-90D3ED254D60}" name="item.nom_vendedor"/>
    <tableColumn id="34" xr3:uid="{CDB6BB6F-600A-4D79-9F49-CA36C2F92546}" name="item.id_cuenta_analitica"/>
    <tableColumn id="35" xr3:uid="{2CCFFD53-3516-4F13-B3A7-6AA4521B9560}" name="item.nom_cuenta_analitica"/>
    <tableColumn id="36" xr3:uid="{F0D81FA4-BF52-46E4-BC18-08F0931282AE}" name="item.distribucion_analitica"/>
    <tableColumn id="37" xr3:uid="{5C01DFE0-8E3E-4936-A365-B262F9B5FA68}" name="item.evento.id_evento"/>
    <tableColumn id="38" xr3:uid="{2C86076E-370A-42C2-B6E0-25070DCC821D}" name="item.evento.nom_evento"/>
    <tableColumn id="39" xr3:uid="{28B52E40-5EF4-4182-AA46-3285E83E5CCA}" name="item.evento.Fecha_hora_ini_event" dataDxfId="1"/>
    <tableColumn id="40" xr3:uid="{7CFFEA38-7E51-4A50-B8C3-116E7A5B70E1}" name="item.evento.Fecha_hora_fin_event" dataDxfId="0"/>
    <tableColumn id="41" xr3:uid="{84C19E0A-5645-4F9A-9656-B1392E87EE40}" name="item.evento.id_organizador"/>
    <tableColumn id="42" xr3:uid="{A00B8DAD-D560-4B2E-8FFF-B942A332B738}" name="item.evento.nom_organizador"/>
    <tableColumn id="43" xr3:uid="{4EADB3E6-0374-4B49-8DE9-183FCE040040}" name="item.evento.tipo_organizador"/>
    <tableColumn id="44" xr3:uid="{A259D4E5-9AE7-4B39-8B80-E2CE40512025}" name="UNIFIC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12" Type="http://schemas.openxmlformats.org/officeDocument/2006/relationships/pivotTable" Target="../pivotTables/pivotTable22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11" Type="http://schemas.openxmlformats.org/officeDocument/2006/relationships/pivotTable" Target="../pivotTables/pivotTable21.xml"/><Relationship Id="rId5" Type="http://schemas.openxmlformats.org/officeDocument/2006/relationships/pivotTable" Target="../pivotTables/pivotTable15.xml"/><Relationship Id="rId10" Type="http://schemas.openxmlformats.org/officeDocument/2006/relationships/pivotTable" Target="../pivotTables/pivotTable20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46"/>
  <sheetViews>
    <sheetView topLeftCell="Q1" workbookViewId="0">
      <selection activeCell="AG1" sqref="AG1"/>
    </sheetView>
  </sheetViews>
  <sheetFormatPr baseColWidth="10" defaultColWidth="9.140625" defaultRowHeight="15"/>
  <cols>
    <col min="1" max="1" width="22" bestFit="1" customWidth="1"/>
    <col min="2" max="2" width="20.42578125" bestFit="1" customWidth="1"/>
    <col min="3" max="3" width="20.42578125" customWidth="1"/>
    <col min="4" max="4" width="15.5703125" bestFit="1" customWidth="1"/>
    <col min="5" max="5" width="40.28515625" bestFit="1" customWidth="1"/>
    <col min="6" max="6" width="15.42578125" bestFit="1" customWidth="1"/>
    <col min="7" max="7" width="10.42578125" bestFit="1" customWidth="1"/>
    <col min="8" max="8" width="20.5703125" bestFit="1" customWidth="1"/>
    <col min="9" max="9" width="7" bestFit="1" customWidth="1"/>
    <col min="10" max="10" width="10.5703125" bestFit="1" customWidth="1"/>
    <col min="11" max="11" width="19" bestFit="1" customWidth="1"/>
    <col min="12" max="12" width="16.28515625" bestFit="1" customWidth="1"/>
    <col min="13" max="13" width="11.28515625" bestFit="1" customWidth="1"/>
    <col min="14" max="14" width="20.5703125" bestFit="1" customWidth="1"/>
    <col min="15" max="15" width="28.7109375" bestFit="1" customWidth="1"/>
    <col min="16" max="16" width="17" bestFit="1" customWidth="1"/>
    <col min="17" max="17" width="12.85546875" bestFit="1" customWidth="1"/>
    <col min="18" max="18" width="21.42578125" bestFit="1" customWidth="1"/>
    <col min="19" max="19" width="25.5703125" bestFit="1" customWidth="1"/>
    <col min="20" max="20" width="8.42578125" bestFit="1" customWidth="1"/>
    <col min="21" max="21" width="10.42578125" bestFit="1" customWidth="1"/>
    <col min="22" max="22" width="14.28515625" bestFit="1" customWidth="1"/>
    <col min="23" max="23" width="21.7109375" bestFit="1" customWidth="1"/>
    <col min="24" max="25" width="22.5703125" bestFit="1" customWidth="1"/>
    <col min="26" max="26" width="10.42578125" bestFit="1" customWidth="1"/>
    <col min="27" max="27" width="13.42578125" bestFit="1" customWidth="1"/>
    <col min="28" max="28" width="14.85546875" bestFit="1" customWidth="1"/>
    <col min="29" max="29" width="10.42578125" bestFit="1" customWidth="1"/>
    <col min="30" max="30" width="12.28515625" bestFit="1" customWidth="1"/>
    <col min="31" max="31" width="12.7109375" bestFit="1" customWidth="1"/>
    <col min="32" max="32" width="13.85546875" bestFit="1" customWidth="1"/>
    <col min="33" max="33" width="16.85546875" bestFit="1" customWidth="1"/>
    <col min="34" max="34" width="20.28515625" bestFit="1" customWidth="1"/>
    <col min="35" max="35" width="13.140625" bestFit="1" customWidth="1"/>
    <col min="36" max="36" width="15" bestFit="1" customWidth="1"/>
    <col min="37" max="37" width="24.85546875" style="8" bestFit="1" customWidth="1"/>
  </cols>
  <sheetData>
    <row r="1" spans="1:37" ht="15" customHeight="1">
      <c r="A1" s="4" t="s">
        <v>0</v>
      </c>
      <c r="B1" s="4" t="s">
        <v>1</v>
      </c>
      <c r="C1" s="4" t="s">
        <v>110</v>
      </c>
      <c r="D1" s="1" t="s">
        <v>2</v>
      </c>
      <c r="E1" s="4" t="s">
        <v>3</v>
      </c>
      <c r="F1" s="4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 t="s">
        <v>9</v>
      </c>
      <c r="L1" s="1" t="s">
        <v>10</v>
      </c>
      <c r="M1" s="1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1" t="s">
        <v>16</v>
      </c>
      <c r="S1" s="1" t="s">
        <v>17</v>
      </c>
      <c r="T1" s="4" t="s">
        <v>18</v>
      </c>
      <c r="U1" s="1" t="s">
        <v>19</v>
      </c>
      <c r="V1" s="4" t="s">
        <v>20</v>
      </c>
      <c r="W1" s="1" t="s">
        <v>21</v>
      </c>
      <c r="X1" s="1" t="s">
        <v>22</v>
      </c>
      <c r="Y1" s="1" t="s">
        <v>23</v>
      </c>
      <c r="Z1" s="4" t="s">
        <v>24</v>
      </c>
      <c r="AA1" s="5" t="s">
        <v>46</v>
      </c>
      <c r="AB1" s="5" t="s">
        <v>47</v>
      </c>
      <c r="AC1" s="5" t="s">
        <v>48</v>
      </c>
      <c r="AD1" s="5" t="s">
        <v>49</v>
      </c>
      <c r="AE1" s="5" t="s">
        <v>41</v>
      </c>
      <c r="AF1" s="5" t="s">
        <v>42</v>
      </c>
      <c r="AG1" s="5" t="s">
        <v>43</v>
      </c>
      <c r="AH1" s="5" t="s">
        <v>44</v>
      </c>
      <c r="AI1" s="5" t="s">
        <v>45</v>
      </c>
      <c r="AJ1" s="5" t="s">
        <v>50</v>
      </c>
      <c r="AK1" s="7" t="s">
        <v>59</v>
      </c>
    </row>
    <row r="2" spans="1:37" ht="15" customHeight="1">
      <c r="A2" s="2" t="s">
        <v>136</v>
      </c>
      <c r="B2" s="2">
        <v>2259</v>
      </c>
      <c r="C2" s="2"/>
      <c r="D2" s="2" t="s">
        <v>26</v>
      </c>
      <c r="E2" s="2" t="s">
        <v>35</v>
      </c>
      <c r="F2" s="3">
        <v>45917</v>
      </c>
      <c r="G2" s="3">
        <v>45917</v>
      </c>
      <c r="H2" s="3">
        <v>45917</v>
      </c>
      <c r="I2" s="2"/>
      <c r="J2" s="2"/>
      <c r="K2" s="2" t="s">
        <v>28</v>
      </c>
      <c r="L2" s="2" t="s">
        <v>29</v>
      </c>
      <c r="M2" s="2"/>
      <c r="N2" s="2" t="s">
        <v>30</v>
      </c>
      <c r="O2" s="2">
        <v>16.95</v>
      </c>
      <c r="P2" s="2">
        <v>3.05</v>
      </c>
      <c r="Q2" s="2">
        <v>20</v>
      </c>
      <c r="R2" s="2">
        <v>20</v>
      </c>
      <c r="S2" s="2">
        <v>20</v>
      </c>
      <c r="T2" s="2" t="s">
        <v>31</v>
      </c>
      <c r="U2" s="2" t="b">
        <v>0</v>
      </c>
      <c r="V2" s="2" t="s">
        <v>32</v>
      </c>
      <c r="W2" s="2" t="s">
        <v>33</v>
      </c>
      <c r="X2" s="2"/>
      <c r="Y2" s="2"/>
      <c r="Z2" s="2" t="s">
        <v>34</v>
      </c>
      <c r="AA2" s="2"/>
      <c r="AB2" s="2"/>
      <c r="AC2" s="2"/>
      <c r="AD2" s="2"/>
      <c r="AK2" s="8">
        <f t="shared" ref="AK2:AK37" si="0">+IF(AE2&lt;&gt;"",AE2,F2)</f>
        <v>45917</v>
      </c>
    </row>
    <row r="3" spans="1:37" ht="15" customHeight="1">
      <c r="A3" s="2" t="s">
        <v>130</v>
      </c>
      <c r="B3" s="2">
        <v>2544</v>
      </c>
      <c r="C3" s="2"/>
      <c r="D3" s="2" t="s">
        <v>26</v>
      </c>
      <c r="E3" s="2" t="s">
        <v>38</v>
      </c>
      <c r="F3" s="3">
        <v>45917</v>
      </c>
      <c r="G3" s="3">
        <v>45917</v>
      </c>
      <c r="H3" s="3">
        <v>45917</v>
      </c>
      <c r="I3" s="2"/>
      <c r="J3" s="2"/>
      <c r="K3" s="2" t="s">
        <v>28</v>
      </c>
      <c r="L3" s="2" t="s">
        <v>29</v>
      </c>
      <c r="M3" s="2"/>
      <c r="N3" s="2" t="s">
        <v>30</v>
      </c>
      <c r="O3" s="2">
        <v>33.9</v>
      </c>
      <c r="P3" s="2">
        <v>6.1</v>
      </c>
      <c r="Q3" s="2">
        <v>40</v>
      </c>
      <c r="R3" s="2">
        <v>40</v>
      </c>
      <c r="S3" s="2">
        <v>40</v>
      </c>
      <c r="T3" s="2" t="s">
        <v>31</v>
      </c>
      <c r="U3" s="2" t="b">
        <v>0</v>
      </c>
      <c r="V3" s="2" t="s">
        <v>32</v>
      </c>
      <c r="W3" s="2" t="s">
        <v>33</v>
      </c>
      <c r="X3" s="2"/>
      <c r="Y3" s="2"/>
      <c r="Z3" s="2" t="s">
        <v>34</v>
      </c>
      <c r="AA3" s="2"/>
      <c r="AB3" s="2"/>
      <c r="AC3" s="2"/>
      <c r="AD3" s="2"/>
      <c r="AK3" s="8">
        <f t="shared" si="0"/>
        <v>45917</v>
      </c>
    </row>
    <row r="4" spans="1:37" ht="15" customHeight="1">
      <c r="A4" s="2" t="s">
        <v>135</v>
      </c>
      <c r="B4" s="2">
        <v>2259</v>
      </c>
      <c r="C4" s="2"/>
      <c r="D4" s="2" t="s">
        <v>26</v>
      </c>
      <c r="E4" s="2" t="s">
        <v>35</v>
      </c>
      <c r="F4" s="3">
        <v>45917</v>
      </c>
      <c r="G4" s="3">
        <v>45917</v>
      </c>
      <c r="H4" s="3">
        <v>45917</v>
      </c>
      <c r="I4" s="2"/>
      <c r="J4" s="2"/>
      <c r="K4" s="2" t="s">
        <v>28</v>
      </c>
      <c r="L4" s="2" t="s">
        <v>29</v>
      </c>
      <c r="M4" s="2"/>
      <c r="N4" s="2" t="s">
        <v>30</v>
      </c>
      <c r="O4" s="2">
        <v>33.9</v>
      </c>
      <c r="P4" s="2">
        <v>6.1</v>
      </c>
      <c r="Q4" s="2">
        <v>40</v>
      </c>
      <c r="R4" s="2">
        <v>40</v>
      </c>
      <c r="S4" s="2">
        <v>40</v>
      </c>
      <c r="T4" s="2" t="s">
        <v>31</v>
      </c>
      <c r="U4" s="2" t="b">
        <v>0</v>
      </c>
      <c r="V4" s="2" t="s">
        <v>32</v>
      </c>
      <c r="W4" s="2" t="s">
        <v>33</v>
      </c>
      <c r="X4" s="2"/>
      <c r="Y4" s="2"/>
      <c r="Z4" s="2" t="s">
        <v>34</v>
      </c>
      <c r="AA4" s="2"/>
      <c r="AB4" s="2"/>
      <c r="AC4" s="2"/>
      <c r="AD4" s="2"/>
      <c r="AK4" s="8">
        <f t="shared" si="0"/>
        <v>45917</v>
      </c>
    </row>
    <row r="5" spans="1:37" ht="15" customHeight="1">
      <c r="A5" s="2" t="s">
        <v>142</v>
      </c>
      <c r="B5" s="2">
        <v>2337</v>
      </c>
      <c r="C5" s="2"/>
      <c r="D5" s="2" t="s">
        <v>26</v>
      </c>
      <c r="E5" s="2" t="s">
        <v>27</v>
      </c>
      <c r="F5" s="3">
        <v>45912</v>
      </c>
      <c r="G5" s="3">
        <v>45912</v>
      </c>
      <c r="H5" s="3">
        <v>45912</v>
      </c>
      <c r="I5" s="2"/>
      <c r="J5" s="2"/>
      <c r="K5" s="2" t="s">
        <v>28</v>
      </c>
      <c r="L5" s="2" t="s">
        <v>29</v>
      </c>
      <c r="M5" s="2"/>
      <c r="N5" s="2" t="s">
        <v>30</v>
      </c>
      <c r="O5" s="2">
        <v>33.9</v>
      </c>
      <c r="P5" s="2">
        <v>6.1</v>
      </c>
      <c r="Q5" s="2">
        <v>40</v>
      </c>
      <c r="R5" s="2">
        <v>40</v>
      </c>
      <c r="S5" s="2">
        <v>40</v>
      </c>
      <c r="T5" s="2" t="s">
        <v>31</v>
      </c>
      <c r="U5" s="2" t="b">
        <v>0</v>
      </c>
      <c r="V5" s="2" t="s">
        <v>32</v>
      </c>
      <c r="W5" s="2" t="s">
        <v>33</v>
      </c>
      <c r="X5" s="2"/>
      <c r="Y5" s="2"/>
      <c r="Z5" s="2" t="s">
        <v>34</v>
      </c>
      <c r="AA5" s="2"/>
      <c r="AB5" s="2"/>
      <c r="AC5" s="2"/>
      <c r="AD5" s="2"/>
      <c r="AK5" s="8">
        <f t="shared" si="0"/>
        <v>45912</v>
      </c>
    </row>
    <row r="6" spans="1:37" ht="15" customHeight="1">
      <c r="A6" s="2" t="s">
        <v>124</v>
      </c>
      <c r="B6" s="2">
        <v>2544</v>
      </c>
      <c r="C6" s="2"/>
      <c r="D6" s="2" t="s">
        <v>26</v>
      </c>
      <c r="E6" s="2" t="s">
        <v>38</v>
      </c>
      <c r="F6" s="3">
        <v>45917</v>
      </c>
      <c r="G6" s="3">
        <v>45917</v>
      </c>
      <c r="H6" s="3">
        <v>45917</v>
      </c>
      <c r="I6" s="2"/>
      <c r="J6" s="2"/>
      <c r="K6" s="2" t="s">
        <v>28</v>
      </c>
      <c r="L6" s="2" t="s">
        <v>29</v>
      </c>
      <c r="M6" s="2"/>
      <c r="N6" s="2" t="s">
        <v>30</v>
      </c>
      <c r="O6" s="2">
        <v>47.46</v>
      </c>
      <c r="P6" s="2">
        <v>8.5399999999999991</v>
      </c>
      <c r="Q6" s="2">
        <v>56</v>
      </c>
      <c r="R6" s="2">
        <v>56</v>
      </c>
      <c r="S6" s="2">
        <v>56</v>
      </c>
      <c r="T6" s="2" t="s">
        <v>31</v>
      </c>
      <c r="U6" s="2" t="b">
        <v>0</v>
      </c>
      <c r="V6" s="2" t="s">
        <v>32</v>
      </c>
      <c r="W6" s="2" t="s">
        <v>33</v>
      </c>
      <c r="X6" s="2"/>
      <c r="Y6" s="2"/>
      <c r="Z6" s="2" t="s">
        <v>34</v>
      </c>
      <c r="AA6" s="2"/>
      <c r="AB6" s="2"/>
      <c r="AC6" s="2"/>
      <c r="AD6" s="2"/>
      <c r="AK6" s="8">
        <f t="shared" si="0"/>
        <v>45917</v>
      </c>
    </row>
    <row r="7" spans="1:37" ht="15" customHeight="1">
      <c r="A7" s="2" t="s">
        <v>113</v>
      </c>
      <c r="B7" s="2">
        <v>2259</v>
      </c>
      <c r="C7" s="2"/>
      <c r="D7" s="2" t="s">
        <v>26</v>
      </c>
      <c r="E7" s="2" t="s">
        <v>35</v>
      </c>
      <c r="F7" s="3">
        <v>45919</v>
      </c>
      <c r="G7" s="3">
        <v>45919</v>
      </c>
      <c r="H7" s="3">
        <v>45919</v>
      </c>
      <c r="I7" s="2"/>
      <c r="J7" s="2"/>
      <c r="K7" s="2" t="s">
        <v>28</v>
      </c>
      <c r="L7" s="2" t="s">
        <v>29</v>
      </c>
      <c r="M7" s="2"/>
      <c r="N7" s="2" t="s">
        <v>30</v>
      </c>
      <c r="O7" s="2">
        <v>50.85</v>
      </c>
      <c r="P7" s="2">
        <v>9.15</v>
      </c>
      <c r="Q7" s="2">
        <v>60</v>
      </c>
      <c r="R7" s="2">
        <v>60</v>
      </c>
      <c r="S7" s="2">
        <v>60</v>
      </c>
      <c r="T7" s="2" t="s">
        <v>31</v>
      </c>
      <c r="U7" s="2" t="b">
        <v>0</v>
      </c>
      <c r="V7" s="2" t="s">
        <v>32</v>
      </c>
      <c r="W7" s="2" t="s">
        <v>33</v>
      </c>
      <c r="X7" s="2"/>
      <c r="Y7" s="2"/>
      <c r="Z7" s="2" t="s">
        <v>34</v>
      </c>
      <c r="AA7" s="2"/>
      <c r="AB7" s="2"/>
      <c r="AC7" s="2"/>
      <c r="AD7" s="2"/>
      <c r="AK7" s="8">
        <f t="shared" si="0"/>
        <v>45919</v>
      </c>
    </row>
    <row r="8" spans="1:37" ht="15" customHeight="1">
      <c r="A8" s="2" t="s">
        <v>129</v>
      </c>
      <c r="B8" s="2">
        <v>2544</v>
      </c>
      <c r="C8" s="2"/>
      <c r="D8" s="2" t="s">
        <v>26</v>
      </c>
      <c r="E8" s="2" t="s">
        <v>38</v>
      </c>
      <c r="F8" s="3">
        <v>45917</v>
      </c>
      <c r="G8" s="3">
        <v>45917</v>
      </c>
      <c r="H8" s="3">
        <v>45917</v>
      </c>
      <c r="I8" s="2"/>
      <c r="J8" s="2"/>
      <c r="K8" s="2" t="s">
        <v>28</v>
      </c>
      <c r="L8" s="2" t="s">
        <v>29</v>
      </c>
      <c r="M8" s="2"/>
      <c r="N8" s="2" t="s">
        <v>30</v>
      </c>
      <c r="O8" s="2">
        <v>50.85</v>
      </c>
      <c r="P8" s="2">
        <v>9.15</v>
      </c>
      <c r="Q8" s="2">
        <v>60</v>
      </c>
      <c r="R8" s="2">
        <v>60</v>
      </c>
      <c r="S8" s="2">
        <v>60</v>
      </c>
      <c r="T8" s="2" t="s">
        <v>31</v>
      </c>
      <c r="U8" s="2" t="b">
        <v>0</v>
      </c>
      <c r="V8" s="2" t="s">
        <v>32</v>
      </c>
      <c r="W8" s="2" t="s">
        <v>33</v>
      </c>
      <c r="X8" s="2"/>
      <c r="Y8" s="2"/>
      <c r="Z8" s="2" t="s">
        <v>34</v>
      </c>
      <c r="AA8" s="2"/>
      <c r="AB8" s="2"/>
      <c r="AC8" s="2"/>
      <c r="AD8" s="2"/>
      <c r="AK8" s="8">
        <f t="shared" si="0"/>
        <v>45917</v>
      </c>
    </row>
    <row r="9" spans="1:37" ht="15" customHeight="1">
      <c r="A9" s="2" t="s">
        <v>177</v>
      </c>
      <c r="B9" s="2">
        <v>0</v>
      </c>
      <c r="C9" s="2"/>
      <c r="D9" s="2" t="s">
        <v>26</v>
      </c>
      <c r="E9" s="2" t="s">
        <v>27</v>
      </c>
      <c r="F9" s="3">
        <v>45894</v>
      </c>
      <c r="G9" s="3">
        <v>45894</v>
      </c>
      <c r="H9" s="3">
        <v>45894</v>
      </c>
      <c r="I9" s="2"/>
      <c r="J9" s="2"/>
      <c r="K9" s="2" t="s">
        <v>28</v>
      </c>
      <c r="L9" s="2" t="s">
        <v>29</v>
      </c>
      <c r="M9" s="2"/>
      <c r="N9" s="2" t="s">
        <v>30</v>
      </c>
      <c r="O9" s="2">
        <v>51.86</v>
      </c>
      <c r="P9" s="2">
        <v>9.33</v>
      </c>
      <c r="Q9" s="2">
        <v>61.19</v>
      </c>
      <c r="R9" s="2">
        <v>61.19</v>
      </c>
      <c r="S9" s="2">
        <v>61.19</v>
      </c>
      <c r="T9" s="2" t="s">
        <v>31</v>
      </c>
      <c r="U9" s="2" t="b">
        <v>0</v>
      </c>
      <c r="V9" s="2" t="s">
        <v>32</v>
      </c>
      <c r="W9" s="2" t="s">
        <v>151</v>
      </c>
      <c r="X9" s="2" t="s">
        <v>178</v>
      </c>
      <c r="Y9" s="2" t="s">
        <v>179</v>
      </c>
      <c r="Z9" s="2" t="s">
        <v>34</v>
      </c>
      <c r="AA9" s="2"/>
      <c r="AB9" s="2"/>
      <c r="AC9" s="2"/>
      <c r="AD9" s="2"/>
      <c r="AK9" s="8">
        <f t="shared" si="0"/>
        <v>45894</v>
      </c>
    </row>
    <row r="10" spans="1:37" ht="15" customHeight="1">
      <c r="A10" s="2" t="s">
        <v>180</v>
      </c>
      <c r="B10" s="2">
        <v>0</v>
      </c>
      <c r="C10" s="2"/>
      <c r="D10" s="2" t="s">
        <v>26</v>
      </c>
      <c r="E10" s="2" t="s">
        <v>27</v>
      </c>
      <c r="F10" s="3">
        <v>45894</v>
      </c>
      <c r="G10" s="3">
        <v>45894</v>
      </c>
      <c r="H10" s="3">
        <v>45894</v>
      </c>
      <c r="I10" s="2"/>
      <c r="J10" s="2"/>
      <c r="K10" s="2" t="s">
        <v>28</v>
      </c>
      <c r="L10" s="2" t="s">
        <v>29</v>
      </c>
      <c r="M10" s="2"/>
      <c r="N10" s="2" t="s">
        <v>30</v>
      </c>
      <c r="O10" s="2">
        <v>51.86</v>
      </c>
      <c r="P10" s="2">
        <v>9.33</v>
      </c>
      <c r="Q10" s="2">
        <v>61.19</v>
      </c>
      <c r="R10" s="2">
        <v>61.19</v>
      </c>
      <c r="S10" s="2">
        <v>61.19</v>
      </c>
      <c r="T10" s="2" t="s">
        <v>31</v>
      </c>
      <c r="U10" s="2" t="b">
        <v>0</v>
      </c>
      <c r="V10" s="2" t="s">
        <v>32</v>
      </c>
      <c r="W10" s="2" t="s">
        <v>151</v>
      </c>
      <c r="X10" s="2" t="s">
        <v>178</v>
      </c>
      <c r="Y10" s="2" t="s">
        <v>181</v>
      </c>
      <c r="Z10" s="2" t="s">
        <v>34</v>
      </c>
      <c r="AA10" s="2"/>
      <c r="AB10" s="2"/>
      <c r="AC10" s="2"/>
      <c r="AD10" s="2"/>
      <c r="AK10" s="8">
        <f t="shared" si="0"/>
        <v>45894</v>
      </c>
    </row>
    <row r="11" spans="1:37" ht="15" customHeight="1">
      <c r="A11" s="2" t="s">
        <v>175</v>
      </c>
      <c r="B11" s="2">
        <v>2337</v>
      </c>
      <c r="C11" s="2"/>
      <c r="D11" s="2" t="s">
        <v>26</v>
      </c>
      <c r="E11" s="2" t="s">
        <v>27</v>
      </c>
      <c r="F11" s="3">
        <v>45896</v>
      </c>
      <c r="G11" s="3">
        <v>45896</v>
      </c>
      <c r="H11" s="3">
        <v>45896</v>
      </c>
      <c r="I11" s="2"/>
      <c r="J11" s="2"/>
      <c r="K11" s="2" t="s">
        <v>28</v>
      </c>
      <c r="L11" s="2" t="s">
        <v>29</v>
      </c>
      <c r="M11" s="2"/>
      <c r="N11" s="2" t="s">
        <v>30</v>
      </c>
      <c r="O11" s="2">
        <v>51.99</v>
      </c>
      <c r="P11" s="2">
        <v>9.36</v>
      </c>
      <c r="Q11" s="2">
        <v>61.35</v>
      </c>
      <c r="R11" s="2">
        <v>61.35</v>
      </c>
      <c r="S11" s="2">
        <v>61.35</v>
      </c>
      <c r="T11" s="2" t="s">
        <v>31</v>
      </c>
      <c r="U11" s="2" t="b">
        <v>0</v>
      </c>
      <c r="V11" s="2" t="s">
        <v>32</v>
      </c>
      <c r="W11" s="2" t="s">
        <v>33</v>
      </c>
      <c r="X11" s="2"/>
      <c r="Y11" s="2"/>
      <c r="Z11" s="2" t="s">
        <v>34</v>
      </c>
      <c r="AA11" s="2"/>
      <c r="AB11" s="2"/>
      <c r="AC11" s="2"/>
      <c r="AD11" s="2"/>
      <c r="AK11" s="8">
        <f t="shared" si="0"/>
        <v>45896</v>
      </c>
    </row>
    <row r="12" spans="1:37" ht="15" customHeight="1">
      <c r="A12" s="2" t="s">
        <v>170</v>
      </c>
      <c r="B12" s="2">
        <v>2337</v>
      </c>
      <c r="C12" s="2"/>
      <c r="D12" s="2" t="s">
        <v>26</v>
      </c>
      <c r="E12" s="2" t="s">
        <v>27</v>
      </c>
      <c r="F12" s="3">
        <v>45896</v>
      </c>
      <c r="G12" s="3">
        <v>45896</v>
      </c>
      <c r="H12" s="3">
        <v>45896</v>
      </c>
      <c r="I12" s="2"/>
      <c r="J12" s="2"/>
      <c r="K12" s="2" t="s">
        <v>28</v>
      </c>
      <c r="L12" s="2" t="s">
        <v>29</v>
      </c>
      <c r="M12" s="2"/>
      <c r="N12" s="2" t="s">
        <v>30</v>
      </c>
      <c r="O12" s="2">
        <v>53.81</v>
      </c>
      <c r="P12" s="2">
        <v>9.69</v>
      </c>
      <c r="Q12" s="2">
        <v>63.5</v>
      </c>
      <c r="R12" s="2">
        <v>63.5</v>
      </c>
      <c r="S12" s="2">
        <v>63.5</v>
      </c>
      <c r="T12" s="2" t="s">
        <v>31</v>
      </c>
      <c r="U12" s="2" t="b">
        <v>0</v>
      </c>
      <c r="V12" s="2" t="s">
        <v>32</v>
      </c>
      <c r="W12" s="2" t="s">
        <v>33</v>
      </c>
      <c r="X12" s="2"/>
      <c r="Y12" s="2"/>
      <c r="Z12" s="2" t="s">
        <v>34</v>
      </c>
      <c r="AA12" s="2"/>
      <c r="AB12" s="2"/>
      <c r="AC12" s="2"/>
      <c r="AD12" s="2"/>
      <c r="AK12" s="8">
        <f t="shared" si="0"/>
        <v>45896</v>
      </c>
    </row>
    <row r="13" spans="1:37" ht="15" customHeight="1">
      <c r="A13" s="2" t="s">
        <v>169</v>
      </c>
      <c r="B13" s="2">
        <v>2337</v>
      </c>
      <c r="C13" s="2"/>
      <c r="D13" s="2" t="s">
        <v>26</v>
      </c>
      <c r="E13" s="2" t="s">
        <v>27</v>
      </c>
      <c r="F13" s="3">
        <v>45896</v>
      </c>
      <c r="G13" s="3">
        <v>45896</v>
      </c>
      <c r="H13" s="3">
        <v>45896</v>
      </c>
      <c r="I13" s="2"/>
      <c r="J13" s="2"/>
      <c r="K13" s="2" t="s">
        <v>28</v>
      </c>
      <c r="L13" s="2" t="s">
        <v>29</v>
      </c>
      <c r="M13" s="2"/>
      <c r="N13" s="2" t="s">
        <v>30</v>
      </c>
      <c r="O13" s="2">
        <v>53.9</v>
      </c>
      <c r="P13" s="2">
        <v>9.6999999999999993</v>
      </c>
      <c r="Q13" s="2">
        <v>63.6</v>
      </c>
      <c r="R13" s="2">
        <v>63.6</v>
      </c>
      <c r="S13" s="2">
        <v>63.6</v>
      </c>
      <c r="T13" s="2" t="s">
        <v>31</v>
      </c>
      <c r="U13" s="2" t="b">
        <v>0</v>
      </c>
      <c r="V13" s="2" t="s">
        <v>32</v>
      </c>
      <c r="W13" s="2" t="s">
        <v>33</v>
      </c>
      <c r="X13" s="2"/>
      <c r="Y13" s="2"/>
      <c r="Z13" s="2" t="s">
        <v>34</v>
      </c>
      <c r="AA13" s="2"/>
      <c r="AB13" s="2"/>
      <c r="AC13" s="2"/>
      <c r="AD13" s="2"/>
      <c r="AK13" s="8">
        <f t="shared" si="0"/>
        <v>45896</v>
      </c>
    </row>
    <row r="14" spans="1:37" ht="15" customHeight="1">
      <c r="A14" s="2" t="s">
        <v>166</v>
      </c>
      <c r="B14" s="2">
        <v>2337</v>
      </c>
      <c r="C14" s="2"/>
      <c r="D14" s="2" t="s">
        <v>26</v>
      </c>
      <c r="E14" s="2" t="s">
        <v>27</v>
      </c>
      <c r="F14" s="3">
        <v>45902</v>
      </c>
      <c r="G14" s="3">
        <v>45902</v>
      </c>
      <c r="H14" s="3">
        <v>45902</v>
      </c>
      <c r="I14" s="2"/>
      <c r="J14" s="2"/>
      <c r="K14" s="2" t="s">
        <v>28</v>
      </c>
      <c r="L14" s="2" t="s">
        <v>29</v>
      </c>
      <c r="M14" s="2"/>
      <c r="N14" s="2" t="s">
        <v>30</v>
      </c>
      <c r="O14" s="2">
        <v>54.15</v>
      </c>
      <c r="P14" s="2">
        <v>9.75</v>
      </c>
      <c r="Q14" s="2">
        <v>63.9</v>
      </c>
      <c r="R14" s="2">
        <v>63.9</v>
      </c>
      <c r="S14" s="2">
        <v>63.9</v>
      </c>
      <c r="T14" s="2" t="s">
        <v>31</v>
      </c>
      <c r="U14" s="2" t="b">
        <v>0</v>
      </c>
      <c r="V14" s="2" t="s">
        <v>32</v>
      </c>
      <c r="W14" s="2" t="s">
        <v>33</v>
      </c>
      <c r="X14" s="2"/>
      <c r="Y14" s="2"/>
      <c r="Z14" s="2" t="s">
        <v>34</v>
      </c>
      <c r="AA14" s="2"/>
      <c r="AB14" s="2"/>
      <c r="AC14" s="2"/>
      <c r="AD14" s="2"/>
      <c r="AK14" s="8">
        <f t="shared" si="0"/>
        <v>45902</v>
      </c>
    </row>
    <row r="15" spans="1:37" ht="15" customHeight="1">
      <c r="A15" s="2" t="s">
        <v>167</v>
      </c>
      <c r="B15" s="2">
        <v>2337</v>
      </c>
      <c r="C15" s="2"/>
      <c r="D15" s="2" t="s">
        <v>26</v>
      </c>
      <c r="E15" s="2" t="s">
        <v>27</v>
      </c>
      <c r="F15" s="3">
        <v>45898</v>
      </c>
      <c r="G15" s="3">
        <v>45898</v>
      </c>
      <c r="H15" s="3">
        <v>45898</v>
      </c>
      <c r="I15" s="2"/>
      <c r="J15" s="2"/>
      <c r="K15" s="2" t="s">
        <v>28</v>
      </c>
      <c r="L15" s="2" t="s">
        <v>29</v>
      </c>
      <c r="M15" s="2"/>
      <c r="N15" s="2" t="s">
        <v>30</v>
      </c>
      <c r="O15" s="2">
        <v>54.15</v>
      </c>
      <c r="P15" s="2">
        <v>9.75</v>
      </c>
      <c r="Q15" s="2">
        <v>63.9</v>
      </c>
      <c r="R15" s="2">
        <v>63.9</v>
      </c>
      <c r="S15" s="2">
        <v>63.9</v>
      </c>
      <c r="T15" s="2" t="s">
        <v>31</v>
      </c>
      <c r="U15" s="2" t="b">
        <v>0</v>
      </c>
      <c r="V15" s="2" t="s">
        <v>32</v>
      </c>
      <c r="W15" s="2" t="s">
        <v>33</v>
      </c>
      <c r="X15" s="2"/>
      <c r="Y15" s="2"/>
      <c r="Z15" s="2" t="s">
        <v>34</v>
      </c>
      <c r="AA15" s="2"/>
      <c r="AB15" s="2"/>
      <c r="AC15" s="2"/>
      <c r="AD15" s="2"/>
      <c r="AK15" s="8">
        <f t="shared" si="0"/>
        <v>45898</v>
      </c>
    </row>
    <row r="16" spans="1:37" ht="15" customHeight="1">
      <c r="A16" s="2" t="s">
        <v>176</v>
      </c>
      <c r="B16" s="2">
        <v>2525</v>
      </c>
      <c r="C16" s="2"/>
      <c r="D16" s="2" t="s">
        <v>26</v>
      </c>
      <c r="E16" s="2" t="s">
        <v>27</v>
      </c>
      <c r="F16" s="3">
        <v>45894</v>
      </c>
      <c r="G16" s="3">
        <v>45894</v>
      </c>
      <c r="H16" s="3">
        <v>45894</v>
      </c>
      <c r="I16" s="2"/>
      <c r="J16" s="2"/>
      <c r="K16" s="2" t="s">
        <v>28</v>
      </c>
      <c r="L16" s="2" t="s">
        <v>29</v>
      </c>
      <c r="M16" s="2"/>
      <c r="N16" s="2" t="s">
        <v>30</v>
      </c>
      <c r="O16" s="2">
        <v>55.34</v>
      </c>
      <c r="P16" s="2">
        <v>9.9600000000000009</v>
      </c>
      <c r="Q16" s="2">
        <v>65.3</v>
      </c>
      <c r="R16" s="2">
        <v>65.3</v>
      </c>
      <c r="S16" s="2">
        <v>65.3</v>
      </c>
      <c r="T16" s="2" t="s">
        <v>31</v>
      </c>
      <c r="U16" s="2" t="b">
        <v>0</v>
      </c>
      <c r="V16" s="2" t="s">
        <v>32</v>
      </c>
      <c r="W16" s="2" t="s">
        <v>33</v>
      </c>
      <c r="X16" s="2"/>
      <c r="Y16" s="2"/>
      <c r="Z16" s="2" t="s">
        <v>34</v>
      </c>
      <c r="AA16" s="2"/>
      <c r="AB16" s="2"/>
      <c r="AC16" s="2"/>
      <c r="AD16" s="2"/>
      <c r="AK16" s="8">
        <f t="shared" si="0"/>
        <v>45894</v>
      </c>
    </row>
    <row r="17" spans="1:37" ht="15" customHeight="1">
      <c r="A17" s="2" t="s">
        <v>126</v>
      </c>
      <c r="B17" s="2">
        <v>2544</v>
      </c>
      <c r="C17" s="2"/>
      <c r="D17" s="2" t="s">
        <v>26</v>
      </c>
      <c r="E17" s="2" t="s">
        <v>38</v>
      </c>
      <c r="F17" s="3">
        <v>45917</v>
      </c>
      <c r="G17" s="3">
        <v>45917</v>
      </c>
      <c r="H17" s="3">
        <v>45917</v>
      </c>
      <c r="I17" s="2"/>
      <c r="J17" s="2"/>
      <c r="K17" s="2" t="s">
        <v>28</v>
      </c>
      <c r="L17" s="2" t="s">
        <v>29</v>
      </c>
      <c r="M17" s="2"/>
      <c r="N17" s="2" t="s">
        <v>30</v>
      </c>
      <c r="O17" s="2">
        <v>55.93</v>
      </c>
      <c r="P17" s="2">
        <v>10.07</v>
      </c>
      <c r="Q17" s="2">
        <v>66</v>
      </c>
      <c r="R17" s="2">
        <v>66</v>
      </c>
      <c r="S17" s="2">
        <v>66</v>
      </c>
      <c r="T17" s="2" t="s">
        <v>31</v>
      </c>
      <c r="U17" s="2" t="b">
        <v>0</v>
      </c>
      <c r="V17" s="2" t="s">
        <v>32</v>
      </c>
      <c r="W17" s="2" t="s">
        <v>33</v>
      </c>
      <c r="X17" s="2"/>
      <c r="Y17" s="2"/>
      <c r="Z17" s="2" t="s">
        <v>34</v>
      </c>
      <c r="AA17" s="2"/>
      <c r="AB17" s="2"/>
      <c r="AC17" s="2"/>
      <c r="AD17" s="2"/>
      <c r="AK17" s="8">
        <f t="shared" si="0"/>
        <v>45917</v>
      </c>
    </row>
    <row r="18" spans="1:37" ht="15" customHeight="1">
      <c r="A18" s="2" t="s">
        <v>138</v>
      </c>
      <c r="B18" s="2">
        <v>2337</v>
      </c>
      <c r="C18" s="2"/>
      <c r="D18" s="2" t="s">
        <v>26</v>
      </c>
      <c r="E18" s="2" t="s">
        <v>27</v>
      </c>
      <c r="F18" s="3">
        <v>45917</v>
      </c>
      <c r="G18" s="3">
        <v>45917</v>
      </c>
      <c r="H18" s="3">
        <v>45917</v>
      </c>
      <c r="I18" s="2"/>
      <c r="J18" s="2"/>
      <c r="K18" s="2" t="s">
        <v>28</v>
      </c>
      <c r="L18" s="2" t="s">
        <v>29</v>
      </c>
      <c r="M18" s="2"/>
      <c r="N18" s="2" t="s">
        <v>30</v>
      </c>
      <c r="O18" s="2">
        <v>55.93</v>
      </c>
      <c r="P18" s="2">
        <v>10.07</v>
      </c>
      <c r="Q18" s="2">
        <v>66</v>
      </c>
      <c r="R18" s="2">
        <v>66</v>
      </c>
      <c r="S18" s="2">
        <v>66</v>
      </c>
      <c r="T18" s="2" t="s">
        <v>31</v>
      </c>
      <c r="U18" s="2" t="b">
        <v>0</v>
      </c>
      <c r="V18" s="2" t="s">
        <v>32</v>
      </c>
      <c r="W18" s="2" t="s">
        <v>33</v>
      </c>
      <c r="X18" s="2"/>
      <c r="Y18" s="2"/>
      <c r="Z18" s="2" t="s">
        <v>34</v>
      </c>
      <c r="AA18" s="2"/>
      <c r="AB18" s="2"/>
      <c r="AC18" s="2"/>
      <c r="AD18" s="2"/>
      <c r="AK18" s="8">
        <f t="shared" si="0"/>
        <v>45917</v>
      </c>
    </row>
    <row r="19" spans="1:37" ht="15" customHeight="1">
      <c r="A19" s="2" t="s">
        <v>569</v>
      </c>
      <c r="B19" s="2">
        <v>2337</v>
      </c>
      <c r="C19" s="2"/>
      <c r="D19" s="2" t="s">
        <v>26</v>
      </c>
      <c r="E19" s="2" t="s">
        <v>27</v>
      </c>
      <c r="F19" s="3">
        <v>45917</v>
      </c>
      <c r="G19" s="3">
        <v>45917</v>
      </c>
      <c r="H19" s="3">
        <v>45917</v>
      </c>
      <c r="I19" s="2"/>
      <c r="J19" s="2"/>
      <c r="K19" s="2" t="s">
        <v>28</v>
      </c>
      <c r="L19" s="2" t="s">
        <v>29</v>
      </c>
      <c r="M19" s="2"/>
      <c r="N19" s="2" t="s">
        <v>30</v>
      </c>
      <c r="O19" s="2">
        <v>65.25</v>
      </c>
      <c r="P19" s="2">
        <v>11.75</v>
      </c>
      <c r="Q19" s="2">
        <v>77</v>
      </c>
      <c r="R19" s="2">
        <v>77</v>
      </c>
      <c r="S19" s="2">
        <v>77</v>
      </c>
      <c r="T19" s="2" t="s">
        <v>31</v>
      </c>
      <c r="U19" s="2" t="b">
        <v>0</v>
      </c>
      <c r="V19" s="2" t="s">
        <v>32</v>
      </c>
      <c r="W19" s="2" t="s">
        <v>33</v>
      </c>
      <c r="X19" s="2"/>
      <c r="Y19" s="2"/>
      <c r="Z19" s="2" t="s">
        <v>34</v>
      </c>
      <c r="AA19" s="2"/>
      <c r="AB19" s="2"/>
      <c r="AC19" s="2"/>
      <c r="AD19" s="2"/>
      <c r="AK19" s="8">
        <f t="shared" si="0"/>
        <v>45917</v>
      </c>
    </row>
    <row r="20" spans="1:37" ht="15" customHeight="1">
      <c r="A20" s="2" t="s">
        <v>143</v>
      </c>
      <c r="B20" s="2">
        <v>2337</v>
      </c>
      <c r="C20" s="2"/>
      <c r="D20" s="2" t="s">
        <v>26</v>
      </c>
      <c r="E20" s="2" t="s">
        <v>27</v>
      </c>
      <c r="F20" s="3">
        <v>45908</v>
      </c>
      <c r="G20" s="3">
        <v>45908</v>
      </c>
      <c r="H20" s="3">
        <v>45908</v>
      </c>
      <c r="I20" s="2"/>
      <c r="J20" s="2"/>
      <c r="K20" s="2" t="s">
        <v>28</v>
      </c>
      <c r="L20" s="2" t="s">
        <v>29</v>
      </c>
      <c r="M20" s="2"/>
      <c r="N20" s="2" t="s">
        <v>30</v>
      </c>
      <c r="O20" s="2">
        <v>65.25</v>
      </c>
      <c r="P20" s="2">
        <v>11.75</v>
      </c>
      <c r="Q20" s="2">
        <v>77</v>
      </c>
      <c r="R20" s="2">
        <v>77</v>
      </c>
      <c r="S20" s="2">
        <v>77</v>
      </c>
      <c r="T20" s="2" t="s">
        <v>31</v>
      </c>
      <c r="U20" s="2" t="b">
        <v>0</v>
      </c>
      <c r="V20" s="2" t="s">
        <v>32</v>
      </c>
      <c r="W20" s="2" t="s">
        <v>33</v>
      </c>
      <c r="X20" s="2"/>
      <c r="Y20" s="2"/>
      <c r="Z20" s="2" t="s">
        <v>34</v>
      </c>
      <c r="AA20" s="2"/>
      <c r="AB20" s="2"/>
      <c r="AC20" s="2"/>
      <c r="AD20" s="2"/>
      <c r="AK20" s="8">
        <f t="shared" si="0"/>
        <v>45908</v>
      </c>
    </row>
    <row r="21" spans="1:37" ht="15" customHeight="1">
      <c r="A21" s="2" t="s">
        <v>152</v>
      </c>
      <c r="B21" s="2">
        <v>2337</v>
      </c>
      <c r="C21" s="2"/>
      <c r="D21" s="2" t="s">
        <v>26</v>
      </c>
      <c r="E21" s="2" t="s">
        <v>27</v>
      </c>
      <c r="F21" s="3">
        <v>45908</v>
      </c>
      <c r="G21" s="3">
        <v>45908</v>
      </c>
      <c r="H21" s="3">
        <v>45908</v>
      </c>
      <c r="I21" s="2"/>
      <c r="J21" s="2"/>
      <c r="K21" s="2" t="s">
        <v>28</v>
      </c>
      <c r="L21" s="2" t="s">
        <v>29</v>
      </c>
      <c r="M21" s="2"/>
      <c r="N21" s="2" t="s">
        <v>30</v>
      </c>
      <c r="O21" s="2">
        <v>65.25</v>
      </c>
      <c r="P21" s="2">
        <v>11.75</v>
      </c>
      <c r="Q21" s="2">
        <v>77</v>
      </c>
      <c r="R21" s="2">
        <v>77</v>
      </c>
      <c r="S21" s="2">
        <v>77</v>
      </c>
      <c r="T21" s="2" t="s">
        <v>31</v>
      </c>
      <c r="U21" s="2" t="b">
        <v>0</v>
      </c>
      <c r="V21" s="2" t="s">
        <v>32</v>
      </c>
      <c r="W21" s="2" t="s">
        <v>33</v>
      </c>
      <c r="X21" s="2"/>
      <c r="Y21" s="2"/>
      <c r="Z21" s="2" t="s">
        <v>34</v>
      </c>
      <c r="AA21" s="2"/>
      <c r="AB21" s="2"/>
      <c r="AC21" s="2"/>
      <c r="AD21" s="2"/>
      <c r="AK21" s="8">
        <f t="shared" si="0"/>
        <v>45908</v>
      </c>
    </row>
    <row r="22" spans="1:37" ht="15" customHeight="1">
      <c r="A22" s="2" t="s">
        <v>153</v>
      </c>
      <c r="B22" s="2">
        <v>2337</v>
      </c>
      <c r="C22" s="2"/>
      <c r="D22" s="2" t="s">
        <v>26</v>
      </c>
      <c r="E22" s="2" t="s">
        <v>27</v>
      </c>
      <c r="F22" s="3">
        <v>45908</v>
      </c>
      <c r="G22" s="3">
        <v>45908</v>
      </c>
      <c r="H22" s="3">
        <v>45908</v>
      </c>
      <c r="I22" s="2"/>
      <c r="J22" s="2"/>
      <c r="K22" s="2" t="s">
        <v>28</v>
      </c>
      <c r="L22" s="2" t="s">
        <v>29</v>
      </c>
      <c r="M22" s="2"/>
      <c r="N22" s="2" t="s">
        <v>30</v>
      </c>
      <c r="O22" s="2">
        <v>65.25</v>
      </c>
      <c r="P22" s="2">
        <v>11.75</v>
      </c>
      <c r="Q22" s="2">
        <v>77</v>
      </c>
      <c r="R22" s="2">
        <v>77</v>
      </c>
      <c r="S22" s="2">
        <v>77</v>
      </c>
      <c r="T22" s="2" t="s">
        <v>31</v>
      </c>
      <c r="U22" s="2" t="b">
        <v>0</v>
      </c>
      <c r="V22" s="2" t="s">
        <v>32</v>
      </c>
      <c r="W22" s="2" t="s">
        <v>33</v>
      </c>
      <c r="X22" s="2"/>
      <c r="Y22" s="2"/>
      <c r="Z22" s="2" t="s">
        <v>34</v>
      </c>
      <c r="AA22" s="2"/>
      <c r="AB22" s="2"/>
      <c r="AC22" s="2"/>
      <c r="AD22" s="2"/>
      <c r="AK22" s="8">
        <f t="shared" si="0"/>
        <v>45908</v>
      </c>
    </row>
    <row r="23" spans="1:37" ht="15" customHeight="1">
      <c r="A23" s="2" t="s">
        <v>154</v>
      </c>
      <c r="B23" s="2">
        <v>2337</v>
      </c>
      <c r="C23" s="2"/>
      <c r="D23" s="2" t="s">
        <v>26</v>
      </c>
      <c r="E23" s="2" t="s">
        <v>27</v>
      </c>
      <c r="F23" s="3">
        <v>45908</v>
      </c>
      <c r="G23" s="3">
        <v>45908</v>
      </c>
      <c r="H23" s="3">
        <v>45908</v>
      </c>
      <c r="I23" s="2"/>
      <c r="J23" s="2"/>
      <c r="K23" s="2" t="s">
        <v>28</v>
      </c>
      <c r="L23" s="2" t="s">
        <v>29</v>
      </c>
      <c r="M23" s="2"/>
      <c r="N23" s="2" t="s">
        <v>30</v>
      </c>
      <c r="O23" s="2">
        <v>65.25</v>
      </c>
      <c r="P23" s="2">
        <v>11.75</v>
      </c>
      <c r="Q23" s="2">
        <v>77</v>
      </c>
      <c r="R23" s="2">
        <v>77</v>
      </c>
      <c r="S23" s="2">
        <v>77</v>
      </c>
      <c r="T23" s="2" t="s">
        <v>31</v>
      </c>
      <c r="U23" s="2" t="b">
        <v>0</v>
      </c>
      <c r="V23" s="2" t="s">
        <v>32</v>
      </c>
      <c r="W23" s="2" t="s">
        <v>33</v>
      </c>
      <c r="X23" s="2"/>
      <c r="Y23" s="2"/>
      <c r="Z23" s="2" t="s">
        <v>34</v>
      </c>
      <c r="AA23" s="2"/>
      <c r="AB23" s="2"/>
      <c r="AC23" s="2"/>
      <c r="AD23" s="2"/>
      <c r="AK23" s="8">
        <f t="shared" si="0"/>
        <v>45908</v>
      </c>
    </row>
    <row r="24" spans="1:37" ht="15" customHeight="1">
      <c r="A24" s="2" t="s">
        <v>155</v>
      </c>
      <c r="B24" s="2">
        <v>2337</v>
      </c>
      <c r="C24" s="2"/>
      <c r="D24" s="2" t="s">
        <v>26</v>
      </c>
      <c r="E24" s="2" t="s">
        <v>27</v>
      </c>
      <c r="F24" s="3">
        <v>45908</v>
      </c>
      <c r="G24" s="3">
        <v>45908</v>
      </c>
      <c r="H24" s="3">
        <v>45908</v>
      </c>
      <c r="I24" s="2"/>
      <c r="J24" s="2"/>
      <c r="K24" s="2" t="s">
        <v>28</v>
      </c>
      <c r="L24" s="2" t="s">
        <v>29</v>
      </c>
      <c r="M24" s="2"/>
      <c r="N24" s="2" t="s">
        <v>30</v>
      </c>
      <c r="O24" s="2">
        <v>65.25</v>
      </c>
      <c r="P24" s="2">
        <v>11.75</v>
      </c>
      <c r="Q24" s="2">
        <v>77</v>
      </c>
      <c r="R24" s="2">
        <v>77</v>
      </c>
      <c r="S24" s="2">
        <v>77</v>
      </c>
      <c r="T24" s="2" t="s">
        <v>31</v>
      </c>
      <c r="U24" s="2" t="b">
        <v>0</v>
      </c>
      <c r="V24" s="2" t="s">
        <v>32</v>
      </c>
      <c r="W24" s="2" t="s">
        <v>33</v>
      </c>
      <c r="X24" s="2"/>
      <c r="Y24" s="2"/>
      <c r="Z24" s="2" t="s">
        <v>34</v>
      </c>
      <c r="AA24" s="2"/>
      <c r="AB24" s="2"/>
      <c r="AC24" s="2"/>
      <c r="AD24" s="2"/>
      <c r="AK24" s="8">
        <f t="shared" si="0"/>
        <v>45908</v>
      </c>
    </row>
    <row r="25" spans="1:37" ht="15" customHeight="1">
      <c r="A25" s="2" t="s">
        <v>156</v>
      </c>
      <c r="B25" s="2">
        <v>2337</v>
      </c>
      <c r="C25" s="2"/>
      <c r="D25" s="2" t="s">
        <v>26</v>
      </c>
      <c r="E25" s="2" t="s">
        <v>27</v>
      </c>
      <c r="F25" s="3">
        <v>45908</v>
      </c>
      <c r="G25" s="3">
        <v>45908</v>
      </c>
      <c r="H25" s="3">
        <v>45908</v>
      </c>
      <c r="I25" s="2"/>
      <c r="J25" s="2"/>
      <c r="K25" s="2" t="s">
        <v>28</v>
      </c>
      <c r="L25" s="2" t="s">
        <v>29</v>
      </c>
      <c r="M25" s="2"/>
      <c r="N25" s="2" t="s">
        <v>30</v>
      </c>
      <c r="O25" s="2">
        <v>65.25</v>
      </c>
      <c r="P25" s="2">
        <v>11.75</v>
      </c>
      <c r="Q25" s="2">
        <v>77</v>
      </c>
      <c r="R25" s="2">
        <v>77</v>
      </c>
      <c r="S25" s="2">
        <v>77</v>
      </c>
      <c r="T25" s="2" t="s">
        <v>31</v>
      </c>
      <c r="U25" s="2" t="b">
        <v>0</v>
      </c>
      <c r="V25" s="2" t="s">
        <v>32</v>
      </c>
      <c r="W25" s="2" t="s">
        <v>33</v>
      </c>
      <c r="X25" s="2"/>
      <c r="Y25" s="2"/>
      <c r="Z25" s="2" t="s">
        <v>34</v>
      </c>
      <c r="AA25" s="2"/>
      <c r="AB25" s="2"/>
      <c r="AC25" s="2"/>
      <c r="AD25" s="2"/>
      <c r="AK25" s="8">
        <f t="shared" si="0"/>
        <v>45908</v>
      </c>
    </row>
    <row r="26" spans="1:37" ht="15" customHeight="1">
      <c r="A26" s="2" t="s">
        <v>125</v>
      </c>
      <c r="B26" s="2">
        <v>2544</v>
      </c>
      <c r="C26" s="2"/>
      <c r="D26" s="2" t="s">
        <v>26</v>
      </c>
      <c r="E26" s="2" t="s">
        <v>38</v>
      </c>
      <c r="F26" s="3">
        <v>45917</v>
      </c>
      <c r="G26" s="3">
        <v>45917</v>
      </c>
      <c r="H26" s="3">
        <v>45917</v>
      </c>
      <c r="I26" s="2"/>
      <c r="J26" s="2"/>
      <c r="K26" s="2" t="s">
        <v>28</v>
      </c>
      <c r="L26" s="2" t="s">
        <v>29</v>
      </c>
      <c r="M26" s="2"/>
      <c r="N26" s="2" t="s">
        <v>30</v>
      </c>
      <c r="O26" s="2">
        <v>67.8</v>
      </c>
      <c r="P26" s="2">
        <v>12.2</v>
      </c>
      <c r="Q26" s="2">
        <v>80</v>
      </c>
      <c r="R26" s="2">
        <v>80</v>
      </c>
      <c r="S26" s="2">
        <v>80</v>
      </c>
      <c r="T26" s="2" t="s">
        <v>31</v>
      </c>
      <c r="U26" s="2" t="b">
        <v>0</v>
      </c>
      <c r="V26" s="2" t="s">
        <v>32</v>
      </c>
      <c r="W26" s="2" t="s">
        <v>33</v>
      </c>
      <c r="X26" s="2"/>
      <c r="Y26" s="2"/>
      <c r="Z26" s="2" t="s">
        <v>34</v>
      </c>
      <c r="AA26" s="2"/>
      <c r="AB26" s="2"/>
      <c r="AC26" s="2"/>
      <c r="AD26" s="2"/>
      <c r="AK26" s="8">
        <f t="shared" si="0"/>
        <v>45917</v>
      </c>
    </row>
    <row r="27" spans="1:37" ht="15" customHeight="1">
      <c r="A27" s="2" t="s">
        <v>128</v>
      </c>
      <c r="B27" s="2">
        <v>2544</v>
      </c>
      <c r="C27" s="2"/>
      <c r="D27" s="2" t="s">
        <v>26</v>
      </c>
      <c r="E27" s="2" t="s">
        <v>38</v>
      </c>
      <c r="F27" s="3">
        <v>45917</v>
      </c>
      <c r="G27" s="3">
        <v>45917</v>
      </c>
      <c r="H27" s="3">
        <v>45917</v>
      </c>
      <c r="I27" s="2"/>
      <c r="J27" s="2"/>
      <c r="K27" s="2" t="s">
        <v>28</v>
      </c>
      <c r="L27" s="2" t="s">
        <v>29</v>
      </c>
      <c r="M27" s="2"/>
      <c r="N27" s="2" t="s">
        <v>30</v>
      </c>
      <c r="O27" s="2">
        <v>67.8</v>
      </c>
      <c r="P27" s="2">
        <v>12.2</v>
      </c>
      <c r="Q27" s="2">
        <v>80</v>
      </c>
      <c r="R27" s="2">
        <v>80</v>
      </c>
      <c r="S27" s="2">
        <v>80</v>
      </c>
      <c r="T27" s="2" t="s">
        <v>31</v>
      </c>
      <c r="U27" s="2" t="b">
        <v>0</v>
      </c>
      <c r="V27" s="2" t="s">
        <v>32</v>
      </c>
      <c r="W27" s="2" t="s">
        <v>33</v>
      </c>
      <c r="X27" s="2"/>
      <c r="Y27" s="2"/>
      <c r="Z27" s="2" t="s">
        <v>34</v>
      </c>
      <c r="AA27" s="2"/>
      <c r="AB27" s="2"/>
      <c r="AC27" s="2"/>
      <c r="AD27" s="2"/>
      <c r="AK27" s="8">
        <f t="shared" si="0"/>
        <v>45917</v>
      </c>
    </row>
    <row r="28" spans="1:37" ht="15" customHeight="1">
      <c r="A28" s="2" t="s">
        <v>131</v>
      </c>
      <c r="B28" s="2">
        <v>2544</v>
      </c>
      <c r="C28" s="2"/>
      <c r="D28" s="2" t="s">
        <v>26</v>
      </c>
      <c r="E28" s="2" t="s">
        <v>38</v>
      </c>
      <c r="F28" s="3">
        <v>45917</v>
      </c>
      <c r="G28" s="3">
        <v>45917</v>
      </c>
      <c r="H28" s="3">
        <v>45917</v>
      </c>
      <c r="I28" s="2"/>
      <c r="J28" s="2"/>
      <c r="K28" s="2" t="s">
        <v>28</v>
      </c>
      <c r="L28" s="2" t="s">
        <v>29</v>
      </c>
      <c r="M28" s="2"/>
      <c r="N28" s="2" t="s">
        <v>30</v>
      </c>
      <c r="O28" s="2">
        <v>74.58</v>
      </c>
      <c r="P28" s="2">
        <v>13.42</v>
      </c>
      <c r="Q28" s="2">
        <v>88</v>
      </c>
      <c r="R28" s="2">
        <v>88</v>
      </c>
      <c r="S28" s="2">
        <v>88</v>
      </c>
      <c r="T28" s="2" t="s">
        <v>31</v>
      </c>
      <c r="U28" s="2" t="b">
        <v>0</v>
      </c>
      <c r="V28" s="2" t="s">
        <v>32</v>
      </c>
      <c r="W28" s="2" t="s">
        <v>33</v>
      </c>
      <c r="X28" s="2"/>
      <c r="Y28" s="2"/>
      <c r="Z28" s="2" t="s">
        <v>34</v>
      </c>
      <c r="AA28" s="2"/>
      <c r="AB28" s="2"/>
      <c r="AC28" s="2"/>
      <c r="AD28" s="2"/>
      <c r="AK28" s="8">
        <f t="shared" si="0"/>
        <v>45917</v>
      </c>
    </row>
    <row r="29" spans="1:37" ht="15" customHeight="1">
      <c r="A29" s="2" t="s">
        <v>139</v>
      </c>
      <c r="B29" s="2">
        <v>2337</v>
      </c>
      <c r="C29" s="2"/>
      <c r="D29" s="2" t="s">
        <v>26</v>
      </c>
      <c r="E29" s="2" t="s">
        <v>27</v>
      </c>
      <c r="F29" s="3">
        <v>45917</v>
      </c>
      <c r="G29" s="3">
        <v>45917</v>
      </c>
      <c r="H29" s="3">
        <v>45917</v>
      </c>
      <c r="I29" s="2"/>
      <c r="J29" s="2"/>
      <c r="K29" s="2" t="s">
        <v>28</v>
      </c>
      <c r="L29" s="2" t="s">
        <v>29</v>
      </c>
      <c r="M29" s="2"/>
      <c r="N29" s="2" t="s">
        <v>30</v>
      </c>
      <c r="O29" s="2">
        <v>74.58</v>
      </c>
      <c r="P29" s="2">
        <v>13.42</v>
      </c>
      <c r="Q29" s="2">
        <v>88</v>
      </c>
      <c r="R29" s="2">
        <v>88</v>
      </c>
      <c r="S29" s="2">
        <v>88</v>
      </c>
      <c r="T29" s="2" t="s">
        <v>31</v>
      </c>
      <c r="U29" s="2" t="b">
        <v>0</v>
      </c>
      <c r="V29" s="2" t="s">
        <v>32</v>
      </c>
      <c r="W29" s="2" t="s">
        <v>33</v>
      </c>
      <c r="X29" s="2"/>
      <c r="Y29" s="2"/>
      <c r="Z29" s="2" t="s">
        <v>34</v>
      </c>
      <c r="AA29" s="2"/>
      <c r="AB29" s="2"/>
      <c r="AC29" s="2"/>
      <c r="AD29" s="2"/>
      <c r="AK29" s="8">
        <f t="shared" si="0"/>
        <v>45917</v>
      </c>
    </row>
    <row r="30" spans="1:37" ht="15" customHeight="1">
      <c r="A30" s="2" t="s">
        <v>127</v>
      </c>
      <c r="B30" s="2">
        <v>2544</v>
      </c>
      <c r="C30" s="2"/>
      <c r="D30" s="2" t="s">
        <v>26</v>
      </c>
      <c r="E30" s="2" t="s">
        <v>38</v>
      </c>
      <c r="F30" s="3">
        <v>45917</v>
      </c>
      <c r="G30" s="3">
        <v>45917</v>
      </c>
      <c r="H30" s="3">
        <v>45917</v>
      </c>
      <c r="I30" s="2"/>
      <c r="J30" s="2"/>
      <c r="K30" s="2" t="s">
        <v>28</v>
      </c>
      <c r="L30" s="2" t="s">
        <v>29</v>
      </c>
      <c r="M30" s="2"/>
      <c r="N30" s="2" t="s">
        <v>30</v>
      </c>
      <c r="O30" s="2">
        <v>76.27</v>
      </c>
      <c r="P30" s="2">
        <v>13.73</v>
      </c>
      <c r="Q30" s="2">
        <v>90</v>
      </c>
      <c r="R30" s="2">
        <v>90</v>
      </c>
      <c r="S30" s="2">
        <v>90</v>
      </c>
      <c r="T30" s="2" t="s">
        <v>31</v>
      </c>
      <c r="U30" s="2" t="b">
        <v>0</v>
      </c>
      <c r="V30" s="2" t="s">
        <v>32</v>
      </c>
      <c r="W30" s="2" t="s">
        <v>33</v>
      </c>
      <c r="X30" s="2"/>
      <c r="Y30" s="2"/>
      <c r="Z30" s="2" t="s">
        <v>34</v>
      </c>
      <c r="AA30" s="2"/>
      <c r="AB30" s="2"/>
      <c r="AC30" s="2"/>
      <c r="AD30" s="2"/>
      <c r="AK30" s="8">
        <f t="shared" si="0"/>
        <v>45917</v>
      </c>
    </row>
    <row r="31" spans="1:37" ht="15" customHeight="1">
      <c r="A31" s="2" t="s">
        <v>159</v>
      </c>
      <c r="B31" s="2">
        <v>2337</v>
      </c>
      <c r="C31" s="2"/>
      <c r="D31" s="2" t="s">
        <v>26</v>
      </c>
      <c r="E31" s="2" t="s">
        <v>27</v>
      </c>
      <c r="F31" s="3">
        <v>45908</v>
      </c>
      <c r="G31" s="3">
        <v>45908</v>
      </c>
      <c r="H31" s="3">
        <v>45908</v>
      </c>
      <c r="I31" s="2"/>
      <c r="J31" s="2"/>
      <c r="K31" s="2" t="s">
        <v>28</v>
      </c>
      <c r="L31" s="2" t="s">
        <v>29</v>
      </c>
      <c r="M31" s="2"/>
      <c r="N31" s="2" t="s">
        <v>30</v>
      </c>
      <c r="O31" s="2">
        <v>76.27</v>
      </c>
      <c r="P31" s="2">
        <v>13.73</v>
      </c>
      <c r="Q31" s="2">
        <v>90</v>
      </c>
      <c r="R31" s="2">
        <v>90</v>
      </c>
      <c r="S31" s="2">
        <v>90</v>
      </c>
      <c r="T31" s="2" t="s">
        <v>31</v>
      </c>
      <c r="U31" s="2" t="b">
        <v>0</v>
      </c>
      <c r="V31" s="2" t="s">
        <v>32</v>
      </c>
      <c r="W31" s="2" t="s">
        <v>33</v>
      </c>
      <c r="X31" s="2"/>
      <c r="Y31" s="2"/>
      <c r="Z31" s="2" t="s">
        <v>34</v>
      </c>
      <c r="AA31" s="2"/>
      <c r="AB31" s="2"/>
      <c r="AC31" s="2"/>
      <c r="AD31" s="2"/>
      <c r="AK31" s="8">
        <f t="shared" si="0"/>
        <v>45908</v>
      </c>
    </row>
    <row r="32" spans="1:37" ht="15" customHeight="1">
      <c r="A32" s="2" t="s">
        <v>160</v>
      </c>
      <c r="B32" s="2">
        <v>2337</v>
      </c>
      <c r="C32" s="2"/>
      <c r="D32" s="2" t="s">
        <v>26</v>
      </c>
      <c r="E32" s="2" t="s">
        <v>27</v>
      </c>
      <c r="F32" s="3">
        <v>45908</v>
      </c>
      <c r="G32" s="3">
        <v>45908</v>
      </c>
      <c r="H32" s="3">
        <v>45908</v>
      </c>
      <c r="I32" s="2"/>
      <c r="J32" s="2"/>
      <c r="K32" s="2" t="s">
        <v>28</v>
      </c>
      <c r="L32" s="2" t="s">
        <v>29</v>
      </c>
      <c r="M32" s="2"/>
      <c r="N32" s="2" t="s">
        <v>30</v>
      </c>
      <c r="O32" s="2">
        <v>78.81</v>
      </c>
      <c r="P32" s="2">
        <v>14.19</v>
      </c>
      <c r="Q32" s="2">
        <v>93</v>
      </c>
      <c r="R32" s="2">
        <v>93</v>
      </c>
      <c r="S32" s="2">
        <v>93</v>
      </c>
      <c r="T32" s="2" t="s">
        <v>31</v>
      </c>
      <c r="U32" s="2" t="b">
        <v>0</v>
      </c>
      <c r="V32" s="2" t="s">
        <v>32</v>
      </c>
      <c r="W32" s="2" t="s">
        <v>33</v>
      </c>
      <c r="X32" s="2"/>
      <c r="Y32" s="2"/>
      <c r="Z32" s="2" t="s">
        <v>34</v>
      </c>
      <c r="AA32" s="2"/>
      <c r="AB32" s="2"/>
      <c r="AC32" s="2"/>
      <c r="AD32" s="2"/>
      <c r="AK32" s="8">
        <f t="shared" si="0"/>
        <v>45908</v>
      </c>
    </row>
    <row r="33" spans="1:37" ht="15" customHeight="1">
      <c r="A33" s="2" t="s">
        <v>137</v>
      </c>
      <c r="B33" s="2">
        <v>2259</v>
      </c>
      <c r="C33" s="2"/>
      <c r="D33" s="2" t="s">
        <v>26</v>
      </c>
      <c r="E33" s="2" t="s">
        <v>35</v>
      </c>
      <c r="F33" s="3">
        <v>45917</v>
      </c>
      <c r="G33" s="3">
        <v>45917</v>
      </c>
      <c r="H33" s="3">
        <v>45917</v>
      </c>
      <c r="I33" s="2"/>
      <c r="J33" s="2"/>
      <c r="K33" s="2" t="s">
        <v>28</v>
      </c>
      <c r="L33" s="2" t="s">
        <v>29</v>
      </c>
      <c r="M33" s="2"/>
      <c r="N33" s="2" t="s">
        <v>30</v>
      </c>
      <c r="O33" s="2">
        <v>84.75</v>
      </c>
      <c r="P33" s="2">
        <v>15.26</v>
      </c>
      <c r="Q33" s="2">
        <v>100.01</v>
      </c>
      <c r="R33" s="2">
        <v>100.01</v>
      </c>
      <c r="S33" s="2">
        <v>100.01</v>
      </c>
      <c r="T33" s="2" t="s">
        <v>31</v>
      </c>
      <c r="U33" s="2" t="b">
        <v>0</v>
      </c>
      <c r="V33" s="2" t="s">
        <v>32</v>
      </c>
      <c r="W33" s="2" t="s">
        <v>33</v>
      </c>
      <c r="X33" s="2"/>
      <c r="Y33" s="2"/>
      <c r="Z33" s="2" t="s">
        <v>34</v>
      </c>
      <c r="AA33" s="2"/>
      <c r="AB33" s="2"/>
      <c r="AC33" s="2"/>
      <c r="AD33" s="2"/>
      <c r="AK33" s="8">
        <f t="shared" si="0"/>
        <v>45917</v>
      </c>
    </row>
    <row r="34" spans="1:37" ht="15" customHeight="1">
      <c r="A34" s="2" t="s">
        <v>149</v>
      </c>
      <c r="B34" s="2">
        <v>2337</v>
      </c>
      <c r="C34" s="2"/>
      <c r="D34" s="2" t="s">
        <v>26</v>
      </c>
      <c r="E34" s="2" t="s">
        <v>27</v>
      </c>
      <c r="F34" s="3">
        <v>45908</v>
      </c>
      <c r="G34" s="3">
        <v>45908</v>
      </c>
      <c r="H34" s="3">
        <v>45908</v>
      </c>
      <c r="I34" s="2"/>
      <c r="J34" s="2"/>
      <c r="K34" s="2" t="s">
        <v>28</v>
      </c>
      <c r="L34" s="2" t="s">
        <v>29</v>
      </c>
      <c r="M34" s="2"/>
      <c r="N34" s="2" t="s">
        <v>30</v>
      </c>
      <c r="O34" s="2">
        <v>84.75</v>
      </c>
      <c r="P34" s="2">
        <v>15.26</v>
      </c>
      <c r="Q34" s="2">
        <v>100.01</v>
      </c>
      <c r="R34" s="2">
        <v>100.01</v>
      </c>
      <c r="S34" s="2">
        <v>100.01</v>
      </c>
      <c r="T34" s="2" t="s">
        <v>31</v>
      </c>
      <c r="U34" s="2" t="b">
        <v>0</v>
      </c>
      <c r="V34" s="2" t="s">
        <v>32</v>
      </c>
      <c r="W34" s="2" t="s">
        <v>33</v>
      </c>
      <c r="X34" s="2"/>
      <c r="Y34" s="2"/>
      <c r="Z34" s="2" t="s">
        <v>34</v>
      </c>
      <c r="AA34" s="2"/>
      <c r="AB34" s="2"/>
      <c r="AC34" s="2"/>
      <c r="AD34" s="2"/>
      <c r="AK34" s="8">
        <f t="shared" si="0"/>
        <v>45908</v>
      </c>
    </row>
    <row r="35" spans="1:37" ht="15" customHeight="1">
      <c r="A35" s="2" t="s">
        <v>147</v>
      </c>
      <c r="B35" s="2">
        <v>2337</v>
      </c>
      <c r="C35" s="2"/>
      <c r="D35" s="2" t="s">
        <v>26</v>
      </c>
      <c r="E35" s="2" t="s">
        <v>27</v>
      </c>
      <c r="F35" s="3">
        <v>45908</v>
      </c>
      <c r="G35" s="3">
        <v>45908</v>
      </c>
      <c r="H35" s="3">
        <v>45908</v>
      </c>
      <c r="I35" s="2"/>
      <c r="J35" s="2"/>
      <c r="K35" s="2" t="s">
        <v>28</v>
      </c>
      <c r="L35" s="2" t="s">
        <v>29</v>
      </c>
      <c r="M35" s="2"/>
      <c r="N35" s="2" t="s">
        <v>30</v>
      </c>
      <c r="O35" s="2">
        <v>93.22</v>
      </c>
      <c r="P35" s="2">
        <v>16.78</v>
      </c>
      <c r="Q35" s="2">
        <v>110</v>
      </c>
      <c r="R35" s="2">
        <v>110</v>
      </c>
      <c r="S35" s="2">
        <v>110</v>
      </c>
      <c r="T35" s="2" t="s">
        <v>31</v>
      </c>
      <c r="U35" s="2" t="b">
        <v>0</v>
      </c>
      <c r="V35" s="2" t="s">
        <v>32</v>
      </c>
      <c r="W35" s="2" t="s">
        <v>33</v>
      </c>
      <c r="X35" s="2"/>
      <c r="Y35" s="2"/>
      <c r="Z35" s="2" t="s">
        <v>34</v>
      </c>
      <c r="AA35" s="2"/>
      <c r="AB35" s="2"/>
      <c r="AC35" s="2"/>
      <c r="AD35" s="2"/>
      <c r="AK35" s="8">
        <f t="shared" si="0"/>
        <v>45908</v>
      </c>
    </row>
    <row r="36" spans="1:37" ht="15" customHeight="1">
      <c r="A36" s="2" t="s">
        <v>134</v>
      </c>
      <c r="B36" s="2">
        <v>2259</v>
      </c>
      <c r="C36" s="2"/>
      <c r="D36" s="2" t="s">
        <v>26</v>
      </c>
      <c r="E36" s="2" t="s">
        <v>35</v>
      </c>
      <c r="F36" s="3">
        <v>45917</v>
      </c>
      <c r="G36" s="3">
        <v>45917</v>
      </c>
      <c r="H36" s="3">
        <v>45917</v>
      </c>
      <c r="I36" s="2"/>
      <c r="J36" s="2"/>
      <c r="K36" s="2" t="s">
        <v>28</v>
      </c>
      <c r="L36" s="2" t="s">
        <v>29</v>
      </c>
      <c r="M36" s="2"/>
      <c r="N36" s="2" t="s">
        <v>30</v>
      </c>
      <c r="O36" s="2">
        <v>101.69</v>
      </c>
      <c r="P36" s="2">
        <v>18.3</v>
      </c>
      <c r="Q36" s="2">
        <v>119.99</v>
      </c>
      <c r="R36" s="2">
        <v>119.99</v>
      </c>
      <c r="S36" s="2">
        <v>119.99</v>
      </c>
      <c r="T36" s="2" t="s">
        <v>31</v>
      </c>
      <c r="U36" s="2" t="b">
        <v>0</v>
      </c>
      <c r="V36" s="2" t="s">
        <v>32</v>
      </c>
      <c r="W36" s="2" t="s">
        <v>33</v>
      </c>
      <c r="X36" s="2"/>
      <c r="Y36" s="2"/>
      <c r="Z36" s="2" t="s">
        <v>34</v>
      </c>
      <c r="AA36" s="2"/>
      <c r="AB36" s="2"/>
      <c r="AC36" s="2"/>
      <c r="AD36" s="2"/>
      <c r="AK36" s="8">
        <f t="shared" si="0"/>
        <v>45917</v>
      </c>
    </row>
    <row r="37" spans="1:37" ht="15" customHeight="1">
      <c r="A37" s="2" t="s">
        <v>150</v>
      </c>
      <c r="B37" s="2">
        <v>2337</v>
      </c>
      <c r="C37" s="2"/>
      <c r="D37" s="2" t="s">
        <v>26</v>
      </c>
      <c r="E37" s="2" t="s">
        <v>27</v>
      </c>
      <c r="F37" s="3">
        <v>45908</v>
      </c>
      <c r="G37" s="3">
        <v>45908</v>
      </c>
      <c r="H37" s="3">
        <v>45908</v>
      </c>
      <c r="I37" s="2"/>
      <c r="J37" s="2"/>
      <c r="K37" s="2" t="s">
        <v>28</v>
      </c>
      <c r="L37" s="2" t="s">
        <v>29</v>
      </c>
      <c r="M37" s="2"/>
      <c r="N37" s="2" t="s">
        <v>30</v>
      </c>
      <c r="O37" s="2">
        <v>104.24</v>
      </c>
      <c r="P37" s="2">
        <v>18.760000000000002</v>
      </c>
      <c r="Q37" s="2">
        <v>123</v>
      </c>
      <c r="R37" s="2">
        <v>123</v>
      </c>
      <c r="S37" s="2">
        <v>123</v>
      </c>
      <c r="T37" s="2" t="s">
        <v>31</v>
      </c>
      <c r="U37" s="2" t="b">
        <v>0</v>
      </c>
      <c r="V37" s="2" t="s">
        <v>32</v>
      </c>
      <c r="W37" s="2" t="s">
        <v>151</v>
      </c>
      <c r="X37" s="2"/>
      <c r="Y37" s="2"/>
      <c r="Z37" s="2" t="s">
        <v>34</v>
      </c>
      <c r="AA37" s="2"/>
      <c r="AB37" s="2"/>
      <c r="AC37" s="2"/>
      <c r="AD37" s="2"/>
      <c r="AK37" s="8">
        <f t="shared" si="0"/>
        <v>45908</v>
      </c>
    </row>
    <row r="38" spans="1:37" ht="15" customHeight="1">
      <c r="A38" s="2" t="s">
        <v>213</v>
      </c>
      <c r="B38" s="2">
        <v>0</v>
      </c>
      <c r="C38" s="2"/>
      <c r="D38" s="2" t="s">
        <v>26</v>
      </c>
      <c r="E38" s="2" t="s">
        <v>40</v>
      </c>
      <c r="F38" s="3">
        <v>45695</v>
      </c>
      <c r="G38" s="3">
        <v>45695</v>
      </c>
      <c r="H38" s="3">
        <v>45695</v>
      </c>
      <c r="I38" s="2"/>
      <c r="J38" s="2"/>
      <c r="K38" s="2" t="s">
        <v>28</v>
      </c>
      <c r="L38" s="2" t="s">
        <v>29</v>
      </c>
      <c r="M38" s="2"/>
      <c r="N38" s="2" t="s">
        <v>30</v>
      </c>
      <c r="O38" s="2">
        <v>107.37</v>
      </c>
      <c r="P38" s="2">
        <v>19.329999999999998</v>
      </c>
      <c r="Q38" s="2">
        <v>126.7</v>
      </c>
      <c r="R38" s="2">
        <v>126.7</v>
      </c>
      <c r="S38" s="2">
        <v>126.7</v>
      </c>
      <c r="T38" s="2" t="s">
        <v>31</v>
      </c>
      <c r="U38" s="2" t="b">
        <v>0</v>
      </c>
      <c r="V38" s="2" t="s">
        <v>32</v>
      </c>
      <c r="W38" s="2" t="s">
        <v>151</v>
      </c>
      <c r="X38" s="2"/>
      <c r="Y38" s="2"/>
      <c r="Z38" s="2" t="s">
        <v>34</v>
      </c>
      <c r="AA38" s="2"/>
      <c r="AB38" s="2"/>
      <c r="AC38" s="2"/>
      <c r="AD38" s="2"/>
    </row>
    <row r="39" spans="1:37" ht="15" customHeight="1">
      <c r="A39" s="2" t="s">
        <v>145</v>
      </c>
      <c r="B39" s="2">
        <v>2337</v>
      </c>
      <c r="C39" s="2"/>
      <c r="D39" s="2" t="s">
        <v>26</v>
      </c>
      <c r="E39" s="2" t="s">
        <v>27</v>
      </c>
      <c r="F39" s="3">
        <v>45908</v>
      </c>
      <c r="G39" s="3">
        <v>45908</v>
      </c>
      <c r="H39" s="3">
        <v>45908</v>
      </c>
      <c r="I39" s="2"/>
      <c r="J39" s="2"/>
      <c r="K39" s="2" t="s">
        <v>28</v>
      </c>
      <c r="L39" s="2" t="s">
        <v>29</v>
      </c>
      <c r="M39" s="2"/>
      <c r="N39" s="2" t="s">
        <v>30</v>
      </c>
      <c r="O39" s="2">
        <v>110.17</v>
      </c>
      <c r="P39" s="2">
        <v>19.829999999999998</v>
      </c>
      <c r="Q39" s="2">
        <v>130</v>
      </c>
      <c r="R39" s="2">
        <v>130</v>
      </c>
      <c r="S39" s="2">
        <v>130</v>
      </c>
      <c r="T39" s="2" t="s">
        <v>31</v>
      </c>
      <c r="U39" s="2" t="b">
        <v>0</v>
      </c>
      <c r="V39" s="2" t="s">
        <v>32</v>
      </c>
      <c r="W39" s="2" t="s">
        <v>33</v>
      </c>
      <c r="X39" s="2"/>
      <c r="Y39" s="2"/>
      <c r="Z39" s="2" t="s">
        <v>34</v>
      </c>
      <c r="AA39" s="2"/>
      <c r="AB39" s="2"/>
      <c r="AC39" s="2"/>
      <c r="AD39" s="2"/>
      <c r="AK39" s="8">
        <f t="shared" ref="AK39:AK70" si="1">+IF(AE39&lt;&gt;"",AE39,F39)</f>
        <v>45908</v>
      </c>
    </row>
    <row r="40" spans="1:37" ht="15" customHeight="1">
      <c r="A40" s="2" t="s">
        <v>148</v>
      </c>
      <c r="B40" s="2">
        <v>2337</v>
      </c>
      <c r="C40" s="2"/>
      <c r="D40" s="2" t="s">
        <v>26</v>
      </c>
      <c r="E40" s="2" t="s">
        <v>27</v>
      </c>
      <c r="F40" s="3">
        <v>45908</v>
      </c>
      <c r="G40" s="3">
        <v>45908</v>
      </c>
      <c r="H40" s="3">
        <v>45908</v>
      </c>
      <c r="I40" s="2"/>
      <c r="J40" s="2"/>
      <c r="K40" s="2" t="s">
        <v>28</v>
      </c>
      <c r="L40" s="2" t="s">
        <v>29</v>
      </c>
      <c r="M40" s="2"/>
      <c r="N40" s="2" t="s">
        <v>30</v>
      </c>
      <c r="O40" s="2">
        <v>110.17</v>
      </c>
      <c r="P40" s="2">
        <v>19.829999999999998</v>
      </c>
      <c r="Q40" s="2">
        <v>130</v>
      </c>
      <c r="R40" s="2">
        <v>130</v>
      </c>
      <c r="S40" s="2">
        <v>130</v>
      </c>
      <c r="T40" s="2" t="s">
        <v>31</v>
      </c>
      <c r="U40" s="2" t="b">
        <v>0</v>
      </c>
      <c r="V40" s="2" t="s">
        <v>32</v>
      </c>
      <c r="W40" s="2" t="s">
        <v>33</v>
      </c>
      <c r="X40" s="2"/>
      <c r="Y40" s="2"/>
      <c r="Z40" s="2" t="s">
        <v>34</v>
      </c>
      <c r="AA40" s="2"/>
      <c r="AB40" s="2"/>
      <c r="AC40" s="2"/>
      <c r="AD40" s="2"/>
      <c r="AK40" s="8">
        <f t="shared" si="1"/>
        <v>45908</v>
      </c>
    </row>
    <row r="41" spans="1:37" ht="15" customHeight="1">
      <c r="A41" s="2" t="s">
        <v>144</v>
      </c>
      <c r="B41" s="2">
        <v>2337</v>
      </c>
      <c r="C41" s="2"/>
      <c r="D41" s="2" t="s">
        <v>26</v>
      </c>
      <c r="E41" s="2" t="s">
        <v>27</v>
      </c>
      <c r="F41" s="3">
        <v>45908</v>
      </c>
      <c r="G41" s="3">
        <v>45908</v>
      </c>
      <c r="H41" s="3">
        <v>45908</v>
      </c>
      <c r="I41" s="2"/>
      <c r="J41" s="2"/>
      <c r="K41" s="2" t="s">
        <v>28</v>
      </c>
      <c r="L41" s="2" t="s">
        <v>29</v>
      </c>
      <c r="M41" s="2"/>
      <c r="N41" s="2" t="s">
        <v>30</v>
      </c>
      <c r="O41" s="2">
        <v>118.64</v>
      </c>
      <c r="P41" s="2">
        <v>21.36</v>
      </c>
      <c r="Q41" s="2">
        <v>140</v>
      </c>
      <c r="R41" s="2">
        <v>140</v>
      </c>
      <c r="S41" s="2">
        <v>140</v>
      </c>
      <c r="T41" s="2" t="s">
        <v>31</v>
      </c>
      <c r="U41" s="2" t="b">
        <v>0</v>
      </c>
      <c r="V41" s="2" t="s">
        <v>32</v>
      </c>
      <c r="W41" s="2" t="s">
        <v>33</v>
      </c>
      <c r="X41" s="2"/>
      <c r="Y41" s="2"/>
      <c r="Z41" s="2" t="s">
        <v>34</v>
      </c>
      <c r="AA41" s="2"/>
      <c r="AB41" s="2"/>
      <c r="AC41" s="2"/>
      <c r="AD41" s="2"/>
      <c r="AK41" s="8">
        <f t="shared" si="1"/>
        <v>45908</v>
      </c>
    </row>
    <row r="42" spans="1:37" ht="15" customHeight="1">
      <c r="A42" s="2" t="s">
        <v>133</v>
      </c>
      <c r="B42" s="2">
        <v>2544</v>
      </c>
      <c r="C42" s="2"/>
      <c r="D42" s="2" t="s">
        <v>26</v>
      </c>
      <c r="E42" s="2" t="s">
        <v>38</v>
      </c>
      <c r="F42" s="3">
        <v>45917</v>
      </c>
      <c r="G42" s="3">
        <v>45917</v>
      </c>
      <c r="H42" s="3">
        <v>45917</v>
      </c>
      <c r="I42" s="2"/>
      <c r="J42" s="2"/>
      <c r="K42" s="2" t="s">
        <v>28</v>
      </c>
      <c r="L42" s="2" t="s">
        <v>29</v>
      </c>
      <c r="M42" s="2"/>
      <c r="N42" s="2" t="s">
        <v>30</v>
      </c>
      <c r="O42" s="2">
        <v>127.12</v>
      </c>
      <c r="P42" s="2">
        <v>22.88</v>
      </c>
      <c r="Q42" s="2">
        <v>150</v>
      </c>
      <c r="R42" s="2">
        <v>150</v>
      </c>
      <c r="S42" s="2">
        <v>150</v>
      </c>
      <c r="T42" s="2" t="s">
        <v>31</v>
      </c>
      <c r="U42" s="2" t="b">
        <v>0</v>
      </c>
      <c r="V42" s="2" t="s">
        <v>32</v>
      </c>
      <c r="W42" s="2" t="s">
        <v>33</v>
      </c>
      <c r="X42" s="2"/>
      <c r="Y42" s="2"/>
      <c r="Z42" s="2" t="s">
        <v>34</v>
      </c>
      <c r="AA42" s="2"/>
      <c r="AB42" s="2"/>
      <c r="AC42" s="2"/>
      <c r="AD42" s="2"/>
      <c r="AK42" s="8">
        <f t="shared" si="1"/>
        <v>45917</v>
      </c>
    </row>
    <row r="43" spans="1:37" ht="15" customHeight="1">
      <c r="A43" s="2" t="s">
        <v>25</v>
      </c>
      <c r="B43" s="2">
        <v>2337</v>
      </c>
      <c r="C43" s="2"/>
      <c r="D43" s="2" t="s">
        <v>26</v>
      </c>
      <c r="E43" s="2" t="s">
        <v>27</v>
      </c>
      <c r="F43" s="3">
        <v>45908</v>
      </c>
      <c r="G43" s="3">
        <v>45908</v>
      </c>
      <c r="H43" s="3">
        <v>45908</v>
      </c>
      <c r="I43" s="2"/>
      <c r="J43" s="2"/>
      <c r="K43" s="2" t="s">
        <v>28</v>
      </c>
      <c r="L43" s="2" t="s">
        <v>29</v>
      </c>
      <c r="M43" s="2"/>
      <c r="N43" s="2" t="s">
        <v>30</v>
      </c>
      <c r="O43" s="2">
        <v>127.12</v>
      </c>
      <c r="P43" s="2">
        <v>22.88</v>
      </c>
      <c r="Q43" s="2">
        <v>150</v>
      </c>
      <c r="R43" s="2">
        <v>150</v>
      </c>
      <c r="S43" s="2">
        <v>150</v>
      </c>
      <c r="T43" s="2" t="s">
        <v>31</v>
      </c>
      <c r="U43" s="2" t="b">
        <v>0</v>
      </c>
      <c r="V43" s="2" t="s">
        <v>32</v>
      </c>
      <c r="W43" s="2" t="s">
        <v>33</v>
      </c>
      <c r="X43" s="2"/>
      <c r="Y43" s="2"/>
      <c r="Z43" s="2" t="s">
        <v>34</v>
      </c>
      <c r="AA43" s="2"/>
      <c r="AB43" s="2"/>
      <c r="AC43" s="2"/>
      <c r="AD43" s="2"/>
      <c r="AK43" s="8">
        <f t="shared" si="1"/>
        <v>45908</v>
      </c>
    </row>
    <row r="44" spans="1:37" ht="15" customHeight="1">
      <c r="A44" s="2" t="s">
        <v>146</v>
      </c>
      <c r="B44" s="2">
        <v>2337</v>
      </c>
      <c r="C44" s="2"/>
      <c r="D44" s="2" t="s">
        <v>26</v>
      </c>
      <c r="E44" s="2" t="s">
        <v>27</v>
      </c>
      <c r="F44" s="3">
        <v>45908</v>
      </c>
      <c r="G44" s="3">
        <v>45908</v>
      </c>
      <c r="H44" s="3">
        <v>45908</v>
      </c>
      <c r="I44" s="2"/>
      <c r="J44" s="2"/>
      <c r="K44" s="2" t="s">
        <v>28</v>
      </c>
      <c r="L44" s="2" t="s">
        <v>29</v>
      </c>
      <c r="M44" s="2"/>
      <c r="N44" s="2" t="s">
        <v>30</v>
      </c>
      <c r="O44" s="2">
        <v>135.59</v>
      </c>
      <c r="P44" s="2">
        <v>24.41</v>
      </c>
      <c r="Q44" s="2">
        <v>160</v>
      </c>
      <c r="R44" s="2">
        <v>160</v>
      </c>
      <c r="S44" s="2">
        <v>160</v>
      </c>
      <c r="T44" s="2" t="s">
        <v>31</v>
      </c>
      <c r="U44" s="2" t="b">
        <v>0</v>
      </c>
      <c r="V44" s="2" t="s">
        <v>32</v>
      </c>
      <c r="W44" s="2" t="s">
        <v>33</v>
      </c>
      <c r="X44" s="2"/>
      <c r="Y44" s="2"/>
      <c r="Z44" s="2" t="s">
        <v>34</v>
      </c>
      <c r="AA44" s="2"/>
      <c r="AB44" s="2"/>
      <c r="AC44" s="2"/>
      <c r="AD44" s="2"/>
      <c r="AK44" s="8">
        <f t="shared" si="1"/>
        <v>45908</v>
      </c>
    </row>
    <row r="45" spans="1:37" ht="15" customHeight="1">
      <c r="A45" s="2" t="s">
        <v>132</v>
      </c>
      <c r="B45" s="2">
        <v>2544</v>
      </c>
      <c r="C45" s="2"/>
      <c r="D45" s="2" t="s">
        <v>26</v>
      </c>
      <c r="E45" s="2" t="s">
        <v>38</v>
      </c>
      <c r="F45" s="3">
        <v>45917</v>
      </c>
      <c r="G45" s="3">
        <v>45917</v>
      </c>
      <c r="H45" s="3">
        <v>45917</v>
      </c>
      <c r="I45" s="2"/>
      <c r="J45" s="2"/>
      <c r="K45" s="2" t="s">
        <v>28</v>
      </c>
      <c r="L45" s="2" t="s">
        <v>29</v>
      </c>
      <c r="M45" s="2"/>
      <c r="N45" s="2" t="s">
        <v>30</v>
      </c>
      <c r="O45" s="2">
        <v>169.49</v>
      </c>
      <c r="P45" s="2">
        <v>30.51</v>
      </c>
      <c r="Q45" s="2">
        <v>200</v>
      </c>
      <c r="R45" s="2">
        <v>200</v>
      </c>
      <c r="S45" s="2">
        <v>200</v>
      </c>
      <c r="T45" s="2" t="s">
        <v>31</v>
      </c>
      <c r="U45" s="2" t="b">
        <v>0</v>
      </c>
      <c r="V45" s="2" t="s">
        <v>32</v>
      </c>
      <c r="W45" s="2" t="s">
        <v>33</v>
      </c>
      <c r="X45" s="2"/>
      <c r="Y45" s="2"/>
      <c r="Z45" s="2" t="s">
        <v>34</v>
      </c>
      <c r="AA45" s="2"/>
      <c r="AB45" s="2"/>
      <c r="AC45" s="2"/>
      <c r="AD45" s="2"/>
      <c r="AK45" s="8">
        <f t="shared" si="1"/>
        <v>45917</v>
      </c>
    </row>
    <row r="46" spans="1:37" ht="15" customHeight="1">
      <c r="A46" s="2" t="s">
        <v>493</v>
      </c>
      <c r="B46" s="2">
        <v>2461</v>
      </c>
      <c r="C46" s="2" t="s">
        <v>468</v>
      </c>
      <c r="D46" s="2" t="s">
        <v>26</v>
      </c>
      <c r="E46" s="2" t="s">
        <v>112</v>
      </c>
      <c r="F46" s="3">
        <v>45936</v>
      </c>
      <c r="G46" s="3">
        <v>45936</v>
      </c>
      <c r="H46" s="3">
        <v>45936</v>
      </c>
      <c r="I46" s="2"/>
      <c r="J46" s="2"/>
      <c r="K46" s="2" t="s">
        <v>28</v>
      </c>
      <c r="L46" s="2" t="s">
        <v>29</v>
      </c>
      <c r="M46" s="2"/>
      <c r="N46" s="2" t="s">
        <v>30</v>
      </c>
      <c r="O46" s="2">
        <v>177.29</v>
      </c>
      <c r="P46" s="2">
        <v>31.91</v>
      </c>
      <c r="Q46" s="2">
        <v>209.2</v>
      </c>
      <c r="R46" s="2">
        <v>209.2</v>
      </c>
      <c r="S46" s="2">
        <v>209.2</v>
      </c>
      <c r="T46" s="2" t="s">
        <v>31</v>
      </c>
      <c r="U46" s="2" t="b">
        <v>0</v>
      </c>
      <c r="V46" s="2" t="s">
        <v>32</v>
      </c>
      <c r="W46" s="2" t="s">
        <v>33</v>
      </c>
      <c r="X46" s="2"/>
      <c r="Y46" s="2"/>
      <c r="Z46" s="2" t="s">
        <v>34</v>
      </c>
      <c r="AA46" s="2"/>
      <c r="AB46" s="2"/>
      <c r="AC46" s="2"/>
      <c r="AD46" s="2"/>
      <c r="AK46" s="8">
        <f t="shared" si="1"/>
        <v>45936</v>
      </c>
    </row>
    <row r="47" spans="1:37" ht="15" customHeight="1">
      <c r="A47" s="2" t="s">
        <v>213</v>
      </c>
      <c r="B47" s="2">
        <v>0</v>
      </c>
      <c r="C47" s="2"/>
      <c r="D47" s="2" t="s">
        <v>26</v>
      </c>
      <c r="E47" s="2" t="s">
        <v>37</v>
      </c>
      <c r="F47" s="3">
        <v>45739</v>
      </c>
      <c r="G47" s="3">
        <v>45739</v>
      </c>
      <c r="H47" s="3">
        <v>45739</v>
      </c>
      <c r="I47" s="2" t="s">
        <v>214</v>
      </c>
      <c r="J47" s="2"/>
      <c r="K47" s="2" t="s">
        <v>28</v>
      </c>
      <c r="L47" s="2" t="s">
        <v>29</v>
      </c>
      <c r="M47" s="2"/>
      <c r="N47" s="2" t="s">
        <v>30</v>
      </c>
      <c r="O47" s="2">
        <v>310.17</v>
      </c>
      <c r="P47" s="2">
        <v>55.83</v>
      </c>
      <c r="Q47" s="2">
        <v>366</v>
      </c>
      <c r="R47" s="2">
        <v>366</v>
      </c>
      <c r="S47" s="2">
        <v>366</v>
      </c>
      <c r="T47" s="2" t="s">
        <v>31</v>
      </c>
      <c r="U47" s="2" t="b">
        <v>0</v>
      </c>
      <c r="V47" s="2" t="s">
        <v>32</v>
      </c>
      <c r="W47" s="2" t="s">
        <v>151</v>
      </c>
      <c r="X47" s="2"/>
      <c r="Y47" s="2"/>
      <c r="Z47" s="2" t="s">
        <v>34</v>
      </c>
      <c r="AA47" s="2"/>
      <c r="AB47" s="2"/>
      <c r="AC47" s="2"/>
      <c r="AD47" s="2"/>
      <c r="AK47" s="8">
        <f t="shared" si="1"/>
        <v>45739</v>
      </c>
    </row>
    <row r="48" spans="1:37" ht="15" customHeight="1">
      <c r="A48" s="2" t="s">
        <v>157</v>
      </c>
      <c r="B48" s="2">
        <v>1254</v>
      </c>
      <c r="C48" s="2"/>
      <c r="D48" s="2" t="s">
        <v>26</v>
      </c>
      <c r="E48" s="2" t="s">
        <v>35</v>
      </c>
      <c r="F48" s="3">
        <v>45908</v>
      </c>
      <c r="G48" s="3">
        <v>45908</v>
      </c>
      <c r="H48" s="3">
        <v>45908</v>
      </c>
      <c r="I48" s="2"/>
      <c r="J48" s="2"/>
      <c r="K48" s="2" t="s">
        <v>28</v>
      </c>
      <c r="L48" s="2" t="s">
        <v>29</v>
      </c>
      <c r="M48" s="2"/>
      <c r="N48" s="2" t="s">
        <v>30</v>
      </c>
      <c r="O48" s="2">
        <v>322</v>
      </c>
      <c r="P48" s="2">
        <v>57.96</v>
      </c>
      <c r="Q48" s="2">
        <v>379.96</v>
      </c>
      <c r="R48" s="2">
        <v>379.96</v>
      </c>
      <c r="S48" s="2">
        <v>379.96</v>
      </c>
      <c r="T48" s="2" t="s">
        <v>31</v>
      </c>
      <c r="U48" s="2" t="b">
        <v>0</v>
      </c>
      <c r="V48" s="2" t="s">
        <v>32</v>
      </c>
      <c r="W48" s="2" t="s">
        <v>33</v>
      </c>
      <c r="X48" s="2"/>
      <c r="Y48" s="2"/>
      <c r="Z48" s="2" t="s">
        <v>34</v>
      </c>
      <c r="AA48" s="2"/>
      <c r="AB48" s="2"/>
      <c r="AC48" s="2"/>
      <c r="AD48" s="2"/>
      <c r="AK48" s="8">
        <f t="shared" si="1"/>
        <v>45908</v>
      </c>
    </row>
    <row r="49" spans="1:37" ht="15" customHeight="1">
      <c r="A49" s="2" t="s">
        <v>158</v>
      </c>
      <c r="B49" s="2">
        <v>1254</v>
      </c>
      <c r="C49" s="2"/>
      <c r="D49" s="2" t="s">
        <v>26</v>
      </c>
      <c r="E49" s="2" t="s">
        <v>35</v>
      </c>
      <c r="F49" s="3">
        <v>45908</v>
      </c>
      <c r="G49" s="3">
        <v>45908</v>
      </c>
      <c r="H49" s="3">
        <v>45908</v>
      </c>
      <c r="I49" s="2"/>
      <c r="J49" s="2"/>
      <c r="K49" s="2" t="s">
        <v>28</v>
      </c>
      <c r="L49" s="2" t="s">
        <v>29</v>
      </c>
      <c r="M49" s="2"/>
      <c r="N49" s="2" t="s">
        <v>30</v>
      </c>
      <c r="O49" s="2">
        <v>322</v>
      </c>
      <c r="P49" s="2">
        <v>57.96</v>
      </c>
      <c r="Q49" s="2">
        <v>379.96</v>
      </c>
      <c r="R49" s="2">
        <v>379.96</v>
      </c>
      <c r="S49" s="2">
        <v>379.96</v>
      </c>
      <c r="T49" s="2" t="s">
        <v>31</v>
      </c>
      <c r="U49" s="2" t="b">
        <v>0</v>
      </c>
      <c r="V49" s="2" t="s">
        <v>32</v>
      </c>
      <c r="W49" s="2" t="s">
        <v>33</v>
      </c>
      <c r="X49" s="2"/>
      <c r="Y49" s="2"/>
      <c r="Z49" s="2" t="s">
        <v>34</v>
      </c>
      <c r="AA49" s="2"/>
      <c r="AB49" s="2"/>
      <c r="AC49" s="2"/>
      <c r="AD49" s="2"/>
      <c r="AK49" s="8">
        <f t="shared" si="1"/>
        <v>45908</v>
      </c>
    </row>
    <row r="50" spans="1:37" ht="15" customHeight="1">
      <c r="A50" s="2" t="s">
        <v>161</v>
      </c>
      <c r="B50" s="2">
        <v>1254</v>
      </c>
      <c r="C50" s="2"/>
      <c r="D50" s="2" t="s">
        <v>26</v>
      </c>
      <c r="E50" s="2" t="s">
        <v>35</v>
      </c>
      <c r="F50" s="3">
        <v>45903</v>
      </c>
      <c r="G50" s="3">
        <v>45903</v>
      </c>
      <c r="H50" s="3">
        <v>45903</v>
      </c>
      <c r="I50" s="2"/>
      <c r="J50" s="2"/>
      <c r="K50" s="2" t="s">
        <v>28</v>
      </c>
      <c r="L50" s="2" t="s">
        <v>29</v>
      </c>
      <c r="M50" s="2"/>
      <c r="N50" s="2" t="s">
        <v>30</v>
      </c>
      <c r="O50" s="2">
        <v>322</v>
      </c>
      <c r="P50" s="2">
        <v>57.96</v>
      </c>
      <c r="Q50" s="2">
        <v>379.96</v>
      </c>
      <c r="R50" s="2">
        <v>379.96</v>
      </c>
      <c r="S50" s="2">
        <v>379.96</v>
      </c>
      <c r="T50" s="2" t="s">
        <v>31</v>
      </c>
      <c r="U50" s="2" t="b">
        <v>0</v>
      </c>
      <c r="V50" s="2" t="s">
        <v>32</v>
      </c>
      <c r="W50" s="2" t="s">
        <v>33</v>
      </c>
      <c r="X50" s="2"/>
      <c r="Y50" s="2"/>
      <c r="Z50" s="2" t="s">
        <v>34</v>
      </c>
      <c r="AA50" s="2"/>
      <c r="AB50" s="2"/>
      <c r="AC50" s="2"/>
      <c r="AD50" s="2"/>
      <c r="AK50" s="8">
        <f t="shared" si="1"/>
        <v>45903</v>
      </c>
    </row>
    <row r="51" spans="1:37" ht="15" customHeight="1">
      <c r="A51" s="2" t="s">
        <v>162</v>
      </c>
      <c r="B51" s="2">
        <v>1254</v>
      </c>
      <c r="C51" s="2"/>
      <c r="D51" s="2" t="s">
        <v>26</v>
      </c>
      <c r="E51" s="2" t="s">
        <v>35</v>
      </c>
      <c r="F51" s="3">
        <v>45902</v>
      </c>
      <c r="G51" s="3">
        <v>45902</v>
      </c>
      <c r="H51" s="3">
        <v>45902</v>
      </c>
      <c r="I51" s="2"/>
      <c r="J51" s="2"/>
      <c r="K51" s="2" t="s">
        <v>28</v>
      </c>
      <c r="L51" s="2" t="s">
        <v>29</v>
      </c>
      <c r="M51" s="2"/>
      <c r="N51" s="2" t="s">
        <v>30</v>
      </c>
      <c r="O51" s="2">
        <v>322</v>
      </c>
      <c r="P51" s="2">
        <v>57.96</v>
      </c>
      <c r="Q51" s="2">
        <v>379.96</v>
      </c>
      <c r="R51" s="2">
        <v>379.96</v>
      </c>
      <c r="S51" s="2">
        <v>379.96</v>
      </c>
      <c r="T51" s="2" t="s">
        <v>31</v>
      </c>
      <c r="U51" s="2" t="b">
        <v>0</v>
      </c>
      <c r="V51" s="2" t="s">
        <v>32</v>
      </c>
      <c r="W51" s="2" t="s">
        <v>33</v>
      </c>
      <c r="X51" s="2"/>
      <c r="Y51" s="2"/>
      <c r="Z51" s="2" t="s">
        <v>34</v>
      </c>
      <c r="AA51" s="2"/>
      <c r="AB51" s="2"/>
      <c r="AC51" s="2"/>
      <c r="AD51" s="2"/>
      <c r="AK51" s="8">
        <f t="shared" si="1"/>
        <v>45902</v>
      </c>
    </row>
    <row r="52" spans="1:37" ht="15" customHeight="1">
      <c r="A52" s="2" t="s">
        <v>163</v>
      </c>
      <c r="B52" s="2">
        <v>1254</v>
      </c>
      <c r="C52" s="2"/>
      <c r="D52" s="2" t="s">
        <v>26</v>
      </c>
      <c r="E52" s="2" t="s">
        <v>35</v>
      </c>
      <c r="F52" s="3">
        <v>45902</v>
      </c>
      <c r="G52" s="3">
        <v>45902</v>
      </c>
      <c r="H52" s="3">
        <v>45902</v>
      </c>
      <c r="I52" s="2"/>
      <c r="J52" s="2"/>
      <c r="K52" s="2" t="s">
        <v>28</v>
      </c>
      <c r="L52" s="2" t="s">
        <v>29</v>
      </c>
      <c r="M52" s="2"/>
      <c r="N52" s="2" t="s">
        <v>30</v>
      </c>
      <c r="O52" s="2">
        <v>322</v>
      </c>
      <c r="P52" s="2">
        <v>57.96</v>
      </c>
      <c r="Q52" s="2">
        <v>379.96</v>
      </c>
      <c r="R52" s="2">
        <v>379.96</v>
      </c>
      <c r="S52" s="2">
        <v>379.96</v>
      </c>
      <c r="T52" s="2" t="s">
        <v>31</v>
      </c>
      <c r="U52" s="2" t="b">
        <v>0</v>
      </c>
      <c r="V52" s="2" t="s">
        <v>32</v>
      </c>
      <c r="W52" s="2" t="s">
        <v>33</v>
      </c>
      <c r="X52" s="2"/>
      <c r="Y52" s="2"/>
      <c r="Z52" s="2" t="s">
        <v>34</v>
      </c>
      <c r="AA52" s="2"/>
      <c r="AB52" s="2"/>
      <c r="AC52" s="2"/>
      <c r="AD52" s="2"/>
      <c r="AK52" s="8">
        <f t="shared" si="1"/>
        <v>45902</v>
      </c>
    </row>
    <row r="53" spans="1:37" ht="15" customHeight="1">
      <c r="A53" s="2" t="s">
        <v>164</v>
      </c>
      <c r="B53" s="2">
        <v>1254</v>
      </c>
      <c r="C53" s="2"/>
      <c r="D53" s="2" t="s">
        <v>26</v>
      </c>
      <c r="E53" s="2" t="s">
        <v>35</v>
      </c>
      <c r="F53" s="3">
        <v>45902</v>
      </c>
      <c r="G53" s="3">
        <v>45902</v>
      </c>
      <c r="H53" s="3">
        <v>45902</v>
      </c>
      <c r="I53" s="2"/>
      <c r="J53" s="2"/>
      <c r="K53" s="2" t="s">
        <v>28</v>
      </c>
      <c r="L53" s="2" t="s">
        <v>29</v>
      </c>
      <c r="M53" s="2"/>
      <c r="N53" s="2" t="s">
        <v>30</v>
      </c>
      <c r="O53" s="2">
        <v>322</v>
      </c>
      <c r="P53" s="2">
        <v>57.96</v>
      </c>
      <c r="Q53" s="2">
        <v>379.96</v>
      </c>
      <c r="R53" s="2">
        <v>379.96</v>
      </c>
      <c r="S53" s="2">
        <v>379.96</v>
      </c>
      <c r="T53" s="2" t="s">
        <v>31</v>
      </c>
      <c r="U53" s="2" t="b">
        <v>0</v>
      </c>
      <c r="V53" s="2" t="s">
        <v>32</v>
      </c>
      <c r="W53" s="2" t="s">
        <v>33</v>
      </c>
      <c r="X53" s="2"/>
      <c r="Y53" s="2"/>
      <c r="Z53" s="2" t="s">
        <v>34</v>
      </c>
      <c r="AA53" s="2"/>
      <c r="AB53" s="2"/>
      <c r="AC53" s="2"/>
      <c r="AD53" s="2"/>
      <c r="AK53" s="8">
        <f t="shared" si="1"/>
        <v>45902</v>
      </c>
    </row>
    <row r="54" spans="1:37" ht="15" customHeight="1">
      <c r="A54" s="2" t="s">
        <v>165</v>
      </c>
      <c r="B54" s="2">
        <v>1254</v>
      </c>
      <c r="C54" s="2"/>
      <c r="D54" s="2" t="s">
        <v>26</v>
      </c>
      <c r="E54" s="2" t="s">
        <v>35</v>
      </c>
      <c r="F54" s="3">
        <v>45902</v>
      </c>
      <c r="G54" s="3">
        <v>45902</v>
      </c>
      <c r="H54" s="3">
        <v>45902</v>
      </c>
      <c r="I54" s="2"/>
      <c r="J54" s="2"/>
      <c r="K54" s="2" t="s">
        <v>28</v>
      </c>
      <c r="L54" s="2" t="s">
        <v>29</v>
      </c>
      <c r="M54" s="2"/>
      <c r="N54" s="2" t="s">
        <v>30</v>
      </c>
      <c r="O54" s="2">
        <v>322</v>
      </c>
      <c r="P54" s="2">
        <v>57.96</v>
      </c>
      <c r="Q54" s="2">
        <v>379.96</v>
      </c>
      <c r="R54" s="2">
        <v>379.96</v>
      </c>
      <c r="S54" s="2">
        <v>379.96</v>
      </c>
      <c r="T54" s="2" t="s">
        <v>31</v>
      </c>
      <c r="U54" s="2" t="b">
        <v>0</v>
      </c>
      <c r="V54" s="2" t="s">
        <v>32</v>
      </c>
      <c r="W54" s="2" t="s">
        <v>33</v>
      </c>
      <c r="X54" s="2"/>
      <c r="Y54" s="2"/>
      <c r="Z54" s="2" t="s">
        <v>34</v>
      </c>
      <c r="AA54" s="2"/>
      <c r="AB54" s="2"/>
      <c r="AC54" s="2"/>
      <c r="AD54" s="2"/>
      <c r="AK54" s="8">
        <f t="shared" si="1"/>
        <v>45902</v>
      </c>
    </row>
    <row r="55" spans="1:37" ht="15" customHeight="1">
      <c r="A55" s="2" t="s">
        <v>182</v>
      </c>
      <c r="B55" s="2">
        <v>0</v>
      </c>
      <c r="C55" s="2"/>
      <c r="D55" s="2" t="s">
        <v>26</v>
      </c>
      <c r="E55" s="2" t="s">
        <v>35</v>
      </c>
      <c r="F55" s="3">
        <v>45891</v>
      </c>
      <c r="G55" s="3">
        <v>45891</v>
      </c>
      <c r="H55" s="3">
        <v>45891</v>
      </c>
      <c r="I55" s="2"/>
      <c r="J55" s="2"/>
      <c r="K55" s="2" t="s">
        <v>28</v>
      </c>
      <c r="L55" s="2" t="s">
        <v>29</v>
      </c>
      <c r="M55" s="2"/>
      <c r="N55" s="2" t="s">
        <v>30</v>
      </c>
      <c r="O55" s="2">
        <v>322</v>
      </c>
      <c r="P55" s="2">
        <v>57.96</v>
      </c>
      <c r="Q55" s="2">
        <v>379.96</v>
      </c>
      <c r="R55" s="2">
        <v>379.96</v>
      </c>
      <c r="S55" s="2">
        <v>379.96</v>
      </c>
      <c r="T55" s="2" t="s">
        <v>31</v>
      </c>
      <c r="U55" s="2" t="b">
        <v>0</v>
      </c>
      <c r="V55" s="2" t="s">
        <v>32</v>
      </c>
      <c r="W55" s="2" t="s">
        <v>151</v>
      </c>
      <c r="X55" s="2" t="s">
        <v>178</v>
      </c>
      <c r="Y55" s="2" t="s">
        <v>183</v>
      </c>
      <c r="Z55" s="2" t="s">
        <v>34</v>
      </c>
      <c r="AA55" s="2"/>
      <c r="AB55" s="2"/>
      <c r="AC55" s="2"/>
      <c r="AD55" s="2"/>
      <c r="AK55" s="8">
        <f t="shared" si="1"/>
        <v>45891</v>
      </c>
    </row>
    <row r="56" spans="1:37" ht="15" customHeight="1">
      <c r="A56" s="2" t="s">
        <v>184</v>
      </c>
      <c r="B56" s="2">
        <v>0</v>
      </c>
      <c r="C56" s="2"/>
      <c r="D56" s="2" t="s">
        <v>26</v>
      </c>
      <c r="E56" s="2" t="s">
        <v>35</v>
      </c>
      <c r="F56" s="3">
        <v>45891</v>
      </c>
      <c r="G56" s="3">
        <v>45891</v>
      </c>
      <c r="H56" s="3">
        <v>45891</v>
      </c>
      <c r="I56" s="2"/>
      <c r="J56" s="2"/>
      <c r="K56" s="2" t="s">
        <v>28</v>
      </c>
      <c r="L56" s="2" t="s">
        <v>29</v>
      </c>
      <c r="M56" s="2"/>
      <c r="N56" s="2" t="s">
        <v>30</v>
      </c>
      <c r="O56" s="2">
        <v>322</v>
      </c>
      <c r="P56" s="2">
        <v>57.96</v>
      </c>
      <c r="Q56" s="2">
        <v>379.96</v>
      </c>
      <c r="R56" s="2">
        <v>379.96</v>
      </c>
      <c r="S56" s="2">
        <v>379.96</v>
      </c>
      <c r="T56" s="2" t="s">
        <v>31</v>
      </c>
      <c r="U56" s="2" t="b">
        <v>0</v>
      </c>
      <c r="V56" s="2" t="s">
        <v>32</v>
      </c>
      <c r="W56" s="2" t="s">
        <v>151</v>
      </c>
      <c r="X56" s="2" t="s">
        <v>178</v>
      </c>
      <c r="Y56" s="2" t="s">
        <v>185</v>
      </c>
      <c r="Z56" s="2" t="s">
        <v>34</v>
      </c>
      <c r="AA56" s="2"/>
      <c r="AB56" s="2"/>
      <c r="AC56" s="2"/>
      <c r="AD56" s="2"/>
      <c r="AK56" s="8">
        <f t="shared" si="1"/>
        <v>45891</v>
      </c>
    </row>
    <row r="57" spans="1:37" ht="15" customHeight="1">
      <c r="A57" s="2" t="s">
        <v>186</v>
      </c>
      <c r="B57" s="2">
        <v>0</v>
      </c>
      <c r="C57" s="2"/>
      <c r="D57" s="2" t="s">
        <v>26</v>
      </c>
      <c r="E57" s="2" t="s">
        <v>35</v>
      </c>
      <c r="F57" s="3">
        <v>45891</v>
      </c>
      <c r="G57" s="3">
        <v>45891</v>
      </c>
      <c r="H57" s="3">
        <v>45891</v>
      </c>
      <c r="I57" s="2"/>
      <c r="J57" s="2"/>
      <c r="K57" s="2" t="s">
        <v>28</v>
      </c>
      <c r="L57" s="2" t="s">
        <v>29</v>
      </c>
      <c r="M57" s="2"/>
      <c r="N57" s="2" t="s">
        <v>30</v>
      </c>
      <c r="O57" s="2">
        <v>322</v>
      </c>
      <c r="P57" s="2">
        <v>57.96</v>
      </c>
      <c r="Q57" s="2">
        <v>379.96</v>
      </c>
      <c r="R57" s="2">
        <v>379.96</v>
      </c>
      <c r="S57" s="2">
        <v>379.96</v>
      </c>
      <c r="T57" s="2" t="s">
        <v>31</v>
      </c>
      <c r="U57" s="2" t="b">
        <v>0</v>
      </c>
      <c r="V57" s="2" t="s">
        <v>32</v>
      </c>
      <c r="W57" s="2" t="s">
        <v>151</v>
      </c>
      <c r="X57" s="2" t="s">
        <v>178</v>
      </c>
      <c r="Y57" s="2" t="s">
        <v>187</v>
      </c>
      <c r="Z57" s="2" t="s">
        <v>34</v>
      </c>
      <c r="AA57" s="2"/>
      <c r="AB57" s="2"/>
      <c r="AC57" s="2"/>
      <c r="AD57" s="2"/>
      <c r="AK57" s="8">
        <f t="shared" si="1"/>
        <v>45891</v>
      </c>
    </row>
    <row r="58" spans="1:37" ht="15" customHeight="1">
      <c r="A58" s="2" t="s">
        <v>188</v>
      </c>
      <c r="B58" s="2">
        <v>0</v>
      </c>
      <c r="C58" s="2"/>
      <c r="D58" s="2" t="s">
        <v>26</v>
      </c>
      <c r="E58" s="2" t="s">
        <v>35</v>
      </c>
      <c r="F58" s="3">
        <v>45891</v>
      </c>
      <c r="G58" s="3">
        <v>45891</v>
      </c>
      <c r="H58" s="3">
        <v>45891</v>
      </c>
      <c r="I58" s="2"/>
      <c r="J58" s="2"/>
      <c r="K58" s="2" t="s">
        <v>28</v>
      </c>
      <c r="L58" s="2" t="s">
        <v>29</v>
      </c>
      <c r="M58" s="2"/>
      <c r="N58" s="2" t="s">
        <v>30</v>
      </c>
      <c r="O58" s="2">
        <v>322</v>
      </c>
      <c r="P58" s="2">
        <v>57.96</v>
      </c>
      <c r="Q58" s="2">
        <v>379.96</v>
      </c>
      <c r="R58" s="2">
        <v>379.96</v>
      </c>
      <c r="S58" s="2">
        <v>379.96</v>
      </c>
      <c r="T58" s="2" t="s">
        <v>31</v>
      </c>
      <c r="U58" s="2" t="b">
        <v>0</v>
      </c>
      <c r="V58" s="2" t="s">
        <v>32</v>
      </c>
      <c r="W58" s="2" t="s">
        <v>151</v>
      </c>
      <c r="X58" s="2" t="s">
        <v>178</v>
      </c>
      <c r="Y58" s="2" t="s">
        <v>189</v>
      </c>
      <c r="Z58" s="2" t="s">
        <v>34</v>
      </c>
      <c r="AA58" s="2"/>
      <c r="AB58" s="2"/>
      <c r="AC58" s="2"/>
      <c r="AD58" s="2"/>
      <c r="AK58" s="8">
        <f t="shared" si="1"/>
        <v>45891</v>
      </c>
    </row>
    <row r="59" spans="1:37" ht="15" customHeight="1">
      <c r="A59" s="2" t="s">
        <v>202</v>
      </c>
      <c r="B59" s="2">
        <v>1254</v>
      </c>
      <c r="C59" s="2"/>
      <c r="D59" s="2" t="s">
        <v>26</v>
      </c>
      <c r="E59" s="2" t="s">
        <v>35</v>
      </c>
      <c r="F59" s="3">
        <v>45743</v>
      </c>
      <c r="G59" s="3">
        <v>45743</v>
      </c>
      <c r="H59" s="3">
        <v>45743</v>
      </c>
      <c r="I59" s="2"/>
      <c r="J59" s="2"/>
      <c r="K59" s="2" t="s">
        <v>28</v>
      </c>
      <c r="L59" s="2" t="s">
        <v>29</v>
      </c>
      <c r="M59" s="2"/>
      <c r="N59" s="2" t="s">
        <v>30</v>
      </c>
      <c r="O59" s="2">
        <v>322</v>
      </c>
      <c r="P59" s="2">
        <v>57.96</v>
      </c>
      <c r="Q59" s="2">
        <v>379.96</v>
      </c>
      <c r="R59" s="2">
        <v>379.96</v>
      </c>
      <c r="S59" s="2">
        <v>379.96</v>
      </c>
      <c r="T59" s="2" t="s">
        <v>31</v>
      </c>
      <c r="U59" s="2" t="b">
        <v>0</v>
      </c>
      <c r="V59" s="2" t="s">
        <v>32</v>
      </c>
      <c r="W59" s="2" t="s">
        <v>33</v>
      </c>
      <c r="X59" s="2"/>
      <c r="Y59" s="2"/>
      <c r="Z59" s="2" t="s">
        <v>34</v>
      </c>
      <c r="AA59" s="2"/>
      <c r="AB59" s="2"/>
      <c r="AC59" s="2"/>
      <c r="AD59" s="2"/>
      <c r="AK59" s="8">
        <f t="shared" si="1"/>
        <v>45743</v>
      </c>
    </row>
    <row r="60" spans="1:37" ht="15" customHeight="1">
      <c r="A60" s="2" t="s">
        <v>203</v>
      </c>
      <c r="B60" s="2">
        <v>1254</v>
      </c>
      <c r="C60" s="2"/>
      <c r="D60" s="2" t="s">
        <v>26</v>
      </c>
      <c r="E60" s="2" t="s">
        <v>35</v>
      </c>
      <c r="F60" s="3">
        <v>45743</v>
      </c>
      <c r="G60" s="3">
        <v>45743</v>
      </c>
      <c r="H60" s="3">
        <v>45743</v>
      </c>
      <c r="I60" s="2"/>
      <c r="J60" s="2"/>
      <c r="K60" s="2" t="s">
        <v>28</v>
      </c>
      <c r="L60" s="2" t="s">
        <v>29</v>
      </c>
      <c r="M60" s="2"/>
      <c r="N60" s="2" t="s">
        <v>30</v>
      </c>
      <c r="O60" s="2">
        <v>322</v>
      </c>
      <c r="P60" s="2">
        <v>57.96</v>
      </c>
      <c r="Q60" s="2">
        <v>379.96</v>
      </c>
      <c r="R60" s="2">
        <v>379.96</v>
      </c>
      <c r="S60" s="2">
        <v>379.96</v>
      </c>
      <c r="T60" s="2" t="s">
        <v>31</v>
      </c>
      <c r="U60" s="2" t="b">
        <v>0</v>
      </c>
      <c r="V60" s="2" t="s">
        <v>32</v>
      </c>
      <c r="W60" s="2" t="s">
        <v>33</v>
      </c>
      <c r="X60" s="2"/>
      <c r="Y60" s="2"/>
      <c r="Z60" s="2" t="s">
        <v>34</v>
      </c>
      <c r="AA60" s="2"/>
      <c r="AB60" s="2"/>
      <c r="AC60" s="2"/>
      <c r="AD60" s="2"/>
      <c r="AK60" s="8">
        <f t="shared" si="1"/>
        <v>45743</v>
      </c>
    </row>
    <row r="61" spans="1:37" ht="15" customHeight="1">
      <c r="A61" s="2" t="s">
        <v>204</v>
      </c>
      <c r="B61" s="2">
        <v>1234</v>
      </c>
      <c r="C61" s="2"/>
      <c r="D61" s="2" t="s">
        <v>26</v>
      </c>
      <c r="E61" s="2" t="s">
        <v>35</v>
      </c>
      <c r="F61" s="3">
        <v>45743</v>
      </c>
      <c r="G61" s="3">
        <v>45743</v>
      </c>
      <c r="H61" s="3">
        <v>45743</v>
      </c>
      <c r="I61" s="2"/>
      <c r="J61" s="2"/>
      <c r="K61" s="2" t="s">
        <v>28</v>
      </c>
      <c r="L61" s="2" t="s">
        <v>29</v>
      </c>
      <c r="M61" s="2"/>
      <c r="N61" s="2" t="s">
        <v>30</v>
      </c>
      <c r="O61" s="2">
        <v>322</v>
      </c>
      <c r="P61" s="2">
        <v>57.96</v>
      </c>
      <c r="Q61" s="2">
        <v>379.96</v>
      </c>
      <c r="R61" s="2">
        <v>379.96</v>
      </c>
      <c r="S61" s="2">
        <v>379.96</v>
      </c>
      <c r="T61" s="2" t="s">
        <v>31</v>
      </c>
      <c r="U61" s="2" t="b">
        <v>0</v>
      </c>
      <c r="V61" s="2" t="s">
        <v>32</v>
      </c>
      <c r="W61" s="2" t="s">
        <v>33</v>
      </c>
      <c r="X61" s="2"/>
      <c r="Y61" s="2"/>
      <c r="Z61" s="2" t="s">
        <v>34</v>
      </c>
      <c r="AA61" s="2"/>
      <c r="AB61" s="2"/>
      <c r="AC61" s="2"/>
      <c r="AD61" s="2"/>
      <c r="AK61" s="8">
        <f t="shared" si="1"/>
        <v>45743</v>
      </c>
    </row>
    <row r="62" spans="1:37" ht="15" customHeight="1">
      <c r="A62" s="2" t="s">
        <v>205</v>
      </c>
      <c r="B62" s="2">
        <v>1234</v>
      </c>
      <c r="C62" s="2"/>
      <c r="D62" s="2" t="s">
        <v>26</v>
      </c>
      <c r="E62" s="2" t="s">
        <v>35</v>
      </c>
      <c r="F62" s="3">
        <v>45743</v>
      </c>
      <c r="G62" s="3">
        <v>45743</v>
      </c>
      <c r="H62" s="3">
        <v>45743</v>
      </c>
      <c r="I62" s="2"/>
      <c r="J62" s="2"/>
      <c r="K62" s="2" t="s">
        <v>28</v>
      </c>
      <c r="L62" s="2" t="s">
        <v>29</v>
      </c>
      <c r="M62" s="2"/>
      <c r="N62" s="2" t="s">
        <v>30</v>
      </c>
      <c r="O62" s="2">
        <v>322</v>
      </c>
      <c r="P62" s="2">
        <v>57.96</v>
      </c>
      <c r="Q62" s="2">
        <v>379.96</v>
      </c>
      <c r="R62" s="2">
        <v>379.96</v>
      </c>
      <c r="S62" s="2">
        <v>379.96</v>
      </c>
      <c r="T62" s="2" t="s">
        <v>31</v>
      </c>
      <c r="U62" s="2" t="b">
        <v>0</v>
      </c>
      <c r="V62" s="2" t="s">
        <v>32</v>
      </c>
      <c r="W62" s="2" t="s">
        <v>33</v>
      </c>
      <c r="X62" s="2"/>
      <c r="Y62" s="2"/>
      <c r="Z62" s="2" t="s">
        <v>34</v>
      </c>
      <c r="AA62" s="2"/>
      <c r="AB62" s="2"/>
      <c r="AC62" s="2"/>
      <c r="AD62" s="2"/>
      <c r="AK62" s="8">
        <f t="shared" si="1"/>
        <v>45743</v>
      </c>
    </row>
    <row r="63" spans="1:37" ht="15" customHeight="1">
      <c r="A63" s="2" t="s">
        <v>206</v>
      </c>
      <c r="B63" s="2">
        <v>1234</v>
      </c>
      <c r="C63" s="2"/>
      <c r="D63" s="2" t="s">
        <v>26</v>
      </c>
      <c r="E63" s="2" t="s">
        <v>35</v>
      </c>
      <c r="F63" s="3">
        <v>45743</v>
      </c>
      <c r="G63" s="3">
        <v>45743</v>
      </c>
      <c r="H63" s="3">
        <v>45743</v>
      </c>
      <c r="I63" s="2"/>
      <c r="J63" s="2"/>
      <c r="K63" s="2" t="s">
        <v>28</v>
      </c>
      <c r="L63" s="2" t="s">
        <v>29</v>
      </c>
      <c r="M63" s="2"/>
      <c r="N63" s="2" t="s">
        <v>30</v>
      </c>
      <c r="O63" s="2">
        <v>322</v>
      </c>
      <c r="P63" s="2">
        <v>57.96</v>
      </c>
      <c r="Q63" s="2">
        <v>379.96</v>
      </c>
      <c r="R63" s="2">
        <v>379.96</v>
      </c>
      <c r="S63" s="2">
        <v>379.96</v>
      </c>
      <c r="T63" s="2" t="s">
        <v>31</v>
      </c>
      <c r="U63" s="2" t="b">
        <v>0</v>
      </c>
      <c r="V63" s="2" t="s">
        <v>32</v>
      </c>
      <c r="W63" s="2" t="s">
        <v>33</v>
      </c>
      <c r="X63" s="2"/>
      <c r="Y63" s="2"/>
      <c r="Z63" s="2" t="s">
        <v>34</v>
      </c>
      <c r="AA63" s="2"/>
      <c r="AB63" s="2"/>
      <c r="AC63" s="2"/>
      <c r="AD63" s="2"/>
      <c r="AK63" s="8">
        <f t="shared" si="1"/>
        <v>45743</v>
      </c>
    </row>
    <row r="64" spans="1:37" ht="15" customHeight="1">
      <c r="A64" s="2" t="s">
        <v>207</v>
      </c>
      <c r="B64" s="2">
        <v>1233</v>
      </c>
      <c r="C64" s="2"/>
      <c r="D64" s="2" t="s">
        <v>26</v>
      </c>
      <c r="E64" s="2" t="s">
        <v>35</v>
      </c>
      <c r="F64" s="3">
        <v>45743</v>
      </c>
      <c r="G64" s="3">
        <v>45743</v>
      </c>
      <c r="H64" s="3">
        <v>45743</v>
      </c>
      <c r="I64" s="2"/>
      <c r="J64" s="2"/>
      <c r="K64" s="2" t="s">
        <v>28</v>
      </c>
      <c r="L64" s="2" t="s">
        <v>29</v>
      </c>
      <c r="M64" s="2"/>
      <c r="N64" s="2" t="s">
        <v>30</v>
      </c>
      <c r="O64" s="2">
        <v>322</v>
      </c>
      <c r="P64" s="2">
        <v>57.96</v>
      </c>
      <c r="Q64" s="2">
        <v>379.96</v>
      </c>
      <c r="R64" s="2">
        <v>379.96</v>
      </c>
      <c r="S64" s="2">
        <v>379.96</v>
      </c>
      <c r="T64" s="2" t="s">
        <v>31</v>
      </c>
      <c r="U64" s="2" t="b">
        <v>0</v>
      </c>
      <c r="V64" s="2" t="s">
        <v>32</v>
      </c>
      <c r="W64" s="2" t="s">
        <v>33</v>
      </c>
      <c r="X64" s="2"/>
      <c r="Y64" s="2"/>
      <c r="Z64" s="2" t="s">
        <v>34</v>
      </c>
      <c r="AA64" s="2"/>
      <c r="AB64" s="2"/>
      <c r="AC64" s="2"/>
      <c r="AD64" s="2"/>
      <c r="AK64" s="8">
        <f t="shared" si="1"/>
        <v>45743</v>
      </c>
    </row>
    <row r="65" spans="1:37" ht="15" customHeight="1">
      <c r="A65" s="2" t="s">
        <v>208</v>
      </c>
      <c r="B65" s="2">
        <v>0</v>
      </c>
      <c r="C65" s="2"/>
      <c r="D65" s="2" t="s">
        <v>26</v>
      </c>
      <c r="E65" s="2" t="s">
        <v>35</v>
      </c>
      <c r="F65" s="3">
        <v>45743</v>
      </c>
      <c r="G65" s="3">
        <v>45743</v>
      </c>
      <c r="H65" s="3">
        <v>45743</v>
      </c>
      <c r="I65" s="2"/>
      <c r="J65" s="2"/>
      <c r="K65" s="2" t="s">
        <v>28</v>
      </c>
      <c r="L65" s="2" t="s">
        <v>29</v>
      </c>
      <c r="M65" s="2"/>
      <c r="N65" s="2" t="s">
        <v>30</v>
      </c>
      <c r="O65" s="2">
        <v>322</v>
      </c>
      <c r="P65" s="2">
        <v>57.96</v>
      </c>
      <c r="Q65" s="2">
        <v>379.96</v>
      </c>
      <c r="R65" s="2">
        <v>379.96</v>
      </c>
      <c r="S65" s="2">
        <v>379.96</v>
      </c>
      <c r="T65" s="2" t="s">
        <v>31</v>
      </c>
      <c r="U65" s="2" t="b">
        <v>0</v>
      </c>
      <c r="V65" s="2" t="s">
        <v>32</v>
      </c>
      <c r="W65" s="2" t="s">
        <v>33</v>
      </c>
      <c r="X65" s="2"/>
      <c r="Y65" s="2"/>
      <c r="Z65" s="2" t="s">
        <v>34</v>
      </c>
      <c r="AA65" s="2"/>
      <c r="AB65" s="2"/>
      <c r="AC65" s="2"/>
      <c r="AD65" s="2"/>
      <c r="AK65" s="8">
        <f t="shared" si="1"/>
        <v>45743</v>
      </c>
    </row>
    <row r="66" spans="1:37" ht="15" customHeight="1">
      <c r="A66" s="2" t="s">
        <v>213</v>
      </c>
      <c r="B66" s="2">
        <v>0</v>
      </c>
      <c r="C66" s="2"/>
      <c r="D66" s="2" t="s">
        <v>26</v>
      </c>
      <c r="E66" s="2" t="s">
        <v>39</v>
      </c>
      <c r="F66" s="3">
        <v>45698</v>
      </c>
      <c r="G66" s="3">
        <v>45698</v>
      </c>
      <c r="H66" s="3">
        <v>45698</v>
      </c>
      <c r="I66" s="2"/>
      <c r="J66" s="2"/>
      <c r="K66" s="2" t="s">
        <v>28</v>
      </c>
      <c r="L66" s="2" t="s">
        <v>29</v>
      </c>
      <c r="M66" s="2"/>
      <c r="N66" s="2" t="s">
        <v>30</v>
      </c>
      <c r="O66" s="2">
        <v>400</v>
      </c>
      <c r="P66" s="2">
        <v>72</v>
      </c>
      <c r="Q66" s="2">
        <v>472</v>
      </c>
      <c r="R66" s="2">
        <v>472</v>
      </c>
      <c r="S66" s="2">
        <v>472</v>
      </c>
      <c r="T66" s="2" t="s">
        <v>31</v>
      </c>
      <c r="U66" s="2" t="b">
        <v>0</v>
      </c>
      <c r="V66" s="2" t="s">
        <v>32</v>
      </c>
      <c r="W66" s="2" t="s">
        <v>151</v>
      </c>
      <c r="X66" s="2" t="s">
        <v>178</v>
      </c>
      <c r="Y66" s="2" t="s">
        <v>215</v>
      </c>
      <c r="Z66" s="2" t="s">
        <v>34</v>
      </c>
      <c r="AA66" s="2"/>
      <c r="AB66" s="2"/>
      <c r="AC66" s="2"/>
      <c r="AD66" s="2"/>
      <c r="AK66" s="8">
        <f t="shared" si="1"/>
        <v>45698</v>
      </c>
    </row>
    <row r="67" spans="1:37" ht="15" customHeight="1">
      <c r="A67" s="2" t="s">
        <v>494</v>
      </c>
      <c r="B67" s="2">
        <v>2441</v>
      </c>
      <c r="C67" s="2"/>
      <c r="D67" s="2" t="s">
        <v>26</v>
      </c>
      <c r="E67" s="2" t="s">
        <v>491</v>
      </c>
      <c r="F67" s="3">
        <v>45934</v>
      </c>
      <c r="G67" s="3">
        <v>45934</v>
      </c>
      <c r="H67" s="3">
        <v>45934</v>
      </c>
      <c r="I67" s="2"/>
      <c r="J67" s="2"/>
      <c r="K67" s="2" t="s">
        <v>28</v>
      </c>
      <c r="L67" s="2" t="s">
        <v>29</v>
      </c>
      <c r="M67" s="2"/>
      <c r="N67" s="2" t="s">
        <v>30</v>
      </c>
      <c r="O67" s="2">
        <v>425.93</v>
      </c>
      <c r="P67" s="2">
        <v>76.67</v>
      </c>
      <c r="Q67" s="2">
        <v>502.6</v>
      </c>
      <c r="R67" s="2">
        <v>502.6</v>
      </c>
      <c r="S67" s="2">
        <v>502.6</v>
      </c>
      <c r="T67" s="2" t="s">
        <v>31</v>
      </c>
      <c r="U67" s="2" t="b">
        <v>0</v>
      </c>
      <c r="V67" s="2" t="s">
        <v>32</v>
      </c>
      <c r="W67" s="2" t="s">
        <v>151</v>
      </c>
      <c r="X67" s="2" t="s">
        <v>178</v>
      </c>
      <c r="Y67" s="2" t="s">
        <v>495</v>
      </c>
      <c r="Z67" s="2" t="s">
        <v>34</v>
      </c>
      <c r="AA67" s="2"/>
      <c r="AB67" s="2"/>
      <c r="AC67" s="2"/>
      <c r="AD67" s="2"/>
      <c r="AK67" s="8">
        <f t="shared" si="1"/>
        <v>45934</v>
      </c>
    </row>
    <row r="68" spans="1:37" ht="15" customHeight="1">
      <c r="A68" s="2" t="s">
        <v>174</v>
      </c>
      <c r="B68" s="2">
        <v>2337</v>
      </c>
      <c r="C68" s="2"/>
      <c r="D68" s="2" t="s">
        <v>26</v>
      </c>
      <c r="E68" s="2" t="s">
        <v>27</v>
      </c>
      <c r="F68" s="3">
        <v>45896</v>
      </c>
      <c r="G68" s="3">
        <v>45896</v>
      </c>
      <c r="H68" s="3">
        <v>45896</v>
      </c>
      <c r="I68" s="2"/>
      <c r="J68" s="2"/>
      <c r="K68" s="2" t="s">
        <v>28</v>
      </c>
      <c r="L68" s="2" t="s">
        <v>29</v>
      </c>
      <c r="M68" s="2"/>
      <c r="N68" s="2" t="s">
        <v>30</v>
      </c>
      <c r="O68" s="2">
        <v>677.97</v>
      </c>
      <c r="P68" s="2">
        <v>122.03</v>
      </c>
      <c r="Q68" s="2">
        <v>800</v>
      </c>
      <c r="R68" s="2">
        <v>800</v>
      </c>
      <c r="S68" s="2">
        <v>800</v>
      </c>
      <c r="T68" s="2" t="s">
        <v>31</v>
      </c>
      <c r="U68" s="2" t="b">
        <v>0</v>
      </c>
      <c r="V68" s="2" t="s">
        <v>32</v>
      </c>
      <c r="W68" s="2" t="s">
        <v>33</v>
      </c>
      <c r="X68" s="2"/>
      <c r="Y68" s="2"/>
      <c r="Z68" s="2" t="s">
        <v>34</v>
      </c>
      <c r="AA68" s="2"/>
      <c r="AB68" s="2"/>
      <c r="AC68" s="2"/>
      <c r="AD68" s="2"/>
      <c r="AK68" s="8">
        <f t="shared" si="1"/>
        <v>45896</v>
      </c>
    </row>
    <row r="69" spans="1:37" ht="15" customHeight="1">
      <c r="A69" s="2" t="s">
        <v>173</v>
      </c>
      <c r="B69" s="2">
        <v>2337</v>
      </c>
      <c r="C69" s="2"/>
      <c r="D69" s="2" t="s">
        <v>26</v>
      </c>
      <c r="E69" s="2" t="s">
        <v>27</v>
      </c>
      <c r="F69" s="3">
        <v>45896</v>
      </c>
      <c r="G69" s="3">
        <v>45896</v>
      </c>
      <c r="H69" s="3">
        <v>45896</v>
      </c>
      <c r="I69" s="2"/>
      <c r="J69" s="2"/>
      <c r="K69" s="2" t="s">
        <v>28</v>
      </c>
      <c r="L69" s="2" t="s">
        <v>29</v>
      </c>
      <c r="M69" s="2"/>
      <c r="N69" s="2" t="s">
        <v>30</v>
      </c>
      <c r="O69" s="2">
        <v>805.08</v>
      </c>
      <c r="P69" s="2">
        <v>144.91</v>
      </c>
      <c r="Q69" s="2">
        <v>949.99</v>
      </c>
      <c r="R69" s="2">
        <v>949.99</v>
      </c>
      <c r="S69" s="2">
        <v>949.99</v>
      </c>
      <c r="T69" s="2" t="s">
        <v>31</v>
      </c>
      <c r="U69" s="2" t="b">
        <v>0</v>
      </c>
      <c r="V69" s="2" t="s">
        <v>32</v>
      </c>
      <c r="W69" s="2" t="s">
        <v>151</v>
      </c>
      <c r="X69" s="2"/>
      <c r="Y69" s="2"/>
      <c r="Z69" s="2" t="s">
        <v>34</v>
      </c>
      <c r="AA69" s="2"/>
      <c r="AB69" s="2"/>
      <c r="AC69" s="2"/>
      <c r="AD69" s="2"/>
      <c r="AK69" s="8">
        <f t="shared" si="1"/>
        <v>45896</v>
      </c>
    </row>
    <row r="70" spans="1:37" ht="15" customHeight="1">
      <c r="A70" s="2" t="s">
        <v>168</v>
      </c>
      <c r="B70" s="2">
        <v>0</v>
      </c>
      <c r="C70" s="2"/>
      <c r="D70" s="2" t="s">
        <v>26</v>
      </c>
      <c r="E70" s="2" t="s">
        <v>27</v>
      </c>
      <c r="F70" s="3">
        <v>45896</v>
      </c>
      <c r="G70" s="3">
        <v>45896</v>
      </c>
      <c r="H70" s="3">
        <v>45896</v>
      </c>
      <c r="I70" s="2"/>
      <c r="J70" s="2"/>
      <c r="K70" s="2" t="s">
        <v>28</v>
      </c>
      <c r="L70" s="2" t="s">
        <v>29</v>
      </c>
      <c r="M70" s="2"/>
      <c r="N70" s="2" t="s">
        <v>30</v>
      </c>
      <c r="O70" s="2">
        <v>900</v>
      </c>
      <c r="P70" s="2">
        <v>162</v>
      </c>
      <c r="Q70" s="2">
        <v>1062</v>
      </c>
      <c r="R70" s="2">
        <v>1062</v>
      </c>
      <c r="S70" s="2">
        <v>1062</v>
      </c>
      <c r="T70" s="2" t="s">
        <v>31</v>
      </c>
      <c r="U70" s="2" t="b">
        <v>0</v>
      </c>
      <c r="V70" s="2" t="s">
        <v>32</v>
      </c>
      <c r="W70" s="2" t="s">
        <v>33</v>
      </c>
      <c r="X70" s="2"/>
      <c r="Y70" s="2"/>
      <c r="Z70" s="2" t="s">
        <v>34</v>
      </c>
      <c r="AA70" s="2"/>
      <c r="AB70" s="2"/>
      <c r="AC70" s="2"/>
      <c r="AD70" s="2"/>
      <c r="AK70" s="8">
        <f t="shared" si="1"/>
        <v>45896</v>
      </c>
    </row>
    <row r="71" spans="1:37" ht="15" customHeight="1">
      <c r="A71" s="2" t="s">
        <v>171</v>
      </c>
      <c r="B71" s="2">
        <v>2337</v>
      </c>
      <c r="C71" s="2"/>
      <c r="D71" s="2" t="s">
        <v>26</v>
      </c>
      <c r="E71" s="2" t="s">
        <v>27</v>
      </c>
      <c r="F71" s="3">
        <v>45896</v>
      </c>
      <c r="G71" s="3">
        <v>45896</v>
      </c>
      <c r="H71" s="3">
        <v>45896</v>
      </c>
      <c r="I71" s="2"/>
      <c r="J71" s="2"/>
      <c r="K71" s="2" t="s">
        <v>28</v>
      </c>
      <c r="L71" s="2" t="s">
        <v>29</v>
      </c>
      <c r="M71" s="2"/>
      <c r="N71" s="2" t="s">
        <v>30</v>
      </c>
      <c r="O71" s="2">
        <v>1016.95</v>
      </c>
      <c r="P71" s="2">
        <v>183.05</v>
      </c>
      <c r="Q71" s="2">
        <v>1200</v>
      </c>
      <c r="R71" s="2">
        <v>1200</v>
      </c>
      <c r="S71" s="2">
        <v>1200</v>
      </c>
      <c r="T71" s="2" t="s">
        <v>31</v>
      </c>
      <c r="U71" s="2" t="b">
        <v>0</v>
      </c>
      <c r="V71" s="2" t="s">
        <v>32</v>
      </c>
      <c r="W71" s="2" t="s">
        <v>33</v>
      </c>
      <c r="X71" s="2"/>
      <c r="Y71" s="2"/>
      <c r="Z71" s="2" t="s">
        <v>34</v>
      </c>
      <c r="AA71" s="2"/>
      <c r="AB71" s="2"/>
      <c r="AC71" s="2"/>
      <c r="AD71" s="2"/>
      <c r="AK71" s="8">
        <f t="shared" ref="AK71:AK87" si="2">+IF(AE71&lt;&gt;"",AE71,F71)</f>
        <v>45896</v>
      </c>
    </row>
    <row r="72" spans="1:37" ht="15" customHeight="1">
      <c r="A72" s="2" t="s">
        <v>172</v>
      </c>
      <c r="B72" s="2">
        <v>2337</v>
      </c>
      <c r="C72" s="2"/>
      <c r="D72" s="2" t="s">
        <v>26</v>
      </c>
      <c r="E72" s="2" t="s">
        <v>27</v>
      </c>
      <c r="F72" s="3">
        <v>45896</v>
      </c>
      <c r="G72" s="3">
        <v>45896</v>
      </c>
      <c r="H72" s="3">
        <v>45896</v>
      </c>
      <c r="I72" s="2"/>
      <c r="J72" s="2"/>
      <c r="K72" s="2" t="s">
        <v>28</v>
      </c>
      <c r="L72" s="2" t="s">
        <v>29</v>
      </c>
      <c r="M72" s="2"/>
      <c r="N72" s="2" t="s">
        <v>30</v>
      </c>
      <c r="O72" s="2">
        <v>1016.95</v>
      </c>
      <c r="P72" s="2">
        <v>183.05</v>
      </c>
      <c r="Q72" s="2">
        <v>1200</v>
      </c>
      <c r="R72" s="2">
        <v>1200</v>
      </c>
      <c r="S72" s="2">
        <v>1200</v>
      </c>
      <c r="T72" s="2" t="s">
        <v>31</v>
      </c>
      <c r="U72" s="2" t="b">
        <v>0</v>
      </c>
      <c r="V72" s="2" t="s">
        <v>32</v>
      </c>
      <c r="W72" s="2" t="s">
        <v>151</v>
      </c>
      <c r="X72" s="2"/>
      <c r="Y72" s="2"/>
      <c r="Z72" s="2" t="s">
        <v>34</v>
      </c>
      <c r="AA72" s="2"/>
      <c r="AB72" s="2"/>
      <c r="AC72" s="2"/>
      <c r="AD72" s="2"/>
      <c r="AK72" s="8">
        <f t="shared" si="2"/>
        <v>45896</v>
      </c>
    </row>
    <row r="73" spans="1:37" ht="15" customHeight="1">
      <c r="A73" s="2" t="s">
        <v>213</v>
      </c>
      <c r="B73" s="2">
        <v>0</v>
      </c>
      <c r="C73" s="2"/>
      <c r="D73" s="2" t="s">
        <v>26</v>
      </c>
      <c r="E73" s="2" t="s">
        <v>38</v>
      </c>
      <c r="F73" s="3">
        <v>45698</v>
      </c>
      <c r="G73" s="3">
        <v>45698</v>
      </c>
      <c r="H73" s="3">
        <v>45698</v>
      </c>
      <c r="I73" s="2"/>
      <c r="J73" s="2"/>
      <c r="K73" s="2" t="s">
        <v>28</v>
      </c>
      <c r="L73" s="2" t="s">
        <v>29</v>
      </c>
      <c r="M73" s="2"/>
      <c r="N73" s="2" t="s">
        <v>30</v>
      </c>
      <c r="O73" s="2">
        <v>1241</v>
      </c>
      <c r="P73" s="2">
        <v>223.38</v>
      </c>
      <c r="Q73" s="2">
        <v>1464.38</v>
      </c>
      <c r="R73" s="2">
        <v>1464.38</v>
      </c>
      <c r="S73" s="2">
        <v>1464.38</v>
      </c>
      <c r="T73" s="2" t="s">
        <v>31</v>
      </c>
      <c r="U73" s="2" t="b">
        <v>0</v>
      </c>
      <c r="V73" s="2" t="s">
        <v>32</v>
      </c>
      <c r="W73" s="2" t="s">
        <v>151</v>
      </c>
      <c r="X73" s="2"/>
      <c r="Y73" s="2"/>
      <c r="Z73" s="2" t="s">
        <v>34</v>
      </c>
      <c r="AA73" s="2"/>
      <c r="AB73" s="2"/>
      <c r="AC73" s="2"/>
      <c r="AD73" s="2"/>
      <c r="AK73" s="8">
        <f t="shared" si="2"/>
        <v>45698</v>
      </c>
    </row>
    <row r="74" spans="1:37" ht="15" customHeight="1">
      <c r="A74" s="2" t="s">
        <v>111</v>
      </c>
      <c r="B74" s="2">
        <v>2461</v>
      </c>
      <c r="C74" s="2" t="s">
        <v>468</v>
      </c>
      <c r="D74" s="2" t="s">
        <v>26</v>
      </c>
      <c r="E74" s="2" t="s">
        <v>112</v>
      </c>
      <c r="F74" s="3">
        <v>45919</v>
      </c>
      <c r="G74" s="3">
        <v>45919</v>
      </c>
      <c r="H74" s="3">
        <v>45919</v>
      </c>
      <c r="I74" s="2"/>
      <c r="J74" s="2"/>
      <c r="K74" s="2" t="s">
        <v>28</v>
      </c>
      <c r="L74" s="2" t="s">
        <v>29</v>
      </c>
      <c r="M74" s="2"/>
      <c r="N74" s="2" t="s">
        <v>30</v>
      </c>
      <c r="O74" s="2">
        <v>1355.93</v>
      </c>
      <c r="P74" s="2">
        <v>244.07</v>
      </c>
      <c r="Q74" s="2">
        <v>1600</v>
      </c>
      <c r="R74" s="2">
        <v>1600</v>
      </c>
      <c r="S74" s="2">
        <v>1600</v>
      </c>
      <c r="T74" s="2" t="s">
        <v>31</v>
      </c>
      <c r="U74" s="2" t="b">
        <v>0</v>
      </c>
      <c r="V74" s="2" t="s">
        <v>32</v>
      </c>
      <c r="W74" s="2" t="s">
        <v>33</v>
      </c>
      <c r="X74" s="2"/>
      <c r="Y74" s="2"/>
      <c r="Z74" s="2" t="s">
        <v>34</v>
      </c>
      <c r="AA74" s="2"/>
      <c r="AB74" s="2"/>
      <c r="AC74" s="2"/>
      <c r="AD74" s="2"/>
      <c r="AK74" s="8">
        <f t="shared" si="2"/>
        <v>45919</v>
      </c>
    </row>
    <row r="75" spans="1:37" ht="15" customHeight="1">
      <c r="A75" s="2" t="s">
        <v>117</v>
      </c>
      <c r="B75" s="2">
        <v>2</v>
      </c>
      <c r="C75" s="2" t="s">
        <v>115</v>
      </c>
      <c r="D75" s="2" t="s">
        <v>26</v>
      </c>
      <c r="E75" s="2" t="s">
        <v>37</v>
      </c>
      <c r="F75" s="3">
        <v>45919</v>
      </c>
      <c r="G75" s="3">
        <v>45919</v>
      </c>
      <c r="H75" s="3">
        <v>45919</v>
      </c>
      <c r="I75" s="2" t="s">
        <v>118</v>
      </c>
      <c r="J75" s="2"/>
      <c r="K75" s="2" t="s">
        <v>28</v>
      </c>
      <c r="L75" s="2" t="s">
        <v>29</v>
      </c>
      <c r="M75" s="2"/>
      <c r="N75" s="2" t="s">
        <v>30</v>
      </c>
      <c r="O75" s="2">
        <v>2000</v>
      </c>
      <c r="P75" s="2">
        <v>360</v>
      </c>
      <c r="Q75" s="2">
        <v>2360</v>
      </c>
      <c r="R75" s="2">
        <v>2360</v>
      </c>
      <c r="S75" s="2">
        <v>2360</v>
      </c>
      <c r="T75" s="2" t="s">
        <v>31</v>
      </c>
      <c r="U75" s="2" t="b">
        <v>0</v>
      </c>
      <c r="V75" s="2" t="s">
        <v>32</v>
      </c>
      <c r="W75" s="2" t="s">
        <v>33</v>
      </c>
      <c r="X75" s="2"/>
      <c r="Y75" s="2"/>
      <c r="Z75" s="2" t="s">
        <v>34</v>
      </c>
      <c r="AA75" s="2"/>
      <c r="AB75" s="2"/>
      <c r="AC75" s="2"/>
      <c r="AD75" s="2"/>
      <c r="AK75" s="8">
        <f t="shared" si="2"/>
        <v>45919</v>
      </c>
    </row>
    <row r="76" spans="1:37" ht="15" customHeight="1">
      <c r="A76" s="2" t="s">
        <v>119</v>
      </c>
      <c r="B76" s="2">
        <v>2</v>
      </c>
      <c r="C76" s="2" t="s">
        <v>115</v>
      </c>
      <c r="D76" s="2" t="s">
        <v>26</v>
      </c>
      <c r="E76" s="2" t="s">
        <v>37</v>
      </c>
      <c r="F76" s="3">
        <v>45919</v>
      </c>
      <c r="G76" s="3">
        <v>45919</v>
      </c>
      <c r="H76" s="3">
        <v>45919</v>
      </c>
      <c r="I76" s="2" t="s">
        <v>120</v>
      </c>
      <c r="J76" s="2"/>
      <c r="K76" s="2" t="s">
        <v>28</v>
      </c>
      <c r="L76" s="2" t="s">
        <v>29</v>
      </c>
      <c r="M76" s="2"/>
      <c r="N76" s="2" t="s">
        <v>30</v>
      </c>
      <c r="O76" s="2">
        <v>2000</v>
      </c>
      <c r="P76" s="2">
        <v>360</v>
      </c>
      <c r="Q76" s="2">
        <v>2360</v>
      </c>
      <c r="R76" s="2">
        <v>2360</v>
      </c>
      <c r="S76" s="2">
        <v>2360</v>
      </c>
      <c r="T76" s="2" t="s">
        <v>31</v>
      </c>
      <c r="U76" s="2" t="b">
        <v>0</v>
      </c>
      <c r="V76" s="2" t="s">
        <v>32</v>
      </c>
      <c r="W76" s="2" t="s">
        <v>33</v>
      </c>
      <c r="X76" s="2"/>
      <c r="Y76" s="2"/>
      <c r="Z76" s="2" t="s">
        <v>34</v>
      </c>
      <c r="AA76" s="2"/>
      <c r="AB76" s="2"/>
      <c r="AC76" s="2"/>
      <c r="AD76" s="2"/>
      <c r="AK76" s="8">
        <f t="shared" si="2"/>
        <v>45919</v>
      </c>
    </row>
    <row r="77" spans="1:37" ht="15" customHeight="1">
      <c r="A77" s="2" t="s">
        <v>114</v>
      </c>
      <c r="B77" s="2">
        <v>2</v>
      </c>
      <c r="C77" s="2" t="s">
        <v>115</v>
      </c>
      <c r="D77" s="2" t="s">
        <v>26</v>
      </c>
      <c r="E77" s="2" t="s">
        <v>37</v>
      </c>
      <c r="F77" s="3">
        <v>45919</v>
      </c>
      <c r="G77" s="3">
        <v>45919</v>
      </c>
      <c r="H77" s="3">
        <v>45919</v>
      </c>
      <c r="I77" s="2" t="s">
        <v>116</v>
      </c>
      <c r="J77" s="2"/>
      <c r="K77" s="2" t="s">
        <v>28</v>
      </c>
      <c r="L77" s="2" t="s">
        <v>29</v>
      </c>
      <c r="M77" s="2"/>
      <c r="N77" s="2" t="s">
        <v>30</v>
      </c>
      <c r="O77" s="2">
        <v>4000</v>
      </c>
      <c r="P77" s="2">
        <v>720</v>
      </c>
      <c r="Q77" s="2">
        <v>4720</v>
      </c>
      <c r="R77" s="2">
        <v>4720</v>
      </c>
      <c r="S77" s="2">
        <v>4720</v>
      </c>
      <c r="T77" s="2" t="s">
        <v>31</v>
      </c>
      <c r="U77" s="2" t="b">
        <v>0</v>
      </c>
      <c r="V77" s="2" t="s">
        <v>32</v>
      </c>
      <c r="W77" s="2" t="s">
        <v>33</v>
      </c>
      <c r="X77" s="2"/>
      <c r="Y77" s="2"/>
      <c r="Z77" s="2" t="s">
        <v>34</v>
      </c>
      <c r="AA77" s="2"/>
      <c r="AB77" s="2"/>
      <c r="AC77" s="2"/>
      <c r="AD77" s="2"/>
      <c r="AK77" s="8">
        <f t="shared" si="2"/>
        <v>45919</v>
      </c>
    </row>
    <row r="78" spans="1:37" ht="15" customHeight="1">
      <c r="A78" s="2" t="s">
        <v>121</v>
      </c>
      <c r="B78" s="2">
        <v>2</v>
      </c>
      <c r="C78" s="2" t="s">
        <v>115</v>
      </c>
      <c r="D78" s="2" t="s">
        <v>26</v>
      </c>
      <c r="E78" s="2" t="s">
        <v>37</v>
      </c>
      <c r="F78" s="3">
        <v>45919</v>
      </c>
      <c r="G78" s="3">
        <v>45919</v>
      </c>
      <c r="H78" s="3">
        <v>45919</v>
      </c>
      <c r="I78" s="2" t="s">
        <v>122</v>
      </c>
      <c r="J78" s="2"/>
      <c r="K78" s="2" t="s">
        <v>28</v>
      </c>
      <c r="L78" s="2" t="s">
        <v>29</v>
      </c>
      <c r="M78" s="2"/>
      <c r="N78" s="2" t="s">
        <v>30</v>
      </c>
      <c r="O78" s="2"/>
      <c r="P78" s="2"/>
      <c r="Q78" s="2"/>
      <c r="R78" s="2"/>
      <c r="S78" s="2"/>
      <c r="T78" s="2" t="s">
        <v>31</v>
      </c>
      <c r="U78" s="2" t="b">
        <v>0</v>
      </c>
      <c r="V78" s="2" t="s">
        <v>123</v>
      </c>
      <c r="W78" s="2" t="s">
        <v>33</v>
      </c>
      <c r="X78" s="2"/>
      <c r="Y78" s="2"/>
      <c r="Z78" s="2" t="s">
        <v>34</v>
      </c>
      <c r="AA78" s="2"/>
      <c r="AB78" s="2"/>
      <c r="AC78" s="2"/>
      <c r="AD78" s="2"/>
      <c r="AK78" s="8">
        <f t="shared" si="2"/>
        <v>45919</v>
      </c>
    </row>
    <row r="79" spans="1:37" ht="15" customHeight="1">
      <c r="A79" s="2" t="s">
        <v>140</v>
      </c>
      <c r="B79" s="2">
        <v>2</v>
      </c>
      <c r="C79" s="2" t="s">
        <v>115</v>
      </c>
      <c r="D79" s="2" t="s">
        <v>26</v>
      </c>
      <c r="E79" s="2" t="s">
        <v>37</v>
      </c>
      <c r="F79" s="3">
        <v>45916</v>
      </c>
      <c r="G79" s="3">
        <v>45916</v>
      </c>
      <c r="H79" s="3">
        <v>45916</v>
      </c>
      <c r="I79" s="2" t="s">
        <v>141</v>
      </c>
      <c r="J79" s="2"/>
      <c r="K79" s="2" t="s">
        <v>28</v>
      </c>
      <c r="L79" s="2" t="s">
        <v>29</v>
      </c>
      <c r="M79" s="2"/>
      <c r="N79" s="2" t="s">
        <v>30</v>
      </c>
      <c r="O79" s="2"/>
      <c r="P79" s="2"/>
      <c r="Q79" s="2"/>
      <c r="R79" s="2"/>
      <c r="S79" s="2"/>
      <c r="T79" s="2" t="s">
        <v>31</v>
      </c>
      <c r="U79" s="2" t="b">
        <v>0</v>
      </c>
      <c r="V79" s="2" t="s">
        <v>123</v>
      </c>
      <c r="W79" s="2" t="s">
        <v>33</v>
      </c>
      <c r="X79" s="2"/>
      <c r="Y79" s="2"/>
      <c r="Z79" s="2" t="s">
        <v>34</v>
      </c>
      <c r="AA79" s="2"/>
      <c r="AB79" s="2"/>
      <c r="AC79" s="2"/>
      <c r="AD79" s="2"/>
      <c r="AK79" s="8">
        <f t="shared" si="2"/>
        <v>45916</v>
      </c>
    </row>
    <row r="80" spans="1:37" ht="15" customHeight="1">
      <c r="A80" s="2" t="s">
        <v>190</v>
      </c>
      <c r="B80" s="2">
        <v>0</v>
      </c>
      <c r="C80" s="2"/>
      <c r="D80" s="2" t="s">
        <v>26</v>
      </c>
      <c r="E80" s="2" t="s">
        <v>35</v>
      </c>
      <c r="F80" s="3">
        <v>45891</v>
      </c>
      <c r="G80" s="3">
        <v>45891</v>
      </c>
      <c r="H80" s="3">
        <v>45891</v>
      </c>
      <c r="I80" s="2"/>
      <c r="J80" s="2"/>
      <c r="K80" s="2" t="s">
        <v>28</v>
      </c>
      <c r="L80" s="2" t="s">
        <v>29</v>
      </c>
      <c r="M80" s="2"/>
      <c r="N80" s="2" t="s">
        <v>30</v>
      </c>
      <c r="O80" s="2"/>
      <c r="P80" s="2"/>
      <c r="Q80" s="2"/>
      <c r="R80" s="2"/>
      <c r="S80" s="2"/>
      <c r="T80" s="2" t="s">
        <v>31</v>
      </c>
      <c r="U80" s="2" t="b">
        <v>0</v>
      </c>
      <c r="V80" s="2" t="s">
        <v>123</v>
      </c>
      <c r="W80" s="2" t="s">
        <v>151</v>
      </c>
      <c r="X80" s="2" t="s">
        <v>178</v>
      </c>
      <c r="Y80" s="2" t="s">
        <v>191</v>
      </c>
      <c r="Z80" s="2" t="s">
        <v>34</v>
      </c>
      <c r="AA80" s="2"/>
      <c r="AB80" s="2"/>
      <c r="AC80" s="2"/>
      <c r="AD80" s="2"/>
      <c r="AK80" s="8">
        <f t="shared" si="2"/>
        <v>45891</v>
      </c>
    </row>
    <row r="81" spans="1:37" ht="15" customHeight="1">
      <c r="A81" s="2" t="s">
        <v>192</v>
      </c>
      <c r="B81" s="2">
        <v>0</v>
      </c>
      <c r="C81" s="2"/>
      <c r="D81" s="2" t="s">
        <v>26</v>
      </c>
      <c r="E81" s="2" t="s">
        <v>35</v>
      </c>
      <c r="F81" s="3">
        <v>45891</v>
      </c>
      <c r="G81" s="3">
        <v>45891</v>
      </c>
      <c r="H81" s="3">
        <v>45891</v>
      </c>
      <c r="I81" s="2"/>
      <c r="J81" s="2"/>
      <c r="K81" s="2" t="s">
        <v>28</v>
      </c>
      <c r="L81" s="2" t="s">
        <v>29</v>
      </c>
      <c r="M81" s="2"/>
      <c r="N81" s="2" t="s">
        <v>30</v>
      </c>
      <c r="O81" s="2"/>
      <c r="P81" s="2"/>
      <c r="Q81" s="2"/>
      <c r="R81" s="2"/>
      <c r="S81" s="2"/>
      <c r="T81" s="2" t="s">
        <v>31</v>
      </c>
      <c r="U81" s="2" t="b">
        <v>0</v>
      </c>
      <c r="V81" s="2" t="s">
        <v>123</v>
      </c>
      <c r="W81" s="2" t="s">
        <v>151</v>
      </c>
      <c r="X81" s="2" t="s">
        <v>178</v>
      </c>
      <c r="Y81" s="2" t="s">
        <v>193</v>
      </c>
      <c r="Z81" s="2" t="s">
        <v>34</v>
      </c>
      <c r="AA81" s="2"/>
      <c r="AB81" s="2"/>
      <c r="AC81" s="2"/>
      <c r="AD81" s="2"/>
      <c r="AK81" s="8">
        <f t="shared" si="2"/>
        <v>45891</v>
      </c>
    </row>
    <row r="82" spans="1:37" ht="15" customHeight="1">
      <c r="A82" s="2" t="s">
        <v>194</v>
      </c>
      <c r="B82" s="2">
        <v>0</v>
      </c>
      <c r="C82" s="2"/>
      <c r="D82" s="2" t="s">
        <v>26</v>
      </c>
      <c r="E82" s="2" t="s">
        <v>35</v>
      </c>
      <c r="F82" s="3">
        <v>45891</v>
      </c>
      <c r="G82" s="3">
        <v>45891</v>
      </c>
      <c r="H82" s="3">
        <v>45891</v>
      </c>
      <c r="I82" s="2"/>
      <c r="J82" s="2"/>
      <c r="K82" s="2" t="s">
        <v>28</v>
      </c>
      <c r="L82" s="2" t="s">
        <v>29</v>
      </c>
      <c r="M82" s="2"/>
      <c r="N82" s="2" t="s">
        <v>30</v>
      </c>
      <c r="O82" s="2"/>
      <c r="P82" s="2"/>
      <c r="Q82" s="2"/>
      <c r="R82" s="2"/>
      <c r="S82" s="2"/>
      <c r="T82" s="2" t="s">
        <v>31</v>
      </c>
      <c r="U82" s="2" t="b">
        <v>0</v>
      </c>
      <c r="V82" s="2" t="s">
        <v>123</v>
      </c>
      <c r="W82" s="2" t="s">
        <v>151</v>
      </c>
      <c r="X82" s="2" t="s">
        <v>178</v>
      </c>
      <c r="Y82" s="2" t="s">
        <v>195</v>
      </c>
      <c r="Z82" s="2" t="s">
        <v>34</v>
      </c>
      <c r="AA82" s="2"/>
      <c r="AB82" s="2"/>
      <c r="AC82" s="2"/>
      <c r="AD82" s="2"/>
      <c r="AK82" s="8">
        <f t="shared" si="2"/>
        <v>45891</v>
      </c>
    </row>
    <row r="83" spans="1:37" ht="15" customHeight="1">
      <c r="A83" s="2" t="s">
        <v>196</v>
      </c>
      <c r="B83" s="2">
        <v>0</v>
      </c>
      <c r="C83" s="2"/>
      <c r="D83" s="2" t="s">
        <v>26</v>
      </c>
      <c r="E83" s="2" t="s">
        <v>36</v>
      </c>
      <c r="F83" s="3">
        <v>45891</v>
      </c>
      <c r="G83" s="3">
        <v>45891</v>
      </c>
      <c r="H83" s="3">
        <v>45891</v>
      </c>
      <c r="I83" s="2"/>
      <c r="J83" s="2"/>
      <c r="K83" s="2" t="s">
        <v>28</v>
      </c>
      <c r="L83" s="2" t="s">
        <v>29</v>
      </c>
      <c r="M83" s="2"/>
      <c r="N83" s="2" t="s">
        <v>30</v>
      </c>
      <c r="O83" s="2"/>
      <c r="P83" s="2"/>
      <c r="Q83" s="2"/>
      <c r="R83" s="2"/>
      <c r="S83" s="2"/>
      <c r="T83" s="2" t="s">
        <v>31</v>
      </c>
      <c r="U83" s="2" t="b">
        <v>0</v>
      </c>
      <c r="V83" s="2" t="s">
        <v>123</v>
      </c>
      <c r="W83" s="2" t="s">
        <v>151</v>
      </c>
      <c r="X83" s="2" t="s">
        <v>178</v>
      </c>
      <c r="Y83" s="2" t="s">
        <v>197</v>
      </c>
      <c r="Z83" s="2" t="s">
        <v>34</v>
      </c>
      <c r="AA83" s="2"/>
      <c r="AB83" s="2"/>
      <c r="AC83" s="2"/>
      <c r="AD83" s="2"/>
      <c r="AK83" s="8">
        <f t="shared" si="2"/>
        <v>45891</v>
      </c>
    </row>
    <row r="84" spans="1:37" ht="15" customHeight="1">
      <c r="A84" s="2" t="s">
        <v>198</v>
      </c>
      <c r="B84" s="2">
        <v>0</v>
      </c>
      <c r="C84" s="2"/>
      <c r="D84" s="2" t="s">
        <v>26</v>
      </c>
      <c r="E84" s="2" t="s">
        <v>36</v>
      </c>
      <c r="F84" s="3">
        <v>45891</v>
      </c>
      <c r="G84" s="3">
        <v>45891</v>
      </c>
      <c r="H84" s="3">
        <v>45891</v>
      </c>
      <c r="I84" s="2"/>
      <c r="J84" s="2"/>
      <c r="K84" s="2" t="s">
        <v>28</v>
      </c>
      <c r="L84" s="2" t="s">
        <v>29</v>
      </c>
      <c r="M84" s="2"/>
      <c r="N84" s="2" t="s">
        <v>30</v>
      </c>
      <c r="O84" s="2"/>
      <c r="P84" s="2"/>
      <c r="Q84" s="2"/>
      <c r="R84" s="2"/>
      <c r="S84" s="2"/>
      <c r="T84" s="2" t="s">
        <v>31</v>
      </c>
      <c r="U84" s="2" t="b">
        <v>0</v>
      </c>
      <c r="V84" s="2" t="s">
        <v>123</v>
      </c>
      <c r="W84" s="2" t="s">
        <v>151</v>
      </c>
      <c r="X84" s="2" t="s">
        <v>178</v>
      </c>
      <c r="Y84" s="2" t="s">
        <v>199</v>
      </c>
      <c r="Z84" s="2" t="s">
        <v>34</v>
      </c>
      <c r="AA84" s="2"/>
      <c r="AB84" s="2"/>
      <c r="AC84" s="2"/>
      <c r="AD84" s="2"/>
      <c r="AK84" s="8">
        <f t="shared" si="2"/>
        <v>45891</v>
      </c>
    </row>
    <row r="85" spans="1:37" ht="19.5" customHeight="1">
      <c r="A85" s="2" t="s">
        <v>200</v>
      </c>
      <c r="B85" s="2">
        <v>0</v>
      </c>
      <c r="C85" s="2"/>
      <c r="D85" s="2" t="s">
        <v>26</v>
      </c>
      <c r="E85" s="2" t="s">
        <v>36</v>
      </c>
      <c r="F85" s="3">
        <v>45891</v>
      </c>
      <c r="G85" s="3">
        <v>45891</v>
      </c>
      <c r="H85" s="3">
        <v>45891</v>
      </c>
      <c r="I85" s="2"/>
      <c r="J85" s="2"/>
      <c r="K85" s="2" t="s">
        <v>28</v>
      </c>
      <c r="L85" s="2" t="s">
        <v>29</v>
      </c>
      <c r="M85" s="2"/>
      <c r="N85" s="2" t="s">
        <v>30</v>
      </c>
      <c r="O85" s="2"/>
      <c r="P85" s="2"/>
      <c r="Q85" s="2"/>
      <c r="R85" s="2"/>
      <c r="S85" s="2"/>
      <c r="T85" s="2" t="s">
        <v>31</v>
      </c>
      <c r="U85" s="2" t="b">
        <v>0</v>
      </c>
      <c r="V85" s="2" t="s">
        <v>123</v>
      </c>
      <c r="W85" s="2" t="s">
        <v>151</v>
      </c>
      <c r="X85" s="2" t="s">
        <v>178</v>
      </c>
      <c r="Y85" s="2" t="s">
        <v>201</v>
      </c>
      <c r="Z85" s="2" t="s">
        <v>34</v>
      </c>
      <c r="AA85" s="2"/>
      <c r="AB85" s="2"/>
      <c r="AC85" s="2"/>
      <c r="AD85" s="2"/>
      <c r="AK85" s="8">
        <f t="shared" si="2"/>
        <v>45891</v>
      </c>
    </row>
    <row r="86" spans="1:37" ht="19.5" customHeight="1">
      <c r="A86" s="2" t="s">
        <v>209</v>
      </c>
      <c r="B86" s="2">
        <v>0</v>
      </c>
      <c r="C86" s="2"/>
      <c r="D86" s="2" t="s">
        <v>26</v>
      </c>
      <c r="E86" s="2" t="s">
        <v>35</v>
      </c>
      <c r="F86" s="3">
        <v>45743</v>
      </c>
      <c r="G86" s="3">
        <v>45743</v>
      </c>
      <c r="H86" s="3">
        <v>45743</v>
      </c>
      <c r="I86" s="2"/>
      <c r="J86" s="2"/>
      <c r="K86" s="2" t="s">
        <v>28</v>
      </c>
      <c r="L86" s="2" t="s">
        <v>29</v>
      </c>
      <c r="M86" s="2"/>
      <c r="N86" s="2" t="s">
        <v>30</v>
      </c>
      <c r="O86" s="2"/>
      <c r="P86" s="2"/>
      <c r="Q86" s="2"/>
      <c r="R86" s="2"/>
      <c r="S86" s="2"/>
      <c r="T86" s="2" t="s">
        <v>31</v>
      </c>
      <c r="U86" s="2" t="b">
        <v>0</v>
      </c>
      <c r="V86" s="2" t="s">
        <v>123</v>
      </c>
      <c r="W86" s="2" t="s">
        <v>151</v>
      </c>
      <c r="X86" s="2" t="s">
        <v>178</v>
      </c>
      <c r="Y86" s="2" t="s">
        <v>210</v>
      </c>
      <c r="Z86" s="2" t="s">
        <v>34</v>
      </c>
      <c r="AA86" s="2"/>
      <c r="AB86" s="2"/>
      <c r="AC86" s="2"/>
      <c r="AD86" s="2"/>
      <c r="AK86" s="8">
        <f t="shared" si="2"/>
        <v>45743</v>
      </c>
    </row>
    <row r="87" spans="1:37" ht="409.5">
      <c r="A87" s="2" t="s">
        <v>211</v>
      </c>
      <c r="B87" s="2">
        <v>0</v>
      </c>
      <c r="C87" s="2"/>
      <c r="D87" s="2" t="s">
        <v>26</v>
      </c>
      <c r="E87" s="2" t="s">
        <v>35</v>
      </c>
      <c r="F87" s="3">
        <v>45743</v>
      </c>
      <c r="G87" s="3">
        <v>45743</v>
      </c>
      <c r="H87" s="3">
        <v>45743</v>
      </c>
      <c r="I87" s="2"/>
      <c r="J87" s="2"/>
      <c r="K87" s="2" t="s">
        <v>28</v>
      </c>
      <c r="L87" s="2" t="s">
        <v>29</v>
      </c>
      <c r="M87" s="2"/>
      <c r="N87" s="2" t="s">
        <v>30</v>
      </c>
      <c r="O87" s="2"/>
      <c r="P87" s="2"/>
      <c r="Q87" s="2"/>
      <c r="R87" s="2"/>
      <c r="S87" s="2"/>
      <c r="T87" s="2" t="s">
        <v>31</v>
      </c>
      <c r="U87" s="2" t="b">
        <v>0</v>
      </c>
      <c r="V87" s="2" t="s">
        <v>123</v>
      </c>
      <c r="W87" s="2" t="s">
        <v>151</v>
      </c>
      <c r="X87" s="2" t="s">
        <v>178</v>
      </c>
      <c r="Y87" s="2" t="s">
        <v>212</v>
      </c>
      <c r="Z87" s="2" t="s">
        <v>34</v>
      </c>
      <c r="AA87" s="2"/>
      <c r="AB87" s="2"/>
      <c r="AC87" s="2"/>
      <c r="AD87" s="2"/>
      <c r="AK87" s="8">
        <f t="shared" si="2"/>
        <v>45743</v>
      </c>
    </row>
    <row r="88" spans="1:37">
      <c r="A88" s="2"/>
      <c r="B88" s="2"/>
      <c r="C88" s="2"/>
      <c r="D88" s="2"/>
      <c r="E88" s="2"/>
      <c r="F88" s="3"/>
      <c r="G88" s="3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7">
      <c r="A89" s="2"/>
      <c r="B89" s="2"/>
      <c r="C89" s="2"/>
      <c r="D89" s="2"/>
      <c r="E89" s="2"/>
      <c r="F89" s="3"/>
      <c r="G89" s="3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7">
      <c r="A90" s="2"/>
      <c r="B90" s="2"/>
      <c r="C90" s="2"/>
      <c r="D90" s="2"/>
      <c r="E90" s="2"/>
      <c r="F90" s="3"/>
      <c r="G90" s="3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7">
      <c r="A91" s="2"/>
      <c r="B91" s="2"/>
      <c r="C91" s="2"/>
      <c r="D91" s="2"/>
      <c r="E91" s="2"/>
      <c r="F91" s="3"/>
      <c r="G91" s="3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7">
      <c r="A92" s="2"/>
      <c r="B92" s="2"/>
      <c r="C92" s="2"/>
      <c r="D92" s="2"/>
      <c r="E92" s="2"/>
      <c r="F92" s="3"/>
      <c r="G92" s="3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7">
      <c r="A93" s="2"/>
      <c r="B93" s="2"/>
      <c r="C93" s="2"/>
      <c r="D93" s="2"/>
      <c r="E93" s="2"/>
      <c r="F93" s="3"/>
      <c r="G93" s="3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7">
      <c r="A94" s="2"/>
      <c r="B94" s="2"/>
      <c r="C94" s="2"/>
      <c r="D94" s="2"/>
      <c r="E94" s="2"/>
      <c r="F94" s="3"/>
      <c r="G94" s="3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7">
      <c r="A95" s="2"/>
      <c r="B95" s="2"/>
      <c r="C95" s="2"/>
      <c r="D95" s="2"/>
      <c r="E95" s="2"/>
      <c r="F95" s="3"/>
      <c r="G95" s="3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7">
      <c r="A96" s="2"/>
      <c r="B96" s="2"/>
      <c r="C96" s="2"/>
      <c r="D96" s="2"/>
      <c r="E96" s="2"/>
      <c r="F96" s="3"/>
      <c r="G96" s="3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2"/>
      <c r="B97" s="2"/>
      <c r="C97" s="2"/>
      <c r="D97" s="2"/>
      <c r="E97" s="2"/>
      <c r="F97" s="3"/>
      <c r="G97" s="3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2"/>
      <c r="B98" s="2"/>
      <c r="C98" s="2"/>
      <c r="D98" s="2"/>
      <c r="E98" s="2"/>
      <c r="F98" s="3"/>
      <c r="G98" s="3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2"/>
      <c r="B99" s="2"/>
      <c r="C99" s="2"/>
      <c r="D99" s="2"/>
      <c r="E99" s="2"/>
      <c r="F99" s="3"/>
      <c r="G99" s="3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2"/>
      <c r="B100" s="2"/>
      <c r="C100" s="2"/>
      <c r="D100" s="2"/>
      <c r="E100" s="2"/>
      <c r="F100" s="3"/>
      <c r="G100" s="3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2"/>
      <c r="B101" s="2"/>
      <c r="C101" s="2"/>
      <c r="D101" s="2"/>
      <c r="E101" s="2"/>
      <c r="F101" s="3"/>
      <c r="G101" s="3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2"/>
      <c r="B102" s="2"/>
      <c r="C102" s="2"/>
      <c r="D102" s="2"/>
      <c r="E102" s="2"/>
      <c r="F102" s="3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2"/>
      <c r="B103" s="2"/>
      <c r="C103" s="2"/>
      <c r="D103" s="2"/>
      <c r="E103" s="2"/>
      <c r="F103" s="3"/>
      <c r="G103" s="3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2"/>
      <c r="B104" s="2"/>
      <c r="C104" s="2"/>
      <c r="D104" s="2"/>
      <c r="E104" s="2"/>
      <c r="F104" s="3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"/>
      <c r="B105" s="2"/>
      <c r="C105" s="2"/>
      <c r="D105" s="2"/>
      <c r="E105" s="2"/>
      <c r="F105" s="3"/>
      <c r="G105" s="3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>
      <c r="A106" s="2"/>
      <c r="B106" s="2"/>
      <c r="C106" s="2"/>
      <c r="D106" s="2"/>
      <c r="E106" s="2"/>
      <c r="F106" s="3"/>
      <c r="G106" s="3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>
      <c r="A107" s="2"/>
      <c r="B107" s="2"/>
      <c r="C107" s="2"/>
      <c r="D107" s="2"/>
      <c r="E107" s="2"/>
      <c r="F107" s="3"/>
      <c r="G107" s="3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>
      <c r="A108" s="2"/>
      <c r="B108" s="2"/>
      <c r="C108" s="2"/>
      <c r="D108" s="2"/>
      <c r="E108" s="2"/>
      <c r="F108" s="3"/>
      <c r="G108" s="3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>
      <c r="A109" s="2"/>
      <c r="B109" s="2"/>
      <c r="C109" s="2"/>
      <c r="D109" s="2"/>
      <c r="E109" s="2"/>
      <c r="F109" s="3"/>
      <c r="G109" s="3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>
      <c r="A110" s="2"/>
      <c r="B110" s="2"/>
      <c r="C110" s="2"/>
      <c r="D110" s="2"/>
      <c r="E110" s="2"/>
      <c r="F110" s="3"/>
      <c r="G110" s="3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>
      <c r="A111" s="2"/>
      <c r="B111" s="2"/>
      <c r="C111" s="2"/>
      <c r="D111" s="2"/>
      <c r="E111" s="2"/>
      <c r="F111" s="3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>
      <c r="A112" s="2"/>
      <c r="B112" s="2"/>
      <c r="C112" s="2"/>
      <c r="D112" s="2"/>
      <c r="E112" s="2"/>
      <c r="F112" s="3"/>
      <c r="G112" s="3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>
      <c r="A113" s="2"/>
      <c r="B113" s="2"/>
      <c r="C113" s="2"/>
      <c r="D113" s="2"/>
      <c r="E113" s="2"/>
      <c r="F113" s="3"/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>
      <c r="A114" s="2"/>
      <c r="B114" s="2"/>
      <c r="C114" s="2"/>
      <c r="D114" s="2"/>
      <c r="E114" s="2"/>
      <c r="F114" s="3"/>
      <c r="G114" s="3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>
      <c r="A115" s="2"/>
      <c r="B115" s="2"/>
      <c r="C115" s="2"/>
      <c r="D115" s="2"/>
      <c r="E115" s="2"/>
      <c r="F115" s="3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>
      <c r="A116" s="2"/>
      <c r="B116" s="2"/>
      <c r="C116" s="2"/>
      <c r="D116" s="2"/>
      <c r="E116" s="2"/>
      <c r="F116" s="3"/>
      <c r="G116" s="3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>
      <c r="A117" s="2"/>
      <c r="B117" s="2"/>
      <c r="C117" s="2"/>
      <c r="D117" s="2"/>
      <c r="E117" s="2"/>
      <c r="F117" s="3"/>
      <c r="G117" s="3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>
      <c r="A118" s="2"/>
      <c r="B118" s="2"/>
      <c r="C118" s="2"/>
      <c r="D118" s="2"/>
      <c r="E118" s="2"/>
      <c r="F118" s="3"/>
      <c r="G118" s="3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2"/>
      <c r="B119" s="2"/>
      <c r="C119" s="2"/>
      <c r="D119" s="2"/>
      <c r="E119" s="2"/>
      <c r="F119" s="3"/>
      <c r="G119" s="3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2"/>
      <c r="B120" s="2"/>
      <c r="C120" s="2"/>
      <c r="D120" s="2"/>
      <c r="E120" s="2"/>
      <c r="F120" s="3"/>
      <c r="G120" s="3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2"/>
      <c r="B121" s="2"/>
      <c r="C121" s="2"/>
      <c r="D121" s="2"/>
      <c r="E121" s="2"/>
      <c r="F121" s="3"/>
      <c r="G121" s="3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2"/>
      <c r="B122" s="2"/>
      <c r="C122" s="2"/>
      <c r="D122" s="2"/>
      <c r="E122" s="2"/>
      <c r="F122" s="3"/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2"/>
      <c r="B123" s="2"/>
      <c r="C123" s="2"/>
      <c r="D123" s="2"/>
      <c r="E123" s="2"/>
      <c r="F123" s="3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2"/>
      <c r="B124" s="2"/>
      <c r="C124" s="2"/>
      <c r="D124" s="2"/>
      <c r="E124" s="2"/>
      <c r="F124" s="3"/>
      <c r="G124" s="3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2"/>
      <c r="B125" s="2"/>
      <c r="C125" s="2"/>
      <c r="D125" s="2"/>
      <c r="E125" s="2"/>
      <c r="F125" s="3"/>
      <c r="G125" s="3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2"/>
      <c r="B126" s="2"/>
      <c r="C126" s="2"/>
      <c r="D126" s="2"/>
      <c r="E126" s="2"/>
      <c r="F126" s="3"/>
      <c r="G126" s="3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2"/>
      <c r="B127" s="2"/>
      <c r="C127" s="2"/>
      <c r="D127" s="2"/>
      <c r="E127" s="2"/>
      <c r="F127" s="3"/>
      <c r="G127" s="3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2"/>
      <c r="B128" s="2"/>
      <c r="C128" s="2"/>
      <c r="D128" s="2"/>
      <c r="E128" s="2"/>
      <c r="F128" s="3"/>
      <c r="G128" s="3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2"/>
      <c r="B129" s="2"/>
      <c r="C129" s="2"/>
      <c r="D129" s="2"/>
      <c r="E129" s="2"/>
      <c r="F129" s="3"/>
      <c r="G129" s="3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2"/>
      <c r="B130" s="2"/>
      <c r="C130" s="2"/>
      <c r="D130" s="2"/>
      <c r="E130" s="2"/>
      <c r="F130" s="3"/>
      <c r="G130" s="3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2"/>
      <c r="B131" s="2"/>
      <c r="C131" s="2"/>
      <c r="D131" s="2"/>
      <c r="E131" s="2"/>
      <c r="F131" s="3"/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2"/>
      <c r="B132" s="2"/>
      <c r="C132" s="2"/>
      <c r="D132" s="2"/>
      <c r="E132" s="2"/>
      <c r="F132" s="3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2"/>
      <c r="B133" s="2"/>
      <c r="C133" s="2"/>
      <c r="D133" s="2"/>
      <c r="E133" s="2"/>
      <c r="F133" s="3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2"/>
      <c r="B134" s="2"/>
      <c r="C134" s="2"/>
      <c r="D134" s="2"/>
      <c r="E134" s="2"/>
      <c r="F134" s="3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2"/>
      <c r="B135" s="2"/>
      <c r="C135" s="2"/>
      <c r="D135" s="2"/>
      <c r="E135" s="2"/>
      <c r="F135" s="3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2"/>
      <c r="B136" s="2"/>
      <c r="C136" s="2"/>
      <c r="D136" s="2"/>
      <c r="E136" s="2"/>
      <c r="F136" s="3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2"/>
      <c r="B137" s="2"/>
      <c r="C137" s="2"/>
      <c r="D137" s="2"/>
      <c r="E137" s="2"/>
      <c r="F137" s="3"/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2"/>
      <c r="B138" s="2"/>
      <c r="C138" s="2"/>
      <c r="D138" s="2"/>
      <c r="E138" s="2"/>
      <c r="F138" s="3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>
      <c r="A139" s="2"/>
      <c r="B139" s="2"/>
      <c r="C139" s="2"/>
      <c r="D139" s="2"/>
      <c r="E139" s="2"/>
      <c r="F139" s="3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2"/>
      <c r="B140" s="2"/>
      <c r="C140" s="2"/>
      <c r="D140" s="2"/>
      <c r="E140" s="2"/>
      <c r="F140" s="3"/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>
      <c r="A141" s="2"/>
      <c r="B141" s="2"/>
      <c r="C141" s="2"/>
      <c r="D141" s="2"/>
      <c r="E141" s="2"/>
      <c r="F141" s="3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2"/>
      <c r="B142" s="2"/>
      <c r="C142" s="2"/>
      <c r="D142" s="2"/>
      <c r="E142" s="2"/>
      <c r="F142" s="3"/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2"/>
      <c r="B143" s="2"/>
      <c r="C143" s="2"/>
      <c r="D143" s="2"/>
      <c r="E143" s="2"/>
      <c r="F143" s="3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2"/>
      <c r="B144" s="2"/>
      <c r="C144" s="2"/>
      <c r="D144" s="2"/>
      <c r="E144" s="2"/>
      <c r="F144" s="3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2"/>
      <c r="B145" s="2"/>
      <c r="C145" s="2"/>
      <c r="D145" s="2"/>
      <c r="E145" s="2"/>
      <c r="F145" s="3"/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2"/>
      <c r="B146" s="2"/>
      <c r="C146" s="2"/>
      <c r="D146" s="2"/>
      <c r="E146" s="2"/>
      <c r="F146" s="3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2"/>
      <c r="B147" s="2"/>
      <c r="C147" s="2"/>
      <c r="D147" s="2"/>
      <c r="E147" s="2"/>
      <c r="F147" s="3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2"/>
      <c r="B148" s="2"/>
      <c r="C148" s="2"/>
      <c r="D148" s="2"/>
      <c r="E148" s="2"/>
      <c r="F148" s="3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2"/>
      <c r="B149" s="2"/>
      <c r="C149" s="2"/>
      <c r="D149" s="2"/>
      <c r="E149" s="2"/>
      <c r="F149" s="3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2"/>
      <c r="B150" s="2"/>
      <c r="C150" s="2"/>
      <c r="D150" s="2"/>
      <c r="E150" s="2"/>
      <c r="F150" s="3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2"/>
      <c r="B151" s="2"/>
      <c r="C151" s="2"/>
      <c r="D151" s="2"/>
      <c r="E151" s="2"/>
      <c r="F151" s="3"/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>
      <c r="A152" s="2"/>
      <c r="B152" s="2"/>
      <c r="C152" s="2"/>
      <c r="D152" s="2"/>
      <c r="E152" s="2"/>
      <c r="F152" s="3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>
      <c r="A153" s="2"/>
      <c r="B153" s="2"/>
      <c r="C153" s="2"/>
      <c r="D153" s="2"/>
      <c r="E153" s="2"/>
      <c r="F153" s="3"/>
      <c r="G153" s="3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>
      <c r="A154" s="2"/>
      <c r="B154" s="2"/>
      <c r="C154" s="2"/>
      <c r="D154" s="2"/>
      <c r="E154" s="2"/>
      <c r="F154" s="3"/>
      <c r="G154" s="3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>
      <c r="A155" s="2"/>
      <c r="B155" s="2"/>
      <c r="C155" s="2"/>
      <c r="D155" s="2"/>
      <c r="E155" s="2"/>
      <c r="F155" s="3"/>
      <c r="G155" s="3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>
      <c r="A156" s="2"/>
      <c r="B156" s="2"/>
      <c r="C156" s="2"/>
      <c r="D156" s="2"/>
      <c r="E156" s="2"/>
      <c r="F156" s="3"/>
      <c r="G156" s="3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>
      <c r="A157" s="2"/>
      <c r="B157" s="2"/>
      <c r="C157" s="2"/>
      <c r="D157" s="2"/>
      <c r="E157" s="2"/>
      <c r="F157" s="3"/>
      <c r="G157" s="3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>
      <c r="A158" s="2"/>
      <c r="B158" s="2"/>
      <c r="C158" s="2"/>
      <c r="D158" s="2"/>
      <c r="E158" s="2"/>
      <c r="F158" s="3"/>
      <c r="G158" s="3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>
      <c r="A159" s="2"/>
      <c r="B159" s="2"/>
      <c r="C159" s="2"/>
      <c r="D159" s="2"/>
      <c r="E159" s="2"/>
      <c r="F159" s="3"/>
      <c r="G159" s="3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>
      <c r="A160" s="2"/>
      <c r="B160" s="2"/>
      <c r="C160" s="2"/>
      <c r="D160" s="2"/>
      <c r="E160" s="2"/>
      <c r="F160" s="3"/>
      <c r="G160" s="3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>
      <c r="A161" s="2"/>
      <c r="B161" s="2"/>
      <c r="C161" s="2"/>
      <c r="D161" s="2"/>
      <c r="E161" s="2"/>
      <c r="F161" s="3"/>
      <c r="G161" s="3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>
      <c r="A162" s="2"/>
      <c r="B162" s="2"/>
      <c r="C162" s="2"/>
      <c r="D162" s="2"/>
      <c r="E162" s="2"/>
      <c r="F162" s="3"/>
      <c r="G162" s="3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>
      <c r="A163" s="2"/>
      <c r="B163" s="2"/>
      <c r="C163" s="2"/>
      <c r="D163" s="2"/>
      <c r="E163" s="2"/>
      <c r="F163" s="3"/>
      <c r="G163" s="3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>
      <c r="A164" s="2"/>
      <c r="B164" s="2"/>
      <c r="C164" s="2"/>
      <c r="D164" s="2"/>
      <c r="E164" s="2"/>
      <c r="F164" s="3"/>
      <c r="G164" s="3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>
      <c r="A165" s="2"/>
      <c r="B165" s="2"/>
      <c r="C165" s="2"/>
      <c r="D165" s="2"/>
      <c r="E165" s="2"/>
      <c r="F165" s="3"/>
      <c r="G165" s="3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>
      <c r="A166" s="2"/>
      <c r="B166" s="2"/>
      <c r="C166" s="2"/>
      <c r="D166" s="2"/>
      <c r="E166" s="2"/>
      <c r="F166" s="3"/>
      <c r="G166" s="3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>
      <c r="A167" s="2"/>
      <c r="B167" s="2"/>
      <c r="C167" s="2"/>
      <c r="D167" s="2"/>
      <c r="E167" s="2"/>
      <c r="F167" s="3"/>
      <c r="G167" s="3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>
      <c r="A168" s="2"/>
      <c r="B168" s="2"/>
      <c r="C168" s="2"/>
      <c r="D168" s="2"/>
      <c r="E168" s="2"/>
      <c r="F168" s="3"/>
      <c r="G168" s="3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>
      <c r="A169" s="2"/>
      <c r="B169" s="2"/>
      <c r="C169" s="2"/>
      <c r="D169" s="2"/>
      <c r="E169" s="2"/>
      <c r="F169" s="3"/>
      <c r="G169" s="3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>
      <c r="A170" s="2"/>
      <c r="B170" s="2"/>
      <c r="C170" s="2"/>
      <c r="D170" s="2"/>
      <c r="E170" s="2"/>
      <c r="F170" s="3"/>
      <c r="G170" s="3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>
      <c r="A171" s="2"/>
      <c r="B171" s="2"/>
      <c r="C171" s="2"/>
      <c r="D171" s="2"/>
      <c r="E171" s="2"/>
      <c r="F171" s="3"/>
      <c r="G171" s="3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>
      <c r="A172" s="2"/>
      <c r="B172" s="2"/>
      <c r="C172" s="2"/>
      <c r="D172" s="2"/>
      <c r="E172" s="2"/>
      <c r="F172" s="3"/>
      <c r="G172" s="3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>
      <c r="A173" s="2"/>
      <c r="B173" s="2"/>
      <c r="C173" s="2"/>
      <c r="D173" s="2"/>
      <c r="E173" s="2"/>
      <c r="F173" s="3"/>
      <c r="G173" s="3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>
      <c r="A174" s="2"/>
      <c r="B174" s="2"/>
      <c r="C174" s="2"/>
      <c r="D174" s="2"/>
      <c r="E174" s="2"/>
      <c r="F174" s="3"/>
      <c r="G174" s="3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>
      <c r="A175" s="2"/>
      <c r="B175" s="2"/>
      <c r="C175" s="2"/>
      <c r="D175" s="2"/>
      <c r="E175" s="2"/>
      <c r="F175" s="3"/>
      <c r="G175" s="3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>
      <c r="A176" s="2"/>
      <c r="B176" s="2"/>
      <c r="C176" s="2"/>
      <c r="D176" s="2"/>
      <c r="E176" s="2"/>
      <c r="F176" s="3"/>
      <c r="G176" s="3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>
      <c r="A177" s="2"/>
      <c r="B177" s="2"/>
      <c r="C177" s="2"/>
      <c r="D177" s="2"/>
      <c r="E177" s="2"/>
      <c r="F177" s="3"/>
      <c r="G177" s="3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>
      <c r="A178" s="2"/>
      <c r="B178" s="2"/>
      <c r="C178" s="2"/>
      <c r="D178" s="2"/>
      <c r="E178" s="2"/>
      <c r="F178" s="3"/>
      <c r="G178" s="3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>
      <c r="A179" s="2"/>
      <c r="B179" s="2"/>
      <c r="C179" s="2"/>
      <c r="D179" s="2"/>
      <c r="E179" s="2"/>
      <c r="F179" s="3"/>
      <c r="G179" s="3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>
      <c r="A180" s="2"/>
      <c r="B180" s="2"/>
      <c r="C180" s="2"/>
      <c r="D180" s="2"/>
      <c r="E180" s="2"/>
      <c r="F180" s="3"/>
      <c r="G180" s="3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>
      <c r="A181" s="2"/>
      <c r="B181" s="2"/>
      <c r="C181" s="2"/>
      <c r="D181" s="2"/>
      <c r="E181" s="2"/>
      <c r="F181" s="3"/>
      <c r="G181" s="3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>
      <c r="A182" s="2"/>
      <c r="B182" s="2"/>
      <c r="C182" s="2"/>
      <c r="D182" s="2"/>
      <c r="E182" s="2"/>
      <c r="F182" s="3"/>
      <c r="G182" s="3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>
      <c r="A183" s="2"/>
      <c r="B183" s="2"/>
      <c r="C183" s="2"/>
      <c r="D183" s="2"/>
      <c r="E183" s="2"/>
      <c r="F183" s="3"/>
      <c r="G183" s="3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>
      <c r="A184" s="2"/>
      <c r="B184" s="2"/>
      <c r="C184" s="2"/>
      <c r="D184" s="2"/>
      <c r="E184" s="2"/>
      <c r="F184" s="3"/>
      <c r="G184" s="3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>
      <c r="A185" s="2"/>
      <c r="B185" s="2"/>
      <c r="C185" s="2"/>
      <c r="D185" s="2"/>
      <c r="E185" s="2"/>
      <c r="F185" s="3"/>
      <c r="G185" s="3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>
      <c r="A186" s="2"/>
      <c r="B186" s="2"/>
      <c r="C186" s="2"/>
      <c r="D186" s="2"/>
      <c r="E186" s="2"/>
      <c r="F186" s="3"/>
      <c r="G186" s="3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>
      <c r="A187" s="2"/>
      <c r="B187" s="2"/>
      <c r="C187" s="2"/>
      <c r="D187" s="2"/>
      <c r="E187" s="2"/>
      <c r="F187" s="3"/>
      <c r="G187" s="3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>
      <c r="A188" s="2"/>
      <c r="B188" s="2"/>
      <c r="C188" s="2"/>
      <c r="D188" s="2"/>
      <c r="E188" s="2"/>
      <c r="F188" s="3"/>
      <c r="G188" s="3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>
      <c r="A189" s="2"/>
      <c r="B189" s="2"/>
      <c r="C189" s="2"/>
      <c r="D189" s="2"/>
      <c r="E189" s="2"/>
      <c r="F189" s="3"/>
      <c r="G189" s="3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>
      <c r="A190" s="2"/>
      <c r="B190" s="2"/>
      <c r="C190" s="2"/>
      <c r="D190" s="2"/>
      <c r="E190" s="2"/>
      <c r="F190" s="3"/>
      <c r="G190" s="3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>
      <c r="A191" s="2"/>
      <c r="B191" s="2"/>
      <c r="C191" s="2"/>
      <c r="D191" s="2"/>
      <c r="E191" s="2"/>
      <c r="F191" s="3"/>
      <c r="G191" s="3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>
      <c r="A192" s="2"/>
      <c r="B192" s="2"/>
      <c r="C192" s="2"/>
      <c r="D192" s="2"/>
      <c r="E192" s="2"/>
      <c r="F192" s="3"/>
      <c r="G192" s="3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>
      <c r="A193" s="2"/>
      <c r="B193" s="2"/>
      <c r="C193" s="2"/>
      <c r="D193" s="2"/>
      <c r="E193" s="2"/>
      <c r="F193" s="3"/>
      <c r="G193" s="3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>
      <c r="A194" s="2"/>
      <c r="B194" s="2"/>
      <c r="C194" s="2"/>
      <c r="D194" s="2"/>
      <c r="E194" s="2"/>
      <c r="F194" s="3"/>
      <c r="G194" s="3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>
      <c r="A195" s="2"/>
      <c r="B195" s="2"/>
      <c r="C195" s="2"/>
      <c r="D195" s="2"/>
      <c r="E195" s="2"/>
      <c r="F195" s="3"/>
      <c r="G195" s="3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>
      <c r="A196" s="2"/>
      <c r="B196" s="2"/>
      <c r="C196" s="2"/>
      <c r="D196" s="2"/>
      <c r="E196" s="2"/>
      <c r="F196" s="3"/>
      <c r="G196" s="3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>
      <c r="A197" s="2"/>
      <c r="B197" s="2"/>
      <c r="C197" s="2"/>
      <c r="D197" s="2"/>
      <c r="E197" s="2"/>
      <c r="F197" s="3"/>
      <c r="G197" s="3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>
      <c r="A198" s="2"/>
      <c r="B198" s="2"/>
      <c r="C198" s="2"/>
      <c r="D198" s="2"/>
      <c r="E198" s="2"/>
      <c r="F198" s="3"/>
      <c r="G198" s="3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>
      <c r="A199" s="2"/>
      <c r="B199" s="2"/>
      <c r="C199" s="2"/>
      <c r="D199" s="2"/>
      <c r="E199" s="2"/>
      <c r="F199" s="3"/>
      <c r="G199" s="3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>
      <c r="A200" s="2"/>
      <c r="B200" s="2"/>
      <c r="C200" s="2"/>
      <c r="D200" s="2"/>
      <c r="E200" s="2"/>
      <c r="F200" s="3"/>
      <c r="G200" s="3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>
      <c r="A201" s="2"/>
      <c r="B201" s="2"/>
      <c r="C201" s="2"/>
      <c r="D201" s="2"/>
      <c r="E201" s="2"/>
      <c r="F201" s="3"/>
      <c r="G201" s="3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>
      <c r="A202" s="2"/>
      <c r="B202" s="2"/>
      <c r="C202" s="2"/>
      <c r="D202" s="2"/>
      <c r="E202" s="2"/>
      <c r="F202" s="3"/>
      <c r="G202" s="3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>
      <c r="A203" s="2"/>
      <c r="B203" s="2"/>
      <c r="C203" s="2"/>
      <c r="D203" s="2"/>
      <c r="E203" s="2"/>
      <c r="F203" s="3"/>
      <c r="G203" s="3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>
      <c r="A204" s="2"/>
      <c r="B204" s="2"/>
      <c r="C204" s="2"/>
      <c r="D204" s="2"/>
      <c r="E204" s="2"/>
      <c r="F204" s="3"/>
      <c r="G204" s="3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>
      <c r="A205" s="2"/>
      <c r="B205" s="2"/>
      <c r="C205" s="2"/>
      <c r="D205" s="2"/>
      <c r="E205" s="2"/>
      <c r="F205" s="3"/>
      <c r="G205" s="3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>
      <c r="A206" s="2"/>
      <c r="B206" s="2"/>
      <c r="C206" s="2"/>
      <c r="D206" s="2"/>
      <c r="E206" s="2"/>
      <c r="F206" s="3"/>
      <c r="G206" s="3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>
      <c r="A207" s="2"/>
      <c r="B207" s="2"/>
      <c r="C207" s="2"/>
      <c r="D207" s="2"/>
      <c r="E207" s="2"/>
      <c r="F207" s="3"/>
      <c r="G207" s="3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>
      <c r="A208" s="2"/>
      <c r="B208" s="2"/>
      <c r="C208" s="2"/>
      <c r="D208" s="2"/>
      <c r="E208" s="2"/>
      <c r="F208" s="3"/>
      <c r="G208" s="3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>
      <c r="A209" s="2"/>
      <c r="B209" s="2"/>
      <c r="C209" s="2"/>
      <c r="D209" s="2"/>
      <c r="E209" s="2"/>
      <c r="F209" s="3"/>
      <c r="G209" s="3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>
      <c r="A210" s="2"/>
      <c r="B210" s="2"/>
      <c r="C210" s="2"/>
      <c r="D210" s="2"/>
      <c r="E210" s="2"/>
      <c r="F210" s="3"/>
      <c r="G210" s="3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>
      <c r="A211" s="2"/>
      <c r="B211" s="2"/>
      <c r="C211" s="2"/>
      <c r="D211" s="2"/>
      <c r="E211" s="2"/>
      <c r="F211" s="3"/>
      <c r="G211" s="3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>
      <c r="A212" s="2"/>
      <c r="B212" s="2"/>
      <c r="C212" s="2"/>
      <c r="D212" s="2"/>
      <c r="E212" s="2"/>
      <c r="F212" s="3"/>
      <c r="G212" s="3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>
      <c r="A213" s="2"/>
      <c r="B213" s="2"/>
      <c r="C213" s="2"/>
      <c r="D213" s="2"/>
      <c r="E213" s="2"/>
      <c r="F213" s="3"/>
      <c r="G213" s="3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>
      <c r="A214" s="2"/>
      <c r="B214" s="2"/>
      <c r="C214" s="2"/>
      <c r="D214" s="2"/>
      <c r="E214" s="2"/>
      <c r="F214" s="3"/>
      <c r="G214" s="3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>
      <c r="A215" s="2"/>
      <c r="B215" s="2"/>
      <c r="C215" s="2"/>
      <c r="D215" s="2"/>
      <c r="E215" s="2"/>
      <c r="F215" s="3"/>
      <c r="G215" s="3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>
      <c r="A216" s="2"/>
      <c r="B216" s="2"/>
      <c r="C216" s="2"/>
      <c r="D216" s="2"/>
      <c r="E216" s="2"/>
      <c r="F216" s="3"/>
      <c r="G216" s="3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>
      <c r="A217" s="2"/>
      <c r="B217" s="2"/>
      <c r="C217" s="2"/>
      <c r="D217" s="2"/>
      <c r="E217" s="2"/>
      <c r="F217" s="3"/>
      <c r="G217" s="3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>
      <c r="A218" s="2"/>
      <c r="B218" s="2"/>
      <c r="C218" s="2"/>
      <c r="D218" s="2"/>
      <c r="E218" s="2"/>
      <c r="F218" s="3"/>
      <c r="G218" s="3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>
      <c r="A219" s="2"/>
      <c r="B219" s="2"/>
      <c r="C219" s="2"/>
      <c r="D219" s="2"/>
      <c r="E219" s="2"/>
      <c r="F219" s="3"/>
      <c r="G219" s="3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>
      <c r="A220" s="2"/>
      <c r="B220" s="2"/>
      <c r="C220" s="2"/>
      <c r="D220" s="2"/>
      <c r="E220" s="2"/>
      <c r="F220" s="3"/>
      <c r="G220" s="3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>
      <c r="A221" s="2"/>
      <c r="B221" s="2"/>
      <c r="C221" s="2"/>
      <c r="D221" s="2"/>
      <c r="E221" s="2"/>
      <c r="F221" s="3"/>
      <c r="G221" s="3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>
      <c r="A222" s="2"/>
      <c r="B222" s="2"/>
      <c r="C222" s="2"/>
      <c r="D222" s="2"/>
      <c r="E222" s="2"/>
      <c r="F222" s="3"/>
      <c r="G222" s="3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>
      <c r="A223" s="2"/>
      <c r="B223" s="2"/>
      <c r="C223" s="2"/>
      <c r="D223" s="2"/>
      <c r="E223" s="2"/>
      <c r="F223" s="3"/>
      <c r="G223" s="3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>
      <c r="A224" s="2"/>
      <c r="B224" s="2"/>
      <c r="C224" s="2"/>
      <c r="D224" s="2"/>
      <c r="E224" s="2"/>
      <c r="F224" s="3"/>
      <c r="G224" s="3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>
      <c r="A225" s="2"/>
      <c r="B225" s="2"/>
      <c r="C225" s="2"/>
      <c r="D225" s="2"/>
      <c r="E225" s="2"/>
      <c r="F225" s="3"/>
      <c r="G225" s="3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>
      <c r="A226" s="2"/>
      <c r="B226" s="2"/>
      <c r="C226" s="2"/>
      <c r="D226" s="2"/>
      <c r="E226" s="2"/>
      <c r="F226" s="3"/>
      <c r="G226" s="3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>
      <c r="A227" s="2"/>
      <c r="B227" s="2"/>
      <c r="C227" s="2"/>
      <c r="D227" s="2"/>
      <c r="E227" s="2"/>
      <c r="F227" s="3"/>
      <c r="G227" s="3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>
      <c r="A228" s="2"/>
      <c r="B228" s="2"/>
      <c r="C228" s="2"/>
      <c r="D228" s="2"/>
      <c r="E228" s="2"/>
      <c r="F228" s="3"/>
      <c r="G228" s="3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>
      <c r="A229" s="2"/>
      <c r="B229" s="2"/>
      <c r="C229" s="2"/>
      <c r="D229" s="2"/>
      <c r="E229" s="2"/>
      <c r="F229" s="3"/>
      <c r="G229" s="3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>
      <c r="A230" s="2"/>
      <c r="B230" s="2"/>
      <c r="C230" s="2"/>
      <c r="D230" s="2"/>
      <c r="E230" s="2"/>
      <c r="F230" s="3"/>
      <c r="G230" s="3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>
      <c r="A231" s="2"/>
      <c r="B231" s="2"/>
      <c r="C231" s="2"/>
      <c r="D231" s="2"/>
      <c r="E231" s="2"/>
      <c r="F231" s="3"/>
      <c r="G231" s="3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>
      <c r="A232" s="2"/>
      <c r="B232" s="2"/>
      <c r="C232" s="2"/>
      <c r="D232" s="2"/>
      <c r="E232" s="2"/>
      <c r="F232" s="3"/>
      <c r="G232" s="3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>
      <c r="A233" s="2"/>
      <c r="B233" s="2"/>
      <c r="C233" s="2"/>
      <c r="D233" s="2"/>
      <c r="E233" s="2"/>
      <c r="F233" s="3"/>
      <c r="G233" s="3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>
      <c r="A234" s="2"/>
      <c r="B234" s="2"/>
      <c r="C234" s="2"/>
      <c r="D234" s="2"/>
      <c r="E234" s="2"/>
      <c r="F234" s="3"/>
      <c r="G234" s="3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>
      <c r="A235" s="2"/>
      <c r="B235" s="2"/>
      <c r="C235" s="2"/>
      <c r="D235" s="2"/>
      <c r="E235" s="2"/>
      <c r="F235" s="3"/>
      <c r="G235" s="3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>
      <c r="A236" s="2"/>
      <c r="B236" s="2"/>
      <c r="C236" s="2"/>
      <c r="D236" s="2"/>
      <c r="E236" s="2"/>
      <c r="F236" s="3"/>
      <c r="G236" s="3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>
      <c r="A237" s="2"/>
      <c r="B237" s="2"/>
      <c r="C237" s="2"/>
      <c r="D237" s="2"/>
      <c r="E237" s="2"/>
      <c r="F237" s="3"/>
      <c r="G237" s="3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>
      <c r="A238" s="2"/>
      <c r="B238" s="2"/>
      <c r="C238" s="2"/>
      <c r="D238" s="2"/>
      <c r="E238" s="2"/>
      <c r="F238" s="3"/>
      <c r="G238" s="3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>
      <c r="A239" s="2"/>
      <c r="B239" s="2"/>
      <c r="C239" s="2"/>
      <c r="D239" s="2"/>
      <c r="E239" s="2"/>
      <c r="F239" s="3"/>
      <c r="G239" s="3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>
      <c r="A240" s="2"/>
      <c r="B240" s="2"/>
      <c r="C240" s="2"/>
      <c r="D240" s="2"/>
      <c r="E240" s="2"/>
      <c r="F240" s="3"/>
      <c r="G240" s="3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>
      <c r="A241" s="2"/>
      <c r="B241" s="2"/>
      <c r="C241" s="2"/>
      <c r="D241" s="2"/>
      <c r="E241" s="2"/>
      <c r="F241" s="3"/>
      <c r="G241" s="3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>
      <c r="A242" s="2"/>
      <c r="B242" s="2"/>
      <c r="C242" s="2"/>
      <c r="D242" s="2"/>
      <c r="E242" s="2"/>
      <c r="F242" s="3"/>
      <c r="G242" s="3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>
      <c r="A243" s="2"/>
      <c r="B243" s="2"/>
      <c r="C243" s="2"/>
      <c r="D243" s="2"/>
      <c r="E243" s="2"/>
      <c r="F243" s="3"/>
      <c r="G243" s="3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>
      <c r="A244" s="2"/>
      <c r="B244" s="2"/>
      <c r="C244" s="2"/>
      <c r="D244" s="2"/>
      <c r="E244" s="2"/>
      <c r="F244" s="3"/>
      <c r="G244" s="3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>
      <c r="A245" s="2"/>
      <c r="B245" s="2"/>
      <c r="C245" s="2"/>
      <c r="D245" s="2"/>
      <c r="E245" s="2"/>
      <c r="F245" s="3"/>
      <c r="G245" s="3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>
      <c r="A246" s="2"/>
      <c r="B246" s="2"/>
      <c r="C246" s="2"/>
      <c r="D246" s="2"/>
      <c r="E246" s="2"/>
      <c r="F246" s="3"/>
      <c r="G246" s="3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>
      <c r="A247" s="2"/>
      <c r="B247" s="2"/>
      <c r="C247" s="2"/>
      <c r="D247" s="2"/>
      <c r="E247" s="2"/>
      <c r="F247" s="3"/>
      <c r="G247" s="3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>
      <c r="A248" s="2"/>
      <c r="B248" s="2"/>
      <c r="C248" s="2"/>
      <c r="D248" s="2"/>
      <c r="E248" s="2"/>
      <c r="F248" s="3"/>
      <c r="G248" s="3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>
      <c r="A249" s="2"/>
      <c r="B249" s="2"/>
      <c r="C249" s="2"/>
      <c r="D249" s="2"/>
      <c r="E249" s="2"/>
      <c r="F249" s="3"/>
      <c r="G249" s="3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>
      <c r="A250" s="2"/>
      <c r="B250" s="2"/>
      <c r="C250" s="2"/>
      <c r="D250" s="2"/>
      <c r="E250" s="2"/>
      <c r="F250" s="3"/>
      <c r="G250" s="3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>
      <c r="A251" s="2"/>
      <c r="B251" s="2"/>
      <c r="C251" s="2"/>
      <c r="D251" s="2"/>
      <c r="E251" s="2"/>
      <c r="F251" s="3"/>
      <c r="G251" s="3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>
      <c r="A252" s="2"/>
      <c r="B252" s="2"/>
      <c r="C252" s="2"/>
      <c r="D252" s="2"/>
      <c r="E252" s="2"/>
      <c r="F252" s="3"/>
      <c r="G252" s="3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>
      <c r="A253" s="2"/>
      <c r="B253" s="2"/>
      <c r="C253" s="2"/>
      <c r="D253" s="2"/>
      <c r="E253" s="2"/>
      <c r="F253" s="3"/>
      <c r="G253" s="3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>
      <c r="A254" s="2"/>
      <c r="B254" s="2"/>
      <c r="C254" s="2"/>
      <c r="D254" s="2"/>
      <c r="E254" s="2"/>
      <c r="F254" s="3"/>
      <c r="G254" s="3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>
      <c r="A255" s="2"/>
      <c r="B255" s="2"/>
      <c r="C255" s="2"/>
      <c r="D255" s="2"/>
      <c r="E255" s="2"/>
      <c r="F255" s="3"/>
      <c r="G255" s="3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>
      <c r="A256" s="2"/>
      <c r="B256" s="2"/>
      <c r="C256" s="2"/>
      <c r="D256" s="2"/>
      <c r="E256" s="2"/>
      <c r="F256" s="3"/>
      <c r="G256" s="3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>
      <c r="A257" s="2"/>
      <c r="B257" s="2"/>
      <c r="C257" s="2"/>
      <c r="D257" s="2"/>
      <c r="E257" s="2"/>
      <c r="F257" s="3"/>
      <c r="G257" s="3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>
      <c r="A258" s="2"/>
      <c r="B258" s="2"/>
      <c r="C258" s="2"/>
      <c r="D258" s="2"/>
      <c r="E258" s="2"/>
      <c r="F258" s="3"/>
      <c r="G258" s="3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>
      <c r="A259" s="2"/>
      <c r="B259" s="2"/>
      <c r="C259" s="2"/>
      <c r="D259" s="2"/>
      <c r="E259" s="2"/>
      <c r="F259" s="3"/>
      <c r="G259" s="3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>
      <c r="A260" s="2"/>
      <c r="B260" s="2"/>
      <c r="C260" s="2"/>
      <c r="D260" s="2"/>
      <c r="E260" s="2"/>
      <c r="F260" s="3"/>
      <c r="G260" s="3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>
      <c r="A261" s="2"/>
      <c r="B261" s="2"/>
      <c r="C261" s="2"/>
      <c r="D261" s="2"/>
      <c r="E261" s="2"/>
      <c r="F261" s="3"/>
      <c r="G261" s="3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>
      <c r="A262" s="2"/>
      <c r="B262" s="2"/>
      <c r="C262" s="2"/>
      <c r="D262" s="2"/>
      <c r="E262" s="2"/>
      <c r="F262" s="3"/>
      <c r="G262" s="3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>
      <c r="A263" s="2"/>
      <c r="B263" s="2"/>
      <c r="C263" s="2"/>
      <c r="D263" s="2"/>
      <c r="E263" s="2"/>
      <c r="F263" s="3"/>
      <c r="G263" s="3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>
      <c r="A264" s="2"/>
      <c r="B264" s="2"/>
      <c r="C264" s="2"/>
      <c r="D264" s="2"/>
      <c r="E264" s="2"/>
      <c r="F264" s="3"/>
      <c r="G264" s="3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>
      <c r="A265" s="2"/>
      <c r="B265" s="2"/>
      <c r="C265" s="2"/>
      <c r="D265" s="2"/>
      <c r="E265" s="2"/>
      <c r="F265" s="3"/>
      <c r="G265" s="3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>
      <c r="A266" s="2"/>
      <c r="B266" s="2"/>
      <c r="C266" s="2"/>
      <c r="D266" s="2"/>
      <c r="E266" s="2"/>
      <c r="F266" s="3"/>
      <c r="G266" s="3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>
      <c r="A267" s="2"/>
      <c r="B267" s="2"/>
      <c r="C267" s="2"/>
      <c r="D267" s="2"/>
      <c r="E267" s="2"/>
      <c r="F267" s="3"/>
      <c r="G267" s="3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>
      <c r="A268" s="2"/>
      <c r="B268" s="2"/>
      <c r="C268" s="2"/>
      <c r="D268" s="2"/>
      <c r="E268" s="2"/>
      <c r="F268" s="3"/>
      <c r="G268" s="3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>
      <c r="A269" s="2"/>
      <c r="B269" s="2"/>
      <c r="C269" s="2"/>
      <c r="D269" s="2"/>
      <c r="E269" s="2"/>
      <c r="F269" s="3"/>
      <c r="G269" s="3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>
      <c r="A270" s="2"/>
      <c r="B270" s="2"/>
      <c r="C270" s="2"/>
      <c r="D270" s="2"/>
      <c r="E270" s="2"/>
      <c r="F270" s="3"/>
      <c r="G270" s="3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>
      <c r="A271" s="2"/>
      <c r="B271" s="2"/>
      <c r="C271" s="2"/>
      <c r="D271" s="2"/>
      <c r="E271" s="2"/>
      <c r="F271" s="3"/>
      <c r="G271" s="3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>
      <c r="A272" s="2"/>
      <c r="B272" s="2"/>
      <c r="C272" s="2"/>
      <c r="D272" s="2"/>
      <c r="E272" s="2"/>
      <c r="F272" s="3"/>
      <c r="G272" s="3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>
      <c r="A273" s="2"/>
      <c r="B273" s="2"/>
      <c r="C273" s="2"/>
      <c r="D273" s="2"/>
      <c r="E273" s="2"/>
      <c r="F273" s="3"/>
      <c r="G273" s="3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>
      <c r="A274" s="2"/>
      <c r="B274" s="2"/>
      <c r="C274" s="2"/>
      <c r="D274" s="2"/>
      <c r="E274" s="2"/>
      <c r="F274" s="3"/>
      <c r="G274" s="3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>
      <c r="A275" s="2"/>
      <c r="B275" s="2"/>
      <c r="C275" s="2"/>
      <c r="D275" s="2"/>
      <c r="E275" s="2"/>
      <c r="F275" s="3"/>
      <c r="G275" s="3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>
      <c r="A276" s="2"/>
      <c r="B276" s="2"/>
      <c r="C276" s="2"/>
      <c r="D276" s="2"/>
      <c r="E276" s="2"/>
      <c r="F276" s="3"/>
      <c r="G276" s="3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>
      <c r="A277" s="2"/>
      <c r="B277" s="2"/>
      <c r="C277" s="2"/>
      <c r="D277" s="2"/>
      <c r="E277" s="2"/>
      <c r="F277" s="3"/>
      <c r="G277" s="3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>
      <c r="A278" s="2"/>
      <c r="B278" s="2"/>
      <c r="C278" s="2"/>
      <c r="D278" s="2"/>
      <c r="E278" s="2"/>
      <c r="F278" s="3"/>
      <c r="G278" s="3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>
      <c r="A279" s="2"/>
      <c r="B279" s="2"/>
      <c r="C279" s="2"/>
      <c r="D279" s="2"/>
      <c r="E279" s="2"/>
      <c r="F279" s="3"/>
      <c r="G279" s="3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>
      <c r="A280" s="2"/>
      <c r="B280" s="2"/>
      <c r="C280" s="2"/>
      <c r="D280" s="2"/>
      <c r="E280" s="2"/>
      <c r="F280" s="3"/>
      <c r="G280" s="3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>
      <c r="A281" s="2"/>
      <c r="B281" s="2"/>
      <c r="C281" s="2"/>
      <c r="D281" s="2"/>
      <c r="E281" s="2"/>
      <c r="F281" s="3"/>
      <c r="G281" s="3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>
      <c r="A282" s="2"/>
      <c r="B282" s="2"/>
      <c r="C282" s="2"/>
      <c r="D282" s="2"/>
      <c r="E282" s="2"/>
      <c r="F282" s="3"/>
      <c r="G282" s="3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>
      <c r="A283" s="2"/>
      <c r="B283" s="2"/>
      <c r="C283" s="2"/>
      <c r="D283" s="2"/>
      <c r="E283" s="2"/>
      <c r="F283" s="3"/>
      <c r="G283" s="3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>
      <c r="A284" s="2"/>
      <c r="B284" s="2"/>
      <c r="C284" s="2"/>
      <c r="D284" s="2"/>
      <c r="E284" s="2"/>
      <c r="F284" s="3"/>
      <c r="G284" s="3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>
      <c r="A285" s="2"/>
      <c r="B285" s="2"/>
      <c r="C285" s="2"/>
      <c r="D285" s="2"/>
      <c r="E285" s="2"/>
      <c r="F285" s="3"/>
      <c r="G285" s="3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>
      <c r="A286" s="2"/>
      <c r="B286" s="2"/>
      <c r="C286" s="2"/>
      <c r="D286" s="2"/>
      <c r="E286" s="2"/>
      <c r="F286" s="3"/>
      <c r="G286" s="3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>
      <c r="A287" s="2"/>
      <c r="B287" s="2"/>
      <c r="C287" s="2"/>
      <c r="D287" s="2"/>
      <c r="E287" s="2"/>
      <c r="F287" s="3"/>
      <c r="G287" s="3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>
      <c r="A288" s="2"/>
      <c r="B288" s="2"/>
      <c r="C288" s="2"/>
      <c r="D288" s="2"/>
      <c r="E288" s="2"/>
      <c r="F288" s="3"/>
      <c r="G288" s="3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>
      <c r="A289" s="2"/>
      <c r="B289" s="2"/>
      <c r="C289" s="2"/>
      <c r="D289" s="2"/>
      <c r="E289" s="2"/>
      <c r="F289" s="3"/>
      <c r="G289" s="3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>
      <c r="A290" s="2"/>
      <c r="B290" s="2"/>
      <c r="C290" s="2"/>
      <c r="D290" s="2"/>
      <c r="E290" s="2"/>
      <c r="F290" s="3"/>
      <c r="G290" s="3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>
      <c r="A291" s="2"/>
      <c r="B291" s="2"/>
      <c r="C291" s="2"/>
      <c r="D291" s="2"/>
      <c r="E291" s="2"/>
      <c r="F291" s="3"/>
      <c r="G291" s="3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>
      <c r="A292" s="2"/>
      <c r="B292" s="2"/>
      <c r="C292" s="2"/>
      <c r="D292" s="2"/>
      <c r="E292" s="2"/>
      <c r="F292" s="3"/>
      <c r="G292" s="3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>
      <c r="A293" s="2"/>
      <c r="B293" s="2"/>
      <c r="C293" s="2"/>
      <c r="D293" s="2"/>
      <c r="E293" s="2"/>
      <c r="F293" s="3"/>
      <c r="G293" s="3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>
      <c r="A294" s="2"/>
      <c r="B294" s="2"/>
      <c r="C294" s="2"/>
      <c r="D294" s="2"/>
      <c r="E294" s="2"/>
      <c r="F294" s="3"/>
      <c r="G294" s="3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>
      <c r="A295" s="2"/>
      <c r="B295" s="2"/>
      <c r="C295" s="2"/>
      <c r="D295" s="2"/>
      <c r="E295" s="2"/>
      <c r="F295" s="3"/>
      <c r="G295" s="3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>
      <c r="A296" s="2"/>
      <c r="B296" s="2"/>
      <c r="C296" s="2"/>
      <c r="D296" s="2"/>
      <c r="E296" s="2"/>
      <c r="F296" s="3"/>
      <c r="G296" s="3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>
      <c r="A297" s="2"/>
      <c r="B297" s="2"/>
      <c r="C297" s="2"/>
      <c r="D297" s="2"/>
      <c r="E297" s="2"/>
      <c r="F297" s="3"/>
      <c r="G297" s="3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>
      <c r="A298" s="2"/>
      <c r="B298" s="2"/>
      <c r="C298" s="2"/>
      <c r="D298" s="2"/>
      <c r="E298" s="2"/>
      <c r="F298" s="3"/>
      <c r="G298" s="3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>
      <c r="A299" s="2"/>
      <c r="B299" s="2"/>
      <c r="C299" s="2"/>
      <c r="D299" s="2"/>
      <c r="E299" s="2"/>
      <c r="F299" s="3"/>
      <c r="G299" s="3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>
      <c r="A300" s="2"/>
      <c r="B300" s="2"/>
      <c r="C300" s="2"/>
      <c r="D300" s="2"/>
      <c r="E300" s="2"/>
      <c r="F300" s="3"/>
      <c r="G300" s="3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>
      <c r="A301" s="2"/>
      <c r="B301" s="2"/>
      <c r="C301" s="2"/>
      <c r="D301" s="2"/>
      <c r="E301" s="2"/>
      <c r="F301" s="3"/>
      <c r="G301" s="3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>
      <c r="A302" s="2"/>
      <c r="B302" s="2"/>
      <c r="C302" s="2"/>
      <c r="D302" s="2"/>
      <c r="E302" s="2"/>
      <c r="F302" s="3"/>
      <c r="G302" s="3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>
      <c r="A303" s="2"/>
      <c r="B303" s="2"/>
      <c r="C303" s="2"/>
      <c r="D303" s="2"/>
      <c r="E303" s="2"/>
      <c r="F303" s="3"/>
      <c r="G303" s="3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>
      <c r="A304" s="2"/>
      <c r="B304" s="2"/>
      <c r="C304" s="2"/>
      <c r="D304" s="2"/>
      <c r="E304" s="2"/>
      <c r="F304" s="3"/>
      <c r="G304" s="3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>
      <c r="A305" s="2"/>
      <c r="B305" s="2"/>
      <c r="C305" s="2"/>
      <c r="D305" s="2"/>
      <c r="E305" s="2"/>
      <c r="F305" s="3"/>
      <c r="G305" s="3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>
      <c r="A306" s="2"/>
      <c r="B306" s="2"/>
      <c r="C306" s="2"/>
      <c r="D306" s="2"/>
      <c r="E306" s="2"/>
      <c r="F306" s="3"/>
      <c r="G306" s="3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>
      <c r="A307" s="2"/>
      <c r="B307" s="2"/>
      <c r="C307" s="2"/>
      <c r="D307" s="2"/>
      <c r="E307" s="2"/>
      <c r="F307" s="3"/>
      <c r="G307" s="3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>
      <c r="A308" s="2"/>
      <c r="B308" s="2"/>
      <c r="C308" s="2"/>
      <c r="D308" s="2"/>
      <c r="E308" s="2"/>
      <c r="F308" s="3"/>
      <c r="G308" s="3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>
      <c r="A309" s="2"/>
      <c r="B309" s="2"/>
      <c r="C309" s="2"/>
      <c r="D309" s="2"/>
      <c r="E309" s="2"/>
      <c r="F309" s="3"/>
      <c r="G309" s="3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>
      <c r="A310" s="2"/>
      <c r="B310" s="2"/>
      <c r="C310" s="2"/>
      <c r="D310" s="2"/>
      <c r="E310" s="2"/>
      <c r="F310" s="3"/>
      <c r="G310" s="3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>
      <c r="A311" s="2"/>
      <c r="B311" s="2"/>
      <c r="C311" s="2"/>
      <c r="D311" s="2"/>
      <c r="E311" s="2"/>
      <c r="F311" s="3"/>
      <c r="G311" s="3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>
      <c r="A312" s="2"/>
      <c r="B312" s="2"/>
      <c r="C312" s="2"/>
      <c r="D312" s="2"/>
      <c r="E312" s="2"/>
      <c r="F312" s="3"/>
      <c r="G312" s="3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>
      <c r="A313" s="2"/>
      <c r="B313" s="2"/>
      <c r="C313" s="2"/>
      <c r="D313" s="2"/>
      <c r="E313" s="2"/>
      <c r="F313" s="3"/>
      <c r="G313" s="3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>
      <c r="A314" s="2"/>
      <c r="B314" s="2"/>
      <c r="C314" s="2"/>
      <c r="D314" s="2"/>
      <c r="E314" s="2"/>
      <c r="F314" s="3"/>
      <c r="G314" s="3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>
      <c r="A315" s="2"/>
      <c r="B315" s="2"/>
      <c r="C315" s="2"/>
      <c r="D315" s="2"/>
      <c r="E315" s="2"/>
      <c r="F315" s="3"/>
      <c r="G315" s="3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>
      <c r="A316" s="2"/>
      <c r="B316" s="2"/>
      <c r="C316" s="2"/>
      <c r="D316" s="2"/>
      <c r="E316" s="2"/>
      <c r="F316" s="3"/>
      <c r="G316" s="3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>
      <c r="A317" s="2"/>
      <c r="B317" s="2"/>
      <c r="C317" s="2"/>
      <c r="D317" s="2"/>
      <c r="E317" s="2"/>
      <c r="F317" s="3"/>
      <c r="G317" s="3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>
      <c r="A318" s="2"/>
      <c r="B318" s="2"/>
      <c r="C318" s="2"/>
      <c r="D318" s="2"/>
      <c r="E318" s="2"/>
      <c r="F318" s="3"/>
      <c r="G318" s="3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>
      <c r="A319" s="2"/>
      <c r="B319" s="2"/>
      <c r="C319" s="2"/>
      <c r="D319" s="2"/>
      <c r="E319" s="2"/>
      <c r="F319" s="3"/>
      <c r="G319" s="3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>
      <c r="A320" s="2"/>
      <c r="B320" s="2"/>
      <c r="C320" s="2"/>
      <c r="D320" s="2"/>
      <c r="E320" s="2"/>
      <c r="F320" s="3"/>
      <c r="G320" s="3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>
      <c r="A321" s="2"/>
      <c r="B321" s="2"/>
      <c r="C321" s="2"/>
      <c r="D321" s="2"/>
      <c r="E321" s="2"/>
      <c r="F321" s="3"/>
      <c r="G321" s="3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>
      <c r="A322" s="2"/>
      <c r="B322" s="2"/>
      <c r="C322" s="2"/>
      <c r="D322" s="2"/>
      <c r="E322" s="2"/>
      <c r="F322" s="3"/>
      <c r="G322" s="3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>
      <c r="A323" s="2"/>
      <c r="B323" s="2"/>
      <c r="C323" s="2"/>
      <c r="D323" s="2"/>
      <c r="E323" s="2"/>
      <c r="F323" s="3"/>
      <c r="G323" s="3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>
      <c r="A324" s="2"/>
      <c r="B324" s="2"/>
      <c r="C324" s="2"/>
      <c r="D324" s="2"/>
      <c r="E324" s="2"/>
      <c r="F324" s="3"/>
      <c r="G324" s="3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>
      <c r="A325" s="2"/>
      <c r="B325" s="2"/>
      <c r="C325" s="2"/>
      <c r="D325" s="2"/>
      <c r="E325" s="2"/>
      <c r="F325" s="3"/>
      <c r="G325" s="3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>
      <c r="A326" s="2"/>
      <c r="B326" s="2"/>
      <c r="C326" s="2"/>
      <c r="D326" s="2"/>
      <c r="E326" s="2"/>
      <c r="F326" s="3"/>
      <c r="G326" s="3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>
      <c r="A327" s="2"/>
      <c r="B327" s="2"/>
      <c r="C327" s="2"/>
      <c r="D327" s="2"/>
      <c r="E327" s="2"/>
      <c r="F327" s="3"/>
      <c r="G327" s="3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>
      <c r="A328" s="2"/>
      <c r="B328" s="2"/>
      <c r="C328" s="2"/>
      <c r="D328" s="2"/>
      <c r="E328" s="2"/>
      <c r="F328" s="3"/>
      <c r="G328" s="3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>
      <c r="A329" s="2"/>
      <c r="B329" s="2"/>
      <c r="C329" s="2"/>
      <c r="D329" s="2"/>
      <c r="E329" s="2"/>
      <c r="F329" s="3"/>
      <c r="G329" s="3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>
      <c r="A330" s="2"/>
      <c r="B330" s="2"/>
      <c r="C330" s="2"/>
      <c r="D330" s="2"/>
      <c r="E330" s="2"/>
      <c r="F330" s="3"/>
      <c r="G330" s="3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>
      <c r="A331" s="2"/>
      <c r="B331" s="2"/>
      <c r="C331" s="2"/>
      <c r="D331" s="2"/>
      <c r="E331" s="2"/>
      <c r="F331" s="3"/>
      <c r="G331" s="3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>
      <c r="A332" s="2"/>
      <c r="B332" s="2"/>
      <c r="C332" s="2"/>
      <c r="D332" s="2"/>
      <c r="E332" s="2"/>
      <c r="F332" s="3"/>
      <c r="G332" s="3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>
      <c r="A333" s="2"/>
      <c r="B333" s="2"/>
      <c r="C333" s="2"/>
      <c r="D333" s="2"/>
      <c r="E333" s="2"/>
      <c r="F333" s="3"/>
      <c r="G333" s="3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>
      <c r="A334" s="2"/>
      <c r="B334" s="2"/>
      <c r="C334" s="2"/>
      <c r="D334" s="2"/>
      <c r="E334" s="2"/>
      <c r="F334" s="3"/>
      <c r="G334" s="3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>
      <c r="A335" s="2"/>
      <c r="B335" s="2"/>
      <c r="C335" s="2"/>
      <c r="D335" s="2"/>
      <c r="E335" s="2"/>
      <c r="F335" s="3"/>
      <c r="G335" s="3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>
      <c r="A336" s="2"/>
      <c r="B336" s="2"/>
      <c r="C336" s="2"/>
      <c r="D336" s="2"/>
      <c r="E336" s="2"/>
      <c r="F336" s="3"/>
      <c r="G336" s="3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>
      <c r="A337" s="2"/>
      <c r="B337" s="2"/>
      <c r="C337" s="2"/>
      <c r="D337" s="2"/>
      <c r="E337" s="2"/>
      <c r="F337" s="3"/>
      <c r="G337" s="3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>
      <c r="A338" s="2"/>
      <c r="B338" s="2"/>
      <c r="C338" s="2"/>
      <c r="D338" s="2"/>
      <c r="E338" s="2"/>
      <c r="F338" s="3"/>
      <c r="G338" s="3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>
      <c r="A339" s="2"/>
      <c r="B339" s="2"/>
      <c r="C339" s="2"/>
      <c r="D339" s="2"/>
      <c r="E339" s="2"/>
      <c r="F339" s="3"/>
      <c r="G339" s="3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>
      <c r="A340" s="2"/>
      <c r="B340" s="2"/>
      <c r="C340" s="2"/>
      <c r="D340" s="2"/>
      <c r="E340" s="2"/>
      <c r="F340" s="3"/>
      <c r="G340" s="3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>
      <c r="A341" s="2"/>
      <c r="B341" s="2"/>
      <c r="C341" s="2"/>
      <c r="D341" s="2"/>
      <c r="E341" s="2"/>
      <c r="F341" s="3"/>
      <c r="G341" s="3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>
      <c r="A342" s="2"/>
      <c r="B342" s="2"/>
      <c r="C342" s="2"/>
      <c r="D342" s="2"/>
      <c r="E342" s="2"/>
      <c r="F342" s="3"/>
      <c r="G342" s="3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>
      <c r="A343" s="2"/>
      <c r="B343" s="2"/>
      <c r="C343" s="2"/>
      <c r="D343" s="2"/>
      <c r="E343" s="2"/>
      <c r="F343" s="3"/>
      <c r="G343" s="3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>
      <c r="A344" s="2"/>
      <c r="B344" s="2"/>
      <c r="C344" s="2"/>
      <c r="D344" s="2"/>
      <c r="E344" s="2"/>
      <c r="F344" s="3"/>
      <c r="G344" s="3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>
      <c r="A345" s="2"/>
      <c r="B345" s="2"/>
      <c r="C345" s="2"/>
      <c r="D345" s="2"/>
      <c r="E345" s="2"/>
      <c r="F345" s="3"/>
      <c r="G345" s="3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>
      <c r="A346" s="2"/>
      <c r="B346" s="2"/>
      <c r="C346" s="2"/>
      <c r="D346" s="2"/>
      <c r="E346" s="2"/>
      <c r="F346" s="3"/>
      <c r="G346" s="3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>
      <c r="A347" s="2"/>
      <c r="B347" s="2"/>
      <c r="C347" s="2"/>
      <c r="D347" s="2"/>
      <c r="E347" s="2"/>
      <c r="F347" s="3"/>
      <c r="G347" s="3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>
      <c r="A348" s="2"/>
      <c r="B348" s="2"/>
      <c r="C348" s="2"/>
      <c r="D348" s="2"/>
      <c r="E348" s="2"/>
      <c r="F348" s="3"/>
      <c r="G348" s="3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>
      <c r="A349" s="2"/>
      <c r="B349" s="2"/>
      <c r="C349" s="2"/>
      <c r="D349" s="2"/>
      <c r="E349" s="2"/>
      <c r="F349" s="3"/>
      <c r="G349" s="3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>
      <c r="A350" s="2"/>
      <c r="B350" s="2"/>
      <c r="C350" s="2"/>
      <c r="D350" s="2"/>
      <c r="E350" s="2"/>
      <c r="F350" s="3"/>
      <c r="G350" s="3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>
      <c r="A351" s="2"/>
      <c r="B351" s="2"/>
      <c r="C351" s="2"/>
      <c r="D351" s="2"/>
      <c r="E351" s="2"/>
      <c r="F351" s="3"/>
      <c r="G351" s="3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>
      <c r="A352" s="2"/>
      <c r="B352" s="2"/>
      <c r="C352" s="2"/>
      <c r="D352" s="2"/>
      <c r="E352" s="2"/>
      <c r="F352" s="3"/>
      <c r="G352" s="3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>
      <c r="A353" s="2"/>
      <c r="B353" s="2"/>
      <c r="C353" s="2"/>
      <c r="D353" s="2"/>
      <c r="E353" s="2"/>
      <c r="F353" s="3"/>
      <c r="G353" s="3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>
      <c r="A354" s="2"/>
      <c r="B354" s="2"/>
      <c r="C354" s="2"/>
      <c r="D354" s="2"/>
      <c r="E354" s="2"/>
      <c r="F354" s="3"/>
      <c r="G354" s="3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>
      <c r="A355" s="2"/>
      <c r="B355" s="2"/>
      <c r="C355" s="2"/>
      <c r="D355" s="2"/>
      <c r="E355" s="2"/>
      <c r="F355" s="3"/>
      <c r="G355" s="3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>
      <c r="A356" s="2"/>
      <c r="B356" s="2"/>
      <c r="C356" s="2"/>
      <c r="D356" s="2"/>
      <c r="E356" s="2"/>
      <c r="F356" s="3"/>
      <c r="G356" s="3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>
      <c r="A357" s="2"/>
      <c r="B357" s="2"/>
      <c r="C357" s="2"/>
      <c r="D357" s="2"/>
      <c r="E357" s="2"/>
      <c r="F357" s="3"/>
      <c r="G357" s="3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>
      <c r="A358" s="2"/>
      <c r="B358" s="2"/>
      <c r="C358" s="2"/>
      <c r="D358" s="2"/>
      <c r="E358" s="2"/>
      <c r="F358" s="3"/>
      <c r="G358" s="3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>
      <c r="A359" s="2"/>
      <c r="B359" s="2"/>
      <c r="C359" s="2"/>
      <c r="D359" s="2"/>
      <c r="E359" s="2"/>
      <c r="F359" s="3"/>
      <c r="G359" s="3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>
      <c r="A360" s="2"/>
      <c r="B360" s="2"/>
      <c r="C360" s="2"/>
      <c r="D360" s="2"/>
      <c r="E360" s="2"/>
      <c r="F360" s="3"/>
      <c r="G360" s="3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>
      <c r="A361" s="2"/>
      <c r="B361" s="2"/>
      <c r="C361" s="2"/>
      <c r="D361" s="2"/>
      <c r="E361" s="2"/>
      <c r="F361" s="3"/>
      <c r="G361" s="3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>
      <c r="A362" s="2"/>
      <c r="B362" s="2"/>
      <c r="C362" s="2"/>
      <c r="D362" s="2"/>
      <c r="E362" s="2"/>
      <c r="F362" s="3"/>
      <c r="G362" s="3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>
      <c r="A363" s="2"/>
      <c r="B363" s="2"/>
      <c r="C363" s="2"/>
      <c r="D363" s="2"/>
      <c r="E363" s="2"/>
      <c r="F363" s="3"/>
      <c r="G363" s="3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>
      <c r="A364" s="2"/>
      <c r="B364" s="2"/>
      <c r="C364" s="2"/>
      <c r="D364" s="2"/>
      <c r="E364" s="2"/>
      <c r="F364" s="3"/>
      <c r="G364" s="3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>
      <c r="A365" s="2"/>
      <c r="B365" s="2"/>
      <c r="C365" s="2"/>
      <c r="D365" s="2"/>
      <c r="E365" s="2"/>
      <c r="F365" s="3"/>
      <c r="G365" s="3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>
      <c r="A366" s="2"/>
      <c r="B366" s="2"/>
      <c r="C366" s="2"/>
      <c r="D366" s="2"/>
      <c r="E366" s="2"/>
      <c r="F366" s="3"/>
      <c r="G366" s="3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>
      <c r="A367" s="2"/>
      <c r="B367" s="2"/>
      <c r="C367" s="2"/>
      <c r="D367" s="2"/>
      <c r="E367" s="2"/>
      <c r="F367" s="3"/>
      <c r="G367" s="3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>
      <c r="A368" s="2"/>
      <c r="B368" s="2"/>
      <c r="C368" s="2"/>
      <c r="D368" s="2"/>
      <c r="E368" s="2"/>
      <c r="F368" s="3"/>
      <c r="G368" s="3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>
      <c r="A369" s="2"/>
      <c r="B369" s="2"/>
      <c r="C369" s="2"/>
      <c r="D369" s="2"/>
      <c r="E369" s="2"/>
      <c r="F369" s="3"/>
      <c r="G369" s="3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>
      <c r="A370" s="2"/>
      <c r="B370" s="2"/>
      <c r="C370" s="2"/>
      <c r="D370" s="2"/>
      <c r="E370" s="2"/>
      <c r="F370" s="3"/>
      <c r="G370" s="3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>
      <c r="A371" s="2"/>
      <c r="B371" s="2"/>
      <c r="C371" s="2"/>
      <c r="D371" s="2"/>
      <c r="E371" s="2"/>
      <c r="F371" s="3"/>
      <c r="G371" s="3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>
      <c r="A372" s="2"/>
      <c r="B372" s="2"/>
      <c r="C372" s="2"/>
      <c r="D372" s="2"/>
      <c r="E372" s="2"/>
      <c r="F372" s="3"/>
      <c r="G372" s="3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>
      <c r="A373" s="2"/>
      <c r="B373" s="2"/>
      <c r="C373" s="2"/>
      <c r="D373" s="2"/>
      <c r="E373" s="2"/>
      <c r="F373" s="3"/>
      <c r="G373" s="3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>
      <c r="A374" s="2"/>
      <c r="B374" s="2"/>
      <c r="C374" s="2"/>
      <c r="D374" s="2"/>
      <c r="E374" s="2"/>
      <c r="F374" s="3"/>
      <c r="G374" s="3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>
      <c r="A375" s="2"/>
      <c r="B375" s="2"/>
      <c r="C375" s="2"/>
      <c r="D375" s="2"/>
      <c r="E375" s="2"/>
      <c r="F375" s="3"/>
      <c r="G375" s="3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>
      <c r="A376" s="2"/>
      <c r="B376" s="2"/>
      <c r="C376" s="2"/>
      <c r="D376" s="2"/>
      <c r="E376" s="2"/>
      <c r="F376" s="3"/>
      <c r="G376" s="3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>
      <c r="A377" s="2"/>
      <c r="B377" s="2"/>
      <c r="C377" s="2"/>
      <c r="D377" s="2"/>
      <c r="E377" s="2"/>
      <c r="F377" s="3"/>
      <c r="G377" s="3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>
      <c r="A378" s="2"/>
      <c r="B378" s="2"/>
      <c r="C378" s="2"/>
      <c r="D378" s="2"/>
      <c r="E378" s="2"/>
      <c r="F378" s="3"/>
      <c r="G378" s="3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>
      <c r="A379" s="2"/>
      <c r="B379" s="2"/>
      <c r="C379" s="2"/>
      <c r="D379" s="2"/>
      <c r="E379" s="2"/>
      <c r="F379" s="3"/>
      <c r="G379" s="3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>
      <c r="A380" s="2"/>
      <c r="B380" s="2"/>
      <c r="C380" s="2"/>
      <c r="D380" s="2"/>
      <c r="E380" s="2"/>
      <c r="F380" s="3"/>
      <c r="G380" s="3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>
      <c r="A381" s="2"/>
      <c r="B381" s="2"/>
      <c r="C381" s="2"/>
      <c r="D381" s="2"/>
      <c r="E381" s="2"/>
      <c r="F381" s="3"/>
      <c r="G381" s="3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>
      <c r="A382" s="2"/>
      <c r="B382" s="2"/>
      <c r="C382" s="2"/>
      <c r="D382" s="2"/>
      <c r="E382" s="2"/>
      <c r="F382" s="3"/>
      <c r="G382" s="3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>
      <c r="A383" s="2"/>
      <c r="B383" s="2"/>
      <c r="C383" s="2"/>
      <c r="D383" s="2"/>
      <c r="E383" s="2"/>
      <c r="F383" s="3"/>
      <c r="G383" s="3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>
      <c r="A384" s="2"/>
      <c r="B384" s="2"/>
      <c r="C384" s="2"/>
      <c r="D384" s="2"/>
      <c r="E384" s="2"/>
      <c r="F384" s="3"/>
      <c r="G384" s="3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>
      <c r="A385" s="2"/>
      <c r="B385" s="2"/>
      <c r="C385" s="2"/>
      <c r="D385" s="2"/>
      <c r="E385" s="2"/>
      <c r="F385" s="3"/>
      <c r="G385" s="3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>
      <c r="A386" s="2"/>
      <c r="B386" s="2"/>
      <c r="C386" s="2"/>
      <c r="D386" s="2"/>
      <c r="E386" s="2"/>
      <c r="F386" s="3"/>
      <c r="G386" s="3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>
      <c r="A387" s="2"/>
      <c r="B387" s="2"/>
      <c r="C387" s="2"/>
      <c r="D387" s="2"/>
      <c r="E387" s="2"/>
      <c r="F387" s="3"/>
      <c r="G387" s="3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>
      <c r="A388" s="2"/>
      <c r="B388" s="2"/>
      <c r="C388" s="2"/>
      <c r="D388" s="2"/>
      <c r="E388" s="2"/>
      <c r="F388" s="3"/>
      <c r="G388" s="3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>
      <c r="A389" s="2"/>
      <c r="B389" s="2"/>
      <c r="C389" s="2"/>
      <c r="D389" s="2"/>
      <c r="E389" s="2"/>
      <c r="F389" s="3"/>
      <c r="G389" s="3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>
      <c r="A390" s="2"/>
      <c r="B390" s="2"/>
      <c r="C390" s="2"/>
      <c r="D390" s="2"/>
      <c r="E390" s="2"/>
      <c r="F390" s="3"/>
      <c r="G390" s="3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>
      <c r="A391" s="2"/>
      <c r="B391" s="2"/>
      <c r="C391" s="2"/>
      <c r="D391" s="2"/>
      <c r="E391" s="2"/>
      <c r="F391" s="3"/>
      <c r="G391" s="3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>
      <c r="A392" s="2"/>
      <c r="B392" s="2"/>
      <c r="C392" s="2"/>
      <c r="D392" s="2"/>
      <c r="E392" s="2"/>
      <c r="F392" s="3"/>
      <c r="G392" s="3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>
      <c r="A393" s="2"/>
      <c r="B393" s="2"/>
      <c r="C393" s="2"/>
      <c r="D393" s="2"/>
      <c r="E393" s="2"/>
      <c r="F393" s="3"/>
      <c r="G393" s="3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>
      <c r="A394" s="2"/>
      <c r="B394" s="2"/>
      <c r="C394" s="2"/>
      <c r="D394" s="2"/>
      <c r="E394" s="2"/>
      <c r="F394" s="3"/>
      <c r="G394" s="3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>
      <c r="A395" s="2"/>
      <c r="B395" s="2"/>
      <c r="C395" s="2"/>
      <c r="D395" s="2"/>
      <c r="E395" s="2"/>
      <c r="F395" s="3"/>
      <c r="G395" s="3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>
      <c r="A396" s="2"/>
      <c r="B396" s="2"/>
      <c r="C396" s="2"/>
      <c r="D396" s="2"/>
      <c r="E396" s="2"/>
      <c r="F396" s="3"/>
      <c r="G396" s="3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>
      <c r="A397" s="2"/>
      <c r="B397" s="2"/>
      <c r="C397" s="2"/>
      <c r="D397" s="2"/>
      <c r="E397" s="2"/>
      <c r="F397" s="3"/>
      <c r="G397" s="3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>
      <c r="A398" s="2"/>
      <c r="B398" s="2"/>
      <c r="C398" s="2"/>
      <c r="D398" s="2"/>
      <c r="E398" s="2"/>
      <c r="F398" s="3"/>
      <c r="G398" s="3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>
      <c r="A399" s="2"/>
      <c r="B399" s="2"/>
      <c r="C399" s="2"/>
      <c r="D399" s="2"/>
      <c r="E399" s="2"/>
      <c r="F399" s="3"/>
      <c r="G399" s="3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>
      <c r="A400" s="2"/>
      <c r="B400" s="2"/>
      <c r="C400" s="2"/>
      <c r="D400" s="2"/>
      <c r="E400" s="2"/>
      <c r="F400" s="3"/>
      <c r="G400" s="3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>
      <c r="A401" s="2"/>
      <c r="B401" s="2"/>
      <c r="C401" s="2"/>
      <c r="D401" s="2"/>
      <c r="E401" s="2"/>
      <c r="F401" s="3"/>
      <c r="G401" s="3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>
      <c r="A402" s="2"/>
      <c r="B402" s="2"/>
      <c r="C402" s="2"/>
      <c r="D402" s="2"/>
      <c r="E402" s="2"/>
      <c r="F402" s="3"/>
      <c r="G402" s="3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>
      <c r="A403" s="2"/>
      <c r="B403" s="2"/>
      <c r="C403" s="2"/>
      <c r="D403" s="2"/>
      <c r="E403" s="2"/>
      <c r="F403" s="3"/>
      <c r="G403" s="3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>
      <c r="A404" s="2"/>
      <c r="B404" s="2"/>
      <c r="C404" s="2"/>
      <c r="D404" s="2"/>
      <c r="E404" s="2"/>
      <c r="F404" s="3"/>
      <c r="G404" s="3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>
      <c r="A405" s="2"/>
      <c r="B405" s="2"/>
      <c r="C405" s="2"/>
      <c r="D405" s="2"/>
      <c r="E405" s="2"/>
      <c r="F405" s="3"/>
      <c r="G405" s="3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>
      <c r="A406" s="2"/>
      <c r="B406" s="2"/>
      <c r="C406" s="2"/>
      <c r="D406" s="2"/>
      <c r="E406" s="2"/>
      <c r="F406" s="3"/>
      <c r="G406" s="3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>
      <c r="A407" s="2"/>
      <c r="B407" s="2"/>
      <c r="C407" s="2"/>
      <c r="D407" s="2"/>
      <c r="E407" s="2"/>
      <c r="F407" s="3"/>
      <c r="G407" s="3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>
      <c r="A408" s="2"/>
      <c r="B408" s="2"/>
      <c r="C408" s="2"/>
      <c r="D408" s="2"/>
      <c r="E408" s="2"/>
      <c r="F408" s="3"/>
      <c r="G408" s="3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>
      <c r="A409" s="2"/>
      <c r="B409" s="2"/>
      <c r="C409" s="2"/>
      <c r="D409" s="2"/>
      <c r="E409" s="2"/>
      <c r="F409" s="3"/>
      <c r="G409" s="3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>
      <c r="A410" s="2"/>
      <c r="B410" s="2"/>
      <c r="C410" s="2"/>
      <c r="D410" s="2"/>
      <c r="E410" s="2"/>
      <c r="F410" s="3"/>
      <c r="G410" s="3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>
      <c r="A411" s="2"/>
      <c r="B411" s="2"/>
      <c r="C411" s="2"/>
      <c r="D411" s="2"/>
      <c r="E411" s="2"/>
      <c r="F411" s="3"/>
      <c r="G411" s="3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>
      <c r="A412" s="2"/>
      <c r="B412" s="2"/>
      <c r="C412" s="2"/>
      <c r="D412" s="2"/>
      <c r="E412" s="2"/>
      <c r="F412" s="3"/>
      <c r="G412" s="3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>
      <c r="A413" s="2"/>
      <c r="B413" s="2"/>
      <c r="C413" s="2"/>
      <c r="D413" s="2"/>
      <c r="E413" s="2"/>
      <c r="F413" s="3"/>
      <c r="G413" s="3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>
      <c r="A414" s="2"/>
      <c r="B414" s="2"/>
      <c r="C414" s="2"/>
      <c r="D414" s="2"/>
      <c r="E414" s="2"/>
      <c r="F414" s="3"/>
      <c r="G414" s="3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>
      <c r="A415" s="2"/>
      <c r="B415" s="2"/>
      <c r="C415" s="2"/>
      <c r="D415" s="2"/>
      <c r="E415" s="2"/>
      <c r="F415" s="3"/>
      <c r="G415" s="3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>
      <c r="A416" s="2"/>
      <c r="B416" s="2"/>
      <c r="C416" s="2"/>
      <c r="D416" s="2"/>
      <c r="E416" s="2"/>
      <c r="F416" s="3"/>
      <c r="G416" s="3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>
      <c r="A417" s="2"/>
      <c r="B417" s="2"/>
      <c r="C417" s="2"/>
      <c r="D417" s="2"/>
      <c r="E417" s="2"/>
      <c r="F417" s="3"/>
      <c r="G417" s="3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>
      <c r="A418" s="2"/>
      <c r="B418" s="2"/>
      <c r="C418" s="2"/>
      <c r="D418" s="2"/>
      <c r="E418" s="2"/>
      <c r="F418" s="3"/>
      <c r="G418" s="3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>
      <c r="A419" s="2"/>
      <c r="B419" s="2"/>
      <c r="C419" s="2"/>
      <c r="D419" s="2"/>
      <c r="E419" s="2"/>
      <c r="F419" s="3"/>
      <c r="G419" s="3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>
      <c r="A420" s="2"/>
      <c r="B420" s="2"/>
      <c r="C420" s="2"/>
      <c r="D420" s="2"/>
      <c r="E420" s="2"/>
      <c r="F420" s="3"/>
      <c r="G420" s="3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>
      <c r="A421" s="2"/>
      <c r="B421" s="2"/>
      <c r="C421" s="2"/>
      <c r="D421" s="2"/>
      <c r="E421" s="2"/>
      <c r="F421" s="3"/>
      <c r="G421" s="3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>
      <c r="A422" s="2"/>
      <c r="B422" s="2"/>
      <c r="C422" s="2"/>
      <c r="D422" s="2"/>
      <c r="E422" s="2"/>
      <c r="F422" s="3"/>
      <c r="G422" s="3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>
      <c r="A423" s="2"/>
      <c r="B423" s="2"/>
      <c r="C423" s="2"/>
      <c r="D423" s="2"/>
      <c r="E423" s="2"/>
      <c r="F423" s="3"/>
      <c r="G423" s="3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>
      <c r="A424" s="2"/>
      <c r="B424" s="2"/>
      <c r="C424" s="2"/>
      <c r="D424" s="2"/>
      <c r="E424" s="2"/>
      <c r="F424" s="3"/>
      <c r="G424" s="3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>
      <c r="A425" s="2"/>
      <c r="B425" s="2"/>
      <c r="C425" s="2"/>
      <c r="D425" s="2"/>
      <c r="E425" s="2"/>
      <c r="F425" s="3"/>
      <c r="G425" s="3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>
      <c r="A426" s="2"/>
      <c r="B426" s="2"/>
      <c r="C426" s="2"/>
      <c r="D426" s="2"/>
      <c r="E426" s="2"/>
      <c r="F426" s="3"/>
      <c r="G426" s="3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>
      <c r="A427" s="2"/>
      <c r="B427" s="2"/>
      <c r="C427" s="2"/>
      <c r="D427" s="2"/>
      <c r="E427" s="2"/>
      <c r="F427" s="3"/>
      <c r="G427" s="3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>
      <c r="A428" s="2"/>
      <c r="B428" s="2"/>
      <c r="C428" s="2"/>
      <c r="D428" s="2"/>
      <c r="E428" s="2"/>
      <c r="F428" s="3"/>
      <c r="G428" s="3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>
      <c r="A429" s="2"/>
      <c r="B429" s="2"/>
      <c r="C429" s="2"/>
      <c r="D429" s="2"/>
      <c r="E429" s="2"/>
      <c r="F429" s="3"/>
      <c r="G429" s="3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>
      <c r="A430" s="2"/>
      <c r="B430" s="2"/>
      <c r="C430" s="2"/>
      <c r="D430" s="2"/>
      <c r="E430" s="2"/>
      <c r="F430" s="3"/>
      <c r="G430" s="3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>
      <c r="A431" s="2"/>
      <c r="B431" s="2"/>
      <c r="C431" s="2"/>
      <c r="D431" s="2"/>
      <c r="E431" s="2"/>
      <c r="F431" s="3"/>
      <c r="G431" s="3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>
      <c r="A432" s="2"/>
      <c r="B432" s="2"/>
      <c r="C432" s="2"/>
      <c r="D432" s="2"/>
      <c r="E432" s="2"/>
      <c r="F432" s="3"/>
      <c r="G432" s="3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>
      <c r="A433" s="2"/>
      <c r="B433" s="2"/>
      <c r="C433" s="2"/>
      <c r="D433" s="2"/>
      <c r="E433" s="2"/>
      <c r="F433" s="3"/>
      <c r="G433" s="3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>
      <c r="A434" s="2"/>
      <c r="B434" s="2"/>
      <c r="C434" s="2"/>
      <c r="D434" s="2"/>
      <c r="E434" s="2"/>
      <c r="F434" s="3"/>
      <c r="G434" s="3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>
      <c r="A435" s="2"/>
      <c r="B435" s="2"/>
      <c r="C435" s="2"/>
      <c r="D435" s="2"/>
      <c r="E435" s="2"/>
      <c r="F435" s="3"/>
      <c r="G435" s="3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>
      <c r="A436" s="2"/>
      <c r="B436" s="2"/>
      <c r="C436" s="2"/>
      <c r="D436" s="2"/>
      <c r="E436" s="2"/>
      <c r="F436" s="3"/>
      <c r="G436" s="3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>
      <c r="A437" s="2"/>
      <c r="B437" s="2"/>
      <c r="C437" s="2"/>
      <c r="D437" s="2"/>
      <c r="E437" s="2"/>
      <c r="F437" s="3"/>
      <c r="G437" s="3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>
      <c r="A438" s="2"/>
      <c r="B438" s="2"/>
      <c r="C438" s="2"/>
      <c r="D438" s="2"/>
      <c r="E438" s="2"/>
      <c r="F438" s="3"/>
      <c r="G438" s="3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>
      <c r="A439" s="2"/>
      <c r="B439" s="2"/>
      <c r="C439" s="2"/>
      <c r="D439" s="2"/>
      <c r="E439" s="2"/>
      <c r="F439" s="3"/>
      <c r="G439" s="3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>
      <c r="A440" s="2"/>
      <c r="B440" s="2"/>
      <c r="C440" s="2"/>
      <c r="D440" s="2"/>
      <c r="E440" s="2"/>
      <c r="F440" s="3"/>
      <c r="G440" s="3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>
      <c r="A441" s="2"/>
      <c r="B441" s="2"/>
      <c r="C441" s="2"/>
      <c r="D441" s="2"/>
      <c r="E441" s="2"/>
      <c r="F441" s="3"/>
      <c r="G441" s="3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>
      <c r="A442" s="2"/>
      <c r="B442" s="2"/>
      <c r="C442" s="2"/>
      <c r="D442" s="2"/>
      <c r="E442" s="2"/>
      <c r="F442" s="3"/>
      <c r="G442" s="3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>
      <c r="A443" s="2"/>
      <c r="B443" s="2"/>
      <c r="C443" s="2"/>
      <c r="D443" s="2"/>
      <c r="E443" s="2"/>
      <c r="F443" s="3"/>
      <c r="G443" s="3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>
      <c r="A444" s="2"/>
      <c r="B444" s="2"/>
      <c r="C444" s="2"/>
      <c r="D444" s="2"/>
      <c r="E444" s="2"/>
      <c r="F444" s="3"/>
      <c r="G444" s="3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>
      <c r="A445" s="2"/>
      <c r="B445" s="2"/>
      <c r="C445" s="2"/>
      <c r="D445" s="2"/>
      <c r="E445" s="2"/>
      <c r="F445" s="3"/>
      <c r="G445" s="3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>
      <c r="A446" s="2"/>
      <c r="B446" s="2"/>
      <c r="C446" s="2"/>
      <c r="D446" s="2"/>
      <c r="E446" s="2"/>
      <c r="F446" s="3"/>
      <c r="G446" s="3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</sheetData>
  <autoFilter ref="A1:AK87" xr:uid="{00000000-0001-0000-0000-000000000000}">
    <sortState xmlns:xlrd2="http://schemas.microsoft.com/office/spreadsheetml/2017/richdata2" ref="A2:AK87">
      <sortCondition ref="O1:O87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B04B-B11C-4AA0-BDAE-0A779526B7D1}">
  <dimension ref="B6:AJ92"/>
  <sheetViews>
    <sheetView zoomScaleNormal="100" workbookViewId="0">
      <selection activeCell="O17" sqref="O17"/>
    </sheetView>
  </sheetViews>
  <sheetFormatPr baseColWidth="10" defaultRowHeight="12.75"/>
  <cols>
    <col min="1" max="1" width="4.7109375" style="17" customWidth="1"/>
    <col min="2" max="2" width="15.7109375" style="17" bestFit="1" customWidth="1"/>
    <col min="3" max="3" width="22.42578125" style="17" bestFit="1" customWidth="1"/>
    <col min="4" max="4" width="5.85546875" style="17" customWidth="1"/>
    <col min="5" max="5" width="15.7109375" style="17" bestFit="1" customWidth="1"/>
    <col min="6" max="6" width="25.85546875" style="17" bestFit="1" customWidth="1"/>
    <col min="7" max="7" width="5.28515625" style="17" customWidth="1"/>
    <col min="8" max="8" width="15.7109375" style="17" bestFit="1" customWidth="1"/>
    <col min="9" max="9" width="25.85546875" style="17" bestFit="1" customWidth="1"/>
    <col min="10" max="10" width="6.140625" style="17" customWidth="1"/>
    <col min="11" max="11" width="43.85546875" style="17" bestFit="1" customWidth="1"/>
    <col min="12" max="12" width="7.85546875" style="17" bestFit="1" customWidth="1"/>
    <col min="13" max="13" width="25.85546875" style="17" bestFit="1" customWidth="1"/>
    <col min="14" max="14" width="22.42578125" style="17" bestFit="1" customWidth="1"/>
    <col min="15" max="15" width="18.7109375" style="17" bestFit="1" customWidth="1"/>
    <col min="16" max="16" width="10" style="17" customWidth="1"/>
    <col min="17" max="17" width="15.7109375" style="17" bestFit="1" customWidth="1"/>
    <col min="18" max="18" width="25.85546875" style="17" bestFit="1" customWidth="1"/>
    <col min="19" max="19" width="11.42578125" style="17"/>
    <col min="20" max="20" width="16" style="17" bestFit="1" customWidth="1"/>
    <col min="21" max="21" width="7.85546875" style="17" bestFit="1" customWidth="1"/>
    <col min="22" max="22" width="25.85546875" style="17" bestFit="1" customWidth="1"/>
    <col min="23" max="23" width="22.42578125" style="17" bestFit="1" customWidth="1"/>
    <col min="24" max="24" width="18.7109375" style="17" customWidth="1"/>
    <col min="25" max="25" width="11.42578125" style="17"/>
    <col min="26" max="26" width="15.7109375" style="17" bestFit="1" customWidth="1"/>
    <col min="27" max="27" width="7.85546875" style="17" bestFit="1" customWidth="1"/>
    <col min="28" max="28" width="25.85546875" style="17" bestFit="1" customWidth="1"/>
    <col min="29" max="29" width="22.42578125" style="17" bestFit="1" customWidth="1"/>
    <col min="30" max="30" width="18.7109375" style="17" bestFit="1" customWidth="1"/>
    <col min="31" max="31" width="11.42578125" style="17"/>
    <col min="32" max="32" width="16.28515625" style="17" bestFit="1" customWidth="1"/>
    <col min="33" max="33" width="7.85546875" style="17" bestFit="1" customWidth="1"/>
    <col min="34" max="34" width="25.85546875" style="17" bestFit="1" customWidth="1"/>
    <col min="35" max="35" width="22.42578125" style="17" bestFit="1" customWidth="1"/>
    <col min="36" max="36" width="18.7109375" style="17" bestFit="1" customWidth="1"/>
    <col min="37" max="16384" width="11.42578125" style="17"/>
  </cols>
  <sheetData>
    <row r="6" spans="2:36">
      <c r="B6" s="16" t="s">
        <v>64</v>
      </c>
      <c r="C6" s="16"/>
      <c r="D6" s="16"/>
      <c r="E6" s="16" t="s">
        <v>65</v>
      </c>
      <c r="H6" s="16" t="s">
        <v>66</v>
      </c>
      <c r="K6" s="16" t="s">
        <v>67</v>
      </c>
      <c r="Q6" s="16" t="s">
        <v>68</v>
      </c>
      <c r="T6" s="16" t="s">
        <v>379</v>
      </c>
      <c r="Z6" s="16" t="s">
        <v>378</v>
      </c>
      <c r="AF6" s="16" t="s">
        <v>377</v>
      </c>
    </row>
    <row r="8" spans="2:36">
      <c r="B8" s="18" t="s">
        <v>55</v>
      </c>
      <c r="C8" s="17" t="s">
        <v>217</v>
      </c>
      <c r="E8" s="18" t="s">
        <v>55</v>
      </c>
      <c r="F8" s="17" t="s">
        <v>58</v>
      </c>
      <c r="H8" s="18" t="s">
        <v>55</v>
      </c>
      <c r="I8" s="17" t="s">
        <v>58</v>
      </c>
      <c r="K8" s="18" t="s">
        <v>55</v>
      </c>
      <c r="L8" s="17" t="s">
        <v>222</v>
      </c>
      <c r="M8" s="17" t="s">
        <v>58</v>
      </c>
      <c r="N8" s="17" t="s">
        <v>218</v>
      </c>
      <c r="O8" s="17" t="s">
        <v>219</v>
      </c>
      <c r="Q8" s="18" t="s">
        <v>55</v>
      </c>
      <c r="R8" s="17" t="s">
        <v>58</v>
      </c>
      <c r="T8" s="18" t="s">
        <v>55</v>
      </c>
      <c r="U8" s="17" t="s">
        <v>222</v>
      </c>
      <c r="V8" s="17" t="s">
        <v>58</v>
      </c>
      <c r="W8" s="17" t="s">
        <v>218</v>
      </c>
      <c r="X8" s="17" t="s">
        <v>219</v>
      </c>
      <c r="Z8" s="18" t="s">
        <v>55</v>
      </c>
      <c r="AA8" s="17" t="s">
        <v>222</v>
      </c>
      <c r="AB8" s="17" t="s">
        <v>58</v>
      </c>
      <c r="AC8" s="17" t="s">
        <v>218</v>
      </c>
      <c r="AD8" s="17" t="s">
        <v>219</v>
      </c>
      <c r="AF8" s="18" t="s">
        <v>55</v>
      </c>
      <c r="AG8" s="17" t="s">
        <v>222</v>
      </c>
      <c r="AH8" s="17" t="s">
        <v>58</v>
      </c>
      <c r="AI8" s="17" t="s">
        <v>218</v>
      </c>
      <c r="AJ8" s="17" t="s">
        <v>219</v>
      </c>
    </row>
    <row r="9" spans="2:36">
      <c r="B9" s="19" t="s">
        <v>34</v>
      </c>
      <c r="C9" s="17">
        <v>85</v>
      </c>
      <c r="E9" s="19" t="s">
        <v>34</v>
      </c>
      <c r="F9" s="17">
        <v>25269.81</v>
      </c>
      <c r="H9" s="19" t="s">
        <v>57</v>
      </c>
      <c r="I9" s="17">
        <v>25269.81</v>
      </c>
      <c r="K9" s="19" t="s">
        <v>37</v>
      </c>
      <c r="L9" s="17">
        <v>6</v>
      </c>
      <c r="M9" s="17">
        <v>8310.17</v>
      </c>
      <c r="N9" s="17">
        <v>1495.83</v>
      </c>
      <c r="O9" s="17">
        <v>9806</v>
      </c>
      <c r="Q9" s="19" t="s">
        <v>57</v>
      </c>
      <c r="R9" s="17">
        <v>25269.81</v>
      </c>
      <c r="T9" s="19" t="s">
        <v>60</v>
      </c>
      <c r="U9" s="17">
        <v>2</v>
      </c>
      <c r="V9" s="17">
        <v>1641</v>
      </c>
      <c r="W9" s="17">
        <v>295.38</v>
      </c>
      <c r="X9" s="17">
        <v>1936.38</v>
      </c>
      <c r="Z9" s="20">
        <v>45698</v>
      </c>
      <c r="AA9" s="17">
        <v>2</v>
      </c>
      <c r="AB9" s="17">
        <v>1641</v>
      </c>
      <c r="AC9" s="17">
        <v>295.38</v>
      </c>
      <c r="AD9" s="17">
        <v>1936.38</v>
      </c>
      <c r="AF9" s="19" t="s">
        <v>213</v>
      </c>
      <c r="AG9" s="17">
        <v>3</v>
      </c>
      <c r="AH9" s="17">
        <v>1951.17</v>
      </c>
      <c r="AI9" s="17">
        <v>351.21</v>
      </c>
      <c r="AJ9" s="17">
        <v>2302.38</v>
      </c>
    </row>
    <row r="10" spans="2:36">
      <c r="B10" s="19" t="s">
        <v>56</v>
      </c>
      <c r="C10" s="17">
        <v>85</v>
      </c>
      <c r="E10" s="19" t="s">
        <v>56</v>
      </c>
      <c r="F10" s="17">
        <v>25269.81</v>
      </c>
      <c r="H10" s="19" t="s">
        <v>56</v>
      </c>
      <c r="I10" s="17">
        <v>25269.81</v>
      </c>
      <c r="K10" s="19" t="s">
        <v>27</v>
      </c>
      <c r="L10" s="17">
        <v>33</v>
      </c>
      <c r="M10" s="17">
        <v>6504.15</v>
      </c>
      <c r="N10" s="17">
        <v>1170.7799999999997</v>
      </c>
      <c r="O10" s="17">
        <v>7674.9299999999994</v>
      </c>
      <c r="Q10" s="19" t="s">
        <v>56</v>
      </c>
      <c r="R10" s="17">
        <v>25269.81</v>
      </c>
      <c r="T10" s="27" t="s">
        <v>471</v>
      </c>
      <c r="U10" s="17">
        <v>2</v>
      </c>
      <c r="V10" s="17">
        <v>1641</v>
      </c>
      <c r="W10" s="17">
        <v>295.38</v>
      </c>
      <c r="X10" s="17">
        <v>1936.38</v>
      </c>
      <c r="Z10" s="20">
        <v>45739</v>
      </c>
      <c r="AA10" s="17">
        <v>1</v>
      </c>
      <c r="AB10" s="17">
        <v>310.17</v>
      </c>
      <c r="AC10" s="17">
        <v>55.83</v>
      </c>
      <c r="AD10" s="17">
        <v>366</v>
      </c>
      <c r="AF10" s="19" t="s">
        <v>211</v>
      </c>
      <c r="AG10" s="17">
        <v>1</v>
      </c>
    </row>
    <row r="11" spans="2:36" ht="15">
      <c r="B11"/>
      <c r="C11"/>
      <c r="E11"/>
      <c r="F11"/>
      <c r="K11" s="19" t="s">
        <v>38</v>
      </c>
      <c r="L11" s="17">
        <v>11</v>
      </c>
      <c r="M11" s="17">
        <v>2012.1999999999998</v>
      </c>
      <c r="N11" s="17">
        <v>362.18</v>
      </c>
      <c r="O11" s="17">
        <v>2374.38</v>
      </c>
      <c r="T11" s="28">
        <v>45698</v>
      </c>
      <c r="U11" s="17">
        <v>2</v>
      </c>
      <c r="V11" s="17">
        <v>1641</v>
      </c>
      <c r="W11" s="17">
        <v>295.38</v>
      </c>
      <c r="X11" s="17">
        <v>1936.38</v>
      </c>
      <c r="Z11" s="20">
        <v>45743</v>
      </c>
      <c r="AA11" s="17">
        <v>9</v>
      </c>
      <c r="AB11" s="17">
        <v>2254</v>
      </c>
      <c r="AC11" s="17">
        <v>405.71999999999997</v>
      </c>
      <c r="AD11" s="17">
        <v>2659.72</v>
      </c>
      <c r="AF11" s="19" t="s">
        <v>200</v>
      </c>
      <c r="AG11" s="17">
        <v>1</v>
      </c>
    </row>
    <row r="12" spans="2:36">
      <c r="K12" s="19" t="s">
        <v>35</v>
      </c>
      <c r="L12" s="17">
        <v>28</v>
      </c>
      <c r="M12" s="17">
        <v>6084.1399999999994</v>
      </c>
      <c r="N12" s="17">
        <v>1095.1400000000003</v>
      </c>
      <c r="O12" s="17">
        <v>7179.2800000000007</v>
      </c>
      <c r="T12" s="19" t="s">
        <v>61</v>
      </c>
      <c r="U12" s="17">
        <v>10</v>
      </c>
      <c r="V12" s="17">
        <v>2564.17</v>
      </c>
      <c r="W12" s="17">
        <v>461.54999999999995</v>
      </c>
      <c r="X12" s="17">
        <v>3025.7200000000003</v>
      </c>
      <c r="Z12" s="20">
        <v>45891</v>
      </c>
      <c r="AA12" s="17">
        <v>10</v>
      </c>
      <c r="AB12" s="17">
        <v>1288</v>
      </c>
      <c r="AC12" s="17">
        <v>231.84</v>
      </c>
      <c r="AD12" s="17">
        <v>1519.84</v>
      </c>
      <c r="AF12" s="19" t="s">
        <v>198</v>
      </c>
      <c r="AG12" s="17">
        <v>1</v>
      </c>
    </row>
    <row r="13" spans="2:36">
      <c r="K13" s="19" t="s">
        <v>39</v>
      </c>
      <c r="L13" s="17">
        <v>1</v>
      </c>
      <c r="M13" s="17">
        <v>400</v>
      </c>
      <c r="N13" s="17">
        <v>72</v>
      </c>
      <c r="O13" s="17">
        <v>472</v>
      </c>
      <c r="T13" s="27" t="s">
        <v>472</v>
      </c>
      <c r="U13" s="17">
        <v>1</v>
      </c>
      <c r="V13" s="17">
        <v>310.17</v>
      </c>
      <c r="W13" s="17">
        <v>55.83</v>
      </c>
      <c r="X13" s="17">
        <v>366</v>
      </c>
      <c r="Z13" s="20">
        <v>45894</v>
      </c>
      <c r="AA13" s="17">
        <v>3</v>
      </c>
      <c r="AB13" s="17">
        <v>159.06</v>
      </c>
      <c r="AC13" s="17">
        <v>28.619999999999997</v>
      </c>
      <c r="AD13" s="17">
        <v>187.68</v>
      </c>
      <c r="AF13" s="19" t="s">
        <v>196</v>
      </c>
      <c r="AG13" s="17">
        <v>1</v>
      </c>
    </row>
    <row r="14" spans="2:36">
      <c r="K14" s="19" t="s">
        <v>36</v>
      </c>
      <c r="L14" s="17">
        <v>3</v>
      </c>
      <c r="T14" s="28">
        <v>45739</v>
      </c>
      <c r="U14" s="17">
        <v>1</v>
      </c>
      <c r="V14" s="17">
        <v>310.17</v>
      </c>
      <c r="W14" s="17">
        <v>55.83</v>
      </c>
      <c r="X14" s="17">
        <v>366</v>
      </c>
      <c r="Z14" s="20">
        <v>45896</v>
      </c>
      <c r="AA14" s="17">
        <v>8</v>
      </c>
      <c r="AB14" s="17">
        <v>4576.6499999999996</v>
      </c>
      <c r="AC14" s="17">
        <v>823.79</v>
      </c>
      <c r="AD14" s="17">
        <v>5400.4400000000005</v>
      </c>
      <c r="AF14" s="19" t="s">
        <v>209</v>
      </c>
      <c r="AG14" s="17">
        <v>1</v>
      </c>
    </row>
    <row r="15" spans="2:36">
      <c r="K15" s="19" t="s">
        <v>112</v>
      </c>
      <c r="L15" s="17">
        <v>2</v>
      </c>
      <c r="M15" s="17">
        <v>1533.22</v>
      </c>
      <c r="N15" s="17">
        <v>275.98</v>
      </c>
      <c r="O15" s="17">
        <v>1809.2</v>
      </c>
      <c r="T15" s="27" t="s">
        <v>473</v>
      </c>
      <c r="U15" s="17">
        <v>9</v>
      </c>
      <c r="V15" s="17">
        <v>2254</v>
      </c>
      <c r="W15" s="17">
        <v>405.71999999999997</v>
      </c>
      <c r="X15" s="17">
        <v>2659.72</v>
      </c>
      <c r="Z15" s="20">
        <v>45898</v>
      </c>
      <c r="AA15" s="17">
        <v>1</v>
      </c>
      <c r="AB15" s="17">
        <v>54.15</v>
      </c>
      <c r="AC15" s="17">
        <v>9.75</v>
      </c>
      <c r="AD15" s="17">
        <v>63.9</v>
      </c>
      <c r="AF15" s="19" t="s">
        <v>194</v>
      </c>
      <c r="AG15" s="17">
        <v>1</v>
      </c>
    </row>
    <row r="16" spans="2:36">
      <c r="E16" s="16" t="s">
        <v>220</v>
      </c>
      <c r="K16" s="19" t="s">
        <v>491</v>
      </c>
      <c r="L16" s="17">
        <v>1</v>
      </c>
      <c r="M16" s="17">
        <v>425.93</v>
      </c>
      <c r="N16" s="17">
        <v>76.67</v>
      </c>
      <c r="O16" s="17">
        <v>502.6</v>
      </c>
      <c r="T16" s="28">
        <v>45743</v>
      </c>
      <c r="U16" s="17">
        <v>9</v>
      </c>
      <c r="V16" s="17">
        <v>2254</v>
      </c>
      <c r="W16" s="17">
        <v>405.71999999999997</v>
      </c>
      <c r="X16" s="17">
        <v>2659.72</v>
      </c>
      <c r="Z16" s="20">
        <v>45902</v>
      </c>
      <c r="AA16" s="17">
        <v>5</v>
      </c>
      <c r="AB16" s="17">
        <v>1342.15</v>
      </c>
      <c r="AC16" s="17">
        <v>241.59</v>
      </c>
      <c r="AD16" s="17">
        <v>1583.74</v>
      </c>
      <c r="AF16" s="19" t="s">
        <v>192</v>
      </c>
      <c r="AG16" s="17">
        <v>1</v>
      </c>
    </row>
    <row r="17" spans="5:36">
      <c r="K17" s="19" t="s">
        <v>56</v>
      </c>
      <c r="L17" s="17">
        <v>85</v>
      </c>
      <c r="M17" s="17">
        <v>25269.809999999998</v>
      </c>
      <c r="N17" s="17">
        <v>4548.5800000000008</v>
      </c>
      <c r="O17" s="17">
        <v>29818.389999999981</v>
      </c>
      <c r="T17" s="19" t="s">
        <v>62</v>
      </c>
      <c r="U17" s="17">
        <v>22</v>
      </c>
      <c r="V17" s="17">
        <v>6077.8599999999988</v>
      </c>
      <c r="W17" s="17">
        <v>1094</v>
      </c>
      <c r="X17" s="17">
        <v>7171.86</v>
      </c>
      <c r="Z17" s="20">
        <v>45903</v>
      </c>
      <c r="AA17" s="17">
        <v>1</v>
      </c>
      <c r="AB17" s="17">
        <v>322</v>
      </c>
      <c r="AC17" s="17">
        <v>57.96</v>
      </c>
      <c r="AD17" s="17">
        <v>379.96</v>
      </c>
      <c r="AF17" s="19" t="s">
        <v>190</v>
      </c>
      <c r="AG17" s="17">
        <v>1</v>
      </c>
    </row>
    <row r="18" spans="5:36" ht="15">
      <c r="E18" s="18" t="s">
        <v>55</v>
      </c>
      <c r="F18" s="17" t="s">
        <v>218</v>
      </c>
      <c r="K18"/>
      <c r="L18"/>
      <c r="M18"/>
      <c r="N18"/>
      <c r="O18"/>
      <c r="T18" s="27" t="s">
        <v>474</v>
      </c>
      <c r="U18" s="17">
        <v>10</v>
      </c>
      <c r="V18" s="17">
        <v>1288</v>
      </c>
      <c r="W18" s="17">
        <v>231.84</v>
      </c>
      <c r="X18" s="17">
        <v>1519.84</v>
      </c>
      <c r="Z18" s="20">
        <v>45908</v>
      </c>
      <c r="AA18" s="17">
        <v>18</v>
      </c>
      <c r="AB18" s="17">
        <v>2074.48</v>
      </c>
      <c r="AC18" s="17">
        <v>373.44999999999993</v>
      </c>
      <c r="AD18" s="17">
        <v>2447.9299999999998</v>
      </c>
      <c r="AF18" s="19" t="s">
        <v>188</v>
      </c>
      <c r="AG18" s="17">
        <v>1</v>
      </c>
      <c r="AH18" s="17">
        <v>322</v>
      </c>
      <c r="AI18" s="17">
        <v>57.96</v>
      </c>
      <c r="AJ18" s="17">
        <v>379.96</v>
      </c>
    </row>
    <row r="19" spans="5:36" ht="15">
      <c r="E19" s="19" t="s">
        <v>34</v>
      </c>
      <c r="F19" s="17">
        <v>4548.5800000000008</v>
      </c>
      <c r="K19"/>
      <c r="L19"/>
      <c r="M19"/>
      <c r="N19"/>
      <c r="O19"/>
      <c r="T19" s="28">
        <v>45891</v>
      </c>
      <c r="U19" s="17">
        <v>10</v>
      </c>
      <c r="V19" s="17">
        <v>1288</v>
      </c>
      <c r="W19" s="17">
        <v>231.84</v>
      </c>
      <c r="X19" s="17">
        <v>1519.84</v>
      </c>
      <c r="Z19" s="20">
        <v>45912</v>
      </c>
      <c r="AA19" s="17">
        <v>1</v>
      </c>
      <c r="AB19" s="17">
        <v>33.9</v>
      </c>
      <c r="AC19" s="17">
        <v>6.1</v>
      </c>
      <c r="AD19" s="17">
        <v>40</v>
      </c>
      <c r="AF19" s="19" t="s">
        <v>186</v>
      </c>
      <c r="AG19" s="17">
        <v>1</v>
      </c>
      <c r="AH19" s="17">
        <v>322</v>
      </c>
      <c r="AI19" s="17">
        <v>57.96</v>
      </c>
      <c r="AJ19" s="17">
        <v>379.96</v>
      </c>
    </row>
    <row r="20" spans="5:36">
      <c r="E20" s="19" t="s">
        <v>56</v>
      </c>
      <c r="F20" s="17">
        <v>4548.5800000000008</v>
      </c>
      <c r="T20" s="27" t="s">
        <v>475</v>
      </c>
      <c r="U20" s="17">
        <v>3</v>
      </c>
      <c r="V20" s="17">
        <v>159.06</v>
      </c>
      <c r="W20" s="17">
        <v>28.619999999999997</v>
      </c>
      <c r="X20" s="17">
        <v>187.68</v>
      </c>
      <c r="Z20" s="20">
        <v>45916</v>
      </c>
      <c r="AA20" s="17">
        <v>1</v>
      </c>
      <c r="AF20" s="19" t="s">
        <v>180</v>
      </c>
      <c r="AG20" s="17">
        <v>1</v>
      </c>
      <c r="AH20" s="17">
        <v>51.86</v>
      </c>
      <c r="AI20" s="17">
        <v>9.33</v>
      </c>
      <c r="AJ20" s="17">
        <v>61.19</v>
      </c>
    </row>
    <row r="21" spans="5:36" ht="15">
      <c r="E21"/>
      <c r="F21"/>
      <c r="T21" s="28">
        <v>45894</v>
      </c>
      <c r="U21" s="17">
        <v>3</v>
      </c>
      <c r="V21" s="17">
        <v>159.06</v>
      </c>
      <c r="W21" s="17">
        <v>28.619999999999997</v>
      </c>
      <c r="X21" s="17">
        <v>187.68</v>
      </c>
      <c r="Z21" s="20">
        <v>45917</v>
      </c>
      <c r="AA21" s="17">
        <v>17</v>
      </c>
      <c r="AB21" s="17">
        <v>1204.2500000000002</v>
      </c>
      <c r="AC21" s="17">
        <v>216.75</v>
      </c>
      <c r="AD21" s="17">
        <v>1421</v>
      </c>
      <c r="AF21" s="19" t="s">
        <v>184</v>
      </c>
      <c r="AG21" s="17">
        <v>1</v>
      </c>
      <c r="AH21" s="17">
        <v>322</v>
      </c>
      <c r="AI21" s="17">
        <v>57.96</v>
      </c>
      <c r="AJ21" s="17">
        <v>379.96</v>
      </c>
    </row>
    <row r="22" spans="5:36">
      <c r="T22" s="27" t="s">
        <v>476</v>
      </c>
      <c r="U22" s="17">
        <v>8</v>
      </c>
      <c r="V22" s="17">
        <v>4576.6499999999996</v>
      </c>
      <c r="W22" s="17">
        <v>823.79</v>
      </c>
      <c r="X22" s="17">
        <v>5400.4400000000005</v>
      </c>
      <c r="Z22" s="20">
        <v>45919</v>
      </c>
      <c r="AA22" s="17">
        <v>6</v>
      </c>
      <c r="AB22" s="17">
        <v>9406.7799999999988</v>
      </c>
      <c r="AC22" s="17">
        <v>1693.22</v>
      </c>
      <c r="AD22" s="17">
        <v>11100</v>
      </c>
      <c r="AF22" s="19" t="s">
        <v>177</v>
      </c>
      <c r="AG22" s="17">
        <v>1</v>
      </c>
      <c r="AH22" s="17">
        <v>51.86</v>
      </c>
      <c r="AI22" s="17">
        <v>9.33</v>
      </c>
      <c r="AJ22" s="17">
        <v>61.19</v>
      </c>
    </row>
    <row r="23" spans="5:36">
      <c r="T23" s="28">
        <v>45896</v>
      </c>
      <c r="U23" s="17">
        <v>8</v>
      </c>
      <c r="V23" s="17">
        <v>4576.6499999999996</v>
      </c>
      <c r="W23" s="17">
        <v>823.79</v>
      </c>
      <c r="X23" s="17">
        <v>5400.4400000000005</v>
      </c>
      <c r="Z23" s="20">
        <v>45934</v>
      </c>
      <c r="AA23" s="17">
        <v>1</v>
      </c>
      <c r="AB23" s="17">
        <v>425.93</v>
      </c>
      <c r="AC23" s="17">
        <v>76.67</v>
      </c>
      <c r="AD23" s="17">
        <v>502.6</v>
      </c>
      <c r="AF23" s="19" t="s">
        <v>176</v>
      </c>
      <c r="AG23" s="17">
        <v>1</v>
      </c>
      <c r="AH23" s="17">
        <v>55.34</v>
      </c>
      <c r="AI23" s="17">
        <v>9.9600000000000009</v>
      </c>
      <c r="AJ23" s="17">
        <v>65.3</v>
      </c>
    </row>
    <row r="24" spans="5:36">
      <c r="T24" s="27" t="s">
        <v>477</v>
      </c>
      <c r="U24" s="17">
        <v>1</v>
      </c>
      <c r="V24" s="17">
        <v>54.15</v>
      </c>
      <c r="W24" s="17">
        <v>9.75</v>
      </c>
      <c r="X24" s="17">
        <v>63.9</v>
      </c>
      <c r="Z24" s="20">
        <v>45936</v>
      </c>
      <c r="AA24" s="17">
        <v>1</v>
      </c>
      <c r="AB24" s="17">
        <v>177.29</v>
      </c>
      <c r="AC24" s="17">
        <v>31.91</v>
      </c>
      <c r="AD24" s="17">
        <v>209.2</v>
      </c>
      <c r="AF24" s="19" t="s">
        <v>182</v>
      </c>
      <c r="AG24" s="17">
        <v>1</v>
      </c>
      <c r="AH24" s="17">
        <v>322</v>
      </c>
      <c r="AI24" s="17">
        <v>57.96</v>
      </c>
      <c r="AJ24" s="17">
        <v>379.96</v>
      </c>
    </row>
    <row r="25" spans="5:36">
      <c r="T25" s="28">
        <v>45898</v>
      </c>
      <c r="U25" s="17">
        <v>1</v>
      </c>
      <c r="V25" s="17">
        <v>54.15</v>
      </c>
      <c r="W25" s="17">
        <v>9.75</v>
      </c>
      <c r="X25" s="17">
        <v>63.9</v>
      </c>
      <c r="Z25" s="20" t="s">
        <v>56</v>
      </c>
      <c r="AA25" s="17">
        <v>85</v>
      </c>
      <c r="AB25" s="17">
        <v>25269.809999999998</v>
      </c>
      <c r="AC25" s="17">
        <v>4548.5800000000017</v>
      </c>
      <c r="AD25" s="17">
        <v>29818.389999999996</v>
      </c>
      <c r="AF25" s="19" t="s">
        <v>140</v>
      </c>
      <c r="AG25" s="17">
        <v>1</v>
      </c>
    </row>
    <row r="26" spans="5:36" ht="15">
      <c r="T26" s="19" t="s">
        <v>63</v>
      </c>
      <c r="U26" s="17">
        <v>49</v>
      </c>
      <c r="V26" s="17">
        <v>14383.56</v>
      </c>
      <c r="W26" s="17">
        <v>2589.0700000000006</v>
      </c>
      <c r="X26" s="17">
        <v>16972.63</v>
      </c>
      <c r="Z26"/>
      <c r="AA26"/>
      <c r="AB26"/>
      <c r="AC26"/>
      <c r="AD26"/>
      <c r="AF26" s="19" t="s">
        <v>121</v>
      </c>
      <c r="AG26" s="17">
        <v>1</v>
      </c>
    </row>
    <row r="27" spans="5:36">
      <c r="E27" s="16" t="s">
        <v>221</v>
      </c>
      <c r="T27" s="27" t="s">
        <v>478</v>
      </c>
      <c r="U27" s="17">
        <v>5</v>
      </c>
      <c r="V27" s="17">
        <v>1342.15</v>
      </c>
      <c r="W27" s="17">
        <v>241.59</v>
      </c>
      <c r="X27" s="17">
        <v>1583.74</v>
      </c>
      <c r="AF27" s="19" t="s">
        <v>119</v>
      </c>
      <c r="AG27" s="17">
        <v>1</v>
      </c>
      <c r="AH27" s="17">
        <v>2000</v>
      </c>
      <c r="AI27" s="17">
        <v>360</v>
      </c>
      <c r="AJ27" s="17">
        <v>2360</v>
      </c>
    </row>
    <row r="28" spans="5:36">
      <c r="T28" s="28">
        <v>45902</v>
      </c>
      <c r="U28" s="17">
        <v>5</v>
      </c>
      <c r="V28" s="17">
        <v>1342.15</v>
      </c>
      <c r="W28" s="17">
        <v>241.59</v>
      </c>
      <c r="X28" s="17">
        <v>1583.74</v>
      </c>
      <c r="AF28" s="19" t="s">
        <v>117</v>
      </c>
      <c r="AG28" s="17">
        <v>1</v>
      </c>
      <c r="AH28" s="17">
        <v>2000</v>
      </c>
      <c r="AI28" s="17">
        <v>360</v>
      </c>
      <c r="AJ28" s="17">
        <v>2360</v>
      </c>
    </row>
    <row r="29" spans="5:36">
      <c r="E29" s="18" t="s">
        <v>55</v>
      </c>
      <c r="F29" s="17" t="s">
        <v>219</v>
      </c>
      <c r="T29" s="27" t="s">
        <v>479</v>
      </c>
      <c r="U29" s="17">
        <v>1</v>
      </c>
      <c r="V29" s="17">
        <v>322</v>
      </c>
      <c r="W29" s="17">
        <v>57.96</v>
      </c>
      <c r="X29" s="17">
        <v>379.96</v>
      </c>
      <c r="AF29" s="19" t="s">
        <v>114</v>
      </c>
      <c r="AG29" s="17">
        <v>1</v>
      </c>
      <c r="AH29" s="17">
        <v>4000</v>
      </c>
      <c r="AI29" s="17">
        <v>720</v>
      </c>
      <c r="AJ29" s="17">
        <v>4720</v>
      </c>
    </row>
    <row r="30" spans="5:36">
      <c r="E30" s="19" t="s">
        <v>34</v>
      </c>
      <c r="F30" s="17">
        <v>29818.389999999985</v>
      </c>
      <c r="T30" s="28">
        <v>45903</v>
      </c>
      <c r="U30" s="17">
        <v>1</v>
      </c>
      <c r="V30" s="17">
        <v>322</v>
      </c>
      <c r="W30" s="17">
        <v>57.96</v>
      </c>
      <c r="X30" s="17">
        <v>379.96</v>
      </c>
      <c r="AF30" s="19" t="s">
        <v>208</v>
      </c>
      <c r="AG30" s="17">
        <v>1</v>
      </c>
      <c r="AH30" s="17">
        <v>322</v>
      </c>
      <c r="AI30" s="17">
        <v>57.96</v>
      </c>
      <c r="AJ30" s="17">
        <v>379.96</v>
      </c>
    </row>
    <row r="31" spans="5:36">
      <c r="E31" s="19" t="s">
        <v>56</v>
      </c>
      <c r="F31" s="17">
        <v>29818.389999999985</v>
      </c>
      <c r="T31" s="27" t="s">
        <v>480</v>
      </c>
      <c r="U31" s="17">
        <v>18</v>
      </c>
      <c r="V31" s="17">
        <v>2074.48</v>
      </c>
      <c r="W31" s="17">
        <v>373.44999999999993</v>
      </c>
      <c r="X31" s="17">
        <v>2447.9299999999998</v>
      </c>
      <c r="AF31" s="19" t="s">
        <v>207</v>
      </c>
      <c r="AG31" s="17">
        <v>1</v>
      </c>
      <c r="AH31" s="17">
        <v>322</v>
      </c>
      <c r="AI31" s="17">
        <v>57.96</v>
      </c>
      <c r="AJ31" s="17">
        <v>379.96</v>
      </c>
    </row>
    <row r="32" spans="5:36" ht="15">
      <c r="E32"/>
      <c r="F32"/>
      <c r="T32" s="28">
        <v>45908</v>
      </c>
      <c r="U32" s="17">
        <v>18</v>
      </c>
      <c r="V32" s="17">
        <v>2074.48</v>
      </c>
      <c r="W32" s="17">
        <v>373.44999999999993</v>
      </c>
      <c r="X32" s="17">
        <v>2447.9299999999998</v>
      </c>
      <c r="AF32" s="19" t="s">
        <v>206</v>
      </c>
      <c r="AG32" s="17">
        <v>1</v>
      </c>
      <c r="AH32" s="17">
        <v>322</v>
      </c>
      <c r="AI32" s="17">
        <v>57.96</v>
      </c>
      <c r="AJ32" s="17">
        <v>379.96</v>
      </c>
    </row>
    <row r="33" spans="20:36">
      <c r="T33" s="27" t="s">
        <v>481</v>
      </c>
      <c r="U33" s="17">
        <v>1</v>
      </c>
      <c r="V33" s="17">
        <v>33.9</v>
      </c>
      <c r="W33" s="17">
        <v>6.1</v>
      </c>
      <c r="X33" s="17">
        <v>40</v>
      </c>
      <c r="AF33" s="19" t="s">
        <v>205</v>
      </c>
      <c r="AG33" s="17">
        <v>1</v>
      </c>
      <c r="AH33" s="17">
        <v>322</v>
      </c>
      <c r="AI33" s="17">
        <v>57.96</v>
      </c>
      <c r="AJ33" s="17">
        <v>379.96</v>
      </c>
    </row>
    <row r="34" spans="20:36">
      <c r="T34" s="28">
        <v>45912</v>
      </c>
      <c r="U34" s="17">
        <v>1</v>
      </c>
      <c r="V34" s="17">
        <v>33.9</v>
      </c>
      <c r="W34" s="17">
        <v>6.1</v>
      </c>
      <c r="X34" s="17">
        <v>40</v>
      </c>
      <c r="AF34" s="19" t="s">
        <v>204</v>
      </c>
      <c r="AG34" s="17">
        <v>1</v>
      </c>
      <c r="AH34" s="17">
        <v>322</v>
      </c>
      <c r="AI34" s="17">
        <v>57.96</v>
      </c>
      <c r="AJ34" s="17">
        <v>379.96</v>
      </c>
    </row>
    <row r="35" spans="20:36">
      <c r="T35" s="27" t="s">
        <v>482</v>
      </c>
      <c r="U35" s="17">
        <v>1</v>
      </c>
      <c r="AF35" s="19" t="s">
        <v>175</v>
      </c>
      <c r="AG35" s="17">
        <v>1</v>
      </c>
      <c r="AH35" s="17">
        <v>51.99</v>
      </c>
      <c r="AI35" s="17">
        <v>9.36</v>
      </c>
      <c r="AJ35" s="17">
        <v>61.35</v>
      </c>
    </row>
    <row r="36" spans="20:36">
      <c r="T36" s="28">
        <v>45916</v>
      </c>
      <c r="U36" s="17">
        <v>1</v>
      </c>
      <c r="AF36" s="19" t="s">
        <v>174</v>
      </c>
      <c r="AG36" s="17">
        <v>1</v>
      </c>
      <c r="AH36" s="17">
        <v>677.97</v>
      </c>
      <c r="AI36" s="17">
        <v>122.03</v>
      </c>
      <c r="AJ36" s="17">
        <v>800</v>
      </c>
    </row>
    <row r="37" spans="20:36">
      <c r="T37" s="27" t="s">
        <v>483</v>
      </c>
      <c r="U37" s="17">
        <v>17</v>
      </c>
      <c r="V37" s="17">
        <v>1204.2500000000002</v>
      </c>
      <c r="W37" s="17">
        <v>216.75</v>
      </c>
      <c r="X37" s="17">
        <v>1421</v>
      </c>
      <c r="AF37" s="19" t="s">
        <v>173</v>
      </c>
      <c r="AG37" s="17">
        <v>1</v>
      </c>
      <c r="AH37" s="17">
        <v>805.08</v>
      </c>
      <c r="AI37" s="17">
        <v>144.91</v>
      </c>
      <c r="AJ37" s="17">
        <v>949.99</v>
      </c>
    </row>
    <row r="38" spans="20:36">
      <c r="T38" s="28">
        <v>45917</v>
      </c>
      <c r="U38" s="17">
        <v>17</v>
      </c>
      <c r="V38" s="17">
        <v>1204.2500000000002</v>
      </c>
      <c r="W38" s="17">
        <v>216.75</v>
      </c>
      <c r="X38" s="17">
        <v>1421</v>
      </c>
      <c r="AF38" s="19" t="s">
        <v>172</v>
      </c>
      <c r="AG38" s="17">
        <v>1</v>
      </c>
      <c r="AH38" s="17">
        <v>1016.95</v>
      </c>
      <c r="AI38" s="17">
        <v>183.05</v>
      </c>
      <c r="AJ38" s="17">
        <v>1200</v>
      </c>
    </row>
    <row r="39" spans="20:36">
      <c r="T39" s="27" t="s">
        <v>484</v>
      </c>
      <c r="U39" s="17">
        <v>6</v>
      </c>
      <c r="V39" s="17">
        <v>9406.7799999999988</v>
      </c>
      <c r="W39" s="17">
        <v>1693.22</v>
      </c>
      <c r="X39" s="17">
        <v>11100</v>
      </c>
      <c r="AF39" s="19" t="s">
        <v>171</v>
      </c>
      <c r="AG39" s="17">
        <v>1</v>
      </c>
      <c r="AH39" s="17">
        <v>1016.95</v>
      </c>
      <c r="AI39" s="17">
        <v>183.05</v>
      </c>
      <c r="AJ39" s="17">
        <v>1200</v>
      </c>
    </row>
    <row r="40" spans="20:36">
      <c r="T40" s="28">
        <v>45919</v>
      </c>
      <c r="U40" s="17">
        <v>6</v>
      </c>
      <c r="V40" s="17">
        <v>9406.7799999999988</v>
      </c>
      <c r="W40" s="17">
        <v>1693.22</v>
      </c>
      <c r="X40" s="17">
        <v>11100</v>
      </c>
      <c r="AF40" s="19" t="s">
        <v>170</v>
      </c>
      <c r="AG40" s="17">
        <v>1</v>
      </c>
      <c r="AH40" s="17">
        <v>53.81</v>
      </c>
      <c r="AI40" s="17">
        <v>9.69</v>
      </c>
      <c r="AJ40" s="17">
        <v>63.5</v>
      </c>
    </row>
    <row r="41" spans="20:36">
      <c r="T41" s="19" t="s">
        <v>492</v>
      </c>
      <c r="U41" s="17">
        <v>2</v>
      </c>
      <c r="V41" s="17">
        <v>603.22</v>
      </c>
      <c r="W41" s="17">
        <v>108.58</v>
      </c>
      <c r="X41" s="17">
        <v>711.8</v>
      </c>
      <c r="AF41" s="19" t="s">
        <v>169</v>
      </c>
      <c r="AG41" s="17">
        <v>1</v>
      </c>
      <c r="AH41" s="17">
        <v>53.9</v>
      </c>
      <c r="AI41" s="17">
        <v>9.6999999999999993</v>
      </c>
      <c r="AJ41" s="17">
        <v>63.6</v>
      </c>
    </row>
    <row r="42" spans="20:36">
      <c r="T42" s="27" t="s">
        <v>498</v>
      </c>
      <c r="U42" s="17">
        <v>1</v>
      </c>
      <c r="V42" s="17">
        <v>425.93</v>
      </c>
      <c r="W42" s="17">
        <v>76.67</v>
      </c>
      <c r="X42" s="17">
        <v>502.6</v>
      </c>
      <c r="AF42" s="19" t="s">
        <v>168</v>
      </c>
      <c r="AG42" s="17">
        <v>1</v>
      </c>
      <c r="AH42" s="17">
        <v>900</v>
      </c>
      <c r="AI42" s="17">
        <v>162</v>
      </c>
      <c r="AJ42" s="17">
        <v>1062</v>
      </c>
    </row>
    <row r="43" spans="20:36">
      <c r="T43" s="28">
        <v>45934</v>
      </c>
      <c r="U43" s="17">
        <v>1</v>
      </c>
      <c r="V43" s="17">
        <v>425.93</v>
      </c>
      <c r="W43" s="17">
        <v>76.67</v>
      </c>
      <c r="X43" s="17">
        <v>502.6</v>
      </c>
      <c r="AF43" s="19" t="s">
        <v>167</v>
      </c>
      <c r="AG43" s="17">
        <v>1</v>
      </c>
      <c r="AH43" s="17">
        <v>54.15</v>
      </c>
      <c r="AI43" s="17">
        <v>9.75</v>
      </c>
      <c r="AJ43" s="17">
        <v>63.9</v>
      </c>
    </row>
    <row r="44" spans="20:36">
      <c r="T44" s="27" t="s">
        <v>499</v>
      </c>
      <c r="U44" s="17">
        <v>1</v>
      </c>
      <c r="V44" s="17">
        <v>177.29</v>
      </c>
      <c r="W44" s="17">
        <v>31.91</v>
      </c>
      <c r="X44" s="17">
        <v>209.2</v>
      </c>
      <c r="AF44" s="19" t="s">
        <v>166</v>
      </c>
      <c r="AG44" s="17">
        <v>1</v>
      </c>
      <c r="AH44" s="17">
        <v>54.15</v>
      </c>
      <c r="AI44" s="17">
        <v>9.75</v>
      </c>
      <c r="AJ44" s="17">
        <v>63.9</v>
      </c>
    </row>
    <row r="45" spans="20:36">
      <c r="T45" s="28">
        <v>45936</v>
      </c>
      <c r="U45" s="17">
        <v>1</v>
      </c>
      <c r="V45" s="17">
        <v>177.29</v>
      </c>
      <c r="W45" s="17">
        <v>31.91</v>
      </c>
      <c r="X45" s="17">
        <v>209.2</v>
      </c>
      <c r="AF45" s="19" t="s">
        <v>203</v>
      </c>
      <c r="AG45" s="17">
        <v>1</v>
      </c>
      <c r="AH45" s="17">
        <v>322</v>
      </c>
      <c r="AI45" s="17">
        <v>57.96</v>
      </c>
      <c r="AJ45" s="17">
        <v>379.96</v>
      </c>
    </row>
    <row r="46" spans="20:36">
      <c r="T46" s="19" t="s">
        <v>56</v>
      </c>
      <c r="U46" s="17">
        <v>85</v>
      </c>
      <c r="V46" s="17">
        <v>25269.809999999998</v>
      </c>
      <c r="W46" s="17">
        <v>4548.5800000000017</v>
      </c>
      <c r="X46" s="17">
        <v>29818.389999999996</v>
      </c>
      <c r="AF46" s="19" t="s">
        <v>165</v>
      </c>
      <c r="AG46" s="17">
        <v>1</v>
      </c>
      <c r="AH46" s="17">
        <v>322</v>
      </c>
      <c r="AI46" s="17">
        <v>57.96</v>
      </c>
      <c r="AJ46" s="17">
        <v>379.96</v>
      </c>
    </row>
    <row r="47" spans="20:36" ht="15">
      <c r="T47"/>
      <c r="U47"/>
      <c r="V47"/>
      <c r="W47"/>
      <c r="X47"/>
      <c r="AF47" s="19" t="s">
        <v>164</v>
      </c>
      <c r="AG47" s="17">
        <v>1</v>
      </c>
      <c r="AH47" s="17">
        <v>322</v>
      </c>
      <c r="AI47" s="17">
        <v>57.96</v>
      </c>
      <c r="AJ47" s="17">
        <v>379.96</v>
      </c>
    </row>
    <row r="48" spans="20:36" ht="15">
      <c r="T48"/>
      <c r="U48"/>
      <c r="V48"/>
      <c r="W48"/>
      <c r="X48"/>
      <c r="AF48" s="19" t="s">
        <v>202</v>
      </c>
      <c r="AG48" s="17">
        <v>1</v>
      </c>
      <c r="AH48" s="17">
        <v>322</v>
      </c>
      <c r="AI48" s="17">
        <v>57.96</v>
      </c>
      <c r="AJ48" s="17">
        <v>379.96</v>
      </c>
    </row>
    <row r="49" spans="32:36">
      <c r="AF49" s="19" t="s">
        <v>163</v>
      </c>
      <c r="AG49" s="17">
        <v>1</v>
      </c>
      <c r="AH49" s="17">
        <v>322</v>
      </c>
      <c r="AI49" s="17">
        <v>57.96</v>
      </c>
      <c r="AJ49" s="17">
        <v>379.96</v>
      </c>
    </row>
    <row r="50" spans="32:36">
      <c r="AF50" s="19" t="s">
        <v>162</v>
      </c>
      <c r="AG50" s="17">
        <v>1</v>
      </c>
      <c r="AH50" s="17">
        <v>322</v>
      </c>
      <c r="AI50" s="17">
        <v>57.96</v>
      </c>
      <c r="AJ50" s="17">
        <v>379.96</v>
      </c>
    </row>
    <row r="51" spans="32:36">
      <c r="AF51" s="19" t="s">
        <v>161</v>
      </c>
      <c r="AG51" s="17">
        <v>1</v>
      </c>
      <c r="AH51" s="17">
        <v>322</v>
      </c>
      <c r="AI51" s="17">
        <v>57.96</v>
      </c>
      <c r="AJ51" s="17">
        <v>379.96</v>
      </c>
    </row>
    <row r="52" spans="32:36">
      <c r="AF52" s="19" t="s">
        <v>160</v>
      </c>
      <c r="AG52" s="17">
        <v>1</v>
      </c>
      <c r="AH52" s="17">
        <v>78.81</v>
      </c>
      <c r="AI52" s="17">
        <v>14.19</v>
      </c>
      <c r="AJ52" s="17">
        <v>93</v>
      </c>
    </row>
    <row r="53" spans="32:36">
      <c r="AF53" s="19" t="s">
        <v>159</v>
      </c>
      <c r="AG53" s="17">
        <v>1</v>
      </c>
      <c r="AH53" s="17">
        <v>76.27</v>
      </c>
      <c r="AI53" s="17">
        <v>13.73</v>
      </c>
      <c r="AJ53" s="17">
        <v>90</v>
      </c>
    </row>
    <row r="54" spans="32:36">
      <c r="AF54" s="19" t="s">
        <v>158</v>
      </c>
      <c r="AG54" s="17">
        <v>1</v>
      </c>
      <c r="AH54" s="17">
        <v>322</v>
      </c>
      <c r="AI54" s="17">
        <v>57.96</v>
      </c>
      <c r="AJ54" s="17">
        <v>379.96</v>
      </c>
    </row>
    <row r="55" spans="32:36">
      <c r="AF55" s="19" t="s">
        <v>157</v>
      </c>
      <c r="AG55" s="17">
        <v>1</v>
      </c>
      <c r="AH55" s="17">
        <v>322</v>
      </c>
      <c r="AI55" s="17">
        <v>57.96</v>
      </c>
      <c r="AJ55" s="17">
        <v>379.96</v>
      </c>
    </row>
    <row r="56" spans="32:36">
      <c r="AF56" s="19" t="s">
        <v>156</v>
      </c>
      <c r="AG56" s="17">
        <v>1</v>
      </c>
      <c r="AH56" s="17">
        <v>65.25</v>
      </c>
      <c r="AI56" s="17">
        <v>11.75</v>
      </c>
      <c r="AJ56" s="17">
        <v>77</v>
      </c>
    </row>
    <row r="57" spans="32:36">
      <c r="AF57" s="19" t="s">
        <v>155</v>
      </c>
      <c r="AG57" s="17">
        <v>1</v>
      </c>
      <c r="AH57" s="17">
        <v>65.25</v>
      </c>
      <c r="AI57" s="17">
        <v>11.75</v>
      </c>
      <c r="AJ57" s="17">
        <v>77</v>
      </c>
    </row>
    <row r="58" spans="32:36">
      <c r="AF58" s="19" t="s">
        <v>154</v>
      </c>
      <c r="AG58" s="17">
        <v>1</v>
      </c>
      <c r="AH58" s="17">
        <v>65.25</v>
      </c>
      <c r="AI58" s="17">
        <v>11.75</v>
      </c>
      <c r="AJ58" s="17">
        <v>77</v>
      </c>
    </row>
    <row r="59" spans="32:36">
      <c r="AF59" s="19" t="s">
        <v>153</v>
      </c>
      <c r="AG59" s="17">
        <v>1</v>
      </c>
      <c r="AH59" s="17">
        <v>65.25</v>
      </c>
      <c r="AI59" s="17">
        <v>11.75</v>
      </c>
      <c r="AJ59" s="17">
        <v>77</v>
      </c>
    </row>
    <row r="60" spans="32:36">
      <c r="AF60" s="19" t="s">
        <v>152</v>
      </c>
      <c r="AG60" s="17">
        <v>1</v>
      </c>
      <c r="AH60" s="17">
        <v>65.25</v>
      </c>
      <c r="AI60" s="17">
        <v>11.75</v>
      </c>
      <c r="AJ60" s="17">
        <v>77</v>
      </c>
    </row>
    <row r="61" spans="32:36">
      <c r="AF61" s="19" t="s">
        <v>150</v>
      </c>
      <c r="AG61" s="17">
        <v>1</v>
      </c>
      <c r="AH61" s="17">
        <v>104.24</v>
      </c>
      <c r="AI61" s="17">
        <v>18.760000000000002</v>
      </c>
      <c r="AJ61" s="17">
        <v>123</v>
      </c>
    </row>
    <row r="62" spans="32:36">
      <c r="AF62" s="19" t="s">
        <v>149</v>
      </c>
      <c r="AG62" s="17">
        <v>1</v>
      </c>
      <c r="AH62" s="17">
        <v>84.75</v>
      </c>
      <c r="AI62" s="17">
        <v>15.26</v>
      </c>
      <c r="AJ62" s="17">
        <v>100.01</v>
      </c>
    </row>
    <row r="63" spans="32:36">
      <c r="AF63" s="19" t="s">
        <v>148</v>
      </c>
      <c r="AG63" s="17">
        <v>1</v>
      </c>
      <c r="AH63" s="17">
        <v>110.17</v>
      </c>
      <c r="AI63" s="17">
        <v>19.829999999999998</v>
      </c>
      <c r="AJ63" s="17">
        <v>130</v>
      </c>
    </row>
    <row r="64" spans="32:36">
      <c r="AF64" s="19" t="s">
        <v>25</v>
      </c>
      <c r="AG64" s="17">
        <v>1</v>
      </c>
      <c r="AH64" s="17">
        <v>127.12</v>
      </c>
      <c r="AI64" s="17">
        <v>22.88</v>
      </c>
      <c r="AJ64" s="17">
        <v>150</v>
      </c>
    </row>
    <row r="65" spans="32:36">
      <c r="AF65" s="19" t="s">
        <v>147</v>
      </c>
      <c r="AG65" s="17">
        <v>1</v>
      </c>
      <c r="AH65" s="17">
        <v>93.22</v>
      </c>
      <c r="AI65" s="17">
        <v>16.78</v>
      </c>
      <c r="AJ65" s="17">
        <v>110</v>
      </c>
    </row>
    <row r="66" spans="32:36">
      <c r="AF66" s="19" t="s">
        <v>146</v>
      </c>
      <c r="AG66" s="17">
        <v>1</v>
      </c>
      <c r="AH66" s="17">
        <v>135.59</v>
      </c>
      <c r="AI66" s="17">
        <v>24.41</v>
      </c>
      <c r="AJ66" s="17">
        <v>160</v>
      </c>
    </row>
    <row r="67" spans="32:36">
      <c r="AF67" s="19" t="s">
        <v>145</v>
      </c>
      <c r="AG67" s="17">
        <v>1</v>
      </c>
      <c r="AH67" s="17">
        <v>110.17</v>
      </c>
      <c r="AI67" s="17">
        <v>19.829999999999998</v>
      </c>
      <c r="AJ67" s="17">
        <v>130</v>
      </c>
    </row>
    <row r="68" spans="32:36">
      <c r="AF68" s="19" t="s">
        <v>144</v>
      </c>
      <c r="AG68" s="17">
        <v>1</v>
      </c>
      <c r="AH68" s="17">
        <v>118.64</v>
      </c>
      <c r="AI68" s="17">
        <v>21.36</v>
      </c>
      <c r="AJ68" s="17">
        <v>140</v>
      </c>
    </row>
    <row r="69" spans="32:36">
      <c r="AF69" s="19" t="s">
        <v>143</v>
      </c>
      <c r="AG69" s="17">
        <v>1</v>
      </c>
      <c r="AH69" s="17">
        <v>65.25</v>
      </c>
      <c r="AI69" s="17">
        <v>11.75</v>
      </c>
      <c r="AJ69" s="17">
        <v>77</v>
      </c>
    </row>
    <row r="70" spans="32:36">
      <c r="AF70" s="19" t="s">
        <v>142</v>
      </c>
      <c r="AG70" s="17">
        <v>1</v>
      </c>
      <c r="AH70" s="17">
        <v>33.9</v>
      </c>
      <c r="AI70" s="17">
        <v>6.1</v>
      </c>
      <c r="AJ70" s="17">
        <v>40</v>
      </c>
    </row>
    <row r="71" spans="32:36">
      <c r="AF71" s="19" t="s">
        <v>139</v>
      </c>
      <c r="AG71" s="17">
        <v>1</v>
      </c>
      <c r="AH71" s="17">
        <v>74.58</v>
      </c>
      <c r="AI71" s="17">
        <v>13.42</v>
      </c>
      <c r="AJ71" s="17">
        <v>88</v>
      </c>
    </row>
    <row r="72" spans="32:36">
      <c r="AF72" s="19" t="s">
        <v>138</v>
      </c>
      <c r="AG72" s="17">
        <v>1</v>
      </c>
      <c r="AH72" s="17">
        <v>55.93</v>
      </c>
      <c r="AI72" s="17">
        <v>10.07</v>
      </c>
      <c r="AJ72" s="17">
        <v>66</v>
      </c>
    </row>
    <row r="73" spans="32:36">
      <c r="AF73" s="19" t="s">
        <v>137</v>
      </c>
      <c r="AG73" s="17">
        <v>1</v>
      </c>
      <c r="AH73" s="17">
        <v>84.75</v>
      </c>
      <c r="AI73" s="17">
        <v>15.26</v>
      </c>
      <c r="AJ73" s="17">
        <v>100.01</v>
      </c>
    </row>
    <row r="74" spans="32:36">
      <c r="AF74" s="19" t="s">
        <v>136</v>
      </c>
      <c r="AG74" s="17">
        <v>1</v>
      </c>
      <c r="AH74" s="17">
        <v>16.95</v>
      </c>
      <c r="AI74" s="17">
        <v>3.05</v>
      </c>
      <c r="AJ74" s="17">
        <v>20</v>
      </c>
    </row>
    <row r="75" spans="32:36">
      <c r="AF75" s="19" t="s">
        <v>135</v>
      </c>
      <c r="AG75" s="17">
        <v>1</v>
      </c>
      <c r="AH75" s="17">
        <v>33.9</v>
      </c>
      <c r="AI75" s="17">
        <v>6.1</v>
      </c>
      <c r="AJ75" s="17">
        <v>40</v>
      </c>
    </row>
    <row r="76" spans="32:36">
      <c r="AF76" s="19" t="s">
        <v>134</v>
      </c>
      <c r="AG76" s="17">
        <v>1</v>
      </c>
      <c r="AH76" s="17">
        <v>101.69</v>
      </c>
      <c r="AI76" s="17">
        <v>18.3</v>
      </c>
      <c r="AJ76" s="17">
        <v>119.99</v>
      </c>
    </row>
    <row r="77" spans="32:36">
      <c r="AF77" s="19" t="s">
        <v>133</v>
      </c>
      <c r="AG77" s="17">
        <v>1</v>
      </c>
      <c r="AH77" s="17">
        <v>127.12</v>
      </c>
      <c r="AI77" s="17">
        <v>22.88</v>
      </c>
      <c r="AJ77" s="17">
        <v>150</v>
      </c>
    </row>
    <row r="78" spans="32:36">
      <c r="AF78" s="19" t="s">
        <v>132</v>
      </c>
      <c r="AG78" s="17">
        <v>1</v>
      </c>
      <c r="AH78" s="17">
        <v>169.49</v>
      </c>
      <c r="AI78" s="17">
        <v>30.51</v>
      </c>
      <c r="AJ78" s="17">
        <v>200</v>
      </c>
    </row>
    <row r="79" spans="32:36">
      <c r="AF79" s="19" t="s">
        <v>131</v>
      </c>
      <c r="AG79" s="17">
        <v>1</v>
      </c>
      <c r="AH79" s="17">
        <v>74.58</v>
      </c>
      <c r="AI79" s="17">
        <v>13.42</v>
      </c>
      <c r="AJ79" s="17">
        <v>88</v>
      </c>
    </row>
    <row r="80" spans="32:36">
      <c r="AF80" s="19" t="s">
        <v>130</v>
      </c>
      <c r="AG80" s="17">
        <v>1</v>
      </c>
      <c r="AH80" s="17">
        <v>33.9</v>
      </c>
      <c r="AI80" s="17">
        <v>6.1</v>
      </c>
      <c r="AJ80" s="17">
        <v>40</v>
      </c>
    </row>
    <row r="81" spans="32:36">
      <c r="AF81" s="19" t="s">
        <v>129</v>
      </c>
      <c r="AG81" s="17">
        <v>1</v>
      </c>
      <c r="AH81" s="17">
        <v>50.85</v>
      </c>
      <c r="AI81" s="17">
        <v>9.15</v>
      </c>
      <c r="AJ81" s="17">
        <v>60</v>
      </c>
    </row>
    <row r="82" spans="32:36">
      <c r="AF82" s="19" t="s">
        <v>128</v>
      </c>
      <c r="AG82" s="17">
        <v>1</v>
      </c>
      <c r="AH82" s="17">
        <v>67.8</v>
      </c>
      <c r="AI82" s="17">
        <v>12.2</v>
      </c>
      <c r="AJ82" s="17">
        <v>80</v>
      </c>
    </row>
    <row r="83" spans="32:36">
      <c r="AF83" s="19" t="s">
        <v>127</v>
      </c>
      <c r="AG83" s="17">
        <v>1</v>
      </c>
      <c r="AH83" s="17">
        <v>76.27</v>
      </c>
      <c r="AI83" s="17">
        <v>13.73</v>
      </c>
      <c r="AJ83" s="17">
        <v>90</v>
      </c>
    </row>
    <row r="84" spans="32:36">
      <c r="AF84" s="19" t="s">
        <v>126</v>
      </c>
      <c r="AG84" s="17">
        <v>1</v>
      </c>
      <c r="AH84" s="17">
        <v>55.93</v>
      </c>
      <c r="AI84" s="17">
        <v>10.07</v>
      </c>
      <c r="AJ84" s="17">
        <v>66</v>
      </c>
    </row>
    <row r="85" spans="32:36">
      <c r="AF85" s="19" t="s">
        <v>125</v>
      </c>
      <c r="AG85" s="17">
        <v>1</v>
      </c>
      <c r="AH85" s="17">
        <v>67.8</v>
      </c>
      <c r="AI85" s="17">
        <v>12.2</v>
      </c>
      <c r="AJ85" s="17">
        <v>80</v>
      </c>
    </row>
    <row r="86" spans="32:36">
      <c r="AF86" s="19" t="s">
        <v>124</v>
      </c>
      <c r="AG86" s="17">
        <v>1</v>
      </c>
      <c r="AH86" s="17">
        <v>47.46</v>
      </c>
      <c r="AI86" s="17">
        <v>8.5399999999999991</v>
      </c>
      <c r="AJ86" s="17">
        <v>56</v>
      </c>
    </row>
    <row r="87" spans="32:36">
      <c r="AF87" s="19" t="s">
        <v>113</v>
      </c>
      <c r="AG87" s="17">
        <v>1</v>
      </c>
      <c r="AH87" s="17">
        <v>50.85</v>
      </c>
      <c r="AI87" s="17">
        <v>9.15</v>
      </c>
      <c r="AJ87" s="17">
        <v>60</v>
      </c>
    </row>
    <row r="88" spans="32:36">
      <c r="AF88" s="19" t="s">
        <v>111</v>
      </c>
      <c r="AG88" s="17">
        <v>1</v>
      </c>
      <c r="AH88" s="17">
        <v>1355.93</v>
      </c>
      <c r="AI88" s="17">
        <v>244.07</v>
      </c>
      <c r="AJ88" s="17">
        <v>1600</v>
      </c>
    </row>
    <row r="89" spans="32:36">
      <c r="AF89" s="19" t="s">
        <v>493</v>
      </c>
      <c r="AG89" s="17">
        <v>1</v>
      </c>
      <c r="AH89" s="17">
        <v>177.29</v>
      </c>
      <c r="AI89" s="17">
        <v>31.91</v>
      </c>
      <c r="AJ89" s="17">
        <v>209.2</v>
      </c>
    </row>
    <row r="90" spans="32:36">
      <c r="AF90" s="19" t="s">
        <v>494</v>
      </c>
      <c r="AG90" s="17">
        <v>1</v>
      </c>
      <c r="AH90" s="17">
        <v>425.93</v>
      </c>
      <c r="AI90" s="17">
        <v>76.67</v>
      </c>
      <c r="AJ90" s="17">
        <v>502.6</v>
      </c>
    </row>
    <row r="91" spans="32:36">
      <c r="AF91" s="19" t="s">
        <v>569</v>
      </c>
      <c r="AG91" s="17">
        <v>1</v>
      </c>
      <c r="AH91" s="17">
        <v>65.25</v>
      </c>
      <c r="AI91" s="17">
        <v>11.75</v>
      </c>
      <c r="AJ91" s="17">
        <v>77</v>
      </c>
    </row>
    <row r="92" spans="32:36">
      <c r="AF92" s="19" t="s">
        <v>56</v>
      </c>
      <c r="AG92" s="17">
        <v>85</v>
      </c>
      <c r="AH92" s="17">
        <v>25269.810000000009</v>
      </c>
      <c r="AI92" s="17">
        <v>4548.5800000000008</v>
      </c>
      <c r="AJ92" s="17">
        <v>29818.389999999989</v>
      </c>
    </row>
  </sheetData>
  <pageMargins left="0.7" right="0.7" top="0.75" bottom="0.75" header="0.3" footer="0.3"/>
  <pageSetup paperSize="9"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CED7-F682-482C-AE2A-2E41F05DEE05}">
  <dimension ref="A1:AS95"/>
  <sheetViews>
    <sheetView tabSelected="1" topLeftCell="AI1" workbookViewId="0">
      <selection activeCell="AK4" sqref="AK4"/>
    </sheetView>
  </sheetViews>
  <sheetFormatPr baseColWidth="10" defaultRowHeight="15"/>
  <cols>
    <col min="1" max="1" width="18.42578125" bestFit="1" customWidth="1"/>
    <col min="4" max="4" width="16.28515625" bestFit="1" customWidth="1"/>
    <col min="8" max="8" width="16.7109375" bestFit="1" customWidth="1"/>
    <col min="35" max="35" width="25.42578125" bestFit="1" customWidth="1"/>
    <col min="36" max="36" width="27.7109375" bestFit="1" customWidth="1"/>
    <col min="37" max="37" width="224.85546875" bestFit="1" customWidth="1"/>
  </cols>
  <sheetData>
    <row r="1" spans="1:45">
      <c r="A1" t="s">
        <v>223</v>
      </c>
      <c r="B1" t="s">
        <v>224</v>
      </c>
      <c r="C1" t="s">
        <v>470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t="s">
        <v>232</v>
      </c>
      <c r="L1" t="s">
        <v>233</v>
      </c>
      <c r="M1" t="s">
        <v>234</v>
      </c>
      <c r="N1" t="s">
        <v>235</v>
      </c>
      <c r="O1" t="s">
        <v>236</v>
      </c>
      <c r="P1" t="s">
        <v>237</v>
      </c>
      <c r="Q1" t="s">
        <v>238</v>
      </c>
      <c r="R1" t="s">
        <v>239</v>
      </c>
      <c r="S1" t="s">
        <v>240</v>
      </c>
      <c r="T1" t="s">
        <v>241</v>
      </c>
      <c r="U1" t="s">
        <v>242</v>
      </c>
      <c r="V1" t="s">
        <v>243</v>
      </c>
      <c r="W1" t="s">
        <v>244</v>
      </c>
      <c r="X1" t="s">
        <v>245</v>
      </c>
      <c r="Y1" t="s">
        <v>246</v>
      </c>
      <c r="Z1" t="s">
        <v>247</v>
      </c>
      <c r="AA1" t="s">
        <v>248</v>
      </c>
      <c r="AB1" t="s">
        <v>249</v>
      </c>
      <c r="AC1" t="s">
        <v>250</v>
      </c>
      <c r="AD1" t="s">
        <v>251</v>
      </c>
      <c r="AE1" t="s">
        <v>252</v>
      </c>
      <c r="AF1" t="s">
        <v>253</v>
      </c>
      <c r="AG1" t="s">
        <v>254</v>
      </c>
      <c r="AH1" t="s">
        <v>255</v>
      </c>
      <c r="AI1" t="s">
        <v>256</v>
      </c>
      <c r="AJ1" t="s">
        <v>257</v>
      </c>
      <c r="AK1" t="s">
        <v>258</v>
      </c>
      <c r="AL1" t="s">
        <v>259</v>
      </c>
      <c r="AM1" t="s">
        <v>260</v>
      </c>
      <c r="AN1" t="s">
        <v>261</v>
      </c>
      <c r="AO1" t="s">
        <v>262</v>
      </c>
      <c r="AP1" t="s">
        <v>263</v>
      </c>
      <c r="AQ1" t="s">
        <v>264</v>
      </c>
      <c r="AR1" t="s">
        <v>265</v>
      </c>
      <c r="AS1" t="s">
        <v>382</v>
      </c>
    </row>
    <row r="2" spans="1:45">
      <c r="A2" t="s">
        <v>266</v>
      </c>
      <c r="B2" s="21" t="s">
        <v>586</v>
      </c>
      <c r="C2" t="s">
        <v>30</v>
      </c>
      <c r="D2" s="8">
        <v>45940</v>
      </c>
      <c r="E2" s="22">
        <v>45940.375</v>
      </c>
      <c r="F2" t="s">
        <v>37</v>
      </c>
      <c r="H2">
        <v>6</v>
      </c>
      <c r="I2">
        <v>20609168961</v>
      </c>
      <c r="J2" t="s">
        <v>587</v>
      </c>
      <c r="K2" s="8">
        <v>45940</v>
      </c>
      <c r="Q2">
        <v>1</v>
      </c>
      <c r="R2">
        <v>228</v>
      </c>
      <c r="S2" t="s">
        <v>281</v>
      </c>
      <c r="T2" t="s">
        <v>277</v>
      </c>
      <c r="U2">
        <v>1</v>
      </c>
      <c r="V2">
        <v>350</v>
      </c>
      <c r="W2">
        <v>413</v>
      </c>
      <c r="Y2">
        <v>350</v>
      </c>
      <c r="Z2">
        <v>18</v>
      </c>
      <c r="AA2">
        <v>63</v>
      </c>
      <c r="AB2">
        <v>413</v>
      </c>
      <c r="AC2">
        <v>1</v>
      </c>
      <c r="AE2" t="s">
        <v>467</v>
      </c>
      <c r="AF2" t="s">
        <v>32</v>
      </c>
      <c r="AG2">
        <v>2</v>
      </c>
      <c r="AH2" t="s">
        <v>28</v>
      </c>
      <c r="AI2">
        <v>1106</v>
      </c>
      <c r="AJ2" t="s">
        <v>501</v>
      </c>
      <c r="AK2" t="s">
        <v>317</v>
      </c>
      <c r="AQ2" t="s">
        <v>37</v>
      </c>
      <c r="AS2" t="str">
        <f>+CONCATENATE(A2,B2)</f>
        <v>(01) Factura FB0100000080</v>
      </c>
    </row>
    <row r="3" spans="1:45">
      <c r="A3" t="s">
        <v>266</v>
      </c>
      <c r="B3" s="21" t="s">
        <v>586</v>
      </c>
      <c r="C3" t="s">
        <v>30</v>
      </c>
      <c r="D3" s="8">
        <v>45940</v>
      </c>
      <c r="E3" s="22">
        <v>45940.375</v>
      </c>
      <c r="F3" t="s">
        <v>37</v>
      </c>
      <c r="H3">
        <v>6</v>
      </c>
      <c r="I3">
        <v>20609168961</v>
      </c>
      <c r="J3" t="s">
        <v>587</v>
      </c>
      <c r="K3" s="8">
        <v>45940</v>
      </c>
      <c r="Q3">
        <v>2</v>
      </c>
      <c r="R3">
        <v>216</v>
      </c>
      <c r="S3" t="s">
        <v>329</v>
      </c>
      <c r="T3" t="s">
        <v>277</v>
      </c>
      <c r="U3">
        <v>1</v>
      </c>
      <c r="V3">
        <v>350</v>
      </c>
      <c r="W3">
        <v>413</v>
      </c>
      <c r="Y3">
        <v>350</v>
      </c>
      <c r="Z3">
        <v>18</v>
      </c>
      <c r="AA3">
        <v>63</v>
      </c>
      <c r="AB3">
        <v>413</v>
      </c>
      <c r="AC3">
        <v>1</v>
      </c>
      <c r="AE3" t="s">
        <v>467</v>
      </c>
      <c r="AF3" t="s">
        <v>32</v>
      </c>
      <c r="AG3">
        <v>2</v>
      </c>
      <c r="AH3" t="s">
        <v>28</v>
      </c>
      <c r="AI3">
        <v>6155</v>
      </c>
      <c r="AJ3" t="s">
        <v>588</v>
      </c>
      <c r="AK3" t="s">
        <v>589</v>
      </c>
      <c r="AQ3" t="s">
        <v>37</v>
      </c>
      <c r="AS3" t="str">
        <f t="shared" ref="AS3:AS66" si="0">+CONCATENATE(A3,B3)</f>
        <v>(01) Factura FB0100000080</v>
      </c>
    </row>
    <row r="4" spans="1:45">
      <c r="A4" t="s">
        <v>266</v>
      </c>
      <c r="B4" s="21" t="s">
        <v>586</v>
      </c>
      <c r="C4" t="s">
        <v>30</v>
      </c>
      <c r="D4" s="8">
        <v>45940</v>
      </c>
      <c r="E4" s="22">
        <v>45940.375</v>
      </c>
      <c r="F4" t="s">
        <v>37</v>
      </c>
      <c r="H4">
        <v>6</v>
      </c>
      <c r="I4">
        <v>20609168961</v>
      </c>
      <c r="J4" t="s">
        <v>587</v>
      </c>
      <c r="K4" s="8">
        <v>45940</v>
      </c>
      <c r="Q4">
        <v>3</v>
      </c>
      <c r="R4">
        <v>223</v>
      </c>
      <c r="S4" t="s">
        <v>590</v>
      </c>
      <c r="T4" t="s">
        <v>369</v>
      </c>
      <c r="U4">
        <v>1</v>
      </c>
      <c r="V4">
        <v>900</v>
      </c>
      <c r="W4">
        <v>1062</v>
      </c>
      <c r="Y4">
        <v>900</v>
      </c>
      <c r="Z4">
        <v>18</v>
      </c>
      <c r="AA4">
        <v>162</v>
      </c>
      <c r="AB4">
        <v>1062</v>
      </c>
      <c r="AC4">
        <v>1</v>
      </c>
      <c r="AE4" t="s">
        <v>467</v>
      </c>
      <c r="AF4" t="s">
        <v>32</v>
      </c>
      <c r="AG4">
        <v>2</v>
      </c>
      <c r="AH4" t="s">
        <v>28</v>
      </c>
      <c r="AI4">
        <v>1230</v>
      </c>
      <c r="AJ4" t="s">
        <v>591</v>
      </c>
      <c r="AK4" t="s">
        <v>592</v>
      </c>
      <c r="AQ4" t="s">
        <v>37</v>
      </c>
      <c r="AS4" t="str">
        <f t="shared" si="0"/>
        <v>(01) Factura FB0100000080</v>
      </c>
    </row>
    <row r="5" spans="1:45">
      <c r="A5" t="s">
        <v>266</v>
      </c>
      <c r="B5" s="21" t="s">
        <v>593</v>
      </c>
      <c r="C5" t="s">
        <v>30</v>
      </c>
      <c r="D5" s="8">
        <v>45940</v>
      </c>
      <c r="E5" s="22">
        <v>45940.375</v>
      </c>
      <c r="F5" t="s">
        <v>37</v>
      </c>
      <c r="H5">
        <v>6</v>
      </c>
      <c r="I5">
        <v>20609168961</v>
      </c>
      <c r="J5" t="s">
        <v>594</v>
      </c>
      <c r="K5" s="8">
        <v>45940</v>
      </c>
      <c r="Q5">
        <v>1</v>
      </c>
      <c r="R5">
        <v>228</v>
      </c>
      <c r="S5" t="s">
        <v>281</v>
      </c>
      <c r="T5" t="s">
        <v>277</v>
      </c>
      <c r="U5">
        <v>1</v>
      </c>
      <c r="V5">
        <v>350</v>
      </c>
      <c r="W5">
        <v>413</v>
      </c>
      <c r="Y5">
        <v>350</v>
      </c>
      <c r="Z5">
        <v>18</v>
      </c>
      <c r="AA5">
        <v>63</v>
      </c>
      <c r="AB5">
        <v>413</v>
      </c>
      <c r="AC5">
        <v>1</v>
      </c>
      <c r="AE5" t="s">
        <v>467</v>
      </c>
      <c r="AF5" t="s">
        <v>32</v>
      </c>
      <c r="AG5">
        <v>2</v>
      </c>
      <c r="AH5" t="s">
        <v>28</v>
      </c>
      <c r="AI5">
        <v>1106</v>
      </c>
      <c r="AJ5" t="s">
        <v>501</v>
      </c>
      <c r="AK5" t="s">
        <v>595</v>
      </c>
      <c r="AQ5" t="s">
        <v>37</v>
      </c>
      <c r="AS5" t="str">
        <f t="shared" si="0"/>
        <v>(01) Factura FB0100000079</v>
      </c>
    </row>
    <row r="6" spans="1:45">
      <c r="A6" t="s">
        <v>266</v>
      </c>
      <c r="B6" s="21" t="s">
        <v>575</v>
      </c>
      <c r="C6" t="s">
        <v>30</v>
      </c>
      <c r="D6" s="8">
        <v>45940</v>
      </c>
      <c r="E6" s="22">
        <v>45940.375</v>
      </c>
      <c r="F6" t="s">
        <v>37</v>
      </c>
      <c r="H6">
        <v>6</v>
      </c>
      <c r="I6">
        <v>20609168961</v>
      </c>
      <c r="J6" t="s">
        <v>576</v>
      </c>
      <c r="K6" s="8">
        <v>45940</v>
      </c>
      <c r="Q6">
        <v>1</v>
      </c>
      <c r="R6">
        <v>215</v>
      </c>
      <c r="S6" t="s">
        <v>577</v>
      </c>
      <c r="T6" t="s">
        <v>277</v>
      </c>
      <c r="U6">
        <v>2</v>
      </c>
      <c r="V6">
        <v>1000</v>
      </c>
      <c r="W6">
        <v>1180</v>
      </c>
      <c r="Y6">
        <v>2000</v>
      </c>
      <c r="Z6">
        <v>18</v>
      </c>
      <c r="AA6">
        <v>360</v>
      </c>
      <c r="AB6">
        <v>2360</v>
      </c>
      <c r="AC6">
        <v>1</v>
      </c>
      <c r="AE6" t="s">
        <v>467</v>
      </c>
      <c r="AF6" t="s">
        <v>32</v>
      </c>
      <c r="AG6">
        <v>2</v>
      </c>
      <c r="AH6" t="s">
        <v>28</v>
      </c>
      <c r="AI6">
        <v>1106</v>
      </c>
      <c r="AJ6" t="s">
        <v>501</v>
      </c>
      <c r="AK6" t="s">
        <v>317</v>
      </c>
      <c r="AQ6" t="s">
        <v>37</v>
      </c>
      <c r="AS6" t="str">
        <f t="shared" si="0"/>
        <v>(01) Factura FB0100000078</v>
      </c>
    </row>
    <row r="7" spans="1:45">
      <c r="A7" t="s">
        <v>266</v>
      </c>
      <c r="B7" s="21" t="s">
        <v>489</v>
      </c>
      <c r="C7" t="s">
        <v>30</v>
      </c>
      <c r="D7" s="8">
        <v>45936</v>
      </c>
      <c r="E7" s="22">
        <v>45940.405219907407</v>
      </c>
      <c r="F7" t="s">
        <v>112</v>
      </c>
      <c r="H7">
        <v>6</v>
      </c>
      <c r="I7">
        <v>20553193169</v>
      </c>
      <c r="J7" t="s">
        <v>500</v>
      </c>
      <c r="K7" s="8">
        <v>45936</v>
      </c>
      <c r="Q7">
        <v>1</v>
      </c>
      <c r="S7" t="s">
        <v>345</v>
      </c>
      <c r="U7">
        <v>1</v>
      </c>
      <c r="V7">
        <v>177.29</v>
      </c>
      <c r="W7">
        <v>209.2</v>
      </c>
      <c r="Y7">
        <v>177.29</v>
      </c>
      <c r="Z7">
        <v>18</v>
      </c>
      <c r="AA7">
        <v>31.91</v>
      </c>
      <c r="AB7">
        <v>209.2</v>
      </c>
      <c r="AC7">
        <v>1</v>
      </c>
      <c r="AE7" t="s">
        <v>467</v>
      </c>
      <c r="AF7" t="s">
        <v>32</v>
      </c>
      <c r="AG7">
        <v>2</v>
      </c>
      <c r="AH7" t="s">
        <v>28</v>
      </c>
      <c r="AI7">
        <v>1106</v>
      </c>
      <c r="AJ7" t="s">
        <v>501</v>
      </c>
      <c r="AK7" t="s">
        <v>502</v>
      </c>
      <c r="AL7">
        <v>2461</v>
      </c>
      <c r="AM7" t="s">
        <v>468</v>
      </c>
      <c r="AN7" s="8">
        <v>45961</v>
      </c>
      <c r="AO7" s="8">
        <v>45961</v>
      </c>
      <c r="AQ7" t="s">
        <v>112</v>
      </c>
      <c r="AS7" t="str">
        <f t="shared" si="0"/>
        <v>(01) Factura FB0100000077</v>
      </c>
    </row>
    <row r="8" spans="1:45">
      <c r="A8" t="s">
        <v>266</v>
      </c>
      <c r="B8" s="21" t="s">
        <v>490</v>
      </c>
      <c r="C8" t="s">
        <v>30</v>
      </c>
      <c r="D8" s="8">
        <v>45934</v>
      </c>
      <c r="E8" s="22">
        <v>45940.76494212963</v>
      </c>
      <c r="F8" t="s">
        <v>491</v>
      </c>
      <c r="G8" t="s">
        <v>272</v>
      </c>
      <c r="H8">
        <v>6</v>
      </c>
      <c r="I8">
        <v>20600299060</v>
      </c>
      <c r="J8" t="s">
        <v>503</v>
      </c>
      <c r="K8" s="8">
        <v>45934</v>
      </c>
      <c r="Q8">
        <v>1</v>
      </c>
      <c r="S8" t="s">
        <v>345</v>
      </c>
      <c r="U8">
        <v>1</v>
      </c>
      <c r="V8">
        <v>425.93</v>
      </c>
      <c r="W8">
        <v>502.6</v>
      </c>
      <c r="Y8">
        <v>425.93</v>
      </c>
      <c r="Z8">
        <v>18</v>
      </c>
      <c r="AA8">
        <v>76.67</v>
      </c>
      <c r="AB8">
        <v>502.6</v>
      </c>
      <c r="AC8">
        <v>1</v>
      </c>
      <c r="AE8" t="s">
        <v>467</v>
      </c>
      <c r="AF8" t="s">
        <v>32</v>
      </c>
      <c r="AG8">
        <v>2</v>
      </c>
      <c r="AH8" t="s">
        <v>28</v>
      </c>
      <c r="AI8">
        <v>1106</v>
      </c>
      <c r="AJ8" t="s">
        <v>501</v>
      </c>
      <c r="AK8" t="s">
        <v>317</v>
      </c>
      <c r="AQ8" t="s">
        <v>491</v>
      </c>
      <c r="AS8" t="str">
        <f t="shared" si="0"/>
        <v>(01) Factura FB0100000076</v>
      </c>
    </row>
    <row r="9" spans="1:45">
      <c r="A9" t="s">
        <v>266</v>
      </c>
      <c r="B9" s="21" t="s">
        <v>267</v>
      </c>
      <c r="C9" t="s">
        <v>30</v>
      </c>
      <c r="D9" s="8">
        <v>45919</v>
      </c>
      <c r="E9" s="22">
        <v>45940.47252314815</v>
      </c>
      <c r="F9" t="s">
        <v>112</v>
      </c>
      <c r="H9">
        <v>6</v>
      </c>
      <c r="I9">
        <v>20553193169</v>
      </c>
      <c r="J9" t="s">
        <v>504</v>
      </c>
      <c r="K9" s="8">
        <v>45919</v>
      </c>
      <c r="Q9">
        <v>1</v>
      </c>
      <c r="S9" t="s">
        <v>268</v>
      </c>
      <c r="U9">
        <v>1</v>
      </c>
      <c r="V9">
        <v>1355.93</v>
      </c>
      <c r="W9">
        <v>1600</v>
      </c>
      <c r="Y9">
        <v>1355.93</v>
      </c>
      <c r="Z9">
        <v>18</v>
      </c>
      <c r="AA9">
        <v>244.07</v>
      </c>
      <c r="AB9">
        <v>1600</v>
      </c>
      <c r="AC9">
        <v>1</v>
      </c>
      <c r="AE9" t="s">
        <v>467</v>
      </c>
      <c r="AF9" t="s">
        <v>32</v>
      </c>
      <c r="AG9">
        <v>2</v>
      </c>
      <c r="AH9" t="s">
        <v>28</v>
      </c>
      <c r="AI9">
        <v>1106</v>
      </c>
      <c r="AJ9" t="s">
        <v>501</v>
      </c>
      <c r="AK9" t="s">
        <v>502</v>
      </c>
      <c r="AL9">
        <v>2461</v>
      </c>
      <c r="AM9" t="s">
        <v>468</v>
      </c>
      <c r="AN9" s="8">
        <v>45961</v>
      </c>
      <c r="AO9" s="8">
        <v>45961</v>
      </c>
      <c r="AQ9" t="s">
        <v>112</v>
      </c>
      <c r="AS9" t="str">
        <f t="shared" si="0"/>
        <v>(01) Factura FB0100000075</v>
      </c>
    </row>
    <row r="10" spans="1:45">
      <c r="A10" t="s">
        <v>266</v>
      </c>
      <c r="B10" s="21" t="s">
        <v>271</v>
      </c>
      <c r="C10" t="s">
        <v>30</v>
      </c>
      <c r="D10" s="8">
        <v>45919</v>
      </c>
      <c r="E10" s="22">
        <v>45940.459861111114</v>
      </c>
      <c r="F10" t="s">
        <v>35</v>
      </c>
      <c r="G10" t="s">
        <v>272</v>
      </c>
      <c r="H10">
        <v>6</v>
      </c>
      <c r="I10">
        <v>20608361074</v>
      </c>
      <c r="J10" t="s">
        <v>505</v>
      </c>
      <c r="K10" s="8">
        <v>45919</v>
      </c>
      <c r="Q10">
        <v>1</v>
      </c>
      <c r="S10" t="s">
        <v>268</v>
      </c>
      <c r="U10">
        <v>1</v>
      </c>
      <c r="V10">
        <v>50.85</v>
      </c>
      <c r="W10">
        <v>60</v>
      </c>
      <c r="Y10">
        <v>50.85</v>
      </c>
      <c r="Z10">
        <v>17.989999999999998</v>
      </c>
      <c r="AA10">
        <v>9.15</v>
      </c>
      <c r="AB10">
        <v>60</v>
      </c>
      <c r="AC10">
        <v>1</v>
      </c>
      <c r="AE10" t="s">
        <v>467</v>
      </c>
      <c r="AF10" t="s">
        <v>32</v>
      </c>
      <c r="AG10">
        <v>2</v>
      </c>
      <c r="AH10" t="s">
        <v>28</v>
      </c>
      <c r="AI10">
        <v>1106</v>
      </c>
      <c r="AJ10" t="s">
        <v>501</v>
      </c>
      <c r="AK10" t="s">
        <v>502</v>
      </c>
      <c r="AQ10" t="s">
        <v>35</v>
      </c>
      <c r="AS10" t="str">
        <f t="shared" si="0"/>
        <v>(01) Factura FB0100000074</v>
      </c>
    </row>
    <row r="11" spans="1:45">
      <c r="A11" t="s">
        <v>273</v>
      </c>
      <c r="B11" s="21" t="s">
        <v>274</v>
      </c>
      <c r="C11" t="s">
        <v>30</v>
      </c>
      <c r="D11" s="8">
        <v>45919</v>
      </c>
      <c r="E11" s="22">
        <v>45940.448761574073</v>
      </c>
      <c r="F11" t="s">
        <v>37</v>
      </c>
      <c r="H11">
        <v>6</v>
      </c>
      <c r="I11">
        <v>20609168961</v>
      </c>
      <c r="J11" t="s">
        <v>506</v>
      </c>
      <c r="K11" s="8">
        <v>45919</v>
      </c>
      <c r="Q11">
        <v>1</v>
      </c>
      <c r="R11">
        <v>232</v>
      </c>
      <c r="S11" t="s">
        <v>276</v>
      </c>
      <c r="T11" t="s">
        <v>277</v>
      </c>
      <c r="U11">
        <v>2</v>
      </c>
      <c r="V11">
        <v>1000</v>
      </c>
      <c r="W11">
        <v>1180</v>
      </c>
      <c r="Y11">
        <v>2000</v>
      </c>
      <c r="Z11">
        <v>18</v>
      </c>
      <c r="AA11">
        <v>360</v>
      </c>
      <c r="AB11">
        <v>2360</v>
      </c>
      <c r="AC11">
        <v>1</v>
      </c>
      <c r="AE11" t="s">
        <v>467</v>
      </c>
      <c r="AF11" t="s">
        <v>32</v>
      </c>
      <c r="AG11">
        <v>2</v>
      </c>
      <c r="AH11" t="s">
        <v>28</v>
      </c>
      <c r="AI11">
        <v>1106</v>
      </c>
      <c r="AJ11" t="s">
        <v>501</v>
      </c>
      <c r="AK11" t="s">
        <v>507</v>
      </c>
      <c r="AL11">
        <v>2</v>
      </c>
      <c r="AM11" t="s">
        <v>280</v>
      </c>
      <c r="AN11" s="8">
        <v>44409</v>
      </c>
      <c r="AO11" s="8">
        <v>44409</v>
      </c>
      <c r="AQ11" t="s">
        <v>37</v>
      </c>
      <c r="AS11" t="str">
        <f t="shared" si="0"/>
        <v>(01) Factura F00100000104</v>
      </c>
    </row>
    <row r="12" spans="1:45">
      <c r="A12" t="s">
        <v>273</v>
      </c>
      <c r="B12" s="21" t="s">
        <v>274</v>
      </c>
      <c r="C12" t="s">
        <v>30</v>
      </c>
      <c r="D12" s="8">
        <v>45919</v>
      </c>
      <c r="E12" s="22">
        <v>45940.448761574073</v>
      </c>
      <c r="F12" t="s">
        <v>37</v>
      </c>
      <c r="H12">
        <v>6</v>
      </c>
      <c r="I12">
        <v>20609168961</v>
      </c>
      <c r="J12" t="s">
        <v>506</v>
      </c>
      <c r="K12" s="8">
        <v>45919</v>
      </c>
      <c r="Q12">
        <v>2</v>
      </c>
      <c r="R12">
        <v>228</v>
      </c>
      <c r="S12" t="s">
        <v>281</v>
      </c>
      <c r="T12" t="s">
        <v>277</v>
      </c>
      <c r="U12">
        <v>2</v>
      </c>
      <c r="V12">
        <v>1000</v>
      </c>
      <c r="W12">
        <v>1180</v>
      </c>
      <c r="Y12">
        <v>2000</v>
      </c>
      <c r="Z12">
        <v>18</v>
      </c>
      <c r="AA12">
        <v>360</v>
      </c>
      <c r="AB12">
        <v>2360</v>
      </c>
      <c r="AC12">
        <v>1</v>
      </c>
      <c r="AE12" t="s">
        <v>467</v>
      </c>
      <c r="AF12" t="s">
        <v>32</v>
      </c>
      <c r="AG12">
        <v>2</v>
      </c>
      <c r="AH12" t="s">
        <v>28</v>
      </c>
      <c r="AI12">
        <v>1106</v>
      </c>
      <c r="AJ12" t="s">
        <v>501</v>
      </c>
      <c r="AK12" t="s">
        <v>507</v>
      </c>
      <c r="AL12">
        <v>2</v>
      </c>
      <c r="AM12" t="s">
        <v>280</v>
      </c>
      <c r="AN12" s="8">
        <v>44409</v>
      </c>
      <c r="AO12" s="8">
        <v>44409</v>
      </c>
      <c r="AQ12" t="s">
        <v>37</v>
      </c>
      <c r="AS12" t="str">
        <f t="shared" si="0"/>
        <v>(01) Factura F00100000104</v>
      </c>
    </row>
    <row r="13" spans="1:45">
      <c r="A13" t="s">
        <v>273</v>
      </c>
      <c r="B13" s="21" t="s">
        <v>282</v>
      </c>
      <c r="C13" t="s">
        <v>30</v>
      </c>
      <c r="D13" s="8">
        <v>45919</v>
      </c>
      <c r="E13" s="22">
        <v>45940.445416666669</v>
      </c>
      <c r="F13" t="s">
        <v>37</v>
      </c>
      <c r="H13">
        <v>6</v>
      </c>
      <c r="I13">
        <v>20609168961</v>
      </c>
      <c r="J13" t="s">
        <v>508</v>
      </c>
      <c r="K13" s="8">
        <v>45919</v>
      </c>
      <c r="Q13">
        <v>1</v>
      </c>
      <c r="R13">
        <v>232</v>
      </c>
      <c r="S13" t="s">
        <v>276</v>
      </c>
      <c r="T13" t="s">
        <v>277</v>
      </c>
      <c r="U13">
        <v>2</v>
      </c>
      <c r="V13">
        <v>1000</v>
      </c>
      <c r="W13">
        <v>1180</v>
      </c>
      <c r="Y13">
        <v>2000</v>
      </c>
      <c r="Z13">
        <v>18</v>
      </c>
      <c r="AA13">
        <v>360</v>
      </c>
      <c r="AB13">
        <v>2360</v>
      </c>
      <c r="AC13">
        <v>1</v>
      </c>
      <c r="AE13" t="s">
        <v>467</v>
      </c>
      <c r="AF13" t="s">
        <v>32</v>
      </c>
      <c r="AG13">
        <v>2</v>
      </c>
      <c r="AH13" t="s">
        <v>28</v>
      </c>
      <c r="AI13">
        <v>1106</v>
      </c>
      <c r="AJ13" t="s">
        <v>501</v>
      </c>
      <c r="AK13" t="s">
        <v>507</v>
      </c>
      <c r="AL13">
        <v>2</v>
      </c>
      <c r="AM13" t="s">
        <v>280</v>
      </c>
      <c r="AN13" s="8">
        <v>44409</v>
      </c>
      <c r="AO13" s="8">
        <v>44409</v>
      </c>
      <c r="AQ13" t="s">
        <v>37</v>
      </c>
      <c r="AS13" t="str">
        <f t="shared" si="0"/>
        <v>(01) Factura F00100000103</v>
      </c>
    </row>
    <row r="14" spans="1:45">
      <c r="A14" t="s">
        <v>273</v>
      </c>
      <c r="B14" s="21" t="s">
        <v>283</v>
      </c>
      <c r="C14" t="s">
        <v>30</v>
      </c>
      <c r="D14" s="8">
        <v>45919</v>
      </c>
      <c r="E14" s="22">
        <v>45940.441631944443</v>
      </c>
      <c r="F14" t="s">
        <v>37</v>
      </c>
      <c r="H14">
        <v>6</v>
      </c>
      <c r="I14">
        <v>20609168961</v>
      </c>
      <c r="J14" t="s">
        <v>508</v>
      </c>
      <c r="K14" s="8">
        <v>45919</v>
      </c>
      <c r="Q14">
        <v>1</v>
      </c>
      <c r="R14">
        <v>232</v>
      </c>
      <c r="S14" t="s">
        <v>276</v>
      </c>
      <c r="T14" t="s">
        <v>277</v>
      </c>
      <c r="U14">
        <v>2</v>
      </c>
      <c r="V14">
        <v>1000</v>
      </c>
      <c r="W14">
        <v>1180</v>
      </c>
      <c r="Y14">
        <v>2000</v>
      </c>
      <c r="Z14">
        <v>18</v>
      </c>
      <c r="AA14">
        <v>360</v>
      </c>
      <c r="AB14">
        <v>2360</v>
      </c>
      <c r="AC14">
        <v>1</v>
      </c>
      <c r="AE14" t="s">
        <v>467</v>
      </c>
      <c r="AF14" t="s">
        <v>32</v>
      </c>
      <c r="AG14">
        <v>2</v>
      </c>
      <c r="AH14" t="s">
        <v>28</v>
      </c>
      <c r="AI14">
        <v>1106</v>
      </c>
      <c r="AJ14" t="s">
        <v>501</v>
      </c>
      <c r="AK14" t="s">
        <v>507</v>
      </c>
      <c r="AL14">
        <v>2</v>
      </c>
      <c r="AM14" t="s">
        <v>280</v>
      </c>
      <c r="AN14" s="8">
        <v>44409</v>
      </c>
      <c r="AO14" s="8">
        <v>44409</v>
      </c>
      <c r="AQ14" t="s">
        <v>37</v>
      </c>
      <c r="AS14" t="str">
        <f t="shared" si="0"/>
        <v>(01) Factura F00100000102</v>
      </c>
    </row>
    <row r="15" spans="1:45">
      <c r="A15" t="s">
        <v>273</v>
      </c>
      <c r="B15" s="21" t="s">
        <v>284</v>
      </c>
      <c r="C15" t="s">
        <v>30</v>
      </c>
      <c r="D15" s="8">
        <v>45919</v>
      </c>
      <c r="E15" s="22">
        <v>45940.42046296296</v>
      </c>
      <c r="F15" t="s">
        <v>37</v>
      </c>
      <c r="H15">
        <v>6</v>
      </c>
      <c r="I15">
        <v>20609168961</v>
      </c>
      <c r="J15" t="s">
        <v>509</v>
      </c>
      <c r="K15" s="8">
        <v>45919</v>
      </c>
      <c r="Q15">
        <v>1</v>
      </c>
      <c r="R15">
        <v>232</v>
      </c>
      <c r="S15" t="s">
        <v>276</v>
      </c>
      <c r="T15" t="s">
        <v>277</v>
      </c>
      <c r="U15">
        <v>2</v>
      </c>
      <c r="V15">
        <v>0</v>
      </c>
      <c r="W15">
        <v>0</v>
      </c>
      <c r="Y15">
        <v>0</v>
      </c>
      <c r="Z15">
        <v>0</v>
      </c>
      <c r="AA15">
        <v>0</v>
      </c>
      <c r="AB15">
        <v>0</v>
      </c>
      <c r="AC15">
        <v>1</v>
      </c>
      <c r="AE15" t="s">
        <v>469</v>
      </c>
      <c r="AF15" t="s">
        <v>123</v>
      </c>
      <c r="AG15">
        <v>2</v>
      </c>
      <c r="AH15" t="s">
        <v>28</v>
      </c>
      <c r="AI15">
        <v>1106</v>
      </c>
      <c r="AJ15" t="s">
        <v>501</v>
      </c>
      <c r="AK15" t="s">
        <v>507</v>
      </c>
      <c r="AL15">
        <v>2</v>
      </c>
      <c r="AM15" t="s">
        <v>280</v>
      </c>
      <c r="AN15" s="8">
        <v>44409</v>
      </c>
      <c r="AO15" s="8">
        <v>44409</v>
      </c>
      <c r="AQ15" t="s">
        <v>37</v>
      </c>
      <c r="AS15" t="str">
        <f t="shared" si="0"/>
        <v>(01) Factura F00100000101</v>
      </c>
    </row>
    <row r="16" spans="1:45">
      <c r="A16" t="s">
        <v>510</v>
      </c>
      <c r="B16" s="21" t="s">
        <v>366</v>
      </c>
      <c r="C16" t="s">
        <v>30</v>
      </c>
      <c r="D16" s="8">
        <v>45936</v>
      </c>
      <c r="E16" s="22">
        <v>45940.533333333333</v>
      </c>
      <c r="F16" t="s">
        <v>27</v>
      </c>
      <c r="H16">
        <v>6</v>
      </c>
      <c r="I16">
        <v>20609593076</v>
      </c>
      <c r="J16" t="s">
        <v>511</v>
      </c>
      <c r="K16" s="8">
        <v>45936</v>
      </c>
      <c r="Q16">
        <v>1</v>
      </c>
      <c r="S16" t="s">
        <v>268</v>
      </c>
      <c r="U16">
        <v>1</v>
      </c>
      <c r="V16">
        <v>65.25</v>
      </c>
      <c r="W16">
        <v>77</v>
      </c>
      <c r="Y16">
        <v>65.25</v>
      </c>
      <c r="Z16">
        <v>18.010000000000002</v>
      </c>
      <c r="AA16">
        <v>11.75</v>
      </c>
      <c r="AB16">
        <v>77</v>
      </c>
      <c r="AC16">
        <v>1</v>
      </c>
      <c r="AE16" t="s">
        <v>467</v>
      </c>
      <c r="AF16" t="s">
        <v>32</v>
      </c>
      <c r="AG16">
        <v>2</v>
      </c>
      <c r="AH16" t="s">
        <v>28</v>
      </c>
      <c r="AI16">
        <v>1106</v>
      </c>
      <c r="AJ16" t="s">
        <v>501</v>
      </c>
      <c r="AK16" t="s">
        <v>502</v>
      </c>
      <c r="AQ16" t="s">
        <v>27</v>
      </c>
      <c r="AS16" t="str">
        <f t="shared" si="0"/>
        <v>(03) Boleta B00100000001</v>
      </c>
    </row>
    <row r="17" spans="1:45">
      <c r="A17" t="s">
        <v>266</v>
      </c>
      <c r="B17" s="21" t="s">
        <v>285</v>
      </c>
      <c r="C17" t="s">
        <v>30</v>
      </c>
      <c r="D17" s="8">
        <v>45917</v>
      </c>
      <c r="E17" s="22">
        <v>45940.655659722222</v>
      </c>
      <c r="F17" t="s">
        <v>38</v>
      </c>
      <c r="H17">
        <v>6</v>
      </c>
      <c r="I17">
        <v>20611018925</v>
      </c>
      <c r="J17" t="s">
        <v>512</v>
      </c>
      <c r="K17" s="8">
        <v>45917</v>
      </c>
      <c r="Q17">
        <v>1</v>
      </c>
      <c r="S17" t="s">
        <v>268</v>
      </c>
      <c r="U17">
        <v>1</v>
      </c>
      <c r="V17">
        <v>47.46</v>
      </c>
      <c r="W17">
        <v>56</v>
      </c>
      <c r="Y17">
        <v>47.46</v>
      </c>
      <c r="Z17">
        <v>17.989999999999998</v>
      </c>
      <c r="AA17">
        <v>8.5399999999999991</v>
      </c>
      <c r="AB17">
        <v>56</v>
      </c>
      <c r="AC17">
        <v>1</v>
      </c>
      <c r="AE17" t="s">
        <v>467</v>
      </c>
      <c r="AF17" t="s">
        <v>32</v>
      </c>
      <c r="AG17">
        <v>2</v>
      </c>
      <c r="AH17" t="s">
        <v>28</v>
      </c>
      <c r="AI17">
        <v>1106</v>
      </c>
      <c r="AJ17" t="s">
        <v>501</v>
      </c>
      <c r="AK17" t="s">
        <v>502</v>
      </c>
      <c r="AQ17" t="s">
        <v>38</v>
      </c>
      <c r="AS17" t="str">
        <f t="shared" si="0"/>
        <v>(01) Factura FB0100000073</v>
      </c>
    </row>
    <row r="18" spans="1:45">
      <c r="A18" t="s">
        <v>266</v>
      </c>
      <c r="B18" s="21" t="s">
        <v>286</v>
      </c>
      <c r="C18" t="s">
        <v>30</v>
      </c>
      <c r="D18" s="8">
        <v>45917</v>
      </c>
      <c r="E18" s="22">
        <v>45940.647650462961</v>
      </c>
      <c r="F18" t="s">
        <v>38</v>
      </c>
      <c r="H18">
        <v>6</v>
      </c>
      <c r="I18">
        <v>20611018925</v>
      </c>
      <c r="J18" t="s">
        <v>513</v>
      </c>
      <c r="K18" s="8">
        <v>45917</v>
      </c>
      <c r="Q18">
        <v>1</v>
      </c>
      <c r="S18" t="s">
        <v>268</v>
      </c>
      <c r="U18">
        <v>1</v>
      </c>
      <c r="V18">
        <v>67.8</v>
      </c>
      <c r="W18">
        <v>80</v>
      </c>
      <c r="Y18">
        <v>67.8</v>
      </c>
      <c r="Z18">
        <v>17.989999999999998</v>
      </c>
      <c r="AA18">
        <v>12.2</v>
      </c>
      <c r="AB18">
        <v>80</v>
      </c>
      <c r="AC18">
        <v>1</v>
      </c>
      <c r="AE18" t="s">
        <v>467</v>
      </c>
      <c r="AF18" t="s">
        <v>32</v>
      </c>
      <c r="AG18">
        <v>2</v>
      </c>
      <c r="AH18" t="s">
        <v>28</v>
      </c>
      <c r="AI18">
        <v>1106</v>
      </c>
      <c r="AJ18" t="s">
        <v>501</v>
      </c>
      <c r="AK18" t="s">
        <v>502</v>
      </c>
      <c r="AQ18" t="s">
        <v>38</v>
      </c>
      <c r="AS18" t="str">
        <f t="shared" si="0"/>
        <v>(01) Factura FB0100000072</v>
      </c>
    </row>
    <row r="19" spans="1:45">
      <c r="A19" t="s">
        <v>266</v>
      </c>
      <c r="B19" s="21" t="s">
        <v>287</v>
      </c>
      <c r="C19" t="s">
        <v>30</v>
      </c>
      <c r="D19" s="8">
        <v>45917</v>
      </c>
      <c r="E19" s="22">
        <v>45940.639791666668</v>
      </c>
      <c r="F19" t="s">
        <v>38</v>
      </c>
      <c r="H19">
        <v>6</v>
      </c>
      <c r="I19">
        <v>20611018925</v>
      </c>
      <c r="J19" t="s">
        <v>514</v>
      </c>
      <c r="K19" s="8">
        <v>45917</v>
      </c>
      <c r="Q19">
        <v>1</v>
      </c>
      <c r="S19" t="s">
        <v>268</v>
      </c>
      <c r="U19">
        <v>1</v>
      </c>
      <c r="V19">
        <v>55.93</v>
      </c>
      <c r="W19">
        <v>66</v>
      </c>
      <c r="Y19">
        <v>55.93</v>
      </c>
      <c r="Z19">
        <v>18</v>
      </c>
      <c r="AA19">
        <v>10.07</v>
      </c>
      <c r="AB19">
        <v>66</v>
      </c>
      <c r="AC19">
        <v>1</v>
      </c>
      <c r="AE19" t="s">
        <v>467</v>
      </c>
      <c r="AF19" t="s">
        <v>32</v>
      </c>
      <c r="AG19">
        <v>2</v>
      </c>
      <c r="AH19" t="s">
        <v>28</v>
      </c>
      <c r="AI19">
        <v>1106</v>
      </c>
      <c r="AJ19" t="s">
        <v>501</v>
      </c>
      <c r="AK19" t="s">
        <v>502</v>
      </c>
      <c r="AQ19" t="s">
        <v>38</v>
      </c>
      <c r="AS19" t="str">
        <f t="shared" si="0"/>
        <v>(01) Factura FB0100000071</v>
      </c>
    </row>
    <row r="20" spans="1:45">
      <c r="A20" t="s">
        <v>266</v>
      </c>
      <c r="B20" s="21" t="s">
        <v>288</v>
      </c>
      <c r="C20" t="s">
        <v>30</v>
      </c>
      <c r="D20" s="8">
        <v>45917</v>
      </c>
      <c r="E20" s="22">
        <v>45940.635567129626</v>
      </c>
      <c r="F20" t="s">
        <v>38</v>
      </c>
      <c r="H20">
        <v>6</v>
      </c>
      <c r="I20">
        <v>20611018925</v>
      </c>
      <c r="J20" t="s">
        <v>515</v>
      </c>
      <c r="K20" s="8">
        <v>45917</v>
      </c>
      <c r="Q20">
        <v>1</v>
      </c>
      <c r="S20" t="s">
        <v>268</v>
      </c>
      <c r="U20">
        <v>1</v>
      </c>
      <c r="V20">
        <v>76.27</v>
      </c>
      <c r="W20">
        <v>90</v>
      </c>
      <c r="Y20">
        <v>76.27</v>
      </c>
      <c r="Z20">
        <v>18</v>
      </c>
      <c r="AA20">
        <v>13.73</v>
      </c>
      <c r="AB20">
        <v>90</v>
      </c>
      <c r="AC20">
        <v>1</v>
      </c>
      <c r="AE20" t="s">
        <v>467</v>
      </c>
      <c r="AF20" t="s">
        <v>32</v>
      </c>
      <c r="AG20">
        <v>2</v>
      </c>
      <c r="AH20" t="s">
        <v>28</v>
      </c>
      <c r="AI20">
        <v>1106</v>
      </c>
      <c r="AJ20" t="s">
        <v>501</v>
      </c>
      <c r="AK20" t="s">
        <v>502</v>
      </c>
      <c r="AQ20" t="s">
        <v>38</v>
      </c>
      <c r="AS20" t="str">
        <f t="shared" si="0"/>
        <v>(01) Factura FB0100000070</v>
      </c>
    </row>
    <row r="21" spans="1:45">
      <c r="A21" t="s">
        <v>266</v>
      </c>
      <c r="B21" s="21" t="s">
        <v>289</v>
      </c>
      <c r="C21" t="s">
        <v>30</v>
      </c>
      <c r="D21" s="8">
        <v>45917</v>
      </c>
      <c r="E21" s="22">
        <v>45940.620300925926</v>
      </c>
      <c r="F21" t="s">
        <v>38</v>
      </c>
      <c r="H21">
        <v>6</v>
      </c>
      <c r="I21">
        <v>20611018925</v>
      </c>
      <c r="J21" t="s">
        <v>513</v>
      </c>
      <c r="K21" s="8">
        <v>45917</v>
      </c>
      <c r="Q21">
        <v>1</v>
      </c>
      <c r="S21" t="s">
        <v>268</v>
      </c>
      <c r="U21">
        <v>1</v>
      </c>
      <c r="V21">
        <v>67.8</v>
      </c>
      <c r="W21">
        <v>80</v>
      </c>
      <c r="Y21">
        <v>67.8</v>
      </c>
      <c r="Z21">
        <v>17.989999999999998</v>
      </c>
      <c r="AA21">
        <v>12.2</v>
      </c>
      <c r="AB21">
        <v>80</v>
      </c>
      <c r="AC21">
        <v>1</v>
      </c>
      <c r="AE21" t="s">
        <v>467</v>
      </c>
      <c r="AF21" t="s">
        <v>32</v>
      </c>
      <c r="AG21">
        <v>2</v>
      </c>
      <c r="AH21" t="s">
        <v>28</v>
      </c>
      <c r="AI21">
        <v>1106</v>
      </c>
      <c r="AJ21" t="s">
        <v>501</v>
      </c>
      <c r="AK21" t="s">
        <v>502</v>
      </c>
      <c r="AQ21" t="s">
        <v>38</v>
      </c>
      <c r="AS21" t="str">
        <f t="shared" si="0"/>
        <v>(01) Factura FB0100000069</v>
      </c>
    </row>
    <row r="22" spans="1:45">
      <c r="A22" t="s">
        <v>266</v>
      </c>
      <c r="B22" s="21" t="s">
        <v>290</v>
      </c>
      <c r="C22" t="s">
        <v>30</v>
      </c>
      <c r="D22" s="8">
        <v>45917</v>
      </c>
      <c r="E22" s="22">
        <v>45940.605902777781</v>
      </c>
      <c r="F22" t="s">
        <v>38</v>
      </c>
      <c r="H22">
        <v>6</v>
      </c>
      <c r="I22">
        <v>20611018925</v>
      </c>
      <c r="J22" t="s">
        <v>516</v>
      </c>
      <c r="K22" s="8">
        <v>45917</v>
      </c>
      <c r="Q22">
        <v>1</v>
      </c>
      <c r="S22" t="s">
        <v>268</v>
      </c>
      <c r="U22">
        <v>1</v>
      </c>
      <c r="V22">
        <v>50.85</v>
      </c>
      <c r="W22">
        <v>60</v>
      </c>
      <c r="Y22">
        <v>50.85</v>
      </c>
      <c r="Z22">
        <v>17.989999999999998</v>
      </c>
      <c r="AA22">
        <v>9.15</v>
      </c>
      <c r="AB22">
        <v>60</v>
      </c>
      <c r="AC22">
        <v>1</v>
      </c>
      <c r="AE22" t="s">
        <v>467</v>
      </c>
      <c r="AF22" t="s">
        <v>32</v>
      </c>
      <c r="AG22">
        <v>2</v>
      </c>
      <c r="AH22" t="s">
        <v>28</v>
      </c>
      <c r="AI22">
        <v>1106</v>
      </c>
      <c r="AJ22" t="s">
        <v>501</v>
      </c>
      <c r="AK22" t="s">
        <v>502</v>
      </c>
      <c r="AQ22" t="s">
        <v>38</v>
      </c>
      <c r="AS22" t="str">
        <f t="shared" si="0"/>
        <v>(01) Factura FB0100000068</v>
      </c>
    </row>
    <row r="23" spans="1:45">
      <c r="A23" t="s">
        <v>266</v>
      </c>
      <c r="B23" s="21" t="s">
        <v>291</v>
      </c>
      <c r="C23" t="s">
        <v>30</v>
      </c>
      <c r="D23" s="8">
        <v>45917</v>
      </c>
      <c r="E23" s="22">
        <v>45940.535555555558</v>
      </c>
      <c r="F23" t="s">
        <v>38</v>
      </c>
      <c r="H23">
        <v>6</v>
      </c>
      <c r="I23">
        <v>20611018925</v>
      </c>
      <c r="J23" t="s">
        <v>517</v>
      </c>
      <c r="K23" s="8">
        <v>45917</v>
      </c>
      <c r="Q23">
        <v>1</v>
      </c>
      <c r="S23" t="s">
        <v>292</v>
      </c>
      <c r="U23">
        <v>1</v>
      </c>
      <c r="V23">
        <v>33.9</v>
      </c>
      <c r="W23">
        <v>40</v>
      </c>
      <c r="Y23">
        <v>33.9</v>
      </c>
      <c r="Z23">
        <v>17.989999999999998</v>
      </c>
      <c r="AA23">
        <v>6.1</v>
      </c>
      <c r="AB23">
        <v>40</v>
      </c>
      <c r="AC23">
        <v>1</v>
      </c>
      <c r="AE23" t="s">
        <v>467</v>
      </c>
      <c r="AF23" t="s">
        <v>32</v>
      </c>
      <c r="AG23">
        <v>2</v>
      </c>
      <c r="AH23" t="s">
        <v>28</v>
      </c>
      <c r="AI23">
        <v>1106</v>
      </c>
      <c r="AJ23" t="s">
        <v>501</v>
      </c>
      <c r="AK23" t="s">
        <v>502</v>
      </c>
      <c r="AQ23" t="s">
        <v>38</v>
      </c>
      <c r="AS23" t="str">
        <f t="shared" si="0"/>
        <v>(01) Factura FB0100000067</v>
      </c>
    </row>
    <row r="24" spans="1:45">
      <c r="A24" t="s">
        <v>266</v>
      </c>
      <c r="B24" s="21" t="s">
        <v>293</v>
      </c>
      <c r="C24" t="s">
        <v>30</v>
      </c>
      <c r="D24" s="8">
        <v>45917</v>
      </c>
      <c r="E24" s="22">
        <v>45940.520011574074</v>
      </c>
      <c r="F24" t="s">
        <v>38</v>
      </c>
      <c r="H24">
        <v>6</v>
      </c>
      <c r="I24">
        <v>20611018925</v>
      </c>
      <c r="J24" t="s">
        <v>518</v>
      </c>
      <c r="K24" s="8">
        <v>45917</v>
      </c>
      <c r="Q24">
        <v>1</v>
      </c>
      <c r="S24" t="s">
        <v>268</v>
      </c>
      <c r="U24">
        <v>1</v>
      </c>
      <c r="V24">
        <v>74.58</v>
      </c>
      <c r="W24">
        <v>88</v>
      </c>
      <c r="Y24">
        <v>74.58</v>
      </c>
      <c r="Z24">
        <v>17.989999999999998</v>
      </c>
      <c r="AA24">
        <v>13.42</v>
      </c>
      <c r="AB24">
        <v>88</v>
      </c>
      <c r="AC24">
        <v>1</v>
      </c>
      <c r="AE24" t="s">
        <v>467</v>
      </c>
      <c r="AF24" t="s">
        <v>32</v>
      </c>
      <c r="AG24">
        <v>2</v>
      </c>
      <c r="AH24" t="s">
        <v>28</v>
      </c>
      <c r="AI24">
        <v>1106</v>
      </c>
      <c r="AJ24" t="s">
        <v>501</v>
      </c>
      <c r="AK24" t="s">
        <v>502</v>
      </c>
      <c r="AQ24" t="s">
        <v>38</v>
      </c>
      <c r="AS24" t="str">
        <f t="shared" si="0"/>
        <v>(01) Factura FB0100000066</v>
      </c>
    </row>
    <row r="25" spans="1:45">
      <c r="A25" t="s">
        <v>266</v>
      </c>
      <c r="B25" s="21" t="s">
        <v>294</v>
      </c>
      <c r="C25" t="s">
        <v>30</v>
      </c>
      <c r="D25" s="8">
        <v>45917</v>
      </c>
      <c r="E25" s="22">
        <v>45940.506631944445</v>
      </c>
      <c r="F25" t="s">
        <v>38</v>
      </c>
      <c r="H25">
        <v>6</v>
      </c>
      <c r="I25">
        <v>20611018925</v>
      </c>
      <c r="J25" t="s">
        <v>519</v>
      </c>
      <c r="K25" s="8">
        <v>45917</v>
      </c>
      <c r="Q25">
        <v>1</v>
      </c>
      <c r="S25" t="s">
        <v>268</v>
      </c>
      <c r="U25">
        <v>1</v>
      </c>
      <c r="V25">
        <v>169.49</v>
      </c>
      <c r="W25">
        <v>200</v>
      </c>
      <c r="Y25">
        <v>169.49</v>
      </c>
      <c r="Z25">
        <v>18</v>
      </c>
      <c r="AA25">
        <v>30.51</v>
      </c>
      <c r="AB25">
        <v>200</v>
      </c>
      <c r="AC25">
        <v>1</v>
      </c>
      <c r="AE25" t="s">
        <v>467</v>
      </c>
      <c r="AF25" t="s">
        <v>32</v>
      </c>
      <c r="AG25">
        <v>2</v>
      </c>
      <c r="AH25" t="s">
        <v>28</v>
      </c>
      <c r="AI25">
        <v>1106</v>
      </c>
      <c r="AJ25" t="s">
        <v>501</v>
      </c>
      <c r="AK25" t="s">
        <v>502</v>
      </c>
      <c r="AQ25" t="s">
        <v>38</v>
      </c>
      <c r="AS25" t="str">
        <f t="shared" si="0"/>
        <v>(01) Factura FB0100000065</v>
      </c>
    </row>
    <row r="26" spans="1:45">
      <c r="A26" t="s">
        <v>266</v>
      </c>
      <c r="B26" s="21" t="s">
        <v>295</v>
      </c>
      <c r="C26" t="s">
        <v>30</v>
      </c>
      <c r="D26" s="8">
        <v>45917</v>
      </c>
      <c r="E26" s="22">
        <v>45940.505902777775</v>
      </c>
      <c r="F26" t="s">
        <v>38</v>
      </c>
      <c r="H26">
        <v>6</v>
      </c>
      <c r="I26">
        <v>20611018925</v>
      </c>
      <c r="J26" t="s">
        <v>520</v>
      </c>
      <c r="K26" s="8">
        <v>45917</v>
      </c>
      <c r="Q26">
        <v>1</v>
      </c>
      <c r="S26" t="s">
        <v>268</v>
      </c>
      <c r="U26">
        <v>1</v>
      </c>
      <c r="V26">
        <v>127.12</v>
      </c>
      <c r="W26">
        <v>150</v>
      </c>
      <c r="Y26">
        <v>127.12</v>
      </c>
      <c r="Z26">
        <v>18</v>
      </c>
      <c r="AA26">
        <v>22.88</v>
      </c>
      <c r="AB26">
        <v>150</v>
      </c>
      <c r="AC26">
        <v>1</v>
      </c>
      <c r="AE26" t="s">
        <v>467</v>
      </c>
      <c r="AF26" t="s">
        <v>32</v>
      </c>
      <c r="AG26">
        <v>2</v>
      </c>
      <c r="AH26" t="s">
        <v>28</v>
      </c>
      <c r="AI26">
        <v>1106</v>
      </c>
      <c r="AJ26" t="s">
        <v>501</v>
      </c>
      <c r="AK26" t="s">
        <v>502</v>
      </c>
      <c r="AQ26" t="s">
        <v>38</v>
      </c>
      <c r="AS26" t="str">
        <f t="shared" si="0"/>
        <v>(01) Factura FB0100000064</v>
      </c>
    </row>
    <row r="27" spans="1:45">
      <c r="A27" t="s">
        <v>266</v>
      </c>
      <c r="B27" s="21" t="s">
        <v>296</v>
      </c>
      <c r="C27" t="s">
        <v>30</v>
      </c>
      <c r="D27" s="8">
        <v>45917</v>
      </c>
      <c r="E27" s="22">
        <v>45940.449212962965</v>
      </c>
      <c r="F27" t="s">
        <v>35</v>
      </c>
      <c r="G27" t="s">
        <v>272</v>
      </c>
      <c r="H27">
        <v>6</v>
      </c>
      <c r="I27">
        <v>20608361074</v>
      </c>
      <c r="J27" t="s">
        <v>521</v>
      </c>
      <c r="K27" s="8">
        <v>45917</v>
      </c>
      <c r="Q27">
        <v>1</v>
      </c>
      <c r="S27" t="s">
        <v>297</v>
      </c>
      <c r="U27">
        <v>1</v>
      </c>
      <c r="V27">
        <v>101.69</v>
      </c>
      <c r="W27">
        <v>119.99</v>
      </c>
      <c r="Y27">
        <v>101.69</v>
      </c>
      <c r="Z27">
        <v>18</v>
      </c>
      <c r="AA27">
        <v>18.3</v>
      </c>
      <c r="AB27">
        <v>119.99</v>
      </c>
      <c r="AC27">
        <v>1</v>
      </c>
      <c r="AE27" t="s">
        <v>467</v>
      </c>
      <c r="AF27" t="s">
        <v>32</v>
      </c>
      <c r="AG27">
        <v>2</v>
      </c>
      <c r="AH27" t="s">
        <v>28</v>
      </c>
      <c r="AI27">
        <v>1106</v>
      </c>
      <c r="AJ27" t="s">
        <v>501</v>
      </c>
      <c r="AK27" t="s">
        <v>502</v>
      </c>
      <c r="AQ27" t="s">
        <v>35</v>
      </c>
      <c r="AS27" t="str">
        <f t="shared" si="0"/>
        <v>(01) Factura FB0100000063</v>
      </c>
    </row>
    <row r="28" spans="1:45">
      <c r="A28" t="s">
        <v>266</v>
      </c>
      <c r="B28" s="21" t="s">
        <v>298</v>
      </c>
      <c r="C28" t="s">
        <v>30</v>
      </c>
      <c r="D28" s="8">
        <v>45917</v>
      </c>
      <c r="E28" s="22">
        <v>45940.431145833332</v>
      </c>
      <c r="F28" t="s">
        <v>35</v>
      </c>
      <c r="G28" t="s">
        <v>272</v>
      </c>
      <c r="H28">
        <v>6</v>
      </c>
      <c r="I28">
        <v>20608361074</v>
      </c>
      <c r="J28" t="s">
        <v>522</v>
      </c>
      <c r="K28" s="8">
        <v>45917</v>
      </c>
      <c r="Q28">
        <v>1</v>
      </c>
      <c r="S28" t="s">
        <v>268</v>
      </c>
      <c r="U28">
        <v>1</v>
      </c>
      <c r="V28">
        <v>33.9</v>
      </c>
      <c r="W28">
        <v>40</v>
      </c>
      <c r="Y28">
        <v>33.9</v>
      </c>
      <c r="Z28">
        <v>17.989999999999998</v>
      </c>
      <c r="AA28">
        <v>6.1</v>
      </c>
      <c r="AB28">
        <v>40</v>
      </c>
      <c r="AC28">
        <v>1</v>
      </c>
      <c r="AE28" t="s">
        <v>467</v>
      </c>
      <c r="AF28" t="s">
        <v>32</v>
      </c>
      <c r="AG28">
        <v>2</v>
      </c>
      <c r="AH28" t="s">
        <v>28</v>
      </c>
      <c r="AI28">
        <v>1106</v>
      </c>
      <c r="AJ28" t="s">
        <v>501</v>
      </c>
      <c r="AK28" t="s">
        <v>502</v>
      </c>
      <c r="AQ28" t="s">
        <v>35</v>
      </c>
      <c r="AS28" t="str">
        <f t="shared" si="0"/>
        <v>(01) Factura FB0100000062</v>
      </c>
    </row>
    <row r="29" spans="1:45">
      <c r="A29" t="s">
        <v>266</v>
      </c>
      <c r="B29" s="21" t="s">
        <v>299</v>
      </c>
      <c r="C29" t="s">
        <v>30</v>
      </c>
      <c r="D29" s="8">
        <v>45917</v>
      </c>
      <c r="E29" s="22">
        <v>45940.428738425922</v>
      </c>
      <c r="F29" t="s">
        <v>35</v>
      </c>
      <c r="G29" t="s">
        <v>272</v>
      </c>
      <c r="H29">
        <v>6</v>
      </c>
      <c r="I29">
        <v>20608361074</v>
      </c>
      <c r="J29" t="s">
        <v>523</v>
      </c>
      <c r="K29" s="8">
        <v>45917</v>
      </c>
      <c r="Q29">
        <v>1</v>
      </c>
      <c r="S29" t="s">
        <v>268</v>
      </c>
      <c r="U29">
        <v>1</v>
      </c>
      <c r="V29">
        <v>16.95</v>
      </c>
      <c r="W29">
        <v>20</v>
      </c>
      <c r="Y29">
        <v>16.95</v>
      </c>
      <c r="Z29">
        <v>17.989999999999998</v>
      </c>
      <c r="AA29">
        <v>3.05</v>
      </c>
      <c r="AB29">
        <v>20</v>
      </c>
      <c r="AC29">
        <v>1</v>
      </c>
      <c r="AE29" t="s">
        <v>467</v>
      </c>
      <c r="AF29" t="s">
        <v>32</v>
      </c>
      <c r="AG29">
        <v>2</v>
      </c>
      <c r="AH29" t="s">
        <v>28</v>
      </c>
      <c r="AI29">
        <v>1106</v>
      </c>
      <c r="AJ29" t="s">
        <v>501</v>
      </c>
      <c r="AK29" t="s">
        <v>502</v>
      </c>
      <c r="AQ29" t="s">
        <v>35</v>
      </c>
      <c r="AS29" t="str">
        <f t="shared" si="0"/>
        <v>(01) Factura FB0100000061</v>
      </c>
    </row>
    <row r="30" spans="1:45">
      <c r="A30" t="s">
        <v>266</v>
      </c>
      <c r="B30" s="21" t="s">
        <v>300</v>
      </c>
      <c r="C30" t="s">
        <v>30</v>
      </c>
      <c r="D30" s="8">
        <v>45917</v>
      </c>
      <c r="E30" s="22">
        <v>45940.419398148151</v>
      </c>
      <c r="F30" t="s">
        <v>35</v>
      </c>
      <c r="G30" t="s">
        <v>272</v>
      </c>
      <c r="H30">
        <v>6</v>
      </c>
      <c r="I30">
        <v>20608361074</v>
      </c>
      <c r="J30" t="s">
        <v>524</v>
      </c>
      <c r="K30" s="8">
        <v>45917</v>
      </c>
      <c r="Q30">
        <v>1</v>
      </c>
      <c r="S30" t="s">
        <v>268</v>
      </c>
      <c r="U30">
        <v>1</v>
      </c>
      <c r="V30">
        <v>84.75</v>
      </c>
      <c r="W30">
        <v>100.01</v>
      </c>
      <c r="Y30">
        <v>84.75</v>
      </c>
      <c r="Z30">
        <v>18.010000000000002</v>
      </c>
      <c r="AA30">
        <v>15.26</v>
      </c>
      <c r="AB30">
        <v>100.01</v>
      </c>
      <c r="AC30">
        <v>1</v>
      </c>
      <c r="AE30" t="s">
        <v>467</v>
      </c>
      <c r="AF30" t="s">
        <v>32</v>
      </c>
      <c r="AG30">
        <v>2</v>
      </c>
      <c r="AH30" t="s">
        <v>28</v>
      </c>
      <c r="AI30">
        <v>1106</v>
      </c>
      <c r="AJ30" t="s">
        <v>501</v>
      </c>
      <c r="AK30" t="s">
        <v>502</v>
      </c>
      <c r="AQ30" t="s">
        <v>35</v>
      </c>
      <c r="AS30" t="str">
        <f t="shared" si="0"/>
        <v>(01) Factura FB0100000060</v>
      </c>
    </row>
    <row r="31" spans="1:45">
      <c r="A31" t="s">
        <v>266</v>
      </c>
      <c r="B31" s="21" t="s">
        <v>301</v>
      </c>
      <c r="C31" t="s">
        <v>30</v>
      </c>
      <c r="D31" s="8">
        <v>45917</v>
      </c>
      <c r="E31" s="22">
        <v>45940.414837962962</v>
      </c>
      <c r="F31" t="s">
        <v>27</v>
      </c>
      <c r="H31">
        <v>6</v>
      </c>
      <c r="I31">
        <v>20609593076</v>
      </c>
      <c r="J31" t="s">
        <v>525</v>
      </c>
      <c r="K31" s="8">
        <v>45917</v>
      </c>
      <c r="Q31">
        <v>1</v>
      </c>
      <c r="S31" t="s">
        <v>268</v>
      </c>
      <c r="U31">
        <v>1</v>
      </c>
      <c r="V31">
        <v>55.93</v>
      </c>
      <c r="W31">
        <v>66</v>
      </c>
      <c r="Y31">
        <v>55.93</v>
      </c>
      <c r="Z31">
        <v>18</v>
      </c>
      <c r="AA31">
        <v>10.07</v>
      </c>
      <c r="AB31">
        <v>66</v>
      </c>
      <c r="AC31">
        <v>1</v>
      </c>
      <c r="AE31" t="s">
        <v>467</v>
      </c>
      <c r="AF31" t="s">
        <v>32</v>
      </c>
      <c r="AG31">
        <v>2</v>
      </c>
      <c r="AH31" t="s">
        <v>28</v>
      </c>
      <c r="AI31">
        <v>1106</v>
      </c>
      <c r="AJ31" t="s">
        <v>501</v>
      </c>
      <c r="AK31" t="s">
        <v>502</v>
      </c>
      <c r="AQ31" t="s">
        <v>27</v>
      </c>
      <c r="AS31" t="str">
        <f t="shared" si="0"/>
        <v>(01) Factura FB0100000059</v>
      </c>
    </row>
    <row r="32" spans="1:45">
      <c r="A32" t="s">
        <v>266</v>
      </c>
      <c r="B32" s="21" t="s">
        <v>302</v>
      </c>
      <c r="C32" t="s">
        <v>30</v>
      </c>
      <c r="D32" s="8">
        <v>45917</v>
      </c>
      <c r="E32" s="22">
        <v>45940.411226851851</v>
      </c>
      <c r="F32" t="s">
        <v>27</v>
      </c>
      <c r="H32">
        <v>6</v>
      </c>
      <c r="I32">
        <v>20609593076</v>
      </c>
      <c r="J32" t="s">
        <v>526</v>
      </c>
      <c r="K32" s="8">
        <v>45917</v>
      </c>
      <c r="Q32">
        <v>1</v>
      </c>
      <c r="S32" t="s">
        <v>268</v>
      </c>
      <c r="U32">
        <v>1</v>
      </c>
      <c r="V32">
        <v>74.58</v>
      </c>
      <c r="W32">
        <v>88</v>
      </c>
      <c r="Y32">
        <v>74.58</v>
      </c>
      <c r="Z32">
        <v>17.989999999999998</v>
      </c>
      <c r="AA32">
        <v>13.42</v>
      </c>
      <c r="AB32">
        <v>88</v>
      </c>
      <c r="AC32">
        <v>1</v>
      </c>
      <c r="AE32" t="s">
        <v>467</v>
      </c>
      <c r="AF32" t="s">
        <v>32</v>
      </c>
      <c r="AG32">
        <v>2</v>
      </c>
      <c r="AH32" t="s">
        <v>28</v>
      </c>
      <c r="AI32">
        <v>1106</v>
      </c>
      <c r="AJ32" t="s">
        <v>501</v>
      </c>
      <c r="AK32" t="s">
        <v>502</v>
      </c>
      <c r="AQ32" t="s">
        <v>27</v>
      </c>
      <c r="AS32" t="str">
        <f t="shared" si="0"/>
        <v>(01) Factura FB0100000058</v>
      </c>
    </row>
    <row r="33" spans="1:45">
      <c r="A33" t="s">
        <v>273</v>
      </c>
      <c r="B33" s="21" t="s">
        <v>303</v>
      </c>
      <c r="C33" t="s">
        <v>30</v>
      </c>
      <c r="D33" s="8">
        <v>45916</v>
      </c>
      <c r="E33" s="22">
        <v>45940.462141203701</v>
      </c>
      <c r="F33" t="s">
        <v>37</v>
      </c>
      <c r="H33">
        <v>6</v>
      </c>
      <c r="I33">
        <v>20609168961</v>
      </c>
      <c r="J33" t="s">
        <v>527</v>
      </c>
      <c r="K33" s="8">
        <v>45916</v>
      </c>
      <c r="Q33">
        <v>1</v>
      </c>
      <c r="R33">
        <v>232</v>
      </c>
      <c r="S33" t="s">
        <v>276</v>
      </c>
      <c r="T33" t="s">
        <v>277</v>
      </c>
      <c r="U33">
        <v>1</v>
      </c>
      <c r="V33">
        <v>0</v>
      </c>
      <c r="W33">
        <v>0</v>
      </c>
      <c r="Y33">
        <v>0</v>
      </c>
      <c r="Z33">
        <v>0</v>
      </c>
      <c r="AA33">
        <v>0</v>
      </c>
      <c r="AB33">
        <v>0</v>
      </c>
      <c r="AC33">
        <v>1</v>
      </c>
      <c r="AE33" t="s">
        <v>469</v>
      </c>
      <c r="AF33" t="s">
        <v>123</v>
      </c>
      <c r="AG33">
        <v>2</v>
      </c>
      <c r="AH33" t="s">
        <v>28</v>
      </c>
      <c r="AI33">
        <v>1106</v>
      </c>
      <c r="AJ33" t="s">
        <v>501</v>
      </c>
      <c r="AK33" t="s">
        <v>507</v>
      </c>
      <c r="AL33">
        <v>2</v>
      </c>
      <c r="AM33" t="s">
        <v>280</v>
      </c>
      <c r="AN33" s="8">
        <v>44409</v>
      </c>
      <c r="AO33" s="8">
        <v>44409</v>
      </c>
      <c r="AQ33" t="s">
        <v>37</v>
      </c>
      <c r="AS33" t="str">
        <f t="shared" si="0"/>
        <v>(01) Factura F00100000100</v>
      </c>
    </row>
    <row r="34" spans="1:45">
      <c r="A34" t="s">
        <v>266</v>
      </c>
      <c r="B34" s="21" t="s">
        <v>304</v>
      </c>
      <c r="C34" t="s">
        <v>30</v>
      </c>
      <c r="D34" s="8">
        <v>45912</v>
      </c>
      <c r="E34" s="22">
        <v>45940.550104166665</v>
      </c>
      <c r="F34" t="s">
        <v>27</v>
      </c>
      <c r="H34">
        <v>6</v>
      </c>
      <c r="I34">
        <v>20609593076</v>
      </c>
      <c r="J34" t="s">
        <v>528</v>
      </c>
      <c r="K34" s="8">
        <v>45912</v>
      </c>
      <c r="Q34">
        <v>1</v>
      </c>
      <c r="S34" t="s">
        <v>268</v>
      </c>
      <c r="U34">
        <v>1</v>
      </c>
      <c r="V34">
        <v>33.9</v>
      </c>
      <c r="W34">
        <v>40</v>
      </c>
      <c r="Y34">
        <v>33.9</v>
      </c>
      <c r="Z34">
        <v>17.989999999999998</v>
      </c>
      <c r="AA34">
        <v>6.1</v>
      </c>
      <c r="AB34">
        <v>40</v>
      </c>
      <c r="AC34">
        <v>1</v>
      </c>
      <c r="AE34" t="s">
        <v>467</v>
      </c>
      <c r="AF34" t="s">
        <v>32</v>
      </c>
      <c r="AG34">
        <v>2</v>
      </c>
      <c r="AH34" t="s">
        <v>28</v>
      </c>
      <c r="AI34">
        <v>1106</v>
      </c>
      <c r="AJ34" t="s">
        <v>501</v>
      </c>
      <c r="AK34" t="s">
        <v>502</v>
      </c>
      <c r="AQ34" t="s">
        <v>27</v>
      </c>
      <c r="AS34" t="str">
        <f t="shared" si="0"/>
        <v>(01) Factura FB0100000057</v>
      </c>
    </row>
    <row r="35" spans="1:45">
      <c r="A35" t="s">
        <v>266</v>
      </c>
      <c r="B35" s="21" t="s">
        <v>305</v>
      </c>
      <c r="C35" t="s">
        <v>30</v>
      </c>
      <c r="D35" s="8">
        <v>45912</v>
      </c>
      <c r="E35" s="22">
        <v>45940.547708333332</v>
      </c>
      <c r="F35" t="s">
        <v>27</v>
      </c>
      <c r="H35">
        <v>6</v>
      </c>
      <c r="I35">
        <v>20609593076</v>
      </c>
      <c r="J35" t="s">
        <v>511</v>
      </c>
      <c r="K35" s="8">
        <v>45912</v>
      </c>
      <c r="Q35">
        <v>1</v>
      </c>
      <c r="S35" t="s">
        <v>268</v>
      </c>
      <c r="U35">
        <v>1</v>
      </c>
      <c r="V35">
        <v>65.25</v>
      </c>
      <c r="W35">
        <v>77</v>
      </c>
      <c r="Y35">
        <v>65.25</v>
      </c>
      <c r="Z35">
        <v>18.010000000000002</v>
      </c>
      <c r="AA35">
        <v>11.75</v>
      </c>
      <c r="AB35">
        <v>77</v>
      </c>
      <c r="AC35">
        <v>1</v>
      </c>
      <c r="AE35" t="s">
        <v>467</v>
      </c>
      <c r="AF35" t="s">
        <v>32</v>
      </c>
      <c r="AG35">
        <v>2</v>
      </c>
      <c r="AH35" t="s">
        <v>28</v>
      </c>
      <c r="AI35">
        <v>1106</v>
      </c>
      <c r="AJ35" t="s">
        <v>501</v>
      </c>
      <c r="AK35" t="s">
        <v>502</v>
      </c>
      <c r="AQ35" t="s">
        <v>27</v>
      </c>
      <c r="AS35" t="str">
        <f t="shared" si="0"/>
        <v>(01) Factura FB0100000056</v>
      </c>
    </row>
    <row r="36" spans="1:45">
      <c r="A36" t="s">
        <v>266</v>
      </c>
      <c r="B36" s="21" t="s">
        <v>306</v>
      </c>
      <c r="C36" t="s">
        <v>30</v>
      </c>
      <c r="D36" s="8">
        <v>45908</v>
      </c>
      <c r="E36" s="22">
        <v>45940.755208333336</v>
      </c>
      <c r="F36" t="s">
        <v>27</v>
      </c>
      <c r="H36">
        <v>6</v>
      </c>
      <c r="I36">
        <v>20609593076</v>
      </c>
      <c r="J36" t="s">
        <v>529</v>
      </c>
      <c r="K36" s="8">
        <v>45908</v>
      </c>
      <c r="Q36">
        <v>1</v>
      </c>
      <c r="S36" t="s">
        <v>268</v>
      </c>
      <c r="U36">
        <v>1</v>
      </c>
      <c r="V36">
        <v>118.64</v>
      </c>
      <c r="W36">
        <v>140</v>
      </c>
      <c r="Y36">
        <v>118.64</v>
      </c>
      <c r="Z36">
        <v>18</v>
      </c>
      <c r="AA36">
        <v>21.36</v>
      </c>
      <c r="AB36">
        <v>140</v>
      </c>
      <c r="AC36">
        <v>1</v>
      </c>
      <c r="AE36" t="s">
        <v>467</v>
      </c>
      <c r="AF36" t="s">
        <v>32</v>
      </c>
      <c r="AG36">
        <v>2</v>
      </c>
      <c r="AH36" t="s">
        <v>28</v>
      </c>
      <c r="AI36">
        <v>1106</v>
      </c>
      <c r="AJ36" t="s">
        <v>501</v>
      </c>
      <c r="AK36" t="s">
        <v>502</v>
      </c>
      <c r="AQ36" t="s">
        <v>27</v>
      </c>
      <c r="AS36" t="str">
        <f t="shared" si="0"/>
        <v>(01) Factura FB0100000055</v>
      </c>
    </row>
    <row r="37" spans="1:45">
      <c r="A37" t="s">
        <v>266</v>
      </c>
      <c r="B37" s="21" t="s">
        <v>307</v>
      </c>
      <c r="C37" t="s">
        <v>30</v>
      </c>
      <c r="D37" s="8">
        <v>45908</v>
      </c>
      <c r="E37" s="22">
        <v>45940.751608796294</v>
      </c>
      <c r="F37" t="s">
        <v>27</v>
      </c>
      <c r="H37">
        <v>6</v>
      </c>
      <c r="I37">
        <v>20609593076</v>
      </c>
      <c r="J37" t="s">
        <v>530</v>
      </c>
      <c r="K37" s="8">
        <v>45908</v>
      </c>
      <c r="Q37">
        <v>1</v>
      </c>
      <c r="S37" t="s">
        <v>268</v>
      </c>
      <c r="U37">
        <v>1</v>
      </c>
      <c r="V37">
        <v>110.17</v>
      </c>
      <c r="W37">
        <v>130</v>
      </c>
      <c r="Y37">
        <v>110.17</v>
      </c>
      <c r="Z37">
        <v>18</v>
      </c>
      <c r="AA37">
        <v>19.829999999999998</v>
      </c>
      <c r="AB37">
        <v>130</v>
      </c>
      <c r="AC37">
        <v>1</v>
      </c>
      <c r="AE37" t="s">
        <v>467</v>
      </c>
      <c r="AF37" t="s">
        <v>32</v>
      </c>
      <c r="AG37">
        <v>2</v>
      </c>
      <c r="AH37" t="s">
        <v>28</v>
      </c>
      <c r="AI37">
        <v>1106</v>
      </c>
      <c r="AJ37" t="s">
        <v>501</v>
      </c>
      <c r="AK37" t="s">
        <v>502</v>
      </c>
      <c r="AQ37" t="s">
        <v>27</v>
      </c>
      <c r="AS37" t="str">
        <f t="shared" si="0"/>
        <v>(01) Factura FB0100000054</v>
      </c>
    </row>
    <row r="38" spans="1:45">
      <c r="A38" t="s">
        <v>266</v>
      </c>
      <c r="B38" s="21" t="s">
        <v>308</v>
      </c>
      <c r="C38" t="s">
        <v>30</v>
      </c>
      <c r="D38" s="8">
        <v>45908</v>
      </c>
      <c r="E38" s="22">
        <v>45940.740428240744</v>
      </c>
      <c r="F38" t="s">
        <v>27</v>
      </c>
      <c r="H38">
        <v>6</v>
      </c>
      <c r="I38">
        <v>20609593076</v>
      </c>
      <c r="J38" t="s">
        <v>531</v>
      </c>
      <c r="K38" s="8">
        <v>45908</v>
      </c>
      <c r="Q38">
        <v>1</v>
      </c>
      <c r="S38" t="s">
        <v>268</v>
      </c>
      <c r="U38">
        <v>1</v>
      </c>
      <c r="V38">
        <v>135.59</v>
      </c>
      <c r="W38">
        <v>160</v>
      </c>
      <c r="Y38">
        <v>135.59</v>
      </c>
      <c r="Z38">
        <v>18</v>
      </c>
      <c r="AA38">
        <v>24.41</v>
      </c>
      <c r="AB38">
        <v>160</v>
      </c>
      <c r="AC38">
        <v>1</v>
      </c>
      <c r="AE38" t="s">
        <v>467</v>
      </c>
      <c r="AF38" t="s">
        <v>32</v>
      </c>
      <c r="AG38">
        <v>2</v>
      </c>
      <c r="AH38" t="s">
        <v>28</v>
      </c>
      <c r="AI38">
        <v>1106</v>
      </c>
      <c r="AJ38" t="s">
        <v>501</v>
      </c>
      <c r="AK38" t="s">
        <v>502</v>
      </c>
      <c r="AQ38" t="s">
        <v>27</v>
      </c>
      <c r="AS38" t="str">
        <f t="shared" si="0"/>
        <v>(01) Factura FB0100000053</v>
      </c>
    </row>
    <row r="39" spans="1:45">
      <c r="A39" t="s">
        <v>266</v>
      </c>
      <c r="B39" s="21" t="s">
        <v>309</v>
      </c>
      <c r="C39" t="s">
        <v>30</v>
      </c>
      <c r="D39" s="8">
        <v>45908</v>
      </c>
      <c r="E39" s="22">
        <v>45940.677731481483</v>
      </c>
      <c r="F39" t="s">
        <v>27</v>
      </c>
      <c r="H39">
        <v>6</v>
      </c>
      <c r="I39">
        <v>20609593076</v>
      </c>
      <c r="J39" t="s">
        <v>532</v>
      </c>
      <c r="K39" s="8">
        <v>45908</v>
      </c>
      <c r="Q39">
        <v>1</v>
      </c>
      <c r="S39" t="s">
        <v>268</v>
      </c>
      <c r="U39">
        <v>1</v>
      </c>
      <c r="V39">
        <v>93.22</v>
      </c>
      <c r="W39">
        <v>110</v>
      </c>
      <c r="Y39">
        <v>93.22</v>
      </c>
      <c r="Z39">
        <v>18</v>
      </c>
      <c r="AA39">
        <v>16.78</v>
      </c>
      <c r="AB39">
        <v>110</v>
      </c>
      <c r="AC39">
        <v>1</v>
      </c>
      <c r="AE39" t="s">
        <v>467</v>
      </c>
      <c r="AF39" t="s">
        <v>32</v>
      </c>
      <c r="AG39">
        <v>2</v>
      </c>
      <c r="AH39" t="s">
        <v>28</v>
      </c>
      <c r="AI39">
        <v>1106</v>
      </c>
      <c r="AJ39" t="s">
        <v>501</v>
      </c>
      <c r="AK39" t="s">
        <v>502</v>
      </c>
      <c r="AQ39" t="s">
        <v>27</v>
      </c>
      <c r="AS39" t="str">
        <f t="shared" si="0"/>
        <v>(01) Factura FB0100000052</v>
      </c>
    </row>
    <row r="40" spans="1:45">
      <c r="A40" t="s">
        <v>266</v>
      </c>
      <c r="B40" s="21" t="s">
        <v>310</v>
      </c>
      <c r="C40" t="s">
        <v>30</v>
      </c>
      <c r="D40" s="8">
        <v>45908</v>
      </c>
      <c r="E40" s="22">
        <v>45940.609050925923</v>
      </c>
      <c r="F40" t="s">
        <v>27</v>
      </c>
      <c r="H40">
        <v>6</v>
      </c>
      <c r="I40">
        <v>20609593076</v>
      </c>
      <c r="J40" t="s">
        <v>533</v>
      </c>
      <c r="K40" s="8">
        <v>45908</v>
      </c>
      <c r="Q40">
        <v>1</v>
      </c>
      <c r="S40" t="s">
        <v>268</v>
      </c>
      <c r="U40">
        <v>1</v>
      </c>
      <c r="V40">
        <v>127.12</v>
      </c>
      <c r="W40">
        <v>150</v>
      </c>
      <c r="Y40">
        <v>127.12</v>
      </c>
      <c r="Z40">
        <v>18</v>
      </c>
      <c r="AA40">
        <v>22.88</v>
      </c>
      <c r="AB40">
        <v>150</v>
      </c>
      <c r="AC40">
        <v>1</v>
      </c>
      <c r="AE40" t="s">
        <v>467</v>
      </c>
      <c r="AF40" t="s">
        <v>32</v>
      </c>
      <c r="AG40">
        <v>2</v>
      </c>
      <c r="AH40" t="s">
        <v>28</v>
      </c>
      <c r="AI40">
        <v>1106</v>
      </c>
      <c r="AJ40" t="s">
        <v>501</v>
      </c>
      <c r="AK40" t="s">
        <v>502</v>
      </c>
      <c r="AQ40" t="s">
        <v>27</v>
      </c>
      <c r="AS40" t="str">
        <f t="shared" si="0"/>
        <v>(01) Factura FB0100000051</v>
      </c>
    </row>
    <row r="41" spans="1:45">
      <c r="A41" t="s">
        <v>266</v>
      </c>
      <c r="B41" s="21" t="s">
        <v>311</v>
      </c>
      <c r="C41" t="s">
        <v>30</v>
      </c>
      <c r="D41" s="8">
        <v>45908</v>
      </c>
      <c r="E41" s="22">
        <v>45940.605393518519</v>
      </c>
      <c r="F41" t="s">
        <v>27</v>
      </c>
      <c r="H41">
        <v>6</v>
      </c>
      <c r="I41">
        <v>20609593076</v>
      </c>
      <c r="J41" t="s">
        <v>530</v>
      </c>
      <c r="K41" s="8">
        <v>45908</v>
      </c>
      <c r="Q41">
        <v>1</v>
      </c>
      <c r="S41" t="s">
        <v>268</v>
      </c>
      <c r="U41">
        <v>1</v>
      </c>
      <c r="V41">
        <v>110.17</v>
      </c>
      <c r="W41">
        <v>130</v>
      </c>
      <c r="Y41">
        <v>110.17</v>
      </c>
      <c r="Z41">
        <v>18</v>
      </c>
      <c r="AA41">
        <v>19.829999999999998</v>
      </c>
      <c r="AB41">
        <v>130</v>
      </c>
      <c r="AC41">
        <v>1</v>
      </c>
      <c r="AE41" t="s">
        <v>467</v>
      </c>
      <c r="AF41" t="s">
        <v>32</v>
      </c>
      <c r="AG41">
        <v>2</v>
      </c>
      <c r="AH41" t="s">
        <v>28</v>
      </c>
      <c r="AI41">
        <v>1106</v>
      </c>
      <c r="AJ41" t="s">
        <v>501</v>
      </c>
      <c r="AK41" t="s">
        <v>502</v>
      </c>
      <c r="AQ41" t="s">
        <v>27</v>
      </c>
      <c r="AS41" t="str">
        <f t="shared" si="0"/>
        <v>(01) Factura FB0100000050</v>
      </c>
    </row>
    <row r="42" spans="1:45" s="25" customFormat="1">
      <c r="A42" t="s">
        <v>266</v>
      </c>
      <c r="B42" s="21" t="s">
        <v>312</v>
      </c>
      <c r="C42" t="s">
        <v>30</v>
      </c>
      <c r="D42" s="8">
        <v>45908</v>
      </c>
      <c r="E42" s="22">
        <v>45940.563564814816</v>
      </c>
      <c r="F42" t="s">
        <v>27</v>
      </c>
      <c r="G42"/>
      <c r="H42">
        <v>6</v>
      </c>
      <c r="I42">
        <v>20609593076</v>
      </c>
      <c r="J42" t="s">
        <v>534</v>
      </c>
      <c r="K42" s="8">
        <v>45908</v>
      </c>
      <c r="L42"/>
      <c r="M42"/>
      <c r="N42"/>
      <c r="O42"/>
      <c r="P42"/>
      <c r="Q42">
        <v>1</v>
      </c>
      <c r="R42"/>
      <c r="S42" t="s">
        <v>268</v>
      </c>
      <c r="T42"/>
      <c r="U42">
        <v>1</v>
      </c>
      <c r="V42">
        <v>84.75</v>
      </c>
      <c r="W42">
        <v>100.01</v>
      </c>
      <c r="X42"/>
      <c r="Y42">
        <v>84.75</v>
      </c>
      <c r="Z42">
        <v>18.010000000000002</v>
      </c>
      <c r="AA42">
        <v>15.26</v>
      </c>
      <c r="AB42">
        <v>100.01</v>
      </c>
      <c r="AC42">
        <v>1</v>
      </c>
      <c r="AD42"/>
      <c r="AE42" t="s">
        <v>467</v>
      </c>
      <c r="AF42" t="s">
        <v>32</v>
      </c>
      <c r="AG42">
        <v>2</v>
      </c>
      <c r="AH42" t="s">
        <v>28</v>
      </c>
      <c r="AI42">
        <v>1106</v>
      </c>
      <c r="AJ42" t="s">
        <v>501</v>
      </c>
      <c r="AK42" t="s">
        <v>502</v>
      </c>
      <c r="AL42"/>
      <c r="AM42"/>
      <c r="AN42"/>
      <c r="AO42"/>
      <c r="AP42"/>
      <c r="AQ42" t="s">
        <v>27</v>
      </c>
      <c r="AR42"/>
      <c r="AS42" t="str">
        <f t="shared" si="0"/>
        <v>(01) Factura FB0100000049</v>
      </c>
    </row>
    <row r="43" spans="1:45">
      <c r="A43" t="s">
        <v>266</v>
      </c>
      <c r="B43" s="21" t="s">
        <v>313</v>
      </c>
      <c r="C43" t="s">
        <v>30</v>
      </c>
      <c r="D43" s="8">
        <v>45908</v>
      </c>
      <c r="E43" s="22">
        <v>45940.547858796293</v>
      </c>
      <c r="F43" t="s">
        <v>27</v>
      </c>
      <c r="H43">
        <v>6</v>
      </c>
      <c r="I43">
        <v>20609593076</v>
      </c>
      <c r="J43" t="s">
        <v>535</v>
      </c>
      <c r="K43" s="8">
        <v>45908</v>
      </c>
      <c r="Q43">
        <v>1</v>
      </c>
      <c r="S43" t="s">
        <v>268</v>
      </c>
      <c r="U43">
        <v>1</v>
      </c>
      <c r="V43">
        <v>104.24</v>
      </c>
      <c r="W43">
        <v>123</v>
      </c>
      <c r="Y43">
        <v>104.24</v>
      </c>
      <c r="Z43">
        <v>18</v>
      </c>
      <c r="AA43">
        <v>18.760000000000002</v>
      </c>
      <c r="AB43">
        <v>123</v>
      </c>
      <c r="AC43">
        <v>1</v>
      </c>
      <c r="AE43" t="s">
        <v>467</v>
      </c>
      <c r="AF43" t="s">
        <v>32</v>
      </c>
      <c r="AG43">
        <v>2</v>
      </c>
      <c r="AH43" t="s">
        <v>28</v>
      </c>
      <c r="AI43">
        <v>1106</v>
      </c>
      <c r="AJ43" t="s">
        <v>501</v>
      </c>
      <c r="AK43" t="s">
        <v>502</v>
      </c>
      <c r="AQ43" t="s">
        <v>27</v>
      </c>
      <c r="AS43" t="str">
        <f t="shared" si="0"/>
        <v>(01) Factura FB0100000048</v>
      </c>
    </row>
    <row r="44" spans="1:45">
      <c r="A44" t="s">
        <v>266</v>
      </c>
      <c r="B44" s="21" t="s">
        <v>314</v>
      </c>
      <c r="C44" t="s">
        <v>30</v>
      </c>
      <c r="D44" s="8">
        <v>45908</v>
      </c>
      <c r="E44" s="22">
        <v>45940.538159722222</v>
      </c>
      <c r="F44" t="s">
        <v>27</v>
      </c>
      <c r="H44">
        <v>6</v>
      </c>
      <c r="I44">
        <v>20609593076</v>
      </c>
      <c r="J44" t="s">
        <v>511</v>
      </c>
      <c r="K44" s="8">
        <v>45908</v>
      </c>
      <c r="Q44">
        <v>1</v>
      </c>
      <c r="S44" t="s">
        <v>268</v>
      </c>
      <c r="U44">
        <v>1</v>
      </c>
      <c r="V44">
        <v>65.25</v>
      </c>
      <c r="W44">
        <v>77</v>
      </c>
      <c r="Y44">
        <v>65.25</v>
      </c>
      <c r="Z44">
        <v>18.010000000000002</v>
      </c>
      <c r="AA44">
        <v>11.75</v>
      </c>
      <c r="AB44">
        <v>77</v>
      </c>
      <c r="AC44">
        <v>1</v>
      </c>
      <c r="AE44" t="s">
        <v>467</v>
      </c>
      <c r="AF44" t="s">
        <v>32</v>
      </c>
      <c r="AG44">
        <v>2</v>
      </c>
      <c r="AH44" t="s">
        <v>28</v>
      </c>
      <c r="AI44">
        <v>1106</v>
      </c>
      <c r="AJ44" t="s">
        <v>501</v>
      </c>
      <c r="AK44" t="s">
        <v>502</v>
      </c>
      <c r="AQ44" t="s">
        <v>27</v>
      </c>
      <c r="AS44" t="str">
        <f t="shared" si="0"/>
        <v>(01) Factura FB0100000047</v>
      </c>
    </row>
    <row r="45" spans="1:45" s="26" customFormat="1">
      <c r="A45" t="s">
        <v>266</v>
      </c>
      <c r="B45" s="21" t="s">
        <v>315</v>
      </c>
      <c r="C45" t="s">
        <v>30</v>
      </c>
      <c r="D45" s="8">
        <v>45908</v>
      </c>
      <c r="E45" s="22">
        <v>45940.537372685183</v>
      </c>
      <c r="F45" t="s">
        <v>27</v>
      </c>
      <c r="G45"/>
      <c r="H45">
        <v>6</v>
      </c>
      <c r="I45">
        <v>20609593076</v>
      </c>
      <c r="J45" t="s">
        <v>536</v>
      </c>
      <c r="K45" s="8">
        <v>45908</v>
      </c>
      <c r="L45"/>
      <c r="M45"/>
      <c r="N45"/>
      <c r="O45"/>
      <c r="P45"/>
      <c r="Q45">
        <v>1</v>
      </c>
      <c r="R45"/>
      <c r="S45" t="s">
        <v>316</v>
      </c>
      <c r="T45"/>
      <c r="U45">
        <v>1</v>
      </c>
      <c r="V45">
        <v>65.25</v>
      </c>
      <c r="W45">
        <v>77</v>
      </c>
      <c r="X45"/>
      <c r="Y45">
        <v>65.25</v>
      </c>
      <c r="Z45">
        <v>18.010000000000002</v>
      </c>
      <c r="AA45">
        <v>11.75</v>
      </c>
      <c r="AB45">
        <v>77</v>
      </c>
      <c r="AC45">
        <v>1</v>
      </c>
      <c r="AD45"/>
      <c r="AE45" t="s">
        <v>467</v>
      </c>
      <c r="AF45" t="s">
        <v>32</v>
      </c>
      <c r="AG45">
        <v>2</v>
      </c>
      <c r="AH45" t="s">
        <v>28</v>
      </c>
      <c r="AI45">
        <v>1106</v>
      </c>
      <c r="AJ45" t="s">
        <v>501</v>
      </c>
      <c r="AK45" t="s">
        <v>317</v>
      </c>
      <c r="AL45"/>
      <c r="AM45"/>
      <c r="AN45"/>
      <c r="AO45"/>
      <c r="AP45"/>
      <c r="AQ45" t="s">
        <v>27</v>
      </c>
      <c r="AR45"/>
      <c r="AS45" t="str">
        <f t="shared" si="0"/>
        <v>(01) Factura FB0100000046</v>
      </c>
    </row>
    <row r="46" spans="1:45" s="26" customFormat="1">
      <c r="A46" t="s">
        <v>266</v>
      </c>
      <c r="B46" s="21" t="s">
        <v>318</v>
      </c>
      <c r="C46" t="s">
        <v>30</v>
      </c>
      <c r="D46" s="8">
        <v>45908</v>
      </c>
      <c r="E46" s="22">
        <v>45940.530231481483</v>
      </c>
      <c r="F46" t="s">
        <v>27</v>
      </c>
      <c r="G46"/>
      <c r="H46">
        <v>6</v>
      </c>
      <c r="I46">
        <v>20609593076</v>
      </c>
      <c r="J46" t="s">
        <v>537</v>
      </c>
      <c r="K46" s="8">
        <v>45908</v>
      </c>
      <c r="L46"/>
      <c r="M46"/>
      <c r="N46"/>
      <c r="O46"/>
      <c r="P46"/>
      <c r="Q46">
        <v>1</v>
      </c>
      <c r="R46"/>
      <c r="S46" t="s">
        <v>268</v>
      </c>
      <c r="T46"/>
      <c r="U46">
        <v>1</v>
      </c>
      <c r="V46">
        <v>65.25</v>
      </c>
      <c r="W46">
        <v>77</v>
      </c>
      <c r="X46"/>
      <c r="Y46">
        <v>65.25</v>
      </c>
      <c r="Z46">
        <v>18.010000000000002</v>
      </c>
      <c r="AA46">
        <v>11.75</v>
      </c>
      <c r="AB46">
        <v>77</v>
      </c>
      <c r="AC46">
        <v>1</v>
      </c>
      <c r="AD46"/>
      <c r="AE46" t="s">
        <v>467</v>
      </c>
      <c r="AF46" t="s">
        <v>32</v>
      </c>
      <c r="AG46">
        <v>2</v>
      </c>
      <c r="AH46" t="s">
        <v>28</v>
      </c>
      <c r="AI46">
        <v>1106</v>
      </c>
      <c r="AJ46" t="s">
        <v>501</v>
      </c>
      <c r="AK46" t="s">
        <v>317</v>
      </c>
      <c r="AL46"/>
      <c r="AM46"/>
      <c r="AN46"/>
      <c r="AO46"/>
      <c r="AP46"/>
      <c r="AQ46" t="s">
        <v>27</v>
      </c>
      <c r="AR46"/>
      <c r="AS46" t="str">
        <f t="shared" si="0"/>
        <v>(01) Factura FB0100000045</v>
      </c>
    </row>
    <row r="47" spans="1:45">
      <c r="A47" t="s">
        <v>266</v>
      </c>
      <c r="B47" s="21" t="s">
        <v>319</v>
      </c>
      <c r="C47" t="s">
        <v>30</v>
      </c>
      <c r="D47" s="8">
        <v>45908</v>
      </c>
      <c r="E47" s="22">
        <v>45940.526331018518</v>
      </c>
      <c r="F47" t="s">
        <v>27</v>
      </c>
      <c r="H47">
        <v>6</v>
      </c>
      <c r="I47">
        <v>20609593076</v>
      </c>
      <c r="J47" t="s">
        <v>537</v>
      </c>
      <c r="K47" s="8">
        <v>45908</v>
      </c>
      <c r="Q47">
        <v>1</v>
      </c>
      <c r="S47" t="s">
        <v>268</v>
      </c>
      <c r="U47">
        <v>1</v>
      </c>
      <c r="V47">
        <v>65.25</v>
      </c>
      <c r="W47">
        <v>77</v>
      </c>
      <c r="Y47">
        <v>65.25</v>
      </c>
      <c r="Z47">
        <v>18.010000000000002</v>
      </c>
      <c r="AA47">
        <v>11.75</v>
      </c>
      <c r="AB47">
        <v>77</v>
      </c>
      <c r="AC47">
        <v>1</v>
      </c>
      <c r="AE47" t="s">
        <v>467</v>
      </c>
      <c r="AF47" t="s">
        <v>32</v>
      </c>
      <c r="AG47">
        <v>2</v>
      </c>
      <c r="AH47" t="s">
        <v>28</v>
      </c>
      <c r="AI47">
        <v>1106</v>
      </c>
      <c r="AJ47" t="s">
        <v>501</v>
      </c>
      <c r="AK47" t="s">
        <v>317</v>
      </c>
      <c r="AQ47" t="s">
        <v>27</v>
      </c>
      <c r="AS47" t="str">
        <f t="shared" si="0"/>
        <v>(01) Factura FB0100000044</v>
      </c>
    </row>
    <row r="48" spans="1:45">
      <c r="A48" t="s">
        <v>266</v>
      </c>
      <c r="B48" s="21" t="s">
        <v>320</v>
      </c>
      <c r="C48" t="s">
        <v>30</v>
      </c>
      <c r="D48" s="8">
        <v>45908</v>
      </c>
      <c r="E48" s="22">
        <v>45940.450300925928</v>
      </c>
      <c r="F48" t="s">
        <v>27</v>
      </c>
      <c r="H48">
        <v>6</v>
      </c>
      <c r="I48">
        <v>20609593076</v>
      </c>
      <c r="J48" t="s">
        <v>537</v>
      </c>
      <c r="K48" s="8">
        <v>45908</v>
      </c>
      <c r="Q48">
        <v>1</v>
      </c>
      <c r="S48" t="s">
        <v>268</v>
      </c>
      <c r="U48">
        <v>1</v>
      </c>
      <c r="V48">
        <v>65.25</v>
      </c>
      <c r="W48">
        <v>77</v>
      </c>
      <c r="Y48">
        <v>65.25</v>
      </c>
      <c r="Z48">
        <v>18.010000000000002</v>
      </c>
      <c r="AA48">
        <v>11.75</v>
      </c>
      <c r="AB48">
        <v>77</v>
      </c>
      <c r="AC48">
        <v>1</v>
      </c>
      <c r="AE48" t="s">
        <v>467</v>
      </c>
      <c r="AF48" t="s">
        <v>32</v>
      </c>
      <c r="AG48">
        <v>2</v>
      </c>
      <c r="AH48" t="s">
        <v>28</v>
      </c>
      <c r="AI48">
        <v>1106</v>
      </c>
      <c r="AJ48" t="s">
        <v>501</v>
      </c>
      <c r="AK48" t="s">
        <v>317</v>
      </c>
      <c r="AQ48" t="s">
        <v>27</v>
      </c>
      <c r="AS48" t="str">
        <f t="shared" si="0"/>
        <v>(01) Factura FB0100000043</v>
      </c>
    </row>
    <row r="49" spans="1:45">
      <c r="A49" t="s">
        <v>266</v>
      </c>
      <c r="B49" s="21" t="s">
        <v>321</v>
      </c>
      <c r="C49" t="s">
        <v>30</v>
      </c>
      <c r="D49" s="8">
        <v>45908</v>
      </c>
      <c r="E49" s="22">
        <v>45940.379849537036</v>
      </c>
      <c r="F49" t="s">
        <v>35</v>
      </c>
      <c r="G49" t="s">
        <v>272</v>
      </c>
      <c r="H49">
        <v>6</v>
      </c>
      <c r="I49">
        <v>20608361074</v>
      </c>
      <c r="J49" t="s">
        <v>538</v>
      </c>
      <c r="K49" s="8">
        <v>45908</v>
      </c>
      <c r="Q49">
        <v>1</v>
      </c>
      <c r="S49" t="s">
        <v>316</v>
      </c>
      <c r="U49">
        <v>1</v>
      </c>
      <c r="V49">
        <v>322</v>
      </c>
      <c r="W49">
        <v>379.96</v>
      </c>
      <c r="Y49">
        <v>322</v>
      </c>
      <c r="Z49">
        <v>18</v>
      </c>
      <c r="AA49">
        <v>57.96</v>
      </c>
      <c r="AB49">
        <v>379.96</v>
      </c>
      <c r="AC49">
        <v>1</v>
      </c>
      <c r="AE49" t="s">
        <v>467</v>
      </c>
      <c r="AF49" t="s">
        <v>32</v>
      </c>
      <c r="AG49">
        <v>2</v>
      </c>
      <c r="AH49" t="s">
        <v>28</v>
      </c>
      <c r="AI49">
        <v>1106</v>
      </c>
      <c r="AJ49" t="s">
        <v>501</v>
      </c>
      <c r="AK49" t="s">
        <v>502</v>
      </c>
      <c r="AQ49" t="s">
        <v>35</v>
      </c>
      <c r="AS49" t="str">
        <f t="shared" si="0"/>
        <v>(01) Factura FB0100000042</v>
      </c>
    </row>
    <row r="50" spans="1:45">
      <c r="A50" t="s">
        <v>266</v>
      </c>
      <c r="B50" s="21" t="s">
        <v>322</v>
      </c>
      <c r="C50" t="s">
        <v>30</v>
      </c>
      <c r="D50" s="8">
        <v>45908</v>
      </c>
      <c r="E50" s="22">
        <v>45940.379490740743</v>
      </c>
      <c r="F50" t="s">
        <v>35</v>
      </c>
      <c r="G50" t="s">
        <v>272</v>
      </c>
      <c r="H50">
        <v>6</v>
      </c>
      <c r="I50">
        <v>20608361074</v>
      </c>
      <c r="J50" t="s">
        <v>539</v>
      </c>
      <c r="K50" s="8">
        <v>45908</v>
      </c>
      <c r="Q50">
        <v>1</v>
      </c>
      <c r="S50" t="s">
        <v>316</v>
      </c>
      <c r="U50">
        <v>1</v>
      </c>
      <c r="V50">
        <v>322</v>
      </c>
      <c r="W50">
        <v>379.96</v>
      </c>
      <c r="Y50">
        <v>322</v>
      </c>
      <c r="Z50">
        <v>18</v>
      </c>
      <c r="AA50">
        <v>57.96</v>
      </c>
      <c r="AB50">
        <v>379.96</v>
      </c>
      <c r="AC50">
        <v>1</v>
      </c>
      <c r="AE50" t="s">
        <v>467</v>
      </c>
      <c r="AF50" t="s">
        <v>32</v>
      </c>
      <c r="AG50">
        <v>2</v>
      </c>
      <c r="AH50" t="s">
        <v>28</v>
      </c>
      <c r="AI50">
        <v>1106</v>
      </c>
      <c r="AJ50" t="s">
        <v>501</v>
      </c>
      <c r="AK50" t="s">
        <v>540</v>
      </c>
      <c r="AQ50" t="s">
        <v>35</v>
      </c>
      <c r="AS50" t="str">
        <f t="shared" si="0"/>
        <v>(01) Factura FB0100000041</v>
      </c>
    </row>
    <row r="51" spans="1:45">
      <c r="A51" t="s">
        <v>266</v>
      </c>
      <c r="B51" s="21" t="s">
        <v>323</v>
      </c>
      <c r="C51" t="s">
        <v>30</v>
      </c>
      <c r="D51" s="8">
        <v>45908</v>
      </c>
      <c r="E51" s="22">
        <v>45940.377500000002</v>
      </c>
      <c r="F51" t="s">
        <v>27</v>
      </c>
      <c r="H51">
        <v>6</v>
      </c>
      <c r="I51">
        <v>20609593076</v>
      </c>
      <c r="J51" t="s">
        <v>541</v>
      </c>
      <c r="K51" s="8">
        <v>45908</v>
      </c>
      <c r="Q51">
        <v>1</v>
      </c>
      <c r="S51" t="s">
        <v>268</v>
      </c>
      <c r="U51">
        <v>1</v>
      </c>
      <c r="V51">
        <v>76.27</v>
      </c>
      <c r="W51">
        <v>90</v>
      </c>
      <c r="Y51">
        <v>76.27</v>
      </c>
      <c r="Z51">
        <v>18</v>
      </c>
      <c r="AA51">
        <v>13.73</v>
      </c>
      <c r="AB51">
        <v>90</v>
      </c>
      <c r="AC51">
        <v>1</v>
      </c>
      <c r="AE51" t="s">
        <v>467</v>
      </c>
      <c r="AF51" t="s">
        <v>32</v>
      </c>
      <c r="AG51">
        <v>2</v>
      </c>
      <c r="AH51" t="s">
        <v>28</v>
      </c>
      <c r="AI51">
        <v>1106</v>
      </c>
      <c r="AJ51" t="s">
        <v>501</v>
      </c>
      <c r="AK51" t="s">
        <v>317</v>
      </c>
      <c r="AQ51" t="s">
        <v>27</v>
      </c>
      <c r="AS51" t="str">
        <f t="shared" si="0"/>
        <v>(01) Factura FB0100000040</v>
      </c>
    </row>
    <row r="52" spans="1:45">
      <c r="A52" t="s">
        <v>266</v>
      </c>
      <c r="B52" s="21" t="s">
        <v>324</v>
      </c>
      <c r="C52" t="s">
        <v>30</v>
      </c>
      <c r="D52" s="8">
        <v>45908</v>
      </c>
      <c r="E52" s="22">
        <v>45940.375</v>
      </c>
      <c r="F52" t="s">
        <v>27</v>
      </c>
      <c r="H52">
        <v>6</v>
      </c>
      <c r="I52">
        <v>20609593076</v>
      </c>
      <c r="J52" t="s">
        <v>542</v>
      </c>
      <c r="K52" s="8">
        <v>45908</v>
      </c>
      <c r="Q52">
        <v>1</v>
      </c>
      <c r="S52" t="s">
        <v>268</v>
      </c>
      <c r="U52">
        <v>1</v>
      </c>
      <c r="V52">
        <v>78.81</v>
      </c>
      <c r="W52">
        <v>93</v>
      </c>
      <c r="Y52">
        <v>78.81</v>
      </c>
      <c r="Z52">
        <v>18.010000000000002</v>
      </c>
      <c r="AA52">
        <v>14.19</v>
      </c>
      <c r="AB52">
        <v>93</v>
      </c>
      <c r="AC52">
        <v>1</v>
      </c>
      <c r="AE52" t="s">
        <v>467</v>
      </c>
      <c r="AF52" t="s">
        <v>32</v>
      </c>
      <c r="AG52">
        <v>2</v>
      </c>
      <c r="AH52" t="s">
        <v>28</v>
      </c>
      <c r="AI52">
        <v>1106</v>
      </c>
      <c r="AJ52" t="s">
        <v>501</v>
      </c>
      <c r="AK52" t="s">
        <v>317</v>
      </c>
      <c r="AQ52" t="s">
        <v>27</v>
      </c>
      <c r="AS52" t="str">
        <f t="shared" si="0"/>
        <v>(01) Factura FB0100000039</v>
      </c>
    </row>
    <row r="53" spans="1:45">
      <c r="A53" t="s">
        <v>266</v>
      </c>
      <c r="B53" s="21" t="s">
        <v>325</v>
      </c>
      <c r="C53" t="s">
        <v>30</v>
      </c>
      <c r="D53" s="8">
        <v>45908</v>
      </c>
      <c r="E53" s="22">
        <v>45940.372569444444</v>
      </c>
      <c r="F53" t="s">
        <v>35</v>
      </c>
      <c r="G53" t="s">
        <v>272</v>
      </c>
      <c r="H53">
        <v>6</v>
      </c>
      <c r="I53">
        <v>20608361074</v>
      </c>
      <c r="J53" t="s">
        <v>539</v>
      </c>
      <c r="K53" s="8">
        <v>45908</v>
      </c>
      <c r="Q53">
        <v>1</v>
      </c>
      <c r="S53" t="s">
        <v>316</v>
      </c>
      <c r="U53">
        <v>1</v>
      </c>
      <c r="V53">
        <v>322</v>
      </c>
      <c r="W53">
        <v>379.96</v>
      </c>
      <c r="Y53">
        <v>322</v>
      </c>
      <c r="Z53">
        <v>18</v>
      </c>
      <c r="AA53">
        <v>57.96</v>
      </c>
      <c r="AB53">
        <v>379.96</v>
      </c>
      <c r="AC53">
        <v>1</v>
      </c>
      <c r="AE53" t="s">
        <v>467</v>
      </c>
      <c r="AF53" t="s">
        <v>32</v>
      </c>
      <c r="AG53">
        <v>2</v>
      </c>
      <c r="AH53" t="s">
        <v>28</v>
      </c>
      <c r="AI53">
        <v>1106</v>
      </c>
      <c r="AJ53" t="s">
        <v>501</v>
      </c>
      <c r="AK53" t="s">
        <v>540</v>
      </c>
      <c r="AQ53" t="s">
        <v>35</v>
      </c>
      <c r="AS53" t="str">
        <f t="shared" si="0"/>
        <v>(01) Factura FB0100000038</v>
      </c>
    </row>
    <row r="54" spans="1:45">
      <c r="A54" t="s">
        <v>266</v>
      </c>
      <c r="B54" s="21" t="s">
        <v>326</v>
      </c>
      <c r="C54" t="s">
        <v>30</v>
      </c>
      <c r="D54" s="8">
        <v>45902</v>
      </c>
      <c r="E54" s="22">
        <v>45940.64403935185</v>
      </c>
      <c r="F54" t="s">
        <v>35</v>
      </c>
      <c r="G54" t="s">
        <v>272</v>
      </c>
      <c r="H54">
        <v>6</v>
      </c>
      <c r="I54">
        <v>20608361074</v>
      </c>
      <c r="J54" t="s">
        <v>539</v>
      </c>
      <c r="K54" s="8">
        <v>45902</v>
      </c>
      <c r="Q54">
        <v>1</v>
      </c>
      <c r="S54" t="s">
        <v>316</v>
      </c>
      <c r="U54">
        <v>1</v>
      </c>
      <c r="V54">
        <v>322</v>
      </c>
      <c r="W54">
        <v>379.96</v>
      </c>
      <c r="Y54">
        <v>322</v>
      </c>
      <c r="Z54">
        <v>18</v>
      </c>
      <c r="AA54">
        <v>57.96</v>
      </c>
      <c r="AB54">
        <v>379.96</v>
      </c>
      <c r="AC54">
        <v>1</v>
      </c>
      <c r="AE54" t="s">
        <v>467</v>
      </c>
      <c r="AF54" t="s">
        <v>32</v>
      </c>
      <c r="AG54">
        <v>2</v>
      </c>
      <c r="AH54" t="s">
        <v>28</v>
      </c>
      <c r="AI54">
        <v>1106</v>
      </c>
      <c r="AJ54" t="s">
        <v>501</v>
      </c>
      <c r="AK54" t="s">
        <v>540</v>
      </c>
      <c r="AQ54" t="s">
        <v>35</v>
      </c>
      <c r="AS54" t="str">
        <f t="shared" si="0"/>
        <v>(01) Factura FB0100000036</v>
      </c>
    </row>
    <row r="55" spans="1:45">
      <c r="A55" t="s">
        <v>266</v>
      </c>
      <c r="B55" s="21" t="s">
        <v>327</v>
      </c>
      <c r="C55" t="s">
        <v>30</v>
      </c>
      <c r="D55" s="8">
        <v>45902</v>
      </c>
      <c r="E55" s="22">
        <v>45940.639178240737</v>
      </c>
      <c r="F55" t="s">
        <v>35</v>
      </c>
      <c r="G55" t="s">
        <v>272</v>
      </c>
      <c r="H55">
        <v>6</v>
      </c>
      <c r="I55">
        <v>20608361074</v>
      </c>
      <c r="J55" t="s">
        <v>543</v>
      </c>
      <c r="K55" s="8">
        <v>45902</v>
      </c>
      <c r="Q55">
        <v>1</v>
      </c>
      <c r="S55" t="s">
        <v>316</v>
      </c>
      <c r="U55">
        <v>1</v>
      </c>
      <c r="V55">
        <v>322</v>
      </c>
      <c r="W55">
        <v>379.96</v>
      </c>
      <c r="Y55">
        <v>322</v>
      </c>
      <c r="Z55">
        <v>18</v>
      </c>
      <c r="AA55">
        <v>57.96</v>
      </c>
      <c r="AB55">
        <v>379.96</v>
      </c>
      <c r="AC55">
        <v>1</v>
      </c>
      <c r="AE55" t="s">
        <v>467</v>
      </c>
      <c r="AF55" t="s">
        <v>32</v>
      </c>
      <c r="AG55">
        <v>2</v>
      </c>
      <c r="AH55" t="s">
        <v>28</v>
      </c>
      <c r="AI55">
        <v>1106</v>
      </c>
      <c r="AJ55" t="s">
        <v>501</v>
      </c>
      <c r="AK55" t="s">
        <v>317</v>
      </c>
      <c r="AQ55" t="s">
        <v>35</v>
      </c>
      <c r="AS55" t="str">
        <f t="shared" si="0"/>
        <v>(01) Factura FB0100000035</v>
      </c>
    </row>
    <row r="56" spans="1:45">
      <c r="A56" t="s">
        <v>266</v>
      </c>
      <c r="B56" s="21" t="s">
        <v>328</v>
      </c>
      <c r="C56" t="s">
        <v>30</v>
      </c>
      <c r="D56" s="8">
        <v>45902</v>
      </c>
      <c r="E56" s="22">
        <v>45940.540219907409</v>
      </c>
      <c r="F56" t="s">
        <v>35</v>
      </c>
      <c r="G56" t="s">
        <v>272</v>
      </c>
      <c r="H56">
        <v>6</v>
      </c>
      <c r="I56">
        <v>20608361074</v>
      </c>
      <c r="J56" t="s">
        <v>544</v>
      </c>
      <c r="K56" s="8">
        <v>45902</v>
      </c>
      <c r="Q56">
        <v>1</v>
      </c>
      <c r="S56" t="s">
        <v>329</v>
      </c>
      <c r="U56">
        <v>1</v>
      </c>
      <c r="V56">
        <v>322</v>
      </c>
      <c r="W56">
        <v>379.96</v>
      </c>
      <c r="Y56">
        <v>322</v>
      </c>
      <c r="Z56">
        <v>18</v>
      </c>
      <c r="AA56">
        <v>57.96</v>
      </c>
      <c r="AB56">
        <v>379.96</v>
      </c>
      <c r="AC56">
        <v>1</v>
      </c>
      <c r="AE56" t="s">
        <v>467</v>
      </c>
      <c r="AF56" t="s">
        <v>32</v>
      </c>
      <c r="AG56">
        <v>2</v>
      </c>
      <c r="AH56" t="s">
        <v>28</v>
      </c>
      <c r="AI56">
        <v>1106</v>
      </c>
      <c r="AJ56" t="s">
        <v>501</v>
      </c>
      <c r="AK56" t="s">
        <v>317</v>
      </c>
      <c r="AQ56" t="s">
        <v>35</v>
      </c>
      <c r="AS56" t="str">
        <f t="shared" si="0"/>
        <v>(01) Factura FB0100000033</v>
      </c>
    </row>
    <row r="57" spans="1:45">
      <c r="A57" t="s">
        <v>266</v>
      </c>
      <c r="B57" s="21" t="s">
        <v>330</v>
      </c>
      <c r="C57" t="s">
        <v>30</v>
      </c>
      <c r="D57" s="8">
        <v>45902</v>
      </c>
      <c r="E57" s="22">
        <v>45940.534699074073</v>
      </c>
      <c r="F57" t="s">
        <v>35</v>
      </c>
      <c r="G57" t="s">
        <v>272</v>
      </c>
      <c r="H57">
        <v>6</v>
      </c>
      <c r="I57">
        <v>20608361074</v>
      </c>
      <c r="J57" t="s">
        <v>543</v>
      </c>
      <c r="K57" s="8">
        <v>45902</v>
      </c>
      <c r="Q57">
        <v>1</v>
      </c>
      <c r="S57" t="s">
        <v>316</v>
      </c>
      <c r="U57">
        <v>1</v>
      </c>
      <c r="V57">
        <v>322</v>
      </c>
      <c r="W57">
        <v>379.96</v>
      </c>
      <c r="Y57">
        <v>322</v>
      </c>
      <c r="Z57">
        <v>18</v>
      </c>
      <c r="AA57">
        <v>57.96</v>
      </c>
      <c r="AB57">
        <v>379.96</v>
      </c>
      <c r="AC57">
        <v>1</v>
      </c>
      <c r="AE57" t="s">
        <v>467</v>
      </c>
      <c r="AF57" t="s">
        <v>32</v>
      </c>
      <c r="AG57">
        <v>2</v>
      </c>
      <c r="AH57" t="s">
        <v>28</v>
      </c>
      <c r="AI57">
        <v>1106</v>
      </c>
      <c r="AJ57" t="s">
        <v>501</v>
      </c>
      <c r="AK57" t="s">
        <v>317</v>
      </c>
      <c r="AQ57" t="s">
        <v>35</v>
      </c>
      <c r="AS57" t="str">
        <f t="shared" si="0"/>
        <v>(01) Factura FB0100000032</v>
      </c>
    </row>
    <row r="58" spans="1:45">
      <c r="A58" t="s">
        <v>266</v>
      </c>
      <c r="B58" s="21" t="s">
        <v>331</v>
      </c>
      <c r="C58" t="s">
        <v>30</v>
      </c>
      <c r="D58" s="8">
        <v>45902</v>
      </c>
      <c r="E58" s="22">
        <v>45940.50917824074</v>
      </c>
      <c r="F58" t="s">
        <v>27</v>
      </c>
      <c r="H58">
        <v>6</v>
      </c>
      <c r="I58">
        <v>20609593076</v>
      </c>
      <c r="J58" t="s">
        <v>545</v>
      </c>
      <c r="K58" s="8">
        <v>45902</v>
      </c>
      <c r="Q58">
        <v>1</v>
      </c>
      <c r="S58" t="s">
        <v>268</v>
      </c>
      <c r="U58">
        <v>1</v>
      </c>
      <c r="V58">
        <v>54.15</v>
      </c>
      <c r="W58">
        <v>63.9</v>
      </c>
      <c r="Y58">
        <v>54.15</v>
      </c>
      <c r="Z58">
        <v>18.010000000000002</v>
      </c>
      <c r="AA58">
        <v>9.75</v>
      </c>
      <c r="AB58">
        <v>63.9</v>
      </c>
      <c r="AC58">
        <v>1</v>
      </c>
      <c r="AE58" t="s">
        <v>467</v>
      </c>
      <c r="AF58" t="s">
        <v>32</v>
      </c>
      <c r="AG58">
        <v>2</v>
      </c>
      <c r="AH58" t="s">
        <v>28</v>
      </c>
      <c r="AI58">
        <v>1106</v>
      </c>
      <c r="AJ58" t="s">
        <v>501</v>
      </c>
      <c r="AK58" t="s">
        <v>317</v>
      </c>
      <c r="AQ58" t="s">
        <v>27</v>
      </c>
      <c r="AS58" t="str">
        <f t="shared" si="0"/>
        <v>(01) Factura FB0100000030</v>
      </c>
    </row>
    <row r="59" spans="1:45">
      <c r="A59" t="s">
        <v>266</v>
      </c>
      <c r="B59" s="21" t="s">
        <v>332</v>
      </c>
      <c r="C59" t="s">
        <v>30</v>
      </c>
      <c r="D59" s="8">
        <v>45898</v>
      </c>
      <c r="E59" s="22">
        <v>45940.468587962961</v>
      </c>
      <c r="F59" t="s">
        <v>27</v>
      </c>
      <c r="H59">
        <v>6</v>
      </c>
      <c r="I59">
        <v>20609593076</v>
      </c>
      <c r="J59" t="s">
        <v>545</v>
      </c>
      <c r="K59" s="8">
        <v>45898</v>
      </c>
      <c r="Q59">
        <v>1</v>
      </c>
      <c r="S59" t="s">
        <v>268</v>
      </c>
      <c r="U59">
        <v>1</v>
      </c>
      <c r="V59">
        <v>54.15</v>
      </c>
      <c r="W59">
        <v>63.9</v>
      </c>
      <c r="Y59">
        <v>54.15</v>
      </c>
      <c r="Z59">
        <v>18.010000000000002</v>
      </c>
      <c r="AA59">
        <v>9.75</v>
      </c>
      <c r="AB59">
        <v>63.9</v>
      </c>
      <c r="AC59">
        <v>1</v>
      </c>
      <c r="AE59" t="s">
        <v>467</v>
      </c>
      <c r="AF59" t="s">
        <v>32</v>
      </c>
      <c r="AG59">
        <v>2</v>
      </c>
      <c r="AH59" t="s">
        <v>28</v>
      </c>
      <c r="AI59">
        <v>1106</v>
      </c>
      <c r="AJ59" t="s">
        <v>501</v>
      </c>
      <c r="AK59" t="s">
        <v>317</v>
      </c>
      <c r="AQ59" t="s">
        <v>27</v>
      </c>
      <c r="AS59" t="str">
        <f t="shared" si="0"/>
        <v>(01) Factura FB0100000029</v>
      </c>
    </row>
    <row r="60" spans="1:45">
      <c r="A60" t="s">
        <v>266</v>
      </c>
      <c r="B60" s="21" t="s">
        <v>333</v>
      </c>
      <c r="C60" t="s">
        <v>30</v>
      </c>
      <c r="D60" s="8">
        <v>45896</v>
      </c>
      <c r="E60" s="22">
        <v>45940.642199074071</v>
      </c>
      <c r="F60" t="s">
        <v>27</v>
      </c>
      <c r="H60">
        <v>6</v>
      </c>
      <c r="I60">
        <v>20609593076</v>
      </c>
      <c r="J60" t="s">
        <v>546</v>
      </c>
      <c r="K60" s="8">
        <v>45896</v>
      </c>
      <c r="Q60">
        <v>1</v>
      </c>
      <c r="R60">
        <v>231</v>
      </c>
      <c r="S60" t="s">
        <v>334</v>
      </c>
      <c r="T60" t="s">
        <v>277</v>
      </c>
      <c r="U60">
        <v>1</v>
      </c>
      <c r="V60">
        <v>900</v>
      </c>
      <c r="W60">
        <v>1062</v>
      </c>
      <c r="Y60">
        <v>900</v>
      </c>
      <c r="Z60">
        <v>18</v>
      </c>
      <c r="AA60">
        <v>162</v>
      </c>
      <c r="AB60">
        <v>1062</v>
      </c>
      <c r="AC60">
        <v>1</v>
      </c>
      <c r="AE60" t="s">
        <v>467</v>
      </c>
      <c r="AF60" t="s">
        <v>32</v>
      </c>
      <c r="AG60">
        <v>2</v>
      </c>
      <c r="AH60" t="s">
        <v>28</v>
      </c>
      <c r="AI60">
        <v>1106</v>
      </c>
      <c r="AJ60" t="s">
        <v>501</v>
      </c>
      <c r="AK60" t="s">
        <v>317</v>
      </c>
      <c r="AQ60" t="s">
        <v>27</v>
      </c>
      <c r="AS60" t="str">
        <f t="shared" si="0"/>
        <v>(01) Factura FB0100000028</v>
      </c>
    </row>
    <row r="61" spans="1:45">
      <c r="A61" t="s">
        <v>266</v>
      </c>
      <c r="B61" s="21" t="s">
        <v>335</v>
      </c>
      <c r="C61" t="s">
        <v>30</v>
      </c>
      <c r="D61" s="8">
        <v>45896</v>
      </c>
      <c r="E61" s="22">
        <v>45940.633935185186</v>
      </c>
      <c r="F61" t="s">
        <v>27</v>
      </c>
      <c r="H61">
        <v>6</v>
      </c>
      <c r="I61">
        <v>20609593076</v>
      </c>
      <c r="J61" t="s">
        <v>547</v>
      </c>
      <c r="K61" s="8">
        <v>45896</v>
      </c>
      <c r="Q61">
        <v>1</v>
      </c>
      <c r="S61" t="s">
        <v>268</v>
      </c>
      <c r="U61">
        <v>1</v>
      </c>
      <c r="V61">
        <v>53.9</v>
      </c>
      <c r="W61">
        <v>63.6</v>
      </c>
      <c r="Y61">
        <v>53.9</v>
      </c>
      <c r="Z61">
        <v>18</v>
      </c>
      <c r="AA61">
        <v>9.6999999999999993</v>
      </c>
      <c r="AB61">
        <v>63.6</v>
      </c>
      <c r="AC61">
        <v>1</v>
      </c>
      <c r="AE61" t="s">
        <v>467</v>
      </c>
      <c r="AF61" t="s">
        <v>32</v>
      </c>
      <c r="AG61">
        <v>2</v>
      </c>
      <c r="AH61" t="s">
        <v>28</v>
      </c>
      <c r="AI61">
        <v>1106</v>
      </c>
      <c r="AJ61" t="s">
        <v>501</v>
      </c>
      <c r="AK61" t="s">
        <v>317</v>
      </c>
      <c r="AQ61" t="s">
        <v>27</v>
      </c>
      <c r="AS61" t="str">
        <f t="shared" si="0"/>
        <v>(01) Factura FB0100000027</v>
      </c>
    </row>
    <row r="62" spans="1:45">
      <c r="A62" t="s">
        <v>266</v>
      </c>
      <c r="B62" s="21" t="s">
        <v>336</v>
      </c>
      <c r="C62" t="s">
        <v>30</v>
      </c>
      <c r="D62" s="8">
        <v>45896</v>
      </c>
      <c r="E62" s="22">
        <v>45940.631388888891</v>
      </c>
      <c r="F62" t="s">
        <v>27</v>
      </c>
      <c r="H62">
        <v>6</v>
      </c>
      <c r="I62">
        <v>20609593076</v>
      </c>
      <c r="J62" t="s">
        <v>548</v>
      </c>
      <c r="K62" s="8">
        <v>45896</v>
      </c>
      <c r="Q62">
        <v>1</v>
      </c>
      <c r="S62" t="s">
        <v>268</v>
      </c>
      <c r="U62">
        <v>1</v>
      </c>
      <c r="V62">
        <v>53.81</v>
      </c>
      <c r="W62">
        <v>63.5</v>
      </c>
      <c r="Y62">
        <v>53.81</v>
      </c>
      <c r="Z62">
        <v>18.010000000000002</v>
      </c>
      <c r="AA62">
        <v>9.69</v>
      </c>
      <c r="AB62">
        <v>63.5</v>
      </c>
      <c r="AC62">
        <v>1</v>
      </c>
      <c r="AE62" t="s">
        <v>467</v>
      </c>
      <c r="AF62" t="s">
        <v>32</v>
      </c>
      <c r="AG62">
        <v>2</v>
      </c>
      <c r="AH62" t="s">
        <v>28</v>
      </c>
      <c r="AI62">
        <v>1106</v>
      </c>
      <c r="AJ62" t="s">
        <v>501</v>
      </c>
      <c r="AK62" t="s">
        <v>317</v>
      </c>
      <c r="AQ62" t="s">
        <v>27</v>
      </c>
      <c r="AS62" t="str">
        <f t="shared" si="0"/>
        <v>(01) Factura FB0100000026</v>
      </c>
    </row>
    <row r="63" spans="1:45">
      <c r="A63" t="s">
        <v>266</v>
      </c>
      <c r="B63" s="21" t="s">
        <v>337</v>
      </c>
      <c r="C63" t="s">
        <v>30</v>
      </c>
      <c r="D63" s="8">
        <v>45896</v>
      </c>
      <c r="E63" s="22">
        <v>45940.618043981478</v>
      </c>
      <c r="F63" t="s">
        <v>27</v>
      </c>
      <c r="H63">
        <v>6</v>
      </c>
      <c r="I63">
        <v>20609593076</v>
      </c>
      <c r="J63" t="s">
        <v>549</v>
      </c>
      <c r="K63" s="8">
        <v>45896</v>
      </c>
      <c r="Q63">
        <v>1</v>
      </c>
      <c r="S63" t="s">
        <v>297</v>
      </c>
      <c r="U63">
        <v>1</v>
      </c>
      <c r="V63">
        <v>1016.95</v>
      </c>
      <c r="W63">
        <v>1200</v>
      </c>
      <c r="Y63">
        <v>1016.95</v>
      </c>
      <c r="Z63">
        <v>18</v>
      </c>
      <c r="AA63">
        <v>183.05</v>
      </c>
      <c r="AB63">
        <v>1200</v>
      </c>
      <c r="AC63">
        <v>1</v>
      </c>
      <c r="AE63" t="s">
        <v>467</v>
      </c>
      <c r="AF63" t="s">
        <v>32</v>
      </c>
      <c r="AG63">
        <v>2</v>
      </c>
      <c r="AH63" t="s">
        <v>28</v>
      </c>
      <c r="AI63">
        <v>1106</v>
      </c>
      <c r="AJ63" t="s">
        <v>501</v>
      </c>
      <c r="AK63" t="s">
        <v>317</v>
      </c>
      <c r="AQ63" t="s">
        <v>27</v>
      </c>
      <c r="AS63" t="str">
        <f t="shared" si="0"/>
        <v>(01) Factura FB0100000025</v>
      </c>
    </row>
    <row r="64" spans="1:45">
      <c r="A64" t="s">
        <v>266</v>
      </c>
      <c r="B64" s="21" t="s">
        <v>338</v>
      </c>
      <c r="C64" t="s">
        <v>30</v>
      </c>
      <c r="D64" s="8">
        <v>45896</v>
      </c>
      <c r="E64" s="22">
        <v>45940.609953703701</v>
      </c>
      <c r="F64" t="s">
        <v>27</v>
      </c>
      <c r="H64">
        <v>6</v>
      </c>
      <c r="I64">
        <v>20609593076</v>
      </c>
      <c r="J64" t="s">
        <v>549</v>
      </c>
      <c r="K64" s="8">
        <v>45896</v>
      </c>
      <c r="Q64">
        <v>1</v>
      </c>
      <c r="S64" t="s">
        <v>297</v>
      </c>
      <c r="U64">
        <v>1</v>
      </c>
      <c r="V64">
        <v>1016.95</v>
      </c>
      <c r="W64">
        <v>1200</v>
      </c>
      <c r="Y64">
        <v>1016.95</v>
      </c>
      <c r="Z64">
        <v>18</v>
      </c>
      <c r="AA64">
        <v>183.05</v>
      </c>
      <c r="AB64">
        <v>1200</v>
      </c>
      <c r="AC64">
        <v>1</v>
      </c>
      <c r="AE64" t="s">
        <v>467</v>
      </c>
      <c r="AF64" t="s">
        <v>32</v>
      </c>
      <c r="AG64">
        <v>2</v>
      </c>
      <c r="AH64" t="s">
        <v>28</v>
      </c>
      <c r="AI64">
        <v>1106</v>
      </c>
      <c r="AJ64" t="s">
        <v>501</v>
      </c>
      <c r="AK64" t="s">
        <v>317</v>
      </c>
      <c r="AQ64" t="s">
        <v>27</v>
      </c>
      <c r="AS64" t="str">
        <f t="shared" si="0"/>
        <v>(01) Factura FB0100000024</v>
      </c>
    </row>
    <row r="65" spans="1:45">
      <c r="A65" t="s">
        <v>266</v>
      </c>
      <c r="B65" s="21" t="s">
        <v>339</v>
      </c>
      <c r="C65" t="s">
        <v>30</v>
      </c>
      <c r="D65" s="8">
        <v>45896</v>
      </c>
      <c r="E65" s="22">
        <v>45940.607268518521</v>
      </c>
      <c r="F65" t="s">
        <v>27</v>
      </c>
      <c r="H65">
        <v>6</v>
      </c>
      <c r="I65">
        <v>20609593076</v>
      </c>
      <c r="J65" t="s">
        <v>550</v>
      </c>
      <c r="K65" s="8">
        <v>45896</v>
      </c>
      <c r="Q65">
        <v>1</v>
      </c>
      <c r="S65" t="s">
        <v>297</v>
      </c>
      <c r="U65">
        <v>1</v>
      </c>
      <c r="V65">
        <v>805.08</v>
      </c>
      <c r="W65">
        <v>949.99</v>
      </c>
      <c r="Y65">
        <v>805.08</v>
      </c>
      <c r="Z65">
        <v>18</v>
      </c>
      <c r="AA65">
        <v>144.91</v>
      </c>
      <c r="AB65">
        <v>949.99</v>
      </c>
      <c r="AC65">
        <v>1</v>
      </c>
      <c r="AE65" t="s">
        <v>467</v>
      </c>
      <c r="AF65" t="s">
        <v>32</v>
      </c>
      <c r="AG65">
        <v>2</v>
      </c>
      <c r="AH65" t="s">
        <v>28</v>
      </c>
      <c r="AI65">
        <v>1106</v>
      </c>
      <c r="AJ65" t="s">
        <v>501</v>
      </c>
      <c r="AK65" t="s">
        <v>317</v>
      </c>
      <c r="AQ65" t="s">
        <v>27</v>
      </c>
      <c r="AS65" t="str">
        <f t="shared" si="0"/>
        <v>(01) Factura FB0100000023</v>
      </c>
    </row>
    <row r="66" spans="1:45">
      <c r="A66" t="s">
        <v>266</v>
      </c>
      <c r="B66" s="21" t="s">
        <v>340</v>
      </c>
      <c r="C66" t="s">
        <v>30</v>
      </c>
      <c r="D66" s="8">
        <v>45896</v>
      </c>
      <c r="E66" s="22">
        <v>45940.517858796295</v>
      </c>
      <c r="F66" t="s">
        <v>27</v>
      </c>
      <c r="H66">
        <v>6</v>
      </c>
      <c r="I66">
        <v>20609593076</v>
      </c>
      <c r="J66" t="s">
        <v>551</v>
      </c>
      <c r="K66" s="8">
        <v>45896</v>
      </c>
      <c r="Q66">
        <v>1</v>
      </c>
      <c r="S66" t="s">
        <v>297</v>
      </c>
      <c r="U66">
        <v>1</v>
      </c>
      <c r="V66">
        <v>677.97</v>
      </c>
      <c r="W66">
        <v>800</v>
      </c>
      <c r="Y66">
        <v>677.97</v>
      </c>
      <c r="Z66">
        <v>18</v>
      </c>
      <c r="AA66">
        <v>122.03</v>
      </c>
      <c r="AB66">
        <v>800</v>
      </c>
      <c r="AC66">
        <v>1</v>
      </c>
      <c r="AE66" t="s">
        <v>467</v>
      </c>
      <c r="AF66" t="s">
        <v>32</v>
      </c>
      <c r="AG66">
        <v>2</v>
      </c>
      <c r="AH66" t="s">
        <v>28</v>
      </c>
      <c r="AI66">
        <v>1106</v>
      </c>
      <c r="AJ66" t="s">
        <v>501</v>
      </c>
      <c r="AK66" t="s">
        <v>317</v>
      </c>
      <c r="AQ66" t="s">
        <v>27</v>
      </c>
      <c r="AS66" t="str">
        <f t="shared" si="0"/>
        <v>(01) Factura FB0100000022</v>
      </c>
    </row>
    <row r="67" spans="1:45">
      <c r="A67" t="s">
        <v>266</v>
      </c>
      <c r="B67" s="21" t="s">
        <v>341</v>
      </c>
      <c r="C67" t="s">
        <v>30</v>
      </c>
      <c r="D67" s="8">
        <v>45896</v>
      </c>
      <c r="E67" s="22">
        <v>45940.505069444444</v>
      </c>
      <c r="F67" t="s">
        <v>27</v>
      </c>
      <c r="H67">
        <v>6</v>
      </c>
      <c r="I67">
        <v>20609593076</v>
      </c>
      <c r="J67" t="s">
        <v>552</v>
      </c>
      <c r="K67" s="8">
        <v>45896</v>
      </c>
      <c r="Q67">
        <v>1</v>
      </c>
      <c r="S67" t="s">
        <v>268</v>
      </c>
      <c r="U67">
        <v>1</v>
      </c>
      <c r="V67">
        <v>51.99</v>
      </c>
      <c r="W67">
        <v>61.35</v>
      </c>
      <c r="Y67">
        <v>51.99</v>
      </c>
      <c r="Z67">
        <v>18</v>
      </c>
      <c r="AA67">
        <v>9.36</v>
      </c>
      <c r="AB67">
        <v>61.35</v>
      </c>
      <c r="AC67">
        <v>1</v>
      </c>
      <c r="AE67" t="s">
        <v>467</v>
      </c>
      <c r="AF67" t="s">
        <v>32</v>
      </c>
      <c r="AG67">
        <v>2</v>
      </c>
      <c r="AH67" t="s">
        <v>28</v>
      </c>
      <c r="AI67">
        <v>1106</v>
      </c>
      <c r="AJ67" t="s">
        <v>501</v>
      </c>
      <c r="AK67" t="s">
        <v>317</v>
      </c>
      <c r="AQ67" t="s">
        <v>27</v>
      </c>
      <c r="AS67" t="str">
        <f t="shared" ref="AS67:AS84" si="1">+CONCATENATE(A67,B67)</f>
        <v>(01) Factura FB0100000021</v>
      </c>
    </row>
    <row r="68" spans="1:45">
      <c r="A68" t="s">
        <v>273</v>
      </c>
      <c r="B68" s="21" t="s">
        <v>342</v>
      </c>
      <c r="C68" t="s">
        <v>30</v>
      </c>
      <c r="D68" s="8">
        <v>45894</v>
      </c>
      <c r="E68" s="22">
        <v>45940.443344907406</v>
      </c>
      <c r="F68" t="s">
        <v>27</v>
      </c>
      <c r="H68">
        <v>6</v>
      </c>
      <c r="I68">
        <v>20609593076</v>
      </c>
      <c r="J68" t="s">
        <v>553</v>
      </c>
      <c r="K68" s="8">
        <v>45894</v>
      </c>
      <c r="Q68">
        <v>1</v>
      </c>
      <c r="S68" t="s">
        <v>268</v>
      </c>
      <c r="U68">
        <v>1</v>
      </c>
      <c r="V68">
        <v>55.34</v>
      </c>
      <c r="W68">
        <v>65.3</v>
      </c>
      <c r="Y68">
        <v>55.34</v>
      </c>
      <c r="Z68">
        <v>18</v>
      </c>
      <c r="AA68">
        <v>9.9600000000000009</v>
      </c>
      <c r="AB68">
        <v>65.3</v>
      </c>
      <c r="AC68">
        <v>1</v>
      </c>
      <c r="AE68" t="s">
        <v>467</v>
      </c>
      <c r="AF68" t="s">
        <v>32</v>
      </c>
      <c r="AG68">
        <v>2</v>
      </c>
      <c r="AH68" t="s">
        <v>28</v>
      </c>
      <c r="AI68">
        <v>1106</v>
      </c>
      <c r="AJ68" t="s">
        <v>501</v>
      </c>
      <c r="AK68" t="s">
        <v>317</v>
      </c>
      <c r="AQ68" t="s">
        <v>27</v>
      </c>
      <c r="AS68" t="str">
        <f t="shared" si="1"/>
        <v>(01) Factura F00100000014</v>
      </c>
    </row>
    <row r="69" spans="1:45">
      <c r="A69" t="s">
        <v>273</v>
      </c>
      <c r="B69" s="21" t="s">
        <v>343</v>
      </c>
      <c r="C69" t="s">
        <v>30</v>
      </c>
      <c r="D69" s="8">
        <v>45894</v>
      </c>
      <c r="E69" s="22">
        <v>45940.378101851849</v>
      </c>
      <c r="F69" t="s">
        <v>27</v>
      </c>
      <c r="H69">
        <v>6</v>
      </c>
      <c r="I69">
        <v>20609593076</v>
      </c>
      <c r="J69" t="s">
        <v>554</v>
      </c>
      <c r="K69" s="8">
        <v>45894</v>
      </c>
      <c r="Q69">
        <v>1</v>
      </c>
      <c r="S69" t="s">
        <v>268</v>
      </c>
      <c r="U69">
        <v>1</v>
      </c>
      <c r="V69">
        <v>51.86</v>
      </c>
      <c r="W69">
        <v>61.19</v>
      </c>
      <c r="Y69">
        <v>51.86</v>
      </c>
      <c r="Z69">
        <v>17.989999999999998</v>
      </c>
      <c r="AA69">
        <v>9.33</v>
      </c>
      <c r="AB69">
        <v>61.19</v>
      </c>
      <c r="AC69">
        <v>1</v>
      </c>
      <c r="AE69" t="s">
        <v>467</v>
      </c>
      <c r="AF69" t="s">
        <v>32</v>
      </c>
      <c r="AG69">
        <v>2</v>
      </c>
      <c r="AH69" t="s">
        <v>28</v>
      </c>
      <c r="AI69">
        <v>1106</v>
      </c>
      <c r="AJ69" t="s">
        <v>501</v>
      </c>
      <c r="AK69" t="s">
        <v>317</v>
      </c>
      <c r="AQ69" t="s">
        <v>27</v>
      </c>
      <c r="AS69" t="str">
        <f t="shared" si="1"/>
        <v>(01) Factura F00100000013</v>
      </c>
    </row>
    <row r="70" spans="1:45">
      <c r="A70" t="s">
        <v>273</v>
      </c>
      <c r="B70" s="21" t="s">
        <v>344</v>
      </c>
      <c r="C70" t="s">
        <v>30</v>
      </c>
      <c r="D70" s="8">
        <v>45894</v>
      </c>
      <c r="E70" s="22">
        <v>45940.371053240742</v>
      </c>
      <c r="F70" t="s">
        <v>27</v>
      </c>
      <c r="H70">
        <v>6</v>
      </c>
      <c r="I70">
        <v>20609593076</v>
      </c>
      <c r="J70" t="s">
        <v>555</v>
      </c>
      <c r="K70" s="8">
        <v>45894</v>
      </c>
      <c r="Q70">
        <v>1</v>
      </c>
      <c r="S70" t="s">
        <v>345</v>
      </c>
      <c r="U70">
        <v>1</v>
      </c>
      <c r="V70">
        <v>51.86</v>
      </c>
      <c r="W70">
        <v>61.19</v>
      </c>
      <c r="Y70">
        <v>51.86</v>
      </c>
      <c r="Z70">
        <v>17.989999999999998</v>
      </c>
      <c r="AA70">
        <v>9.33</v>
      </c>
      <c r="AB70">
        <v>61.19</v>
      </c>
      <c r="AC70">
        <v>1</v>
      </c>
      <c r="AE70" t="s">
        <v>467</v>
      </c>
      <c r="AF70" t="s">
        <v>32</v>
      </c>
      <c r="AG70">
        <v>2</v>
      </c>
      <c r="AH70" t="s">
        <v>28</v>
      </c>
      <c r="AI70">
        <v>1106</v>
      </c>
      <c r="AJ70" t="s">
        <v>501</v>
      </c>
      <c r="AK70" t="s">
        <v>317</v>
      </c>
      <c r="AQ70" t="s">
        <v>27</v>
      </c>
      <c r="AS70" t="str">
        <f t="shared" si="1"/>
        <v>(01) Factura F00100000011</v>
      </c>
    </row>
    <row r="71" spans="1:45">
      <c r="A71" t="s">
        <v>273</v>
      </c>
      <c r="B71" s="21" t="s">
        <v>346</v>
      </c>
      <c r="C71" t="s">
        <v>30</v>
      </c>
      <c r="D71" s="8">
        <v>45894</v>
      </c>
      <c r="E71" s="22">
        <v>45940.536145833335</v>
      </c>
      <c r="F71" t="s">
        <v>35</v>
      </c>
      <c r="G71" t="s">
        <v>272</v>
      </c>
      <c r="H71">
        <v>6</v>
      </c>
      <c r="I71">
        <v>20608361074</v>
      </c>
      <c r="J71" t="s">
        <v>543</v>
      </c>
      <c r="K71" s="8">
        <v>45894</v>
      </c>
      <c r="Q71">
        <v>1</v>
      </c>
      <c r="S71" t="s">
        <v>316</v>
      </c>
      <c r="U71">
        <v>1</v>
      </c>
      <c r="V71">
        <v>322</v>
      </c>
      <c r="W71">
        <v>379.96</v>
      </c>
      <c r="Y71">
        <v>322</v>
      </c>
      <c r="Z71">
        <v>18</v>
      </c>
      <c r="AA71">
        <v>57.96</v>
      </c>
      <c r="AB71">
        <v>379.96</v>
      </c>
      <c r="AC71">
        <v>1</v>
      </c>
      <c r="AE71" t="s">
        <v>467</v>
      </c>
      <c r="AF71" t="s">
        <v>32</v>
      </c>
      <c r="AG71">
        <v>2</v>
      </c>
      <c r="AH71" t="s">
        <v>28</v>
      </c>
      <c r="AI71">
        <v>1106</v>
      </c>
      <c r="AJ71" t="s">
        <v>501</v>
      </c>
      <c r="AK71" t="s">
        <v>317</v>
      </c>
      <c r="AQ71" t="s">
        <v>35</v>
      </c>
      <c r="AS71" t="str">
        <f t="shared" si="1"/>
        <v>(01) Factura F00100000015</v>
      </c>
    </row>
    <row r="72" spans="1:45">
      <c r="A72" t="s">
        <v>273</v>
      </c>
      <c r="B72" s="21" t="s">
        <v>347</v>
      </c>
      <c r="C72" t="s">
        <v>30</v>
      </c>
      <c r="D72" s="8">
        <v>45894</v>
      </c>
      <c r="E72" s="22">
        <v>45940.376006944447</v>
      </c>
      <c r="F72" t="s">
        <v>35</v>
      </c>
      <c r="G72" t="s">
        <v>272</v>
      </c>
      <c r="H72">
        <v>6</v>
      </c>
      <c r="I72">
        <v>20608361074</v>
      </c>
      <c r="J72" t="s">
        <v>543</v>
      </c>
      <c r="K72" s="8">
        <v>45894</v>
      </c>
      <c r="Q72">
        <v>1</v>
      </c>
      <c r="S72" t="s">
        <v>316</v>
      </c>
      <c r="U72">
        <v>1</v>
      </c>
      <c r="V72">
        <v>322</v>
      </c>
      <c r="W72">
        <v>379.96</v>
      </c>
      <c r="Y72">
        <v>322</v>
      </c>
      <c r="Z72">
        <v>18</v>
      </c>
      <c r="AA72">
        <v>57.96</v>
      </c>
      <c r="AB72">
        <v>379.96</v>
      </c>
      <c r="AC72">
        <v>1</v>
      </c>
      <c r="AE72" t="s">
        <v>467</v>
      </c>
      <c r="AF72" t="s">
        <v>32</v>
      </c>
      <c r="AG72">
        <v>2</v>
      </c>
      <c r="AH72" t="s">
        <v>28</v>
      </c>
      <c r="AI72">
        <v>1106</v>
      </c>
      <c r="AJ72" t="s">
        <v>501</v>
      </c>
      <c r="AK72" t="s">
        <v>317</v>
      </c>
      <c r="AQ72" t="s">
        <v>35</v>
      </c>
      <c r="AS72" t="str">
        <f t="shared" si="1"/>
        <v>(01) Factura F00100000012</v>
      </c>
    </row>
    <row r="73" spans="1:45">
      <c r="A73" t="s">
        <v>273</v>
      </c>
      <c r="B73" s="21" t="s">
        <v>348</v>
      </c>
      <c r="C73" t="s">
        <v>30</v>
      </c>
      <c r="D73" s="8">
        <v>45891</v>
      </c>
      <c r="E73" s="22">
        <v>45940.725358796299</v>
      </c>
      <c r="F73" t="s">
        <v>35</v>
      </c>
      <c r="G73" t="s">
        <v>272</v>
      </c>
      <c r="H73">
        <v>6</v>
      </c>
      <c r="I73">
        <v>20608361074</v>
      </c>
      <c r="J73" t="s">
        <v>543</v>
      </c>
      <c r="K73" s="8">
        <v>45891</v>
      </c>
      <c r="Q73">
        <v>1</v>
      </c>
      <c r="S73" t="s">
        <v>316</v>
      </c>
      <c r="U73">
        <v>1</v>
      </c>
      <c r="V73">
        <v>322</v>
      </c>
      <c r="W73">
        <v>379.96</v>
      </c>
      <c r="Y73">
        <v>322</v>
      </c>
      <c r="Z73">
        <v>18</v>
      </c>
      <c r="AA73">
        <v>57.96</v>
      </c>
      <c r="AB73">
        <v>379.96</v>
      </c>
      <c r="AC73">
        <v>1</v>
      </c>
      <c r="AE73" t="s">
        <v>467</v>
      </c>
      <c r="AF73" t="s">
        <v>32</v>
      </c>
      <c r="AG73">
        <v>2</v>
      </c>
      <c r="AH73" t="s">
        <v>28</v>
      </c>
      <c r="AI73">
        <v>1106</v>
      </c>
      <c r="AJ73" t="s">
        <v>501</v>
      </c>
      <c r="AK73" t="s">
        <v>317</v>
      </c>
      <c r="AQ73" t="s">
        <v>35</v>
      </c>
      <c r="AS73" t="str">
        <f t="shared" si="1"/>
        <v>(01) Factura F00100000010</v>
      </c>
    </row>
    <row r="74" spans="1:45">
      <c r="A74" t="s">
        <v>273</v>
      </c>
      <c r="B74" s="21" t="s">
        <v>349</v>
      </c>
      <c r="C74" t="s">
        <v>30</v>
      </c>
      <c r="D74" s="8">
        <v>45891</v>
      </c>
      <c r="E74" s="22">
        <v>45940.717777777776</v>
      </c>
      <c r="F74" t="s">
        <v>35</v>
      </c>
      <c r="G74" t="s">
        <v>272</v>
      </c>
      <c r="H74">
        <v>6</v>
      </c>
      <c r="I74">
        <v>20608361074</v>
      </c>
      <c r="J74" t="s">
        <v>543</v>
      </c>
      <c r="K74" s="8">
        <v>45891</v>
      </c>
      <c r="Q74">
        <v>1</v>
      </c>
      <c r="S74" t="s">
        <v>316</v>
      </c>
      <c r="U74">
        <v>1</v>
      </c>
      <c r="V74">
        <v>322</v>
      </c>
      <c r="W74">
        <v>379.96</v>
      </c>
      <c r="Y74">
        <v>322</v>
      </c>
      <c r="Z74">
        <v>18</v>
      </c>
      <c r="AA74">
        <v>57.96</v>
      </c>
      <c r="AB74">
        <v>379.96</v>
      </c>
      <c r="AC74">
        <v>1</v>
      </c>
      <c r="AE74" t="s">
        <v>467</v>
      </c>
      <c r="AF74" t="s">
        <v>32</v>
      </c>
      <c r="AG74">
        <v>2</v>
      </c>
      <c r="AH74" t="s">
        <v>28</v>
      </c>
      <c r="AI74">
        <v>1106</v>
      </c>
      <c r="AJ74" t="s">
        <v>501</v>
      </c>
      <c r="AK74" t="s">
        <v>317</v>
      </c>
      <c r="AQ74" t="s">
        <v>35</v>
      </c>
      <c r="AS74" t="str">
        <f t="shared" si="1"/>
        <v>(01) Factura F00100000009</v>
      </c>
    </row>
    <row r="75" spans="1:45">
      <c r="A75" t="s">
        <v>273</v>
      </c>
      <c r="B75" s="21" t="s">
        <v>350</v>
      </c>
      <c r="C75" t="s">
        <v>30</v>
      </c>
      <c r="D75" s="8">
        <v>45891</v>
      </c>
      <c r="E75" s="22">
        <v>45940.715486111112</v>
      </c>
      <c r="F75" t="s">
        <v>35</v>
      </c>
      <c r="G75" t="s">
        <v>272</v>
      </c>
      <c r="H75">
        <v>6</v>
      </c>
      <c r="I75">
        <v>20608361074</v>
      </c>
      <c r="J75" t="s">
        <v>556</v>
      </c>
      <c r="K75" s="8">
        <v>45891</v>
      </c>
      <c r="Q75">
        <v>1</v>
      </c>
      <c r="S75" t="s">
        <v>316</v>
      </c>
      <c r="U75">
        <v>1</v>
      </c>
      <c r="V75">
        <v>0</v>
      </c>
      <c r="W75">
        <v>0</v>
      </c>
      <c r="Y75">
        <v>0</v>
      </c>
      <c r="Z75">
        <v>0</v>
      </c>
      <c r="AA75">
        <v>0</v>
      </c>
      <c r="AB75">
        <v>0</v>
      </c>
      <c r="AC75">
        <v>1</v>
      </c>
      <c r="AE75" t="s">
        <v>469</v>
      </c>
      <c r="AF75" t="s">
        <v>123</v>
      </c>
      <c r="AG75">
        <v>2</v>
      </c>
      <c r="AH75" t="s">
        <v>28</v>
      </c>
      <c r="AI75">
        <v>1106</v>
      </c>
      <c r="AJ75" t="s">
        <v>501</v>
      </c>
      <c r="AK75" t="s">
        <v>317</v>
      </c>
      <c r="AQ75" t="s">
        <v>35</v>
      </c>
      <c r="AS75" t="str">
        <f t="shared" si="1"/>
        <v>(01) Factura F00100000008</v>
      </c>
    </row>
    <row r="76" spans="1:45">
      <c r="A76" t="s">
        <v>273</v>
      </c>
      <c r="B76" s="21" t="s">
        <v>351</v>
      </c>
      <c r="C76" t="s">
        <v>30</v>
      </c>
      <c r="D76" s="8">
        <v>45891</v>
      </c>
      <c r="E76" s="22">
        <v>45940.678124999999</v>
      </c>
      <c r="F76" t="s">
        <v>35</v>
      </c>
      <c r="G76" t="s">
        <v>272</v>
      </c>
      <c r="H76">
        <v>6</v>
      </c>
      <c r="I76">
        <v>20608361074</v>
      </c>
      <c r="J76" t="s">
        <v>556</v>
      </c>
      <c r="K76" s="8">
        <v>45891</v>
      </c>
      <c r="Q76">
        <v>1</v>
      </c>
      <c r="S76" t="s">
        <v>316</v>
      </c>
      <c r="U76">
        <v>1</v>
      </c>
      <c r="V76">
        <v>0</v>
      </c>
      <c r="W76">
        <v>0</v>
      </c>
      <c r="Y76">
        <v>0</v>
      </c>
      <c r="Z76">
        <v>0</v>
      </c>
      <c r="AA76">
        <v>0</v>
      </c>
      <c r="AB76">
        <v>0</v>
      </c>
      <c r="AC76">
        <v>1</v>
      </c>
      <c r="AE76" t="s">
        <v>469</v>
      </c>
      <c r="AF76" t="s">
        <v>123</v>
      </c>
      <c r="AG76">
        <v>2</v>
      </c>
      <c r="AH76" t="s">
        <v>28</v>
      </c>
      <c r="AI76">
        <v>1106</v>
      </c>
      <c r="AJ76" t="s">
        <v>501</v>
      </c>
      <c r="AK76" t="s">
        <v>317</v>
      </c>
      <c r="AQ76" t="s">
        <v>35</v>
      </c>
      <c r="AS76" t="str">
        <f t="shared" si="1"/>
        <v>(01) Factura F00100000007</v>
      </c>
    </row>
    <row r="77" spans="1:45">
      <c r="A77" t="s">
        <v>273</v>
      </c>
      <c r="B77" s="21" t="s">
        <v>352</v>
      </c>
      <c r="C77" t="s">
        <v>30</v>
      </c>
      <c r="D77" s="8">
        <v>45891</v>
      </c>
      <c r="E77" s="22">
        <v>45940.677210648151</v>
      </c>
      <c r="F77" t="s">
        <v>35</v>
      </c>
      <c r="G77" t="s">
        <v>272</v>
      </c>
      <c r="H77">
        <v>6</v>
      </c>
      <c r="I77">
        <v>20608361074</v>
      </c>
      <c r="J77" t="s">
        <v>556</v>
      </c>
      <c r="K77" s="8">
        <v>45891</v>
      </c>
      <c r="Q77">
        <v>1</v>
      </c>
      <c r="S77" t="s">
        <v>316</v>
      </c>
      <c r="U77">
        <v>1</v>
      </c>
      <c r="V77">
        <v>0</v>
      </c>
      <c r="W77">
        <v>0</v>
      </c>
      <c r="Y77">
        <v>0</v>
      </c>
      <c r="Z77">
        <v>0</v>
      </c>
      <c r="AA77">
        <v>0</v>
      </c>
      <c r="AB77">
        <v>0</v>
      </c>
      <c r="AC77">
        <v>1</v>
      </c>
      <c r="AE77" t="s">
        <v>469</v>
      </c>
      <c r="AF77" t="s">
        <v>123</v>
      </c>
      <c r="AG77">
        <v>2</v>
      </c>
      <c r="AH77" t="s">
        <v>28</v>
      </c>
      <c r="AI77">
        <v>1106</v>
      </c>
      <c r="AJ77" t="s">
        <v>501</v>
      </c>
      <c r="AK77" t="s">
        <v>317</v>
      </c>
      <c r="AQ77" t="s">
        <v>35</v>
      </c>
      <c r="AS77" t="str">
        <f t="shared" si="1"/>
        <v>(01) Factura F00100000006</v>
      </c>
    </row>
    <row r="78" spans="1:45">
      <c r="A78" t="s">
        <v>273</v>
      </c>
      <c r="B78" s="21" t="s">
        <v>353</v>
      </c>
      <c r="C78" t="s">
        <v>30</v>
      </c>
      <c r="D78" s="8">
        <v>45891</v>
      </c>
      <c r="E78" s="22">
        <v>45940.672731481478</v>
      </c>
      <c r="F78" t="s">
        <v>36</v>
      </c>
      <c r="H78">
        <v>6</v>
      </c>
      <c r="I78">
        <v>20612433489</v>
      </c>
      <c r="J78" t="s">
        <v>557</v>
      </c>
      <c r="K78" s="8">
        <v>45891</v>
      </c>
      <c r="Q78">
        <v>1</v>
      </c>
      <c r="S78" t="s">
        <v>354</v>
      </c>
      <c r="U78">
        <v>1</v>
      </c>
      <c r="V78">
        <v>0</v>
      </c>
      <c r="W78">
        <v>0</v>
      </c>
      <c r="Y78">
        <v>0</v>
      </c>
      <c r="Z78">
        <v>0</v>
      </c>
      <c r="AA78">
        <v>0</v>
      </c>
      <c r="AB78">
        <v>0</v>
      </c>
      <c r="AC78">
        <v>1</v>
      </c>
      <c r="AE78" t="s">
        <v>469</v>
      </c>
      <c r="AF78" t="s">
        <v>123</v>
      </c>
      <c r="AG78">
        <v>2</v>
      </c>
      <c r="AH78" t="s">
        <v>28</v>
      </c>
      <c r="AI78">
        <v>1106</v>
      </c>
      <c r="AJ78" t="s">
        <v>501</v>
      </c>
      <c r="AK78" t="s">
        <v>317</v>
      </c>
      <c r="AQ78" t="s">
        <v>36</v>
      </c>
      <c r="AS78" t="str">
        <f t="shared" si="1"/>
        <v>(01) Factura F00100000004</v>
      </c>
    </row>
    <row r="79" spans="1:45">
      <c r="A79" t="s">
        <v>273</v>
      </c>
      <c r="B79" s="21" t="s">
        <v>355</v>
      </c>
      <c r="C79" t="s">
        <v>30</v>
      </c>
      <c r="D79" s="8">
        <v>45891</v>
      </c>
      <c r="E79" s="22">
        <v>45940.660057870373</v>
      </c>
      <c r="F79" t="s">
        <v>36</v>
      </c>
      <c r="H79">
        <v>6</v>
      </c>
      <c r="I79">
        <v>20612433489</v>
      </c>
      <c r="J79" t="s">
        <v>558</v>
      </c>
      <c r="K79" s="8">
        <v>45891</v>
      </c>
      <c r="Q79">
        <v>1</v>
      </c>
      <c r="S79" t="s">
        <v>356</v>
      </c>
      <c r="U79">
        <v>1</v>
      </c>
      <c r="V79">
        <v>0</v>
      </c>
      <c r="W79">
        <v>0</v>
      </c>
      <c r="Y79">
        <v>0</v>
      </c>
      <c r="Z79">
        <v>0</v>
      </c>
      <c r="AA79">
        <v>0</v>
      </c>
      <c r="AB79">
        <v>0</v>
      </c>
      <c r="AC79">
        <v>1</v>
      </c>
      <c r="AE79" t="s">
        <v>469</v>
      </c>
      <c r="AF79" t="s">
        <v>123</v>
      </c>
      <c r="AG79">
        <v>2</v>
      </c>
      <c r="AH79" t="s">
        <v>28</v>
      </c>
      <c r="AI79">
        <v>1106</v>
      </c>
      <c r="AJ79" t="s">
        <v>501</v>
      </c>
      <c r="AK79" t="s">
        <v>317</v>
      </c>
      <c r="AQ79" t="s">
        <v>36</v>
      </c>
      <c r="AS79" t="str">
        <f t="shared" si="1"/>
        <v>(01) Factura F00100000003</v>
      </c>
    </row>
    <row r="80" spans="1:45">
      <c r="A80" t="s">
        <v>273</v>
      </c>
      <c r="B80" s="21" t="s">
        <v>357</v>
      </c>
      <c r="C80" t="s">
        <v>30</v>
      </c>
      <c r="D80" s="8">
        <v>45891</v>
      </c>
      <c r="E80" s="22">
        <v>45940.64135416667</v>
      </c>
      <c r="F80" t="s">
        <v>36</v>
      </c>
      <c r="H80">
        <v>6</v>
      </c>
      <c r="I80">
        <v>20612433489</v>
      </c>
      <c r="J80" t="s">
        <v>557</v>
      </c>
      <c r="K80" s="8">
        <v>45891</v>
      </c>
      <c r="Q80">
        <v>1</v>
      </c>
      <c r="S80" t="s">
        <v>354</v>
      </c>
      <c r="U80">
        <v>1</v>
      </c>
      <c r="V80">
        <v>0</v>
      </c>
      <c r="W80">
        <v>0</v>
      </c>
      <c r="Y80">
        <v>0</v>
      </c>
      <c r="Z80">
        <v>0</v>
      </c>
      <c r="AA80">
        <v>0</v>
      </c>
      <c r="AB80">
        <v>0</v>
      </c>
      <c r="AC80">
        <v>1</v>
      </c>
      <c r="AE80" t="s">
        <v>469</v>
      </c>
      <c r="AF80" t="s">
        <v>123</v>
      </c>
      <c r="AG80">
        <v>2</v>
      </c>
      <c r="AH80" t="s">
        <v>28</v>
      </c>
      <c r="AI80">
        <v>1106</v>
      </c>
      <c r="AJ80" t="s">
        <v>501</v>
      </c>
      <c r="AK80" t="s">
        <v>317</v>
      </c>
      <c r="AQ80" t="s">
        <v>36</v>
      </c>
      <c r="AS80" t="str">
        <f t="shared" si="1"/>
        <v>(01) Factura F00100000002</v>
      </c>
    </row>
    <row r="81" spans="1:45">
      <c r="A81" t="s">
        <v>266</v>
      </c>
      <c r="B81" s="21" t="s">
        <v>358</v>
      </c>
      <c r="C81" t="s">
        <v>30</v>
      </c>
      <c r="D81" s="8">
        <v>45902</v>
      </c>
      <c r="E81" s="22">
        <v>45940.638043981482</v>
      </c>
      <c r="F81" t="s">
        <v>35</v>
      </c>
      <c r="G81" t="s">
        <v>272</v>
      </c>
      <c r="H81">
        <v>6</v>
      </c>
      <c r="I81">
        <v>20608361074</v>
      </c>
      <c r="J81" t="s">
        <v>543</v>
      </c>
      <c r="K81" s="8">
        <v>45902</v>
      </c>
      <c r="Q81">
        <v>1</v>
      </c>
      <c r="S81" t="s">
        <v>316</v>
      </c>
      <c r="U81">
        <v>1</v>
      </c>
      <c r="V81">
        <v>322</v>
      </c>
      <c r="W81">
        <v>379.96</v>
      </c>
      <c r="Y81">
        <v>322</v>
      </c>
      <c r="Z81">
        <v>18</v>
      </c>
      <c r="AA81">
        <v>57.96</v>
      </c>
      <c r="AB81">
        <v>379.96</v>
      </c>
      <c r="AC81">
        <v>1</v>
      </c>
      <c r="AE81" t="s">
        <v>467</v>
      </c>
      <c r="AF81" t="s">
        <v>32</v>
      </c>
      <c r="AG81">
        <v>2</v>
      </c>
      <c r="AH81" t="s">
        <v>28</v>
      </c>
      <c r="AI81">
        <v>1106</v>
      </c>
      <c r="AJ81" t="s">
        <v>501</v>
      </c>
      <c r="AK81" t="s">
        <v>317</v>
      </c>
      <c r="AQ81" t="s">
        <v>35</v>
      </c>
      <c r="AS81" t="str">
        <f t="shared" si="1"/>
        <v>(01) Factura FB0100000034</v>
      </c>
    </row>
    <row r="82" spans="1:45">
      <c r="A82" t="s">
        <v>266</v>
      </c>
      <c r="B82" s="21" t="s">
        <v>359</v>
      </c>
      <c r="C82" t="s">
        <v>30</v>
      </c>
      <c r="D82" s="8">
        <v>45902</v>
      </c>
      <c r="E82" s="22">
        <v>45940.533796296295</v>
      </c>
      <c r="F82" t="s">
        <v>35</v>
      </c>
      <c r="G82" t="s">
        <v>272</v>
      </c>
      <c r="H82">
        <v>6</v>
      </c>
      <c r="I82">
        <v>20608361074</v>
      </c>
      <c r="J82" t="s">
        <v>543</v>
      </c>
      <c r="K82" s="8">
        <v>45902</v>
      </c>
      <c r="Q82">
        <v>1</v>
      </c>
      <c r="S82" t="s">
        <v>316</v>
      </c>
      <c r="U82">
        <v>1</v>
      </c>
      <c r="V82">
        <v>322</v>
      </c>
      <c r="W82">
        <v>379.96</v>
      </c>
      <c r="Y82">
        <v>322</v>
      </c>
      <c r="Z82">
        <v>18</v>
      </c>
      <c r="AA82">
        <v>57.96</v>
      </c>
      <c r="AB82">
        <v>379.96</v>
      </c>
      <c r="AC82">
        <v>1</v>
      </c>
      <c r="AE82" t="s">
        <v>467</v>
      </c>
      <c r="AF82" t="s">
        <v>32</v>
      </c>
      <c r="AG82">
        <v>2</v>
      </c>
      <c r="AH82" t="s">
        <v>28</v>
      </c>
      <c r="AI82">
        <v>1106</v>
      </c>
      <c r="AJ82" t="s">
        <v>501</v>
      </c>
      <c r="AK82" t="s">
        <v>317</v>
      </c>
      <c r="AQ82" t="s">
        <v>35</v>
      </c>
      <c r="AS82" t="str">
        <f t="shared" si="1"/>
        <v>(01) Factura FB0100000031</v>
      </c>
    </row>
    <row r="83" spans="1:45">
      <c r="A83" t="s">
        <v>266</v>
      </c>
      <c r="B83" s="21" t="s">
        <v>360</v>
      </c>
      <c r="C83" t="s">
        <v>30</v>
      </c>
      <c r="D83" s="8">
        <v>45895</v>
      </c>
      <c r="E83" s="22">
        <v>45940.614444444444</v>
      </c>
      <c r="F83" t="s">
        <v>35</v>
      </c>
      <c r="G83" t="s">
        <v>272</v>
      </c>
      <c r="H83">
        <v>6</v>
      </c>
      <c r="I83">
        <v>20608361074</v>
      </c>
      <c r="J83" t="s">
        <v>543</v>
      </c>
      <c r="K83" s="8">
        <v>45895</v>
      </c>
      <c r="Q83">
        <v>1</v>
      </c>
      <c r="S83" t="s">
        <v>316</v>
      </c>
      <c r="U83">
        <v>1</v>
      </c>
      <c r="V83">
        <v>322</v>
      </c>
      <c r="W83">
        <v>379.96</v>
      </c>
      <c r="Y83">
        <v>322</v>
      </c>
      <c r="Z83">
        <v>18</v>
      </c>
      <c r="AA83">
        <v>57.96</v>
      </c>
      <c r="AB83">
        <v>379.96</v>
      </c>
      <c r="AC83">
        <v>1</v>
      </c>
      <c r="AE83" t="s">
        <v>467</v>
      </c>
      <c r="AF83" t="s">
        <v>32</v>
      </c>
      <c r="AG83">
        <v>2</v>
      </c>
      <c r="AH83" t="s">
        <v>28</v>
      </c>
      <c r="AI83">
        <v>1106</v>
      </c>
      <c r="AJ83" t="s">
        <v>501</v>
      </c>
      <c r="AK83" t="s">
        <v>317</v>
      </c>
      <c r="AQ83" t="s">
        <v>35</v>
      </c>
      <c r="AS83" t="str">
        <f t="shared" si="1"/>
        <v>(01) Factura FB0100000020</v>
      </c>
    </row>
    <row r="84" spans="1:45">
      <c r="A84" t="s">
        <v>266</v>
      </c>
      <c r="B84" s="21" t="s">
        <v>361</v>
      </c>
      <c r="C84" t="s">
        <v>30</v>
      </c>
      <c r="D84" s="8">
        <v>45895</v>
      </c>
      <c r="E84" s="22">
        <v>45940.612071759257</v>
      </c>
      <c r="F84" t="s">
        <v>35</v>
      </c>
      <c r="G84" t="s">
        <v>272</v>
      </c>
      <c r="H84">
        <v>6</v>
      </c>
      <c r="I84">
        <v>20608361074</v>
      </c>
      <c r="J84" t="s">
        <v>543</v>
      </c>
      <c r="K84" s="8">
        <v>45895</v>
      </c>
      <c r="Q84">
        <v>1</v>
      </c>
      <c r="S84" t="s">
        <v>316</v>
      </c>
      <c r="U84">
        <v>1</v>
      </c>
      <c r="V84">
        <v>322</v>
      </c>
      <c r="W84">
        <v>379.96</v>
      </c>
      <c r="Y84">
        <v>322</v>
      </c>
      <c r="Z84">
        <v>18</v>
      </c>
      <c r="AA84">
        <v>57.96</v>
      </c>
      <c r="AB84">
        <v>379.96</v>
      </c>
      <c r="AC84">
        <v>1</v>
      </c>
      <c r="AE84" t="s">
        <v>467</v>
      </c>
      <c r="AF84" t="s">
        <v>32</v>
      </c>
      <c r="AG84">
        <v>2</v>
      </c>
      <c r="AH84" t="s">
        <v>28</v>
      </c>
      <c r="AI84">
        <v>1106</v>
      </c>
      <c r="AJ84" t="s">
        <v>501</v>
      </c>
      <c r="AK84" t="s">
        <v>317</v>
      </c>
      <c r="AQ84" t="s">
        <v>35</v>
      </c>
      <c r="AS84" t="str">
        <f t="shared" si="1"/>
        <v>(01) Factura FB0100000019</v>
      </c>
    </row>
    <row r="85" spans="1:45">
      <c r="A85" t="s">
        <v>266</v>
      </c>
      <c r="B85" s="21" t="s">
        <v>362</v>
      </c>
      <c r="C85" t="s">
        <v>30</v>
      </c>
      <c r="D85" s="8">
        <v>45895</v>
      </c>
      <c r="E85" s="22">
        <v>45940.611180555556</v>
      </c>
      <c r="F85" t="s">
        <v>35</v>
      </c>
      <c r="G85" t="s">
        <v>272</v>
      </c>
      <c r="H85">
        <v>6</v>
      </c>
      <c r="I85">
        <v>20608361074</v>
      </c>
      <c r="J85" t="s">
        <v>543</v>
      </c>
      <c r="K85" s="8">
        <v>45895</v>
      </c>
      <c r="Q85">
        <v>1</v>
      </c>
      <c r="S85" t="s">
        <v>316</v>
      </c>
      <c r="U85">
        <v>1</v>
      </c>
      <c r="V85">
        <v>322</v>
      </c>
      <c r="W85">
        <v>379.96</v>
      </c>
      <c r="Y85">
        <v>322</v>
      </c>
      <c r="Z85">
        <v>18</v>
      </c>
      <c r="AA85">
        <v>57.96</v>
      </c>
      <c r="AB85">
        <v>379.96</v>
      </c>
      <c r="AC85">
        <v>1</v>
      </c>
      <c r="AE85" t="s">
        <v>467</v>
      </c>
      <c r="AF85" t="s">
        <v>32</v>
      </c>
      <c r="AG85">
        <v>2</v>
      </c>
      <c r="AH85" t="s">
        <v>28</v>
      </c>
      <c r="AI85">
        <v>1106</v>
      </c>
      <c r="AJ85" t="s">
        <v>501</v>
      </c>
      <c r="AK85" t="s">
        <v>317</v>
      </c>
      <c r="AQ85" t="s">
        <v>35</v>
      </c>
      <c r="AS85" t="str">
        <f t="shared" ref="AS85:AS95" si="2">+CONCATENATE(A85,B85)</f>
        <v>(01) Factura FB0100000018</v>
      </c>
    </row>
    <row r="86" spans="1:45">
      <c r="A86" t="s">
        <v>266</v>
      </c>
      <c r="B86" s="21" t="s">
        <v>363</v>
      </c>
      <c r="C86" t="s">
        <v>30</v>
      </c>
      <c r="D86" s="8">
        <v>45895</v>
      </c>
      <c r="E86" s="22">
        <v>45940.602037037039</v>
      </c>
      <c r="F86" t="s">
        <v>35</v>
      </c>
      <c r="G86" t="s">
        <v>272</v>
      </c>
      <c r="H86">
        <v>6</v>
      </c>
      <c r="I86">
        <v>20608361074</v>
      </c>
      <c r="J86" t="s">
        <v>543</v>
      </c>
      <c r="K86" s="8">
        <v>45895</v>
      </c>
      <c r="Q86">
        <v>1</v>
      </c>
      <c r="S86" t="s">
        <v>316</v>
      </c>
      <c r="U86">
        <v>1</v>
      </c>
      <c r="V86">
        <v>322</v>
      </c>
      <c r="W86">
        <v>379.96</v>
      </c>
      <c r="Y86">
        <v>322</v>
      </c>
      <c r="Z86">
        <v>18</v>
      </c>
      <c r="AA86">
        <v>57.96</v>
      </c>
      <c r="AB86">
        <v>379.96</v>
      </c>
      <c r="AC86">
        <v>1</v>
      </c>
      <c r="AE86" t="s">
        <v>467</v>
      </c>
      <c r="AF86" t="s">
        <v>32</v>
      </c>
      <c r="AG86">
        <v>2</v>
      </c>
      <c r="AH86" t="s">
        <v>28</v>
      </c>
      <c r="AI86">
        <v>1106</v>
      </c>
      <c r="AJ86" t="s">
        <v>501</v>
      </c>
      <c r="AK86" t="s">
        <v>317</v>
      </c>
      <c r="AQ86" t="s">
        <v>35</v>
      </c>
      <c r="AS86" t="str">
        <f t="shared" si="2"/>
        <v>(01) Factura FB0100000017</v>
      </c>
    </row>
    <row r="87" spans="1:45">
      <c r="A87" t="s">
        <v>266</v>
      </c>
      <c r="B87" s="21" t="s">
        <v>364</v>
      </c>
      <c r="C87" t="s">
        <v>30</v>
      </c>
      <c r="D87" s="8">
        <v>45895</v>
      </c>
      <c r="E87" s="22">
        <v>45940.588391203702</v>
      </c>
      <c r="F87" t="s">
        <v>35</v>
      </c>
      <c r="G87" t="s">
        <v>272</v>
      </c>
      <c r="H87">
        <v>6</v>
      </c>
      <c r="I87">
        <v>20608361074</v>
      </c>
      <c r="J87" t="s">
        <v>543</v>
      </c>
      <c r="K87" s="8">
        <v>45895</v>
      </c>
      <c r="Q87">
        <v>1</v>
      </c>
      <c r="S87" t="s">
        <v>316</v>
      </c>
      <c r="U87">
        <v>1</v>
      </c>
      <c r="V87">
        <v>322</v>
      </c>
      <c r="W87">
        <v>379.96</v>
      </c>
      <c r="Y87">
        <v>322</v>
      </c>
      <c r="Z87">
        <v>18</v>
      </c>
      <c r="AA87">
        <v>57.96</v>
      </c>
      <c r="AB87">
        <v>379.96</v>
      </c>
      <c r="AC87">
        <v>1</v>
      </c>
      <c r="AE87" t="s">
        <v>467</v>
      </c>
      <c r="AF87" t="s">
        <v>32</v>
      </c>
      <c r="AG87">
        <v>2</v>
      </c>
      <c r="AH87" t="s">
        <v>28</v>
      </c>
      <c r="AI87">
        <v>1106</v>
      </c>
      <c r="AJ87" t="s">
        <v>501</v>
      </c>
      <c r="AK87" t="s">
        <v>317</v>
      </c>
      <c r="AQ87" t="s">
        <v>35</v>
      </c>
      <c r="AS87" t="str">
        <f t="shared" si="2"/>
        <v>(01) Factura FB0100000016</v>
      </c>
    </row>
    <row r="88" spans="1:45">
      <c r="A88" t="s">
        <v>273</v>
      </c>
      <c r="B88" s="21" t="s">
        <v>365</v>
      </c>
      <c r="C88" t="s">
        <v>30</v>
      </c>
      <c r="D88" s="8">
        <v>45891</v>
      </c>
      <c r="E88" s="22">
        <v>45940.676261574074</v>
      </c>
      <c r="F88" t="s">
        <v>35</v>
      </c>
      <c r="G88" t="s">
        <v>272</v>
      </c>
      <c r="H88">
        <v>6</v>
      </c>
      <c r="I88">
        <v>20608361074</v>
      </c>
      <c r="J88" t="s">
        <v>556</v>
      </c>
      <c r="K88" s="8">
        <v>45891</v>
      </c>
      <c r="Q88">
        <v>1</v>
      </c>
      <c r="S88" t="s">
        <v>316</v>
      </c>
      <c r="U88">
        <v>1</v>
      </c>
      <c r="V88">
        <v>0</v>
      </c>
      <c r="W88">
        <v>0</v>
      </c>
      <c r="Y88">
        <v>0</v>
      </c>
      <c r="Z88">
        <v>0</v>
      </c>
      <c r="AA88">
        <v>0</v>
      </c>
      <c r="AB88">
        <v>0</v>
      </c>
      <c r="AC88">
        <v>1</v>
      </c>
      <c r="AE88" t="s">
        <v>469</v>
      </c>
      <c r="AF88" t="s">
        <v>123</v>
      </c>
      <c r="AG88">
        <v>2</v>
      </c>
      <c r="AH88" t="s">
        <v>28</v>
      </c>
      <c r="AI88">
        <v>1106</v>
      </c>
      <c r="AJ88" t="s">
        <v>501</v>
      </c>
      <c r="AK88" t="s">
        <v>317</v>
      </c>
      <c r="AQ88" t="s">
        <v>35</v>
      </c>
      <c r="AS88" t="str">
        <f t="shared" si="2"/>
        <v>(01) Factura F00100000005</v>
      </c>
    </row>
    <row r="89" spans="1:45">
      <c r="A89" t="s">
        <v>273</v>
      </c>
      <c r="B89" s="21" t="s">
        <v>366</v>
      </c>
      <c r="C89" t="s">
        <v>30</v>
      </c>
      <c r="D89" s="8">
        <v>45890</v>
      </c>
      <c r="E89" s="22">
        <v>45940.404895833337</v>
      </c>
      <c r="F89" t="s">
        <v>35</v>
      </c>
      <c r="G89" t="s">
        <v>272</v>
      </c>
      <c r="H89">
        <v>6</v>
      </c>
      <c r="I89">
        <v>20608361074</v>
      </c>
      <c r="J89" t="s">
        <v>556</v>
      </c>
      <c r="K89" s="8">
        <v>45890</v>
      </c>
      <c r="Q89">
        <v>1</v>
      </c>
      <c r="S89" t="s">
        <v>316</v>
      </c>
      <c r="U89">
        <v>1</v>
      </c>
      <c r="V89">
        <v>0</v>
      </c>
      <c r="W89">
        <v>0</v>
      </c>
      <c r="Y89">
        <v>0</v>
      </c>
      <c r="Z89">
        <v>0</v>
      </c>
      <c r="AA89">
        <v>0</v>
      </c>
      <c r="AB89">
        <v>0</v>
      </c>
      <c r="AC89">
        <v>1</v>
      </c>
      <c r="AE89" t="s">
        <v>469</v>
      </c>
      <c r="AF89" t="s">
        <v>123</v>
      </c>
      <c r="AG89">
        <v>2</v>
      </c>
      <c r="AH89" t="s">
        <v>28</v>
      </c>
      <c r="AI89">
        <v>1106</v>
      </c>
      <c r="AJ89" t="s">
        <v>501</v>
      </c>
      <c r="AK89" t="s">
        <v>317</v>
      </c>
      <c r="AQ89" t="s">
        <v>35</v>
      </c>
      <c r="AS89" t="str">
        <f t="shared" si="2"/>
        <v>(01) Factura F00100000001</v>
      </c>
    </row>
    <row r="90" spans="1:45">
      <c r="A90" t="s">
        <v>485</v>
      </c>
      <c r="B90" s="21" t="s">
        <v>366</v>
      </c>
      <c r="C90" t="s">
        <v>30</v>
      </c>
      <c r="D90" s="8">
        <v>45739</v>
      </c>
      <c r="E90" s="22">
        <v>45940</v>
      </c>
      <c r="F90" t="s">
        <v>37</v>
      </c>
      <c r="H90">
        <v>6</v>
      </c>
      <c r="I90">
        <v>20609168961</v>
      </c>
      <c r="J90" t="s">
        <v>559</v>
      </c>
      <c r="K90" s="8">
        <v>45739</v>
      </c>
      <c r="Q90">
        <v>1</v>
      </c>
      <c r="R90">
        <v>232</v>
      </c>
      <c r="S90" t="s">
        <v>276</v>
      </c>
      <c r="T90" t="s">
        <v>277</v>
      </c>
      <c r="U90">
        <v>1</v>
      </c>
      <c r="V90">
        <v>104.24</v>
      </c>
      <c r="W90">
        <v>123</v>
      </c>
      <c r="Y90">
        <v>104.24</v>
      </c>
      <c r="Z90">
        <v>18</v>
      </c>
      <c r="AA90">
        <v>18.760000000000002</v>
      </c>
      <c r="AB90">
        <v>123</v>
      </c>
      <c r="AC90">
        <v>1</v>
      </c>
      <c r="AE90" t="s">
        <v>467</v>
      </c>
      <c r="AF90" t="s">
        <v>32</v>
      </c>
      <c r="AG90">
        <v>2</v>
      </c>
      <c r="AH90" t="s">
        <v>28</v>
      </c>
      <c r="AI90">
        <v>1106</v>
      </c>
      <c r="AJ90" t="s">
        <v>501</v>
      </c>
      <c r="AK90" t="s">
        <v>560</v>
      </c>
      <c r="AQ90" t="s">
        <v>37</v>
      </c>
      <c r="AS90" t="str">
        <f t="shared" si="2"/>
        <v>F FFI00000001</v>
      </c>
    </row>
    <row r="91" spans="1:45">
      <c r="A91" t="s">
        <v>485</v>
      </c>
      <c r="B91" s="21" t="s">
        <v>366</v>
      </c>
      <c r="C91" t="s">
        <v>30</v>
      </c>
      <c r="D91" s="8">
        <v>45739</v>
      </c>
      <c r="E91" s="22">
        <v>45940</v>
      </c>
      <c r="F91" t="s">
        <v>37</v>
      </c>
      <c r="H91">
        <v>6</v>
      </c>
      <c r="I91">
        <v>20609168961</v>
      </c>
      <c r="J91" t="s">
        <v>559</v>
      </c>
      <c r="K91" s="8">
        <v>45739</v>
      </c>
      <c r="Q91">
        <v>2</v>
      </c>
      <c r="R91">
        <v>227</v>
      </c>
      <c r="S91" t="s">
        <v>486</v>
      </c>
      <c r="T91" t="s">
        <v>277</v>
      </c>
      <c r="U91">
        <v>1</v>
      </c>
      <c r="V91">
        <v>103.39</v>
      </c>
      <c r="W91">
        <v>122</v>
      </c>
      <c r="Y91">
        <v>103.39</v>
      </c>
      <c r="Z91">
        <v>18</v>
      </c>
      <c r="AA91">
        <v>18.61</v>
      </c>
      <c r="AB91">
        <v>122</v>
      </c>
      <c r="AC91">
        <v>1</v>
      </c>
      <c r="AE91" t="s">
        <v>467</v>
      </c>
      <c r="AF91" t="s">
        <v>32</v>
      </c>
      <c r="AG91">
        <v>2</v>
      </c>
      <c r="AH91" t="s">
        <v>28</v>
      </c>
      <c r="AI91">
        <v>1106</v>
      </c>
      <c r="AJ91" t="s">
        <v>501</v>
      </c>
      <c r="AK91" t="s">
        <v>561</v>
      </c>
      <c r="AQ91" t="s">
        <v>37</v>
      </c>
      <c r="AS91" t="str">
        <f t="shared" si="2"/>
        <v>F FFI00000001</v>
      </c>
    </row>
    <row r="92" spans="1:45">
      <c r="A92" t="s">
        <v>485</v>
      </c>
      <c r="B92" s="21" t="s">
        <v>366</v>
      </c>
      <c r="C92" t="s">
        <v>30</v>
      </c>
      <c r="D92" s="8">
        <v>45739</v>
      </c>
      <c r="E92" s="22">
        <v>45940</v>
      </c>
      <c r="F92" t="s">
        <v>37</v>
      </c>
      <c r="H92">
        <v>6</v>
      </c>
      <c r="I92">
        <v>20609168961</v>
      </c>
      <c r="J92" t="s">
        <v>559</v>
      </c>
      <c r="K92" s="8">
        <v>45739</v>
      </c>
      <c r="Q92">
        <v>3</v>
      </c>
      <c r="R92">
        <v>220</v>
      </c>
      <c r="S92" t="s">
        <v>487</v>
      </c>
      <c r="T92" t="s">
        <v>369</v>
      </c>
      <c r="U92">
        <v>1</v>
      </c>
      <c r="V92">
        <v>102.54</v>
      </c>
      <c r="W92">
        <v>121</v>
      </c>
      <c r="Y92">
        <v>102.54</v>
      </c>
      <c r="Z92">
        <v>18</v>
      </c>
      <c r="AA92">
        <v>18.46</v>
      </c>
      <c r="AB92">
        <v>121</v>
      </c>
      <c r="AC92">
        <v>1</v>
      </c>
      <c r="AE92" t="s">
        <v>467</v>
      </c>
      <c r="AF92" t="s">
        <v>32</v>
      </c>
      <c r="AG92">
        <v>2</v>
      </c>
      <c r="AH92" t="s">
        <v>28</v>
      </c>
      <c r="AI92">
        <v>1106</v>
      </c>
      <c r="AJ92" t="s">
        <v>501</v>
      </c>
      <c r="AK92" t="s">
        <v>562</v>
      </c>
      <c r="AQ92" t="s">
        <v>37</v>
      </c>
      <c r="AS92" t="str">
        <f t="shared" si="2"/>
        <v>F FFI00000001</v>
      </c>
    </row>
    <row r="93" spans="1:45">
      <c r="A93" t="s">
        <v>367</v>
      </c>
      <c r="B93">
        <v>220</v>
      </c>
      <c r="C93" t="s">
        <v>30</v>
      </c>
      <c r="D93" s="8">
        <v>45698</v>
      </c>
      <c r="E93" s="22">
        <v>45940</v>
      </c>
      <c r="F93" t="s">
        <v>38</v>
      </c>
      <c r="H93">
        <v>6</v>
      </c>
      <c r="I93">
        <v>20611018925</v>
      </c>
      <c r="J93" t="s">
        <v>563</v>
      </c>
      <c r="K93" s="8">
        <v>45698</v>
      </c>
      <c r="Q93">
        <v>1</v>
      </c>
      <c r="R93">
        <v>984</v>
      </c>
      <c r="S93" t="s">
        <v>368</v>
      </c>
      <c r="T93" t="s">
        <v>369</v>
      </c>
      <c r="U93">
        <v>1</v>
      </c>
      <c r="V93">
        <v>1241</v>
      </c>
      <c r="W93">
        <v>1464.38</v>
      </c>
      <c r="Y93">
        <v>1241</v>
      </c>
      <c r="Z93">
        <v>18</v>
      </c>
      <c r="AA93">
        <v>223.38</v>
      </c>
      <c r="AB93">
        <v>1464.38</v>
      </c>
      <c r="AC93">
        <v>1</v>
      </c>
      <c r="AE93" t="s">
        <v>467</v>
      </c>
      <c r="AF93" t="s">
        <v>32</v>
      </c>
      <c r="AG93">
        <v>2</v>
      </c>
      <c r="AH93" t="s">
        <v>28</v>
      </c>
      <c r="AI93">
        <v>1106</v>
      </c>
      <c r="AJ93" t="s">
        <v>501</v>
      </c>
      <c r="AK93" t="s">
        <v>564</v>
      </c>
      <c r="AQ93" t="s">
        <v>38</v>
      </c>
      <c r="AS93" t="str">
        <f t="shared" si="2"/>
        <v>FFF1220</v>
      </c>
    </row>
    <row r="94" spans="1:45">
      <c r="A94" t="s">
        <v>367</v>
      </c>
      <c r="B94">
        <v>219</v>
      </c>
      <c r="C94" t="s">
        <v>30</v>
      </c>
      <c r="D94" s="8">
        <v>45698</v>
      </c>
      <c r="E94" s="22">
        <v>45940</v>
      </c>
      <c r="F94" t="s">
        <v>39</v>
      </c>
      <c r="H94">
        <v>6</v>
      </c>
      <c r="I94">
        <v>10198893710</v>
      </c>
      <c r="J94" t="s">
        <v>565</v>
      </c>
      <c r="K94" s="8">
        <v>45698</v>
      </c>
      <c r="Q94">
        <v>1</v>
      </c>
      <c r="R94">
        <v>983</v>
      </c>
      <c r="S94" t="s">
        <v>370</v>
      </c>
      <c r="T94" t="s">
        <v>369</v>
      </c>
      <c r="U94">
        <v>1</v>
      </c>
      <c r="V94">
        <v>400</v>
      </c>
      <c r="W94">
        <v>472</v>
      </c>
      <c r="Y94">
        <v>400</v>
      </c>
      <c r="Z94">
        <v>18</v>
      </c>
      <c r="AA94">
        <v>72</v>
      </c>
      <c r="AB94">
        <v>472</v>
      </c>
      <c r="AC94">
        <v>1</v>
      </c>
      <c r="AE94" t="s">
        <v>467</v>
      </c>
      <c r="AF94" t="s">
        <v>32</v>
      </c>
      <c r="AG94">
        <v>2</v>
      </c>
      <c r="AH94" t="s">
        <v>28</v>
      </c>
      <c r="AI94">
        <v>1106</v>
      </c>
      <c r="AJ94" t="s">
        <v>501</v>
      </c>
      <c r="AK94" t="s">
        <v>564</v>
      </c>
      <c r="AQ94" t="s">
        <v>39</v>
      </c>
      <c r="AS94" t="str">
        <f t="shared" si="2"/>
        <v>FFF1219</v>
      </c>
    </row>
    <row r="95" spans="1:45">
      <c r="A95" t="s">
        <v>371</v>
      </c>
      <c r="B95">
        <v>1420</v>
      </c>
      <c r="C95" t="s">
        <v>30</v>
      </c>
      <c r="D95" s="8">
        <v>45695</v>
      </c>
      <c r="E95" s="22">
        <v>45940</v>
      </c>
      <c r="F95" t="s">
        <v>40</v>
      </c>
      <c r="H95">
        <v>6</v>
      </c>
      <c r="I95">
        <v>10755725086</v>
      </c>
      <c r="J95" t="s">
        <v>566</v>
      </c>
      <c r="K95" s="8">
        <v>45695</v>
      </c>
      <c r="Q95">
        <v>1</v>
      </c>
      <c r="R95">
        <v>982</v>
      </c>
      <c r="S95" t="s">
        <v>372</v>
      </c>
      <c r="T95" t="s">
        <v>369</v>
      </c>
      <c r="U95">
        <v>1</v>
      </c>
      <c r="V95">
        <v>107.37</v>
      </c>
      <c r="W95">
        <v>126.7</v>
      </c>
      <c r="Y95">
        <v>107.37</v>
      </c>
      <c r="Z95">
        <v>18</v>
      </c>
      <c r="AA95">
        <v>19.329999999999998</v>
      </c>
      <c r="AB95">
        <v>126.7</v>
      </c>
      <c r="AC95">
        <v>1</v>
      </c>
      <c r="AE95" t="s">
        <v>467</v>
      </c>
      <c r="AF95" t="s">
        <v>32</v>
      </c>
      <c r="AG95">
        <v>2</v>
      </c>
      <c r="AH95" t="s">
        <v>28</v>
      </c>
      <c r="AI95">
        <v>1106</v>
      </c>
      <c r="AJ95" t="s">
        <v>501</v>
      </c>
      <c r="AK95" t="s">
        <v>567</v>
      </c>
      <c r="AQ95" t="s">
        <v>40</v>
      </c>
      <c r="AS95" t="str">
        <f t="shared" si="2"/>
        <v>FB011420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DAD9-BC32-4205-9EA8-68BABE2E303B}">
  <dimension ref="A1:AS6"/>
  <sheetViews>
    <sheetView workbookViewId="0">
      <selection activeCell="E15" sqref="E15"/>
    </sheetView>
  </sheetViews>
  <sheetFormatPr baseColWidth="10" defaultRowHeight="15"/>
  <cols>
    <col min="1" max="1" width="18.42578125" bestFit="1" customWidth="1"/>
    <col min="2" max="2" width="11.5703125" bestFit="1" customWidth="1"/>
    <col min="3" max="3" width="20.5703125" bestFit="1" customWidth="1"/>
    <col min="4" max="4" width="19.7109375" bestFit="1" customWidth="1"/>
    <col min="5" max="5" width="18.85546875" bestFit="1" customWidth="1"/>
    <col min="6" max="6" width="17.5703125" bestFit="1" customWidth="1"/>
    <col min="7" max="7" width="16.140625" bestFit="1" customWidth="1"/>
    <col min="8" max="8" width="18" bestFit="1" customWidth="1"/>
    <col min="9" max="9" width="16.7109375" bestFit="1" customWidth="1"/>
    <col min="10" max="10" width="39" customWidth="1"/>
    <col min="11" max="11" width="23.140625" bestFit="1" customWidth="1"/>
    <col min="12" max="12" width="16.140625" bestFit="1" customWidth="1"/>
    <col min="13" max="13" width="19" bestFit="1" customWidth="1"/>
    <col min="14" max="14" width="14.140625" bestFit="1" customWidth="1"/>
    <col min="15" max="15" width="17.28515625" bestFit="1" customWidth="1"/>
    <col min="16" max="16" width="16" bestFit="1" customWidth="1"/>
    <col min="17" max="17" width="18.85546875" bestFit="1" customWidth="1"/>
    <col min="18" max="18" width="23" bestFit="1" customWidth="1"/>
    <col min="19" max="19" width="26.7109375" bestFit="1" customWidth="1"/>
    <col min="20" max="20" width="25.42578125" bestFit="1" customWidth="1"/>
    <col min="21" max="21" width="15.5703125" bestFit="1" customWidth="1"/>
    <col min="22" max="22" width="20.5703125" bestFit="1" customWidth="1"/>
    <col min="23" max="23" width="21.7109375" bestFit="1" customWidth="1"/>
    <col min="24" max="24" width="17.28515625" bestFit="1" customWidth="1"/>
    <col min="25" max="25" width="15.28515625" bestFit="1" customWidth="1"/>
    <col min="26" max="26" width="24.7109375" bestFit="1" customWidth="1"/>
    <col min="27" max="27" width="11.5703125" bestFit="1" customWidth="1"/>
    <col min="28" max="28" width="12.140625" bestFit="1" customWidth="1"/>
    <col min="29" max="29" width="15.28515625" bestFit="1" customWidth="1"/>
    <col min="30" max="30" width="22.42578125" bestFit="1" customWidth="1"/>
    <col min="31" max="31" width="16.7109375" bestFit="1" customWidth="1"/>
    <col min="32" max="32" width="22.140625" bestFit="1" customWidth="1"/>
    <col min="33" max="33" width="19.42578125" bestFit="1" customWidth="1"/>
    <col min="34" max="34" width="21.7109375" bestFit="1" customWidth="1"/>
    <col min="35" max="35" width="25.42578125" bestFit="1" customWidth="1"/>
    <col min="36" max="36" width="40.5703125" bestFit="1" customWidth="1"/>
    <col min="37" max="37" width="182.42578125" bestFit="1" customWidth="1"/>
    <col min="38" max="38" width="24.140625" bestFit="1" customWidth="1"/>
    <col min="39" max="39" width="26.42578125" bestFit="1" customWidth="1"/>
    <col min="40" max="40" width="35" bestFit="1" customWidth="1"/>
    <col min="41" max="41" width="35.140625" bestFit="1" customWidth="1"/>
    <col min="42" max="42" width="28.28515625" bestFit="1" customWidth="1"/>
    <col min="43" max="43" width="30.7109375" bestFit="1" customWidth="1"/>
    <col min="44" max="44" width="30.28515625" bestFit="1" customWidth="1"/>
    <col min="45" max="45" width="13.42578125" bestFit="1" customWidth="1"/>
  </cols>
  <sheetData>
    <row r="1" spans="1:45">
      <c r="A1" s="1" t="s">
        <v>570</v>
      </c>
    </row>
    <row r="3" spans="1:45">
      <c r="A3" t="s">
        <v>223</v>
      </c>
      <c r="B3" t="s">
        <v>224</v>
      </c>
      <c r="C3" t="s">
        <v>470</v>
      </c>
      <c r="D3" t="s">
        <v>225</v>
      </c>
      <c r="E3" t="s">
        <v>226</v>
      </c>
      <c r="F3" t="s">
        <v>227</v>
      </c>
      <c r="G3" t="s">
        <v>228</v>
      </c>
      <c r="H3" t="s">
        <v>229</v>
      </c>
      <c r="I3" t="s">
        <v>230</v>
      </c>
      <c r="J3" t="s">
        <v>231</v>
      </c>
      <c r="K3" t="s">
        <v>232</v>
      </c>
      <c r="L3" t="s">
        <v>233</v>
      </c>
      <c r="M3" t="s">
        <v>234</v>
      </c>
      <c r="N3" t="s">
        <v>235</v>
      </c>
      <c r="O3" t="s">
        <v>236</v>
      </c>
      <c r="P3" t="s">
        <v>237</v>
      </c>
      <c r="Q3" t="s">
        <v>238</v>
      </c>
      <c r="R3" t="s">
        <v>239</v>
      </c>
      <c r="S3" t="s">
        <v>240</v>
      </c>
      <c r="T3" t="s">
        <v>241</v>
      </c>
      <c r="U3" t="s">
        <v>242</v>
      </c>
      <c r="V3" t="s">
        <v>243</v>
      </c>
      <c r="W3" t="s">
        <v>244</v>
      </c>
      <c r="X3" t="s">
        <v>245</v>
      </c>
      <c r="Y3" t="s">
        <v>246</v>
      </c>
      <c r="Z3" t="s">
        <v>247</v>
      </c>
      <c r="AA3" t="s">
        <v>248</v>
      </c>
      <c r="AB3" t="s">
        <v>249</v>
      </c>
      <c r="AC3" t="s">
        <v>250</v>
      </c>
      <c r="AD3" t="s">
        <v>251</v>
      </c>
      <c r="AE3" t="s">
        <v>252</v>
      </c>
      <c r="AF3" t="s">
        <v>253</v>
      </c>
      <c r="AG3" t="s">
        <v>254</v>
      </c>
      <c r="AH3" t="s">
        <v>255</v>
      </c>
      <c r="AI3" t="s">
        <v>256</v>
      </c>
      <c r="AJ3" t="s">
        <v>257</v>
      </c>
      <c r="AK3" t="s">
        <v>258</v>
      </c>
      <c r="AL3" t="s">
        <v>259</v>
      </c>
      <c r="AM3" t="s">
        <v>260</v>
      </c>
      <c r="AN3" t="s">
        <v>261</v>
      </c>
      <c r="AO3" t="s">
        <v>262</v>
      </c>
      <c r="AP3" t="s">
        <v>263</v>
      </c>
      <c r="AQ3" t="s">
        <v>264</v>
      </c>
      <c r="AR3" t="s">
        <v>265</v>
      </c>
      <c r="AS3" t="s">
        <v>382</v>
      </c>
    </row>
    <row r="4" spans="1:45">
      <c r="A4" t="s">
        <v>485</v>
      </c>
      <c r="B4" t="s">
        <v>366</v>
      </c>
      <c r="C4" t="s">
        <v>30</v>
      </c>
      <c r="D4" s="8">
        <v>45739</v>
      </c>
      <c r="E4" s="8">
        <v>45939</v>
      </c>
      <c r="F4" t="s">
        <v>37</v>
      </c>
      <c r="H4">
        <v>6</v>
      </c>
      <c r="I4">
        <v>20609168961</v>
      </c>
      <c r="J4" t="s">
        <v>559</v>
      </c>
      <c r="K4" s="8">
        <v>45739</v>
      </c>
      <c r="Q4">
        <v>3</v>
      </c>
      <c r="R4">
        <v>220</v>
      </c>
      <c r="S4" t="s">
        <v>487</v>
      </c>
      <c r="T4" t="s">
        <v>369</v>
      </c>
      <c r="U4">
        <v>1</v>
      </c>
      <c r="V4">
        <v>102.54</v>
      </c>
      <c r="W4">
        <v>121</v>
      </c>
      <c r="Y4">
        <v>102.54</v>
      </c>
      <c r="Z4">
        <v>18</v>
      </c>
      <c r="AA4">
        <v>18.46</v>
      </c>
      <c r="AB4">
        <v>121</v>
      </c>
      <c r="AC4">
        <v>1</v>
      </c>
      <c r="AE4" t="s">
        <v>467</v>
      </c>
      <c r="AF4" t="s">
        <v>32</v>
      </c>
      <c r="AG4">
        <v>2</v>
      </c>
      <c r="AH4" t="s">
        <v>28</v>
      </c>
      <c r="AI4">
        <v>1106</v>
      </c>
      <c r="AJ4" t="s">
        <v>501</v>
      </c>
      <c r="AK4" t="s">
        <v>562</v>
      </c>
      <c r="AQ4" t="s">
        <v>37</v>
      </c>
      <c r="AS4" t="s">
        <v>488</v>
      </c>
    </row>
    <row r="5" spans="1:45">
      <c r="A5" t="s">
        <v>485</v>
      </c>
      <c r="B5" t="s">
        <v>366</v>
      </c>
      <c r="C5" t="s">
        <v>30</v>
      </c>
      <c r="D5" s="8">
        <v>45739</v>
      </c>
      <c r="E5" s="8">
        <v>45939</v>
      </c>
      <c r="F5" t="s">
        <v>37</v>
      </c>
      <c r="H5">
        <v>6</v>
      </c>
      <c r="I5">
        <v>20609168961</v>
      </c>
      <c r="J5" t="s">
        <v>559</v>
      </c>
      <c r="K5" s="8">
        <v>45739</v>
      </c>
      <c r="Q5">
        <v>2</v>
      </c>
      <c r="R5">
        <v>227</v>
      </c>
      <c r="S5" t="s">
        <v>486</v>
      </c>
      <c r="T5" t="s">
        <v>277</v>
      </c>
      <c r="U5">
        <v>1</v>
      </c>
      <c r="V5">
        <v>103.39</v>
      </c>
      <c r="W5">
        <v>122</v>
      </c>
      <c r="Y5">
        <v>103.39</v>
      </c>
      <c r="Z5">
        <v>18</v>
      </c>
      <c r="AA5">
        <v>18.61</v>
      </c>
      <c r="AB5">
        <v>122</v>
      </c>
      <c r="AC5">
        <v>1</v>
      </c>
      <c r="AE5" t="s">
        <v>467</v>
      </c>
      <c r="AF5" t="s">
        <v>32</v>
      </c>
      <c r="AG5">
        <v>2</v>
      </c>
      <c r="AH5" t="s">
        <v>28</v>
      </c>
      <c r="AI5">
        <v>1106</v>
      </c>
      <c r="AJ5" t="s">
        <v>501</v>
      </c>
      <c r="AK5" t="s">
        <v>561</v>
      </c>
      <c r="AQ5" t="s">
        <v>37</v>
      </c>
      <c r="AS5" t="s">
        <v>488</v>
      </c>
    </row>
    <row r="6" spans="1:45">
      <c r="A6" t="s">
        <v>485</v>
      </c>
      <c r="B6" t="s">
        <v>366</v>
      </c>
      <c r="C6" t="s">
        <v>30</v>
      </c>
      <c r="D6" s="8">
        <v>45739</v>
      </c>
      <c r="E6" s="8">
        <v>45939</v>
      </c>
      <c r="F6" t="s">
        <v>37</v>
      </c>
      <c r="H6">
        <v>6</v>
      </c>
      <c r="I6">
        <v>20609168961</v>
      </c>
      <c r="J6" t="s">
        <v>559</v>
      </c>
      <c r="K6" s="8">
        <v>45739</v>
      </c>
      <c r="Q6">
        <v>1</v>
      </c>
      <c r="R6">
        <v>232</v>
      </c>
      <c r="S6" t="s">
        <v>276</v>
      </c>
      <c r="T6" t="s">
        <v>277</v>
      </c>
      <c r="U6">
        <v>1</v>
      </c>
      <c r="V6">
        <v>104.24</v>
      </c>
      <c r="W6">
        <v>123</v>
      </c>
      <c r="Y6">
        <v>104.24</v>
      </c>
      <c r="Z6">
        <v>18</v>
      </c>
      <c r="AA6">
        <v>18.760000000000002</v>
      </c>
      <c r="AB6">
        <v>123</v>
      </c>
      <c r="AC6">
        <v>1</v>
      </c>
      <c r="AE6" t="s">
        <v>467</v>
      </c>
      <c r="AF6" t="s">
        <v>32</v>
      </c>
      <c r="AG6">
        <v>2</v>
      </c>
      <c r="AH6" t="s">
        <v>28</v>
      </c>
      <c r="AI6">
        <v>1106</v>
      </c>
      <c r="AJ6" t="s">
        <v>501</v>
      </c>
      <c r="AK6" t="s">
        <v>560</v>
      </c>
      <c r="AQ6" t="s">
        <v>37</v>
      </c>
      <c r="AS6" t="s">
        <v>488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30245-8BDF-481F-A95D-C5AF924A86FB}">
  <dimension ref="A1:AS5"/>
  <sheetViews>
    <sheetView workbookViewId="0">
      <selection activeCell="E4" sqref="E4"/>
    </sheetView>
  </sheetViews>
  <sheetFormatPr baseColWidth="10" defaultRowHeight="15"/>
  <cols>
    <col min="1" max="1" width="18.42578125" bestFit="1" customWidth="1"/>
    <col min="2" max="2" width="11.5703125" bestFit="1" customWidth="1"/>
    <col min="3" max="3" width="20.5703125" bestFit="1" customWidth="1"/>
    <col min="4" max="4" width="19.7109375" bestFit="1" customWidth="1"/>
    <col min="5" max="5" width="18.85546875" bestFit="1" customWidth="1"/>
    <col min="6" max="6" width="17.5703125" bestFit="1" customWidth="1"/>
    <col min="7" max="7" width="16.140625" bestFit="1" customWidth="1"/>
    <col min="8" max="8" width="18" bestFit="1" customWidth="1"/>
    <col min="9" max="9" width="16.7109375" bestFit="1" customWidth="1"/>
    <col min="10" max="10" width="255.7109375" bestFit="1" customWidth="1"/>
    <col min="11" max="11" width="23.140625" bestFit="1" customWidth="1"/>
    <col min="12" max="12" width="16.140625" bestFit="1" customWidth="1"/>
    <col min="13" max="13" width="19" bestFit="1" customWidth="1"/>
    <col min="14" max="14" width="14.140625" bestFit="1" customWidth="1"/>
    <col min="15" max="15" width="17.28515625" bestFit="1" customWidth="1"/>
    <col min="16" max="16" width="16" bestFit="1" customWidth="1"/>
    <col min="17" max="17" width="18.85546875" bestFit="1" customWidth="1"/>
    <col min="18" max="18" width="23" bestFit="1" customWidth="1"/>
    <col min="19" max="19" width="26.7109375" bestFit="1" customWidth="1"/>
    <col min="20" max="20" width="25.42578125" bestFit="1" customWidth="1"/>
    <col min="21" max="21" width="15.5703125" bestFit="1" customWidth="1"/>
    <col min="22" max="22" width="20.5703125" bestFit="1" customWidth="1"/>
    <col min="23" max="23" width="21.7109375" bestFit="1" customWidth="1"/>
    <col min="24" max="24" width="17.28515625" bestFit="1" customWidth="1"/>
    <col min="25" max="25" width="15.28515625" bestFit="1" customWidth="1"/>
    <col min="26" max="26" width="24.7109375" bestFit="1" customWidth="1"/>
    <col min="27" max="27" width="11.5703125" bestFit="1" customWidth="1"/>
    <col min="28" max="28" width="12.140625" bestFit="1" customWidth="1"/>
    <col min="29" max="29" width="15.28515625" bestFit="1" customWidth="1"/>
    <col min="30" max="30" width="22.42578125" bestFit="1" customWidth="1"/>
    <col min="31" max="31" width="16.7109375" bestFit="1" customWidth="1"/>
    <col min="32" max="32" width="22.140625" bestFit="1" customWidth="1"/>
    <col min="33" max="33" width="19.42578125" bestFit="1" customWidth="1"/>
    <col min="34" max="34" width="21.7109375" bestFit="1" customWidth="1"/>
    <col min="35" max="35" width="25.42578125" bestFit="1" customWidth="1"/>
    <col min="36" max="36" width="40.5703125" bestFit="1" customWidth="1"/>
    <col min="37" max="37" width="176.28515625" bestFit="1" customWidth="1"/>
    <col min="38" max="38" width="24.140625" bestFit="1" customWidth="1"/>
    <col min="39" max="39" width="42.7109375" bestFit="1" customWidth="1"/>
    <col min="40" max="40" width="35" bestFit="1" customWidth="1"/>
    <col min="41" max="41" width="35.140625" bestFit="1" customWidth="1"/>
    <col min="42" max="42" width="28.28515625" bestFit="1" customWidth="1"/>
    <col min="43" max="43" width="30.7109375" bestFit="1" customWidth="1"/>
    <col min="44" max="44" width="30.28515625" bestFit="1" customWidth="1"/>
    <col min="45" max="45" width="24" bestFit="1" customWidth="1"/>
  </cols>
  <sheetData>
    <row r="1" spans="1:45">
      <c r="A1" s="1" t="s">
        <v>464</v>
      </c>
    </row>
    <row r="3" spans="1:45">
      <c r="A3" t="s">
        <v>223</v>
      </c>
      <c r="B3" t="s">
        <v>224</v>
      </c>
      <c r="C3" t="s">
        <v>470</v>
      </c>
      <c r="D3" t="s">
        <v>225</v>
      </c>
      <c r="E3" t="s">
        <v>226</v>
      </c>
      <c r="F3" t="s">
        <v>227</v>
      </c>
      <c r="G3" t="s">
        <v>228</v>
      </c>
      <c r="H3" t="s">
        <v>229</v>
      </c>
      <c r="I3" t="s">
        <v>230</v>
      </c>
      <c r="J3" t="s">
        <v>231</v>
      </c>
      <c r="K3" t="s">
        <v>232</v>
      </c>
      <c r="L3" t="s">
        <v>233</v>
      </c>
      <c r="M3" t="s">
        <v>234</v>
      </c>
      <c r="N3" t="s">
        <v>235</v>
      </c>
      <c r="O3" t="s">
        <v>236</v>
      </c>
      <c r="P3" t="s">
        <v>237</v>
      </c>
      <c r="Q3" t="s">
        <v>238</v>
      </c>
      <c r="R3" t="s">
        <v>239</v>
      </c>
      <c r="S3" t="s">
        <v>240</v>
      </c>
      <c r="T3" t="s">
        <v>241</v>
      </c>
      <c r="U3" t="s">
        <v>242</v>
      </c>
      <c r="V3" t="s">
        <v>243</v>
      </c>
      <c r="W3" t="s">
        <v>244</v>
      </c>
      <c r="X3" t="s">
        <v>245</v>
      </c>
      <c r="Y3" t="s">
        <v>246</v>
      </c>
      <c r="Z3" t="s">
        <v>247</v>
      </c>
      <c r="AA3" t="s">
        <v>248</v>
      </c>
      <c r="AB3" t="s">
        <v>249</v>
      </c>
      <c r="AC3" t="s">
        <v>250</v>
      </c>
      <c r="AD3" t="s">
        <v>251</v>
      </c>
      <c r="AE3" t="s">
        <v>252</v>
      </c>
      <c r="AF3" t="s">
        <v>253</v>
      </c>
      <c r="AG3" t="s">
        <v>254</v>
      </c>
      <c r="AH3" t="s">
        <v>255</v>
      </c>
      <c r="AI3" t="s">
        <v>256</v>
      </c>
      <c r="AJ3" t="s">
        <v>257</v>
      </c>
      <c r="AK3" t="s">
        <v>258</v>
      </c>
      <c r="AL3" t="s">
        <v>259</v>
      </c>
      <c r="AM3" t="s">
        <v>260</v>
      </c>
      <c r="AN3" t="s">
        <v>261</v>
      </c>
      <c r="AO3" t="s">
        <v>262</v>
      </c>
      <c r="AP3" t="s">
        <v>263</v>
      </c>
      <c r="AQ3" t="s">
        <v>264</v>
      </c>
      <c r="AR3" t="s">
        <v>265</v>
      </c>
      <c r="AS3" t="s">
        <v>382</v>
      </c>
    </row>
    <row r="4" spans="1:45">
      <c r="A4" t="s">
        <v>273</v>
      </c>
      <c r="B4" t="s">
        <v>274</v>
      </c>
      <c r="C4" t="s">
        <v>30</v>
      </c>
      <c r="D4" s="8">
        <v>45919</v>
      </c>
      <c r="E4" s="22">
        <v>45939.448761574073</v>
      </c>
      <c r="F4" t="s">
        <v>37</v>
      </c>
      <c r="H4">
        <v>6</v>
      </c>
      <c r="I4">
        <v>20609168961</v>
      </c>
      <c r="J4" t="s">
        <v>506</v>
      </c>
      <c r="K4" s="8">
        <v>45919</v>
      </c>
      <c r="Q4">
        <v>2</v>
      </c>
      <c r="R4">
        <v>228</v>
      </c>
      <c r="S4" t="s">
        <v>281</v>
      </c>
      <c r="T4" t="s">
        <v>277</v>
      </c>
      <c r="U4">
        <v>2</v>
      </c>
      <c r="V4">
        <v>1000</v>
      </c>
      <c r="W4">
        <v>1180</v>
      </c>
      <c r="Y4">
        <v>2000</v>
      </c>
      <c r="Z4">
        <v>18</v>
      </c>
      <c r="AA4">
        <v>360</v>
      </c>
      <c r="AB4">
        <v>2360</v>
      </c>
      <c r="AC4">
        <v>1</v>
      </c>
      <c r="AE4" t="s">
        <v>467</v>
      </c>
      <c r="AF4" t="s">
        <v>32</v>
      </c>
      <c r="AG4">
        <v>2</v>
      </c>
      <c r="AH4" t="s">
        <v>28</v>
      </c>
      <c r="AI4">
        <v>1106</v>
      </c>
      <c r="AJ4" t="s">
        <v>501</v>
      </c>
      <c r="AK4" t="s">
        <v>507</v>
      </c>
      <c r="AL4">
        <v>2</v>
      </c>
      <c r="AM4" t="s">
        <v>280</v>
      </c>
      <c r="AN4" s="8">
        <v>44409</v>
      </c>
      <c r="AO4" s="8">
        <v>44409</v>
      </c>
      <c r="AQ4" t="s">
        <v>37</v>
      </c>
      <c r="AS4" t="s">
        <v>402</v>
      </c>
    </row>
    <row r="5" spans="1:45">
      <c r="A5" t="s">
        <v>273</v>
      </c>
      <c r="B5" t="s">
        <v>274</v>
      </c>
      <c r="C5" t="s">
        <v>30</v>
      </c>
      <c r="D5" s="8">
        <v>45919</v>
      </c>
      <c r="E5" s="22">
        <v>45939.448761574073</v>
      </c>
      <c r="F5" t="s">
        <v>37</v>
      </c>
      <c r="H5">
        <v>6</v>
      </c>
      <c r="I5">
        <v>20609168961</v>
      </c>
      <c r="J5" t="s">
        <v>506</v>
      </c>
      <c r="K5" s="8">
        <v>45919</v>
      </c>
      <c r="Q5">
        <v>1</v>
      </c>
      <c r="R5">
        <v>232</v>
      </c>
      <c r="S5" t="s">
        <v>276</v>
      </c>
      <c r="T5" t="s">
        <v>277</v>
      </c>
      <c r="U5">
        <v>2</v>
      </c>
      <c r="V5">
        <v>1000</v>
      </c>
      <c r="W5">
        <v>1180</v>
      </c>
      <c r="Y5">
        <v>2000</v>
      </c>
      <c r="Z5">
        <v>18</v>
      </c>
      <c r="AA5">
        <v>360</v>
      </c>
      <c r="AB5">
        <v>2360</v>
      </c>
      <c r="AC5">
        <v>1</v>
      </c>
      <c r="AE5" t="s">
        <v>467</v>
      </c>
      <c r="AF5" t="s">
        <v>32</v>
      </c>
      <c r="AG5">
        <v>2</v>
      </c>
      <c r="AH5" t="s">
        <v>28</v>
      </c>
      <c r="AI5">
        <v>1106</v>
      </c>
      <c r="AJ5" t="s">
        <v>501</v>
      </c>
      <c r="AK5" t="s">
        <v>507</v>
      </c>
      <c r="AL5">
        <v>2</v>
      </c>
      <c r="AM5" t="s">
        <v>280</v>
      </c>
      <c r="AN5" s="8">
        <v>44409</v>
      </c>
      <c r="AO5" s="8">
        <v>44409</v>
      </c>
      <c r="AQ5" t="s">
        <v>37</v>
      </c>
      <c r="AS5" t="s">
        <v>402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BB9E-09D2-4886-95C8-545DC122D4E0}">
  <dimension ref="A1:AS199"/>
  <sheetViews>
    <sheetView topLeftCell="T1" zoomScaleNormal="100" workbookViewId="0">
      <selection activeCell="E12" sqref="E12"/>
    </sheetView>
  </sheetViews>
  <sheetFormatPr baseColWidth="10" defaultRowHeight="12.75"/>
  <cols>
    <col min="1" max="1" width="15.7109375" style="17" bestFit="1" customWidth="1"/>
    <col min="2" max="2" width="23.7109375" style="17" bestFit="1" customWidth="1"/>
    <col min="3" max="3" width="11.42578125" style="17"/>
    <col min="4" max="4" width="23.140625" style="17" bestFit="1" customWidth="1"/>
    <col min="5" max="5" width="18.28515625" style="17" bestFit="1" customWidth="1"/>
    <col min="6" max="6" width="10.7109375" style="17" customWidth="1"/>
    <col min="7" max="7" width="144" style="17" bestFit="1" customWidth="1"/>
    <col min="8" max="8" width="18.85546875" style="17" bestFit="1" customWidth="1"/>
    <col min="9" max="9" width="6.42578125" style="17" customWidth="1"/>
    <col min="10" max="10" width="43.85546875" style="17" bestFit="1" customWidth="1"/>
    <col min="11" max="11" width="7.85546875" style="17" bestFit="1" customWidth="1"/>
    <col min="12" max="12" width="18.85546875" style="17" bestFit="1" customWidth="1"/>
    <col min="13" max="13" width="14.42578125" style="17" bestFit="1" customWidth="1"/>
    <col min="14" max="14" width="16.140625" style="17" bestFit="1" customWidth="1"/>
    <col min="15" max="15" width="7.42578125" style="17" customWidth="1"/>
    <col min="16" max="16" width="18.85546875" style="17" bestFit="1" customWidth="1"/>
    <col min="17" max="17" width="7.5703125" style="17" customWidth="1"/>
    <col min="18" max="18" width="28.7109375" style="17" bestFit="1" customWidth="1"/>
    <col min="19" max="19" width="7.85546875" style="17" bestFit="1" customWidth="1"/>
    <col min="20" max="20" width="18.85546875" style="17" bestFit="1" customWidth="1"/>
    <col min="21" max="21" width="14.42578125" style="17" bestFit="1" customWidth="1"/>
    <col min="22" max="22" width="16.140625" style="17" bestFit="1" customWidth="1"/>
    <col min="23" max="23" width="11.42578125" style="17"/>
    <col min="24" max="24" width="15.7109375" style="17" bestFit="1" customWidth="1"/>
    <col min="25" max="25" width="7.85546875" style="17" bestFit="1" customWidth="1"/>
    <col min="26" max="26" width="25.85546875" style="17" bestFit="1" customWidth="1"/>
    <col min="27" max="27" width="22.42578125" style="17" bestFit="1" customWidth="1"/>
    <col min="28" max="28" width="18.7109375" style="17" bestFit="1" customWidth="1"/>
    <col min="29" max="29" width="11.42578125" style="17"/>
    <col min="30" max="30" width="23.140625" style="17" bestFit="1" customWidth="1"/>
    <col min="31" max="31" width="7.85546875" style="17" bestFit="1" customWidth="1"/>
    <col min="32" max="32" width="18.85546875" style="17" bestFit="1" customWidth="1"/>
    <col min="33" max="33" width="14.42578125" style="17" bestFit="1" customWidth="1"/>
    <col min="34" max="34" width="16.140625" style="17" bestFit="1" customWidth="1"/>
    <col min="35" max="35" width="16.140625" style="17" customWidth="1"/>
    <col min="36" max="36" width="16.28515625" style="17" bestFit="1" customWidth="1"/>
    <col min="37" max="37" width="7.85546875" style="17" bestFit="1" customWidth="1"/>
    <col min="38" max="38" width="25.85546875" style="17" bestFit="1" customWidth="1"/>
    <col min="39" max="39" width="22.42578125" style="17" bestFit="1" customWidth="1"/>
    <col min="40" max="40" width="18.7109375" style="17" bestFit="1" customWidth="1"/>
    <col min="41" max="42" width="11.42578125" style="17"/>
    <col min="43" max="43" width="23.7109375" style="17" bestFit="1" customWidth="1"/>
    <col min="44" max="44" width="32" style="17" bestFit="1" customWidth="1"/>
    <col min="45" max="45" width="70.5703125" style="17" bestFit="1" customWidth="1"/>
    <col min="46" max="16384" width="11.42578125" style="17"/>
  </cols>
  <sheetData>
    <row r="1" spans="1:45">
      <c r="R1" s="16" t="s">
        <v>380</v>
      </c>
      <c r="X1" s="16" t="s">
        <v>381</v>
      </c>
      <c r="AD1" s="16" t="s">
        <v>465</v>
      </c>
      <c r="AE1" s="16"/>
      <c r="AF1" s="16"/>
      <c r="AG1" s="16"/>
      <c r="AH1" s="16"/>
      <c r="AI1" s="16"/>
      <c r="AJ1" s="16" t="s">
        <v>466</v>
      </c>
      <c r="AQ1" s="32" t="s">
        <v>573</v>
      </c>
      <c r="AR1" s="32" t="s">
        <v>578</v>
      </c>
      <c r="AS1" s="32" t="s">
        <v>579</v>
      </c>
    </row>
    <row r="2" spans="1:45">
      <c r="AJ2" s="18" t="s">
        <v>55</v>
      </c>
      <c r="AK2" s="17" t="s">
        <v>222</v>
      </c>
      <c r="AL2" s="17" t="s">
        <v>58</v>
      </c>
      <c r="AM2" s="17" t="s">
        <v>218</v>
      </c>
      <c r="AN2" s="17" t="s">
        <v>219</v>
      </c>
      <c r="AQ2" s="32" t="s">
        <v>574</v>
      </c>
      <c r="AR2" s="32" t="s">
        <v>580</v>
      </c>
      <c r="AS2" s="32" t="s">
        <v>581</v>
      </c>
    </row>
    <row r="3" spans="1:45" ht="15">
      <c r="A3" s="18" t="s">
        <v>55</v>
      </c>
      <c r="B3" s="17" t="s">
        <v>373</v>
      </c>
      <c r="D3" s="18" t="s">
        <v>55</v>
      </c>
      <c r="E3" s="17" t="s">
        <v>374</v>
      </c>
      <c r="G3" s="18" t="s">
        <v>55</v>
      </c>
      <c r="H3" s="17" t="s">
        <v>374</v>
      </c>
      <c r="J3" s="18" t="s">
        <v>55</v>
      </c>
      <c r="K3" s="17" t="s">
        <v>222</v>
      </c>
      <c r="L3" s="17" t="s">
        <v>374</v>
      </c>
      <c r="M3" s="17" t="s">
        <v>375</v>
      </c>
      <c r="N3" s="17" t="s">
        <v>376</v>
      </c>
      <c r="P3" s="17" t="s">
        <v>374</v>
      </c>
      <c r="R3" s="18" t="s">
        <v>55</v>
      </c>
      <c r="S3" s="17" t="s">
        <v>222</v>
      </c>
      <c r="T3" s="17" t="s">
        <v>374</v>
      </c>
      <c r="U3" s="17" t="s">
        <v>375</v>
      </c>
      <c r="V3" s="17" t="s">
        <v>376</v>
      </c>
      <c r="X3" s="18" t="s">
        <v>55</v>
      </c>
      <c r="Y3" s="17" t="s">
        <v>222</v>
      </c>
      <c r="Z3" s="17" t="s">
        <v>58</v>
      </c>
      <c r="AA3" s="17" t="s">
        <v>218</v>
      </c>
      <c r="AB3" s="17" t="s">
        <v>219</v>
      </c>
      <c r="AD3" s="18" t="s">
        <v>55</v>
      </c>
      <c r="AE3" s="17" t="s">
        <v>222</v>
      </c>
      <c r="AF3" s="17" t="s">
        <v>374</v>
      </c>
      <c r="AG3" s="17" t="s">
        <v>375</v>
      </c>
      <c r="AH3" s="17" t="s">
        <v>376</v>
      </c>
      <c r="AI3"/>
      <c r="AJ3" s="24" t="s">
        <v>213</v>
      </c>
      <c r="AK3" s="30">
        <v>3</v>
      </c>
      <c r="AL3" s="30">
        <v>1951.17</v>
      </c>
      <c r="AM3" s="30">
        <v>351.21</v>
      </c>
      <c r="AN3" s="30">
        <v>2302.38</v>
      </c>
      <c r="AQ3" s="32" t="s">
        <v>582</v>
      </c>
      <c r="AR3" s="32" t="s">
        <v>583</v>
      </c>
      <c r="AS3" s="32" t="s">
        <v>584</v>
      </c>
    </row>
    <row r="4" spans="1:45" ht="15">
      <c r="A4" s="19" t="s">
        <v>32</v>
      </c>
      <c r="B4" s="17">
        <v>78</v>
      </c>
      <c r="D4" s="19" t="s">
        <v>32</v>
      </c>
      <c r="E4" s="17">
        <v>25269.810000000005</v>
      </c>
      <c r="G4" s="19" t="s">
        <v>281</v>
      </c>
      <c r="H4" s="17">
        <v>2000</v>
      </c>
      <c r="J4" s="19" t="s">
        <v>37</v>
      </c>
      <c r="K4" s="17">
        <v>9</v>
      </c>
      <c r="L4" s="17">
        <v>8310.17</v>
      </c>
      <c r="M4" s="17">
        <v>1495.83</v>
      </c>
      <c r="N4" s="17">
        <v>9806</v>
      </c>
      <c r="P4" s="17">
        <v>25269.810000000005</v>
      </c>
      <c r="R4" s="19" t="s">
        <v>60</v>
      </c>
      <c r="S4" s="17">
        <v>2</v>
      </c>
      <c r="T4" s="17">
        <v>1641</v>
      </c>
      <c r="U4" s="17">
        <v>295.38</v>
      </c>
      <c r="V4" s="17">
        <v>1936.38</v>
      </c>
      <c r="X4" s="19" t="s">
        <v>60</v>
      </c>
      <c r="Y4" s="17">
        <v>2</v>
      </c>
      <c r="Z4" s="17">
        <v>1641</v>
      </c>
      <c r="AA4" s="17">
        <v>295.38</v>
      </c>
      <c r="AB4" s="17">
        <v>1936.38</v>
      </c>
      <c r="AD4" s="19" t="s">
        <v>461</v>
      </c>
      <c r="AE4" s="17">
        <v>1</v>
      </c>
      <c r="AF4" s="17">
        <v>1355.93</v>
      </c>
      <c r="AG4" s="17">
        <v>244.07</v>
      </c>
      <c r="AH4" s="17">
        <v>1600</v>
      </c>
      <c r="AI4"/>
      <c r="AJ4" s="19" t="s">
        <v>211</v>
      </c>
      <c r="AK4" s="17">
        <v>1</v>
      </c>
      <c r="AQ4" s="32" t="s">
        <v>585</v>
      </c>
      <c r="AR4" s="32" t="s">
        <v>596</v>
      </c>
      <c r="AS4" s="32" t="s">
        <v>597</v>
      </c>
    </row>
    <row r="5" spans="1:45" ht="15">
      <c r="A5" s="19" t="s">
        <v>123</v>
      </c>
      <c r="B5" s="17">
        <v>10</v>
      </c>
      <c r="D5" s="19" t="s">
        <v>123</v>
      </c>
      <c r="E5" s="17">
        <v>0</v>
      </c>
      <c r="G5" s="19" t="s">
        <v>345</v>
      </c>
      <c r="H5" s="17">
        <v>655.08000000000004</v>
      </c>
      <c r="J5" s="19" t="s">
        <v>112</v>
      </c>
      <c r="K5" s="17">
        <v>2</v>
      </c>
      <c r="L5" s="17">
        <v>1533.22</v>
      </c>
      <c r="M5" s="17">
        <v>275.98</v>
      </c>
      <c r="N5" s="17">
        <v>1809.2</v>
      </c>
      <c r="R5" s="23">
        <v>45698</v>
      </c>
      <c r="S5" s="17">
        <v>2</v>
      </c>
      <c r="T5" s="17">
        <v>1641</v>
      </c>
      <c r="U5" s="17">
        <v>295.38</v>
      </c>
      <c r="V5" s="17">
        <v>1936.38</v>
      </c>
      <c r="X5" s="23">
        <v>45698</v>
      </c>
      <c r="Y5" s="17">
        <v>2</v>
      </c>
      <c r="Z5" s="17">
        <v>1641</v>
      </c>
      <c r="AA5" s="17">
        <v>295.38</v>
      </c>
      <c r="AB5" s="17">
        <v>1936.38</v>
      </c>
      <c r="AD5" s="19" t="s">
        <v>460</v>
      </c>
      <c r="AE5" s="17">
        <v>1</v>
      </c>
      <c r="AF5" s="17">
        <v>50.85</v>
      </c>
      <c r="AG5" s="17">
        <v>9.15</v>
      </c>
      <c r="AH5" s="17">
        <v>60</v>
      </c>
      <c r="AI5"/>
      <c r="AJ5" s="19" t="s">
        <v>200</v>
      </c>
      <c r="AK5" s="17">
        <v>1</v>
      </c>
      <c r="AQ5" s="32"/>
      <c r="AR5" s="32"/>
      <c r="AS5" s="32"/>
    </row>
    <row r="6" spans="1:45" ht="15">
      <c r="A6" s="19" t="s">
        <v>56</v>
      </c>
      <c r="B6" s="17">
        <v>88</v>
      </c>
      <c r="D6" s="19" t="s">
        <v>56</v>
      </c>
      <c r="E6" s="17">
        <v>25269.810000000005</v>
      </c>
      <c r="G6" s="19" t="s">
        <v>329</v>
      </c>
      <c r="H6" s="17">
        <v>322</v>
      </c>
      <c r="J6" s="19" t="s">
        <v>27</v>
      </c>
      <c r="K6" s="17">
        <v>33</v>
      </c>
      <c r="L6" s="17">
        <v>6504.15</v>
      </c>
      <c r="M6" s="17">
        <v>1170.7799999999997</v>
      </c>
      <c r="N6" s="17">
        <v>7674.9299999999994</v>
      </c>
      <c r="R6" s="19" t="s">
        <v>61</v>
      </c>
      <c r="S6" s="17">
        <v>3</v>
      </c>
      <c r="T6" s="17">
        <v>310.17</v>
      </c>
      <c r="U6" s="17">
        <v>55.830000000000005</v>
      </c>
      <c r="V6" s="17">
        <v>366</v>
      </c>
      <c r="X6" s="19" t="s">
        <v>61</v>
      </c>
      <c r="Y6" s="17">
        <v>10</v>
      </c>
      <c r="Z6" s="17">
        <v>2564.17</v>
      </c>
      <c r="AA6" s="17">
        <v>461.54999999999995</v>
      </c>
      <c r="AB6" s="17">
        <v>3025.7200000000003</v>
      </c>
      <c r="AD6" s="19" t="s">
        <v>402</v>
      </c>
      <c r="AE6" s="17">
        <v>2</v>
      </c>
      <c r="AF6" s="17">
        <v>4000</v>
      </c>
      <c r="AG6" s="17">
        <v>720</v>
      </c>
      <c r="AH6" s="17">
        <v>4720</v>
      </c>
      <c r="AI6"/>
      <c r="AJ6" s="19" t="s">
        <v>198</v>
      </c>
      <c r="AK6" s="17">
        <v>1</v>
      </c>
      <c r="AQ6" s="32"/>
      <c r="AR6" s="32"/>
      <c r="AS6" s="32"/>
    </row>
    <row r="7" spans="1:45" ht="15">
      <c r="G7" s="19" t="s">
        <v>268</v>
      </c>
      <c r="H7" s="17">
        <v>4249.7699999999995</v>
      </c>
      <c r="J7" s="19" t="s">
        <v>38</v>
      </c>
      <c r="K7" s="17">
        <v>11</v>
      </c>
      <c r="L7" s="17">
        <v>2012.1999999999998</v>
      </c>
      <c r="M7" s="17">
        <v>362.18</v>
      </c>
      <c r="N7" s="17">
        <v>2374.38</v>
      </c>
      <c r="R7" s="23">
        <v>45739</v>
      </c>
      <c r="S7" s="17">
        <v>3</v>
      </c>
      <c r="T7" s="17">
        <v>310.17</v>
      </c>
      <c r="U7" s="17">
        <v>55.830000000000005</v>
      </c>
      <c r="V7" s="17">
        <v>366</v>
      </c>
      <c r="X7" s="23">
        <v>45739</v>
      </c>
      <c r="Y7" s="17">
        <v>1</v>
      </c>
      <c r="Z7" s="17">
        <v>310.17</v>
      </c>
      <c r="AA7" s="17">
        <v>55.83</v>
      </c>
      <c r="AB7" s="17">
        <v>366</v>
      </c>
      <c r="AD7" s="19" t="s">
        <v>401</v>
      </c>
      <c r="AE7" s="17">
        <v>1</v>
      </c>
      <c r="AF7" s="17">
        <v>2000</v>
      </c>
      <c r="AG7" s="17">
        <v>360</v>
      </c>
      <c r="AH7" s="17">
        <v>2360</v>
      </c>
      <c r="AI7"/>
      <c r="AJ7" s="19" t="s">
        <v>196</v>
      </c>
      <c r="AK7" s="17">
        <v>1</v>
      </c>
      <c r="AQ7" s="32"/>
      <c r="AR7" s="32"/>
      <c r="AS7" s="32"/>
    </row>
    <row r="8" spans="1:45" ht="15">
      <c r="G8" s="19" t="s">
        <v>292</v>
      </c>
      <c r="H8" s="17">
        <v>33.9</v>
      </c>
      <c r="J8" s="19" t="s">
        <v>35</v>
      </c>
      <c r="K8" s="17">
        <v>28</v>
      </c>
      <c r="L8" s="17">
        <v>6084.1399999999994</v>
      </c>
      <c r="M8" s="17">
        <v>1095.1400000000003</v>
      </c>
      <c r="N8" s="17">
        <v>7179.2800000000007</v>
      </c>
      <c r="R8" s="29" t="s">
        <v>488</v>
      </c>
      <c r="S8" s="17">
        <v>3</v>
      </c>
      <c r="T8" s="17">
        <v>310.17</v>
      </c>
      <c r="U8" s="17">
        <v>55.830000000000005</v>
      </c>
      <c r="V8" s="17">
        <v>366</v>
      </c>
      <c r="X8" s="23">
        <v>45743</v>
      </c>
      <c r="Y8" s="17">
        <v>9</v>
      </c>
      <c r="Z8" s="17">
        <v>2254</v>
      </c>
      <c r="AA8" s="17">
        <v>405.71999999999997</v>
      </c>
      <c r="AB8" s="17">
        <v>2659.72</v>
      </c>
      <c r="AD8" s="19" t="s">
        <v>400</v>
      </c>
      <c r="AE8" s="17">
        <v>1</v>
      </c>
      <c r="AF8" s="17">
        <v>2000</v>
      </c>
      <c r="AG8" s="17">
        <v>360</v>
      </c>
      <c r="AH8" s="17">
        <v>2360</v>
      </c>
      <c r="AI8"/>
      <c r="AJ8" s="19" t="s">
        <v>209</v>
      </c>
      <c r="AK8" s="17">
        <v>1</v>
      </c>
      <c r="AQ8" s="32"/>
      <c r="AR8" s="32"/>
      <c r="AS8" s="32"/>
    </row>
    <row r="9" spans="1:45" ht="15">
      <c r="G9" s="19" t="s">
        <v>356</v>
      </c>
      <c r="H9" s="17">
        <v>0</v>
      </c>
      <c r="J9" s="19" t="s">
        <v>39</v>
      </c>
      <c r="K9" s="17">
        <v>1</v>
      </c>
      <c r="L9" s="17">
        <v>400</v>
      </c>
      <c r="M9" s="17">
        <v>72</v>
      </c>
      <c r="N9" s="17">
        <v>472</v>
      </c>
      <c r="R9" s="19" t="s">
        <v>62</v>
      </c>
      <c r="S9" s="17">
        <v>29</v>
      </c>
      <c r="T9" s="17">
        <v>7687.86</v>
      </c>
      <c r="U9" s="17">
        <v>1383.8</v>
      </c>
      <c r="V9" s="17">
        <v>9071.66</v>
      </c>
      <c r="X9" s="19" t="s">
        <v>62</v>
      </c>
      <c r="Y9" s="17">
        <v>22</v>
      </c>
      <c r="Z9" s="17">
        <v>6077.8599999999988</v>
      </c>
      <c r="AA9" s="17">
        <v>1094</v>
      </c>
      <c r="AB9" s="17">
        <v>7171.86</v>
      </c>
      <c r="AD9" s="19" t="s">
        <v>399</v>
      </c>
      <c r="AE9" s="17">
        <v>1</v>
      </c>
      <c r="AF9" s="17">
        <v>0</v>
      </c>
      <c r="AG9" s="17">
        <v>0</v>
      </c>
      <c r="AH9" s="17">
        <v>0</v>
      </c>
      <c r="AI9"/>
      <c r="AJ9" s="19" t="s">
        <v>194</v>
      </c>
      <c r="AK9" s="17">
        <v>1</v>
      </c>
      <c r="AQ9" s="32"/>
      <c r="AR9" s="32"/>
      <c r="AS9" s="32"/>
    </row>
    <row r="10" spans="1:45" ht="15">
      <c r="D10" s="18" t="s">
        <v>55</v>
      </c>
      <c r="E10" s="17" t="s">
        <v>375</v>
      </c>
      <c r="G10" s="19" t="s">
        <v>354</v>
      </c>
      <c r="H10" s="17">
        <v>0</v>
      </c>
      <c r="J10" s="19" t="s">
        <v>36</v>
      </c>
      <c r="K10" s="17">
        <v>3</v>
      </c>
      <c r="L10" s="17">
        <v>0</v>
      </c>
      <c r="M10" s="17">
        <v>0</v>
      </c>
      <c r="N10" s="17">
        <v>0</v>
      </c>
      <c r="R10" s="23">
        <v>45890</v>
      </c>
      <c r="S10" s="17">
        <v>1</v>
      </c>
      <c r="T10" s="17">
        <v>0</v>
      </c>
      <c r="U10" s="17">
        <v>0</v>
      </c>
      <c r="V10" s="17">
        <v>0</v>
      </c>
      <c r="X10" s="23">
        <v>45891</v>
      </c>
      <c r="Y10" s="17">
        <v>10</v>
      </c>
      <c r="Z10" s="17">
        <v>1288</v>
      </c>
      <c r="AA10" s="17">
        <v>231.84</v>
      </c>
      <c r="AB10" s="17">
        <v>1519.84</v>
      </c>
      <c r="AD10" s="19" t="s">
        <v>459</v>
      </c>
      <c r="AE10" s="17">
        <v>1</v>
      </c>
      <c r="AF10" s="17">
        <v>47.46</v>
      </c>
      <c r="AG10" s="17">
        <v>8.5399999999999991</v>
      </c>
      <c r="AH10" s="17">
        <v>56</v>
      </c>
      <c r="AI10"/>
      <c r="AJ10" s="19" t="s">
        <v>192</v>
      </c>
      <c r="AK10" s="17">
        <v>1</v>
      </c>
      <c r="AQ10" s="32"/>
      <c r="AR10" s="32"/>
      <c r="AS10" s="32"/>
    </row>
    <row r="11" spans="1:45" ht="15">
      <c r="D11" s="19" t="s">
        <v>32</v>
      </c>
      <c r="E11" s="17">
        <v>4548.5800000000008</v>
      </c>
      <c r="G11" s="19" t="s">
        <v>276</v>
      </c>
      <c r="H11" s="17">
        <v>6104.24</v>
      </c>
      <c r="J11" s="19" t="s">
        <v>491</v>
      </c>
      <c r="K11" s="17">
        <v>1</v>
      </c>
      <c r="L11" s="17">
        <v>425.93</v>
      </c>
      <c r="M11" s="17">
        <v>76.67</v>
      </c>
      <c r="N11" s="17">
        <v>502.6</v>
      </c>
      <c r="R11" s="29" t="s">
        <v>383</v>
      </c>
      <c r="S11" s="17">
        <v>1</v>
      </c>
      <c r="T11" s="17">
        <v>0</v>
      </c>
      <c r="U11" s="17">
        <v>0</v>
      </c>
      <c r="V11" s="17">
        <v>0</v>
      </c>
      <c r="X11" s="23">
        <v>45894</v>
      </c>
      <c r="Y11" s="17">
        <v>3</v>
      </c>
      <c r="Z11" s="17">
        <v>159.06</v>
      </c>
      <c r="AA11" s="17">
        <v>28.619999999999997</v>
      </c>
      <c r="AB11" s="17">
        <v>187.68</v>
      </c>
      <c r="AD11" s="19" t="s">
        <v>458</v>
      </c>
      <c r="AE11" s="17">
        <v>1</v>
      </c>
      <c r="AF11" s="17">
        <v>67.8</v>
      </c>
      <c r="AG11" s="17">
        <v>12.2</v>
      </c>
      <c r="AH11" s="17">
        <v>80</v>
      </c>
      <c r="AI11"/>
      <c r="AJ11" s="19" t="s">
        <v>190</v>
      </c>
      <c r="AK11" s="17">
        <v>1</v>
      </c>
    </row>
    <row r="12" spans="1:45" ht="15">
      <c r="D12" s="19" t="s">
        <v>123</v>
      </c>
      <c r="E12" s="17">
        <v>0</v>
      </c>
      <c r="G12" s="19" t="s">
        <v>334</v>
      </c>
      <c r="H12" s="17">
        <v>900</v>
      </c>
      <c r="J12" s="19" t="s">
        <v>56</v>
      </c>
      <c r="K12" s="17">
        <v>88</v>
      </c>
      <c r="L12" s="17">
        <v>25269.81</v>
      </c>
      <c r="M12" s="17">
        <v>4548.5800000000017</v>
      </c>
      <c r="N12" s="17">
        <v>29818.389999999981</v>
      </c>
      <c r="R12" s="23">
        <v>45891</v>
      </c>
      <c r="S12" s="17">
        <v>9</v>
      </c>
      <c r="T12" s="17">
        <v>644</v>
      </c>
      <c r="U12" s="17">
        <v>115.92</v>
      </c>
      <c r="V12" s="17">
        <v>759.92</v>
      </c>
      <c r="X12" s="23">
        <v>45896</v>
      </c>
      <c r="Y12" s="17">
        <v>8</v>
      </c>
      <c r="Z12" s="17">
        <v>4576.6499999999996</v>
      </c>
      <c r="AA12" s="17">
        <v>823.79</v>
      </c>
      <c r="AB12" s="17">
        <v>5400.4400000000005</v>
      </c>
      <c r="AD12" s="19" t="s">
        <v>457</v>
      </c>
      <c r="AE12" s="17">
        <v>1</v>
      </c>
      <c r="AF12" s="17">
        <v>55.93</v>
      </c>
      <c r="AG12" s="17">
        <v>10.07</v>
      </c>
      <c r="AH12" s="17">
        <v>66</v>
      </c>
      <c r="AI12"/>
      <c r="AJ12" s="19" t="s">
        <v>188</v>
      </c>
      <c r="AK12" s="17">
        <v>1</v>
      </c>
      <c r="AL12" s="17">
        <v>322</v>
      </c>
      <c r="AM12" s="17">
        <v>57.96</v>
      </c>
      <c r="AN12" s="17">
        <v>379.96</v>
      </c>
    </row>
    <row r="13" spans="1:45" ht="15">
      <c r="D13" s="19" t="s">
        <v>56</v>
      </c>
      <c r="E13" s="17">
        <v>4548.5800000000008</v>
      </c>
      <c r="G13" s="19" t="s">
        <v>316</v>
      </c>
      <c r="H13" s="17">
        <v>5539.25</v>
      </c>
      <c r="J13"/>
      <c r="K13"/>
      <c r="L13"/>
      <c r="M13"/>
      <c r="N13"/>
      <c r="R13" s="23">
        <v>45894</v>
      </c>
      <c r="S13" s="17">
        <v>5</v>
      </c>
      <c r="T13" s="17">
        <v>803.06</v>
      </c>
      <c r="U13" s="17">
        <v>144.54</v>
      </c>
      <c r="V13" s="17">
        <v>947.59999999999991</v>
      </c>
      <c r="X13" s="23">
        <v>45898</v>
      </c>
      <c r="Y13" s="17">
        <v>1</v>
      </c>
      <c r="Z13" s="17">
        <v>54.15</v>
      </c>
      <c r="AA13" s="17">
        <v>9.75</v>
      </c>
      <c r="AB13" s="17">
        <v>63.9</v>
      </c>
      <c r="AD13" s="19" t="s">
        <v>456</v>
      </c>
      <c r="AE13" s="17">
        <v>1</v>
      </c>
      <c r="AF13" s="17">
        <v>76.27</v>
      </c>
      <c r="AG13" s="17">
        <v>13.73</v>
      </c>
      <c r="AH13" s="17">
        <v>90</v>
      </c>
      <c r="AI13"/>
      <c r="AJ13" s="19" t="s">
        <v>186</v>
      </c>
      <c r="AK13" s="17">
        <v>1</v>
      </c>
      <c r="AL13" s="17">
        <v>322</v>
      </c>
      <c r="AM13" s="17">
        <v>57.96</v>
      </c>
      <c r="AN13" s="17">
        <v>379.96</v>
      </c>
    </row>
    <row r="14" spans="1:45" ht="15">
      <c r="G14" s="19" t="s">
        <v>370</v>
      </c>
      <c r="H14" s="17">
        <v>400</v>
      </c>
      <c r="R14" s="23">
        <v>45895</v>
      </c>
      <c r="S14" s="17">
        <v>5</v>
      </c>
      <c r="T14" s="17">
        <v>1610</v>
      </c>
      <c r="U14" s="17">
        <v>289.8</v>
      </c>
      <c r="V14" s="17">
        <v>1899.8</v>
      </c>
      <c r="X14" s="19" t="s">
        <v>63</v>
      </c>
      <c r="Y14" s="17">
        <v>49</v>
      </c>
      <c r="Z14" s="17">
        <v>14383.56</v>
      </c>
      <c r="AA14" s="17">
        <v>2589.0700000000006</v>
      </c>
      <c r="AB14" s="17">
        <v>16972.63</v>
      </c>
      <c r="AD14" s="19" t="s">
        <v>455</v>
      </c>
      <c r="AE14" s="17">
        <v>1</v>
      </c>
      <c r="AF14" s="17">
        <v>67.8</v>
      </c>
      <c r="AG14" s="17">
        <v>12.2</v>
      </c>
      <c r="AH14" s="17">
        <v>80</v>
      </c>
      <c r="AI14"/>
      <c r="AJ14" s="19" t="s">
        <v>180</v>
      </c>
      <c r="AK14" s="17">
        <v>1</v>
      </c>
      <c r="AL14" s="17">
        <v>51.86</v>
      </c>
      <c r="AM14" s="17">
        <v>9.33</v>
      </c>
      <c r="AN14" s="17">
        <v>61.19</v>
      </c>
    </row>
    <row r="15" spans="1:45" ht="15">
      <c r="G15" s="19" t="s">
        <v>368</v>
      </c>
      <c r="H15" s="17">
        <v>1241</v>
      </c>
      <c r="R15" s="23">
        <v>45896</v>
      </c>
      <c r="S15" s="17">
        <v>8</v>
      </c>
      <c r="T15" s="17">
        <v>4576.6499999999996</v>
      </c>
      <c r="U15" s="17">
        <v>823.79</v>
      </c>
      <c r="V15" s="17">
        <v>5400.4400000000005</v>
      </c>
      <c r="X15" s="23">
        <v>45902</v>
      </c>
      <c r="Y15" s="17">
        <v>5</v>
      </c>
      <c r="Z15" s="17">
        <v>1342.15</v>
      </c>
      <c r="AA15" s="17">
        <v>241.59</v>
      </c>
      <c r="AB15" s="17">
        <v>1583.74</v>
      </c>
      <c r="AD15" s="19" t="s">
        <v>454</v>
      </c>
      <c r="AE15" s="17">
        <v>1</v>
      </c>
      <c r="AF15" s="17">
        <v>50.85</v>
      </c>
      <c r="AG15" s="17">
        <v>9.15</v>
      </c>
      <c r="AH15" s="17">
        <v>60</v>
      </c>
      <c r="AI15"/>
      <c r="AJ15" s="19" t="s">
        <v>184</v>
      </c>
      <c r="AK15" s="17">
        <v>1</v>
      </c>
      <c r="AL15" s="17">
        <v>322</v>
      </c>
      <c r="AM15" s="17">
        <v>57.96</v>
      </c>
      <c r="AN15" s="17">
        <v>379.96</v>
      </c>
    </row>
    <row r="16" spans="1:45" ht="15">
      <c r="G16" s="19" t="s">
        <v>297</v>
      </c>
      <c r="H16" s="17">
        <v>3618.6400000000003</v>
      </c>
      <c r="R16" s="23">
        <v>45898</v>
      </c>
      <c r="S16" s="17">
        <v>1</v>
      </c>
      <c r="T16" s="17">
        <v>54.15</v>
      </c>
      <c r="U16" s="17">
        <v>9.75</v>
      </c>
      <c r="V16" s="17">
        <v>63.9</v>
      </c>
      <c r="X16" s="23">
        <v>45903</v>
      </c>
      <c r="Y16" s="17">
        <v>1</v>
      </c>
      <c r="Z16" s="17">
        <v>322</v>
      </c>
      <c r="AA16" s="17">
        <v>57.96</v>
      </c>
      <c r="AB16" s="17">
        <v>379.96</v>
      </c>
      <c r="AD16" s="19" t="s">
        <v>453</v>
      </c>
      <c r="AE16" s="17">
        <v>1</v>
      </c>
      <c r="AF16" s="17">
        <v>33.9</v>
      </c>
      <c r="AG16" s="17">
        <v>6.1</v>
      </c>
      <c r="AH16" s="17">
        <v>40</v>
      </c>
      <c r="AI16"/>
      <c r="AJ16" s="19" t="s">
        <v>177</v>
      </c>
      <c r="AK16" s="17">
        <v>1</v>
      </c>
      <c r="AL16" s="17">
        <v>51.86</v>
      </c>
      <c r="AM16" s="17">
        <v>9.33</v>
      </c>
      <c r="AN16" s="17">
        <v>61.19</v>
      </c>
    </row>
    <row r="17" spans="4:40" ht="15">
      <c r="D17" s="18" t="s">
        <v>55</v>
      </c>
      <c r="E17" s="17" t="s">
        <v>376</v>
      </c>
      <c r="G17" s="19" t="s">
        <v>486</v>
      </c>
      <c r="H17" s="17">
        <v>103.39</v>
      </c>
      <c r="R17" s="19" t="s">
        <v>63</v>
      </c>
      <c r="S17" s="17">
        <v>51</v>
      </c>
      <c r="T17" s="17">
        <v>14962.31</v>
      </c>
      <c r="U17" s="17">
        <v>2693.2400000000002</v>
      </c>
      <c r="V17" s="17">
        <v>17655.55</v>
      </c>
      <c r="X17" s="23">
        <v>45908</v>
      </c>
      <c r="Y17" s="17">
        <v>18</v>
      </c>
      <c r="Z17" s="17">
        <v>2074.48</v>
      </c>
      <c r="AA17" s="17">
        <v>373.44999999999993</v>
      </c>
      <c r="AB17" s="17">
        <v>2447.9299999999998</v>
      </c>
      <c r="AD17" s="19" t="s">
        <v>452</v>
      </c>
      <c r="AE17" s="17">
        <v>1</v>
      </c>
      <c r="AF17" s="17">
        <v>74.58</v>
      </c>
      <c r="AG17" s="17">
        <v>13.42</v>
      </c>
      <c r="AH17" s="17">
        <v>88</v>
      </c>
      <c r="AI17"/>
      <c r="AJ17" s="19" t="s">
        <v>176</v>
      </c>
      <c r="AK17" s="17">
        <v>1</v>
      </c>
      <c r="AL17" s="17">
        <v>55.34</v>
      </c>
      <c r="AM17" s="17">
        <v>9.9600000000000009</v>
      </c>
      <c r="AN17" s="17">
        <v>65.3</v>
      </c>
    </row>
    <row r="18" spans="4:40" ht="15">
      <c r="D18" s="19" t="s">
        <v>32</v>
      </c>
      <c r="E18" s="17">
        <v>29818.389999999985</v>
      </c>
      <c r="G18" s="19" t="s">
        <v>487</v>
      </c>
      <c r="H18" s="17">
        <v>102.54</v>
      </c>
      <c r="R18" s="23">
        <v>45902</v>
      </c>
      <c r="S18" s="17">
        <v>7</v>
      </c>
      <c r="T18" s="17">
        <v>1986.15</v>
      </c>
      <c r="U18" s="17">
        <v>357.51</v>
      </c>
      <c r="V18" s="17">
        <v>2343.66</v>
      </c>
      <c r="X18" s="23">
        <v>45912</v>
      </c>
      <c r="Y18" s="17">
        <v>1</v>
      </c>
      <c r="Z18" s="17">
        <v>33.9</v>
      </c>
      <c r="AA18" s="17">
        <v>6.1</v>
      </c>
      <c r="AB18" s="17">
        <v>40</v>
      </c>
      <c r="AD18" s="19" t="s">
        <v>451</v>
      </c>
      <c r="AE18" s="17">
        <v>1</v>
      </c>
      <c r="AF18" s="17">
        <v>169.49</v>
      </c>
      <c r="AG18" s="17">
        <v>30.51</v>
      </c>
      <c r="AH18" s="17">
        <v>200</v>
      </c>
      <c r="AI18"/>
      <c r="AJ18" s="19" t="s">
        <v>182</v>
      </c>
      <c r="AK18" s="17">
        <v>1</v>
      </c>
      <c r="AL18" s="17">
        <v>322</v>
      </c>
      <c r="AM18" s="17">
        <v>57.96</v>
      </c>
      <c r="AN18" s="17">
        <v>379.96</v>
      </c>
    </row>
    <row r="19" spans="4:40" ht="15">
      <c r="D19" s="19" t="s">
        <v>123</v>
      </c>
      <c r="E19" s="17">
        <v>0</v>
      </c>
      <c r="G19" s="19" t="s">
        <v>56</v>
      </c>
      <c r="H19" s="17">
        <v>25269.809999999998</v>
      </c>
      <c r="R19" s="23">
        <v>45908</v>
      </c>
      <c r="S19" s="17">
        <v>18</v>
      </c>
      <c r="T19" s="17">
        <v>2331.23</v>
      </c>
      <c r="U19" s="17">
        <v>419.65999999999997</v>
      </c>
      <c r="V19" s="17">
        <v>2750.89</v>
      </c>
      <c r="X19" s="23">
        <v>45916</v>
      </c>
      <c r="Y19" s="17">
        <v>1</v>
      </c>
      <c r="AD19" s="19" t="s">
        <v>450</v>
      </c>
      <c r="AE19" s="17">
        <v>1</v>
      </c>
      <c r="AF19" s="17">
        <v>127.12</v>
      </c>
      <c r="AG19" s="17">
        <v>22.88</v>
      </c>
      <c r="AH19" s="17">
        <v>150</v>
      </c>
      <c r="AI19"/>
      <c r="AJ19" s="19" t="s">
        <v>140</v>
      </c>
      <c r="AK19" s="17">
        <v>1</v>
      </c>
    </row>
    <row r="20" spans="4:40" ht="15">
      <c r="D20" s="19" t="s">
        <v>56</v>
      </c>
      <c r="E20" s="17">
        <v>29818.389999999985</v>
      </c>
      <c r="G20"/>
      <c r="H20"/>
      <c r="R20" s="23">
        <v>45912</v>
      </c>
      <c r="S20" s="17">
        <v>2</v>
      </c>
      <c r="T20" s="17">
        <v>99.15</v>
      </c>
      <c r="U20" s="17">
        <v>17.850000000000001</v>
      </c>
      <c r="V20" s="17">
        <v>117</v>
      </c>
      <c r="X20" s="23">
        <v>45917</v>
      </c>
      <c r="Y20" s="17">
        <v>17</v>
      </c>
      <c r="Z20" s="17">
        <v>1204.2500000000002</v>
      </c>
      <c r="AA20" s="17">
        <v>216.75</v>
      </c>
      <c r="AB20" s="17">
        <v>1421</v>
      </c>
      <c r="AD20" s="19" t="s">
        <v>449</v>
      </c>
      <c r="AE20" s="17">
        <v>1</v>
      </c>
      <c r="AF20" s="17">
        <v>101.69</v>
      </c>
      <c r="AG20" s="17">
        <v>18.3</v>
      </c>
      <c r="AH20" s="17">
        <v>119.99</v>
      </c>
      <c r="AI20"/>
      <c r="AJ20" s="19" t="s">
        <v>121</v>
      </c>
      <c r="AK20" s="17">
        <v>1</v>
      </c>
    </row>
    <row r="21" spans="4:40" ht="15">
      <c r="R21" s="23">
        <v>45916</v>
      </c>
      <c r="S21" s="17">
        <v>1</v>
      </c>
      <c r="T21" s="17">
        <v>0</v>
      </c>
      <c r="U21" s="17">
        <v>0</v>
      </c>
      <c r="V21" s="17">
        <v>0</v>
      </c>
      <c r="X21" s="23">
        <v>45919</v>
      </c>
      <c r="Y21" s="17">
        <v>6</v>
      </c>
      <c r="Z21" s="17">
        <v>9406.7799999999988</v>
      </c>
      <c r="AA21" s="17">
        <v>1693.22</v>
      </c>
      <c r="AB21" s="17">
        <v>11100</v>
      </c>
      <c r="AD21" s="19" t="s">
        <v>448</v>
      </c>
      <c r="AE21" s="17">
        <v>1</v>
      </c>
      <c r="AF21" s="17">
        <v>33.9</v>
      </c>
      <c r="AG21" s="17">
        <v>6.1</v>
      </c>
      <c r="AH21" s="17">
        <v>40</v>
      </c>
      <c r="AI21"/>
      <c r="AJ21" s="19" t="s">
        <v>119</v>
      </c>
      <c r="AK21" s="17">
        <v>1</v>
      </c>
      <c r="AL21" s="17">
        <v>2000</v>
      </c>
      <c r="AM21" s="17">
        <v>360</v>
      </c>
      <c r="AN21" s="17">
        <v>2360</v>
      </c>
    </row>
    <row r="22" spans="4:40" ht="15">
      <c r="R22" s="23">
        <v>45917</v>
      </c>
      <c r="S22" s="17">
        <v>16</v>
      </c>
      <c r="T22" s="17">
        <v>1138.9999999999998</v>
      </c>
      <c r="U22" s="17">
        <v>205</v>
      </c>
      <c r="V22" s="17">
        <v>1344</v>
      </c>
      <c r="X22" s="19" t="s">
        <v>492</v>
      </c>
      <c r="Y22" s="17">
        <v>2</v>
      </c>
      <c r="Z22" s="17">
        <v>603.22</v>
      </c>
      <c r="AA22" s="17">
        <v>108.58</v>
      </c>
      <c r="AB22" s="17">
        <v>711.8</v>
      </c>
      <c r="AD22" s="19" t="s">
        <v>447</v>
      </c>
      <c r="AE22" s="17">
        <v>1</v>
      </c>
      <c r="AF22" s="17">
        <v>16.95</v>
      </c>
      <c r="AG22" s="17">
        <v>3.05</v>
      </c>
      <c r="AH22" s="17">
        <v>20</v>
      </c>
      <c r="AI22"/>
      <c r="AJ22" s="19" t="s">
        <v>117</v>
      </c>
      <c r="AK22" s="17">
        <v>1</v>
      </c>
      <c r="AL22" s="17">
        <v>2000</v>
      </c>
      <c r="AM22" s="17">
        <v>360</v>
      </c>
      <c r="AN22" s="17">
        <v>2360</v>
      </c>
    </row>
    <row r="23" spans="4:40" ht="15">
      <c r="R23" s="23">
        <v>45919</v>
      </c>
      <c r="S23" s="17">
        <v>7</v>
      </c>
      <c r="T23" s="17">
        <v>9406.7799999999988</v>
      </c>
      <c r="U23" s="17">
        <v>1693.22</v>
      </c>
      <c r="V23" s="17">
        <v>11100</v>
      </c>
      <c r="X23" s="23">
        <v>45934</v>
      </c>
      <c r="Y23" s="17">
        <v>1</v>
      </c>
      <c r="Z23" s="17">
        <v>425.93</v>
      </c>
      <c r="AA23" s="17">
        <v>76.67</v>
      </c>
      <c r="AB23" s="17">
        <v>502.6</v>
      </c>
      <c r="AD23" s="19" t="s">
        <v>446</v>
      </c>
      <c r="AE23" s="17">
        <v>1</v>
      </c>
      <c r="AF23" s="17">
        <v>84.75</v>
      </c>
      <c r="AG23" s="17">
        <v>15.26</v>
      </c>
      <c r="AH23" s="17">
        <v>100.01</v>
      </c>
      <c r="AI23"/>
      <c r="AJ23" s="19" t="s">
        <v>114</v>
      </c>
      <c r="AK23" s="17">
        <v>1</v>
      </c>
      <c r="AL23" s="17">
        <v>4000</v>
      </c>
      <c r="AM23" s="17">
        <v>720</v>
      </c>
      <c r="AN23" s="17">
        <v>4720</v>
      </c>
    </row>
    <row r="24" spans="4:40" ht="15">
      <c r="R24" s="19" t="s">
        <v>492</v>
      </c>
      <c r="S24" s="17">
        <v>3</v>
      </c>
      <c r="T24" s="17">
        <v>668.47</v>
      </c>
      <c r="U24" s="17">
        <v>120.33</v>
      </c>
      <c r="V24" s="17">
        <v>788.8</v>
      </c>
      <c r="X24" s="23">
        <v>45936</v>
      </c>
      <c r="Y24" s="17">
        <v>1</v>
      </c>
      <c r="Z24" s="17">
        <v>177.29</v>
      </c>
      <c r="AA24" s="17">
        <v>31.91</v>
      </c>
      <c r="AB24" s="17">
        <v>209.2</v>
      </c>
      <c r="AD24" s="19" t="s">
        <v>445</v>
      </c>
      <c r="AE24" s="17">
        <v>1</v>
      </c>
      <c r="AF24" s="17">
        <v>55.93</v>
      </c>
      <c r="AG24" s="17">
        <v>10.07</v>
      </c>
      <c r="AH24" s="17">
        <v>66</v>
      </c>
      <c r="AI24"/>
      <c r="AJ24" s="19" t="s">
        <v>208</v>
      </c>
      <c r="AK24" s="17">
        <v>1</v>
      </c>
      <c r="AL24" s="17">
        <v>322</v>
      </c>
      <c r="AM24" s="17">
        <v>57.96</v>
      </c>
      <c r="AN24" s="17">
        <v>379.96</v>
      </c>
    </row>
    <row r="25" spans="4:40" ht="15">
      <c r="R25" s="23">
        <v>45934</v>
      </c>
      <c r="S25" s="17">
        <v>1</v>
      </c>
      <c r="T25" s="17">
        <v>425.93</v>
      </c>
      <c r="U25" s="17">
        <v>76.67</v>
      </c>
      <c r="V25" s="17">
        <v>502.6</v>
      </c>
      <c r="X25" s="19" t="s">
        <v>56</v>
      </c>
      <c r="Y25" s="17">
        <v>85</v>
      </c>
      <c r="Z25" s="17">
        <v>25269.809999999998</v>
      </c>
      <c r="AA25" s="17">
        <v>4548.5800000000017</v>
      </c>
      <c r="AB25" s="17">
        <v>29818.389999999996</v>
      </c>
      <c r="AD25" s="19" t="s">
        <v>444</v>
      </c>
      <c r="AE25" s="17">
        <v>1</v>
      </c>
      <c r="AF25" s="17">
        <v>74.58</v>
      </c>
      <c r="AG25" s="17">
        <v>13.42</v>
      </c>
      <c r="AH25" s="17">
        <v>88</v>
      </c>
      <c r="AI25"/>
      <c r="AJ25" s="19" t="s">
        <v>207</v>
      </c>
      <c r="AK25" s="17">
        <v>1</v>
      </c>
      <c r="AL25" s="17">
        <v>322</v>
      </c>
      <c r="AM25" s="17">
        <v>57.96</v>
      </c>
      <c r="AN25" s="17">
        <v>379.96</v>
      </c>
    </row>
    <row r="26" spans="4:40" ht="15">
      <c r="D26" s="31" t="s">
        <v>572</v>
      </c>
      <c r="R26" s="23">
        <v>45936</v>
      </c>
      <c r="S26" s="17">
        <v>2</v>
      </c>
      <c r="T26" s="17">
        <v>242.54</v>
      </c>
      <c r="U26" s="17">
        <v>43.66</v>
      </c>
      <c r="V26" s="17">
        <v>286.2</v>
      </c>
      <c r="X26"/>
      <c r="Y26"/>
      <c r="Z26"/>
      <c r="AA26"/>
      <c r="AB26"/>
      <c r="AD26" s="19" t="s">
        <v>398</v>
      </c>
      <c r="AE26" s="17">
        <v>1</v>
      </c>
      <c r="AF26" s="17">
        <v>0</v>
      </c>
      <c r="AG26" s="17">
        <v>0</v>
      </c>
      <c r="AH26" s="17">
        <v>0</v>
      </c>
      <c r="AI26"/>
      <c r="AJ26" s="19" t="s">
        <v>206</v>
      </c>
      <c r="AK26" s="17">
        <v>1</v>
      </c>
      <c r="AL26" s="17">
        <v>322</v>
      </c>
      <c r="AM26" s="17">
        <v>57.96</v>
      </c>
      <c r="AN26" s="17">
        <v>379.96</v>
      </c>
    </row>
    <row r="27" spans="4:40" ht="15">
      <c r="R27" s="19" t="s">
        <v>56</v>
      </c>
      <c r="S27" s="17">
        <v>88</v>
      </c>
      <c r="T27" s="17">
        <v>25269.809999999998</v>
      </c>
      <c r="U27" s="17">
        <v>4548.5800000000017</v>
      </c>
      <c r="V27" s="17">
        <v>29818.389999999992</v>
      </c>
      <c r="X27"/>
      <c r="Y27"/>
      <c r="Z27"/>
      <c r="AA27"/>
      <c r="AB27"/>
      <c r="AD27" s="19" t="s">
        <v>443</v>
      </c>
      <c r="AE27" s="17">
        <v>1</v>
      </c>
      <c r="AF27" s="17">
        <v>33.9</v>
      </c>
      <c r="AG27" s="17">
        <v>6.1</v>
      </c>
      <c r="AH27" s="17">
        <v>40</v>
      </c>
      <c r="AI27"/>
      <c r="AJ27" s="19" t="s">
        <v>205</v>
      </c>
      <c r="AK27" s="17">
        <v>1</v>
      </c>
      <c r="AL27" s="17">
        <v>322</v>
      </c>
      <c r="AM27" s="17">
        <v>57.96</v>
      </c>
      <c r="AN27" s="17">
        <v>379.96</v>
      </c>
    </row>
    <row r="28" spans="4:40" ht="15">
      <c r="D28" s="18" t="s">
        <v>55</v>
      </c>
      <c r="E28" s="17" t="s">
        <v>571</v>
      </c>
      <c r="R28"/>
      <c r="S28"/>
      <c r="T28"/>
      <c r="U28"/>
      <c r="V28"/>
      <c r="X28"/>
      <c r="Y28"/>
      <c r="Z28"/>
      <c r="AA28"/>
      <c r="AB28"/>
      <c r="AD28" s="19" t="s">
        <v>442</v>
      </c>
      <c r="AE28" s="17">
        <v>1</v>
      </c>
      <c r="AF28" s="17">
        <v>65.25</v>
      </c>
      <c r="AG28" s="17">
        <v>11.75</v>
      </c>
      <c r="AH28" s="17">
        <v>77</v>
      </c>
      <c r="AI28"/>
      <c r="AJ28" s="19" t="s">
        <v>204</v>
      </c>
      <c r="AK28" s="17">
        <v>1</v>
      </c>
      <c r="AL28" s="17">
        <v>322</v>
      </c>
      <c r="AM28" s="17">
        <v>57.96</v>
      </c>
      <c r="AN28" s="17">
        <v>379.96</v>
      </c>
    </row>
    <row r="29" spans="4:40" ht="15">
      <c r="D29" s="19" t="s">
        <v>383</v>
      </c>
      <c r="E29" s="17">
        <v>1</v>
      </c>
      <c r="R29"/>
      <c r="S29"/>
      <c r="T29"/>
      <c r="U29"/>
      <c r="V29"/>
      <c r="X29"/>
      <c r="Y29"/>
      <c r="Z29"/>
      <c r="AA29"/>
      <c r="AB29"/>
      <c r="AD29" s="19" t="s">
        <v>441</v>
      </c>
      <c r="AE29" s="17">
        <v>1</v>
      </c>
      <c r="AF29" s="17">
        <v>118.64</v>
      </c>
      <c r="AG29" s="17">
        <v>21.36</v>
      </c>
      <c r="AH29" s="17">
        <v>140</v>
      </c>
      <c r="AI29"/>
      <c r="AJ29" s="19" t="s">
        <v>175</v>
      </c>
      <c r="AK29" s="17">
        <v>1</v>
      </c>
      <c r="AL29" s="17">
        <v>51.99</v>
      </c>
      <c r="AM29" s="17">
        <v>9.36</v>
      </c>
      <c r="AN29" s="17">
        <v>61.35</v>
      </c>
    </row>
    <row r="30" spans="4:40" ht="15">
      <c r="D30" s="19" t="s">
        <v>384</v>
      </c>
      <c r="E30" s="17">
        <v>1</v>
      </c>
      <c r="R30"/>
      <c r="S30"/>
      <c r="T30"/>
      <c r="U30"/>
      <c r="V30"/>
      <c r="X30"/>
      <c r="Y30"/>
      <c r="Z30"/>
      <c r="AA30"/>
      <c r="AB30"/>
      <c r="AD30" s="19" t="s">
        <v>440</v>
      </c>
      <c r="AE30" s="17">
        <v>1</v>
      </c>
      <c r="AF30" s="17">
        <v>110.17</v>
      </c>
      <c r="AG30" s="17">
        <v>19.829999999999998</v>
      </c>
      <c r="AH30" s="17">
        <v>130</v>
      </c>
      <c r="AI30"/>
      <c r="AJ30" s="19" t="s">
        <v>174</v>
      </c>
      <c r="AK30" s="17">
        <v>1</v>
      </c>
      <c r="AL30" s="17">
        <v>677.97</v>
      </c>
      <c r="AM30" s="17">
        <v>122.03</v>
      </c>
      <c r="AN30" s="17">
        <v>800</v>
      </c>
    </row>
    <row r="31" spans="4:40" ht="15">
      <c r="D31" s="19" t="s">
        <v>385</v>
      </c>
      <c r="E31" s="17">
        <v>1</v>
      </c>
      <c r="R31"/>
      <c r="S31"/>
      <c r="T31"/>
      <c r="U31"/>
      <c r="V31"/>
      <c r="X31"/>
      <c r="Y31"/>
      <c r="Z31"/>
      <c r="AA31"/>
      <c r="AB31"/>
      <c r="AD31" s="19" t="s">
        <v>439</v>
      </c>
      <c r="AE31" s="17">
        <v>1</v>
      </c>
      <c r="AF31" s="17">
        <v>135.59</v>
      </c>
      <c r="AG31" s="17">
        <v>24.41</v>
      </c>
      <c r="AH31" s="17">
        <v>160</v>
      </c>
      <c r="AI31"/>
      <c r="AJ31" s="19" t="s">
        <v>173</v>
      </c>
      <c r="AK31" s="17">
        <v>1</v>
      </c>
      <c r="AL31" s="17">
        <v>805.08</v>
      </c>
      <c r="AM31" s="17">
        <v>144.91</v>
      </c>
      <c r="AN31" s="17">
        <v>949.99</v>
      </c>
    </row>
    <row r="32" spans="4:40" ht="15">
      <c r="D32" s="19" t="s">
        <v>386</v>
      </c>
      <c r="E32" s="17">
        <v>1</v>
      </c>
      <c r="R32"/>
      <c r="S32"/>
      <c r="T32"/>
      <c r="U32"/>
      <c r="V32"/>
      <c r="X32"/>
      <c r="Y32"/>
      <c r="Z32"/>
      <c r="AA32"/>
      <c r="AB32"/>
      <c r="AD32" s="19" t="s">
        <v>438</v>
      </c>
      <c r="AE32" s="17">
        <v>1</v>
      </c>
      <c r="AF32" s="17">
        <v>93.22</v>
      </c>
      <c r="AG32" s="17">
        <v>16.78</v>
      </c>
      <c r="AH32" s="17">
        <v>110</v>
      </c>
      <c r="AI32"/>
      <c r="AJ32" s="19" t="s">
        <v>172</v>
      </c>
      <c r="AK32" s="17">
        <v>1</v>
      </c>
      <c r="AL32" s="17">
        <v>1016.95</v>
      </c>
      <c r="AM32" s="17">
        <v>183.05</v>
      </c>
      <c r="AN32" s="17">
        <v>1200</v>
      </c>
    </row>
    <row r="33" spans="4:40" ht="15">
      <c r="D33" s="19" t="s">
        <v>387</v>
      </c>
      <c r="E33" s="17">
        <v>1</v>
      </c>
      <c r="R33"/>
      <c r="S33"/>
      <c r="T33"/>
      <c r="U33"/>
      <c r="V33"/>
      <c r="X33"/>
      <c r="Y33"/>
      <c r="Z33"/>
      <c r="AA33"/>
      <c r="AB33"/>
      <c r="AD33" s="19" t="s">
        <v>437</v>
      </c>
      <c r="AE33" s="17">
        <v>1</v>
      </c>
      <c r="AF33" s="17">
        <v>127.12</v>
      </c>
      <c r="AG33" s="17">
        <v>22.88</v>
      </c>
      <c r="AH33" s="17">
        <v>150</v>
      </c>
      <c r="AI33"/>
      <c r="AJ33" s="19" t="s">
        <v>171</v>
      </c>
      <c r="AK33" s="17">
        <v>1</v>
      </c>
      <c r="AL33" s="17">
        <v>1016.95</v>
      </c>
      <c r="AM33" s="17">
        <v>183.05</v>
      </c>
      <c r="AN33" s="17">
        <v>1200</v>
      </c>
    </row>
    <row r="34" spans="4:40" ht="15">
      <c r="D34" s="19" t="s">
        <v>388</v>
      </c>
      <c r="E34" s="17">
        <v>1</v>
      </c>
      <c r="R34"/>
      <c r="S34"/>
      <c r="T34"/>
      <c r="U34"/>
      <c r="V34"/>
      <c r="X34"/>
      <c r="Y34"/>
      <c r="Z34"/>
      <c r="AA34"/>
      <c r="AB34"/>
      <c r="AD34" s="19" t="s">
        <v>436</v>
      </c>
      <c r="AE34" s="17">
        <v>1</v>
      </c>
      <c r="AF34" s="17">
        <v>110.17</v>
      </c>
      <c r="AG34" s="17">
        <v>19.829999999999998</v>
      </c>
      <c r="AH34" s="17">
        <v>130</v>
      </c>
      <c r="AI34"/>
      <c r="AJ34" s="19" t="s">
        <v>170</v>
      </c>
      <c r="AK34" s="17">
        <v>1</v>
      </c>
      <c r="AL34" s="17">
        <v>53.81</v>
      </c>
      <c r="AM34" s="17">
        <v>9.69</v>
      </c>
      <c r="AN34" s="17">
        <v>63.5</v>
      </c>
    </row>
    <row r="35" spans="4:40" ht="15">
      <c r="D35" s="19" t="s">
        <v>389</v>
      </c>
      <c r="E35" s="17">
        <v>1</v>
      </c>
      <c r="R35"/>
      <c r="S35"/>
      <c r="T35"/>
      <c r="U35"/>
      <c r="V35"/>
      <c r="X35"/>
      <c r="Y35"/>
      <c r="Z35"/>
      <c r="AA35"/>
      <c r="AB35"/>
      <c r="AD35" s="19" t="s">
        <v>435</v>
      </c>
      <c r="AE35" s="17">
        <v>1</v>
      </c>
      <c r="AF35" s="17">
        <v>84.75</v>
      </c>
      <c r="AG35" s="17">
        <v>15.26</v>
      </c>
      <c r="AH35" s="17">
        <v>100.01</v>
      </c>
      <c r="AI35"/>
      <c r="AJ35" s="19" t="s">
        <v>169</v>
      </c>
      <c r="AK35" s="17">
        <v>1</v>
      </c>
      <c r="AL35" s="17">
        <v>53.9</v>
      </c>
      <c r="AM35" s="17">
        <v>9.6999999999999993</v>
      </c>
      <c r="AN35" s="17">
        <v>63.6</v>
      </c>
    </row>
    <row r="36" spans="4:40" ht="15">
      <c r="D36" s="19" t="s">
        <v>390</v>
      </c>
      <c r="E36" s="17">
        <v>1</v>
      </c>
      <c r="R36"/>
      <c r="S36"/>
      <c r="T36"/>
      <c r="U36"/>
      <c r="V36"/>
      <c r="X36"/>
      <c r="Y36"/>
      <c r="Z36"/>
      <c r="AA36"/>
      <c r="AB36"/>
      <c r="AD36" s="19" t="s">
        <v>434</v>
      </c>
      <c r="AE36" s="17">
        <v>1</v>
      </c>
      <c r="AF36" s="17">
        <v>104.24</v>
      </c>
      <c r="AG36" s="17">
        <v>18.760000000000002</v>
      </c>
      <c r="AH36" s="17">
        <v>123</v>
      </c>
      <c r="AI36"/>
      <c r="AJ36" s="19" t="s">
        <v>168</v>
      </c>
      <c r="AK36" s="17">
        <v>1</v>
      </c>
      <c r="AL36" s="17">
        <v>900</v>
      </c>
      <c r="AM36" s="17">
        <v>162</v>
      </c>
      <c r="AN36" s="17">
        <v>1062</v>
      </c>
    </row>
    <row r="37" spans="4:40" ht="15">
      <c r="D37" s="19" t="s">
        <v>391</v>
      </c>
      <c r="E37" s="17">
        <v>1</v>
      </c>
      <c r="R37"/>
      <c r="S37"/>
      <c r="T37"/>
      <c r="U37"/>
      <c r="V37"/>
      <c r="X37"/>
      <c r="Y37"/>
      <c r="Z37"/>
      <c r="AA37"/>
      <c r="AB37"/>
      <c r="AD37" s="19" t="s">
        <v>433</v>
      </c>
      <c r="AE37" s="17">
        <v>1</v>
      </c>
      <c r="AF37" s="17">
        <v>65.25</v>
      </c>
      <c r="AG37" s="17">
        <v>11.75</v>
      </c>
      <c r="AH37" s="17">
        <v>77</v>
      </c>
      <c r="AI37"/>
      <c r="AJ37" s="19" t="s">
        <v>167</v>
      </c>
      <c r="AK37" s="17">
        <v>1</v>
      </c>
      <c r="AL37" s="17">
        <v>54.15</v>
      </c>
      <c r="AM37" s="17">
        <v>9.75</v>
      </c>
      <c r="AN37" s="17">
        <v>63.9</v>
      </c>
    </row>
    <row r="38" spans="4:40" ht="15">
      <c r="D38" s="19" t="s">
        <v>392</v>
      </c>
      <c r="E38" s="17">
        <v>1</v>
      </c>
      <c r="R38"/>
      <c r="S38"/>
      <c r="T38"/>
      <c r="U38"/>
      <c r="V38"/>
      <c r="X38"/>
      <c r="Y38"/>
      <c r="Z38"/>
      <c r="AA38"/>
      <c r="AB38"/>
      <c r="AD38" s="19" t="s">
        <v>432</v>
      </c>
      <c r="AE38" s="17">
        <v>1</v>
      </c>
      <c r="AF38" s="17">
        <v>65.25</v>
      </c>
      <c r="AG38" s="17">
        <v>11.75</v>
      </c>
      <c r="AH38" s="17">
        <v>77</v>
      </c>
      <c r="AI38"/>
      <c r="AJ38" s="19" t="s">
        <v>166</v>
      </c>
      <c r="AK38" s="17">
        <v>1</v>
      </c>
      <c r="AL38" s="17">
        <v>54.15</v>
      </c>
      <c r="AM38" s="17">
        <v>9.75</v>
      </c>
      <c r="AN38" s="17">
        <v>63.9</v>
      </c>
    </row>
    <row r="39" spans="4:40" ht="15">
      <c r="D39" s="19" t="s">
        <v>393</v>
      </c>
      <c r="E39" s="17">
        <v>1</v>
      </c>
      <c r="R39"/>
      <c r="S39"/>
      <c r="T39"/>
      <c r="U39"/>
      <c r="V39"/>
      <c r="X39"/>
      <c r="Y39"/>
      <c r="Z39"/>
      <c r="AA39"/>
      <c r="AB39"/>
      <c r="AD39" s="19" t="s">
        <v>431</v>
      </c>
      <c r="AE39" s="17">
        <v>1</v>
      </c>
      <c r="AF39" s="17">
        <v>65.25</v>
      </c>
      <c r="AG39" s="17">
        <v>11.75</v>
      </c>
      <c r="AH39" s="17">
        <v>77</v>
      </c>
      <c r="AI39"/>
      <c r="AJ39" s="19" t="s">
        <v>203</v>
      </c>
      <c r="AK39" s="17">
        <v>1</v>
      </c>
      <c r="AL39" s="17">
        <v>322</v>
      </c>
      <c r="AM39" s="17">
        <v>57.96</v>
      </c>
      <c r="AN39" s="17">
        <v>379.96</v>
      </c>
    </row>
    <row r="40" spans="4:40" ht="15">
      <c r="D40" s="19" t="s">
        <v>394</v>
      </c>
      <c r="E40" s="17">
        <v>1</v>
      </c>
      <c r="R40"/>
      <c r="S40"/>
      <c r="T40"/>
      <c r="U40"/>
      <c r="V40"/>
      <c r="X40"/>
      <c r="Y40"/>
      <c r="Z40"/>
      <c r="AA40"/>
      <c r="AB40"/>
      <c r="AD40" s="19" t="s">
        <v>430</v>
      </c>
      <c r="AE40" s="17">
        <v>1</v>
      </c>
      <c r="AF40" s="17">
        <v>65.25</v>
      </c>
      <c r="AG40" s="17">
        <v>11.75</v>
      </c>
      <c r="AH40" s="17">
        <v>77</v>
      </c>
      <c r="AI40"/>
      <c r="AJ40" s="19" t="s">
        <v>165</v>
      </c>
      <c r="AK40" s="17">
        <v>1</v>
      </c>
      <c r="AL40" s="17">
        <v>322</v>
      </c>
      <c r="AM40" s="17">
        <v>57.96</v>
      </c>
      <c r="AN40" s="17">
        <v>379.96</v>
      </c>
    </row>
    <row r="41" spans="4:40" ht="15">
      <c r="D41" s="19" t="s">
        <v>395</v>
      </c>
      <c r="E41" s="17">
        <v>1</v>
      </c>
      <c r="R41"/>
      <c r="S41"/>
      <c r="T41"/>
      <c r="U41"/>
      <c r="V41"/>
      <c r="X41"/>
      <c r="Y41"/>
      <c r="Z41"/>
      <c r="AA41"/>
      <c r="AB41"/>
      <c r="AD41" s="19" t="s">
        <v>429</v>
      </c>
      <c r="AE41" s="17">
        <v>1</v>
      </c>
      <c r="AF41" s="17">
        <v>65.25</v>
      </c>
      <c r="AG41" s="17">
        <v>11.75</v>
      </c>
      <c r="AH41" s="17">
        <v>77</v>
      </c>
      <c r="AI41"/>
      <c r="AJ41" s="19" t="s">
        <v>164</v>
      </c>
      <c r="AK41" s="17">
        <v>1</v>
      </c>
      <c r="AL41" s="17">
        <v>322</v>
      </c>
      <c r="AM41" s="17">
        <v>57.96</v>
      </c>
      <c r="AN41" s="17">
        <v>379.96</v>
      </c>
    </row>
    <row r="42" spans="4:40" ht="15">
      <c r="D42" s="19" t="s">
        <v>396</v>
      </c>
      <c r="E42" s="17">
        <v>1</v>
      </c>
      <c r="R42"/>
      <c r="S42"/>
      <c r="T42"/>
      <c r="U42"/>
      <c r="V42"/>
      <c r="X42"/>
      <c r="Y42"/>
      <c r="Z42"/>
      <c r="AA42"/>
      <c r="AB42"/>
      <c r="AD42" s="19" t="s">
        <v>428</v>
      </c>
      <c r="AE42" s="17">
        <v>1</v>
      </c>
      <c r="AF42" s="17">
        <v>322</v>
      </c>
      <c r="AG42" s="17">
        <v>57.96</v>
      </c>
      <c r="AH42" s="17">
        <v>379.96</v>
      </c>
      <c r="AI42"/>
      <c r="AJ42" s="19" t="s">
        <v>202</v>
      </c>
      <c r="AK42" s="17">
        <v>1</v>
      </c>
      <c r="AL42" s="17">
        <v>322</v>
      </c>
      <c r="AM42" s="17">
        <v>57.96</v>
      </c>
      <c r="AN42" s="17">
        <v>379.96</v>
      </c>
    </row>
    <row r="43" spans="4:40" ht="15">
      <c r="D43" s="19" t="s">
        <v>397</v>
      </c>
      <c r="E43" s="17">
        <v>1</v>
      </c>
      <c r="R43"/>
      <c r="S43"/>
      <c r="T43"/>
      <c r="U43"/>
      <c r="V43"/>
      <c r="X43"/>
      <c r="Y43"/>
      <c r="Z43"/>
      <c r="AA43"/>
      <c r="AB43"/>
      <c r="AD43" s="19" t="s">
        <v>427</v>
      </c>
      <c r="AE43" s="17">
        <v>1</v>
      </c>
      <c r="AF43" s="17">
        <v>322</v>
      </c>
      <c r="AG43" s="17">
        <v>57.96</v>
      </c>
      <c r="AH43" s="17">
        <v>379.96</v>
      </c>
      <c r="AI43"/>
      <c r="AJ43" s="19" t="s">
        <v>163</v>
      </c>
      <c r="AK43" s="17">
        <v>1</v>
      </c>
      <c r="AL43" s="17">
        <v>322</v>
      </c>
      <c r="AM43" s="17">
        <v>57.96</v>
      </c>
      <c r="AN43" s="17">
        <v>379.96</v>
      </c>
    </row>
    <row r="44" spans="4:40" ht="15">
      <c r="D44" s="19" t="s">
        <v>398</v>
      </c>
      <c r="E44" s="17">
        <v>1</v>
      </c>
      <c r="R44"/>
      <c r="S44"/>
      <c r="T44"/>
      <c r="U44"/>
      <c r="V44"/>
      <c r="X44"/>
      <c r="Y44"/>
      <c r="Z44"/>
      <c r="AA44"/>
      <c r="AB44"/>
      <c r="AD44" s="19" t="s">
        <v>426</v>
      </c>
      <c r="AE44" s="17">
        <v>1</v>
      </c>
      <c r="AF44" s="17">
        <v>76.27</v>
      </c>
      <c r="AG44" s="17">
        <v>13.73</v>
      </c>
      <c r="AH44" s="17">
        <v>90</v>
      </c>
      <c r="AI44"/>
      <c r="AJ44" s="19" t="s">
        <v>162</v>
      </c>
      <c r="AK44" s="17">
        <v>1</v>
      </c>
      <c r="AL44" s="17">
        <v>322</v>
      </c>
      <c r="AM44" s="17">
        <v>57.96</v>
      </c>
      <c r="AN44" s="17">
        <v>379.96</v>
      </c>
    </row>
    <row r="45" spans="4:40" ht="15">
      <c r="D45" s="19" t="s">
        <v>399</v>
      </c>
      <c r="E45" s="17">
        <v>1</v>
      </c>
      <c r="R45"/>
      <c r="S45"/>
      <c r="T45"/>
      <c r="U45"/>
      <c r="V45"/>
      <c r="X45"/>
      <c r="Y45"/>
      <c r="Z45"/>
      <c r="AA45"/>
      <c r="AB45"/>
      <c r="AD45" s="19" t="s">
        <v>425</v>
      </c>
      <c r="AE45" s="17">
        <v>1</v>
      </c>
      <c r="AF45" s="17">
        <v>78.81</v>
      </c>
      <c r="AG45" s="17">
        <v>14.19</v>
      </c>
      <c r="AH45" s="17">
        <v>93</v>
      </c>
      <c r="AI45"/>
      <c r="AJ45" s="19" t="s">
        <v>161</v>
      </c>
      <c r="AK45" s="17">
        <v>1</v>
      </c>
      <c r="AL45" s="17">
        <v>322</v>
      </c>
      <c r="AM45" s="17">
        <v>57.96</v>
      </c>
      <c r="AN45" s="17">
        <v>379.96</v>
      </c>
    </row>
    <row r="46" spans="4:40" ht="15">
      <c r="D46" s="19" t="s">
        <v>400</v>
      </c>
      <c r="E46" s="17">
        <v>1</v>
      </c>
      <c r="R46"/>
      <c r="S46"/>
      <c r="T46"/>
      <c r="U46"/>
      <c r="V46"/>
      <c r="X46"/>
      <c r="Y46"/>
      <c r="Z46"/>
      <c r="AA46"/>
      <c r="AB46"/>
      <c r="AD46" s="19" t="s">
        <v>424</v>
      </c>
      <c r="AE46" s="17">
        <v>1</v>
      </c>
      <c r="AF46" s="17">
        <v>322</v>
      </c>
      <c r="AG46" s="17">
        <v>57.96</v>
      </c>
      <c r="AH46" s="17">
        <v>379.96</v>
      </c>
      <c r="AI46"/>
      <c r="AJ46" s="19" t="s">
        <v>160</v>
      </c>
      <c r="AK46" s="17">
        <v>1</v>
      </c>
      <c r="AL46" s="17">
        <v>78.81</v>
      </c>
      <c r="AM46" s="17">
        <v>14.19</v>
      </c>
      <c r="AN46" s="17">
        <v>93</v>
      </c>
    </row>
    <row r="47" spans="4:40" ht="15">
      <c r="D47" s="19" t="s">
        <v>401</v>
      </c>
      <c r="E47" s="17">
        <v>1</v>
      </c>
      <c r="R47"/>
      <c r="S47"/>
      <c r="T47"/>
      <c r="U47"/>
      <c r="V47"/>
      <c r="X47"/>
      <c r="Y47"/>
      <c r="Z47"/>
      <c r="AA47"/>
      <c r="AB47"/>
      <c r="AD47" s="19" t="s">
        <v>423</v>
      </c>
      <c r="AE47" s="17">
        <v>1</v>
      </c>
      <c r="AF47" s="17">
        <v>322</v>
      </c>
      <c r="AG47" s="17">
        <v>57.96</v>
      </c>
      <c r="AH47" s="17">
        <v>379.96</v>
      </c>
      <c r="AI47"/>
      <c r="AJ47" s="19" t="s">
        <v>159</v>
      </c>
      <c r="AK47" s="17">
        <v>1</v>
      </c>
      <c r="AL47" s="17">
        <v>76.27</v>
      </c>
      <c r="AM47" s="17">
        <v>13.73</v>
      </c>
      <c r="AN47" s="17">
        <v>90</v>
      </c>
    </row>
    <row r="48" spans="4:40" ht="15">
      <c r="D48" s="19" t="s">
        <v>402</v>
      </c>
      <c r="E48" s="17">
        <v>2</v>
      </c>
      <c r="R48"/>
      <c r="S48"/>
      <c r="T48"/>
      <c r="U48"/>
      <c r="V48"/>
      <c r="X48"/>
      <c r="Y48"/>
      <c r="Z48"/>
      <c r="AA48"/>
      <c r="AB48"/>
      <c r="AD48" s="19" t="s">
        <v>422</v>
      </c>
      <c r="AE48" s="17">
        <v>1</v>
      </c>
      <c r="AF48" s="17">
        <v>322</v>
      </c>
      <c r="AG48" s="17">
        <v>57.96</v>
      </c>
      <c r="AH48" s="17">
        <v>379.96</v>
      </c>
      <c r="AI48"/>
      <c r="AJ48" s="19" t="s">
        <v>158</v>
      </c>
      <c r="AK48" s="17">
        <v>1</v>
      </c>
      <c r="AL48" s="17">
        <v>322</v>
      </c>
      <c r="AM48" s="17">
        <v>57.96</v>
      </c>
      <c r="AN48" s="17">
        <v>379.96</v>
      </c>
    </row>
    <row r="49" spans="4:40" ht="15">
      <c r="D49" s="19" t="s">
        <v>403</v>
      </c>
      <c r="E49" s="17">
        <v>1</v>
      </c>
      <c r="R49"/>
      <c r="S49"/>
      <c r="T49"/>
      <c r="U49"/>
      <c r="V49"/>
      <c r="X49"/>
      <c r="Y49"/>
      <c r="Z49"/>
      <c r="AA49"/>
      <c r="AB49"/>
      <c r="AD49" s="19" t="s">
        <v>420</v>
      </c>
      <c r="AE49" s="17">
        <v>1</v>
      </c>
      <c r="AF49" s="17">
        <v>322</v>
      </c>
      <c r="AG49" s="17">
        <v>57.96</v>
      </c>
      <c r="AH49" s="17">
        <v>379.96</v>
      </c>
      <c r="AI49"/>
      <c r="AJ49" s="19" t="s">
        <v>157</v>
      </c>
      <c r="AK49" s="17">
        <v>1</v>
      </c>
      <c r="AL49" s="17">
        <v>322</v>
      </c>
      <c r="AM49" s="17">
        <v>57.96</v>
      </c>
      <c r="AN49" s="17">
        <v>379.96</v>
      </c>
    </row>
    <row r="50" spans="4:40" ht="15">
      <c r="D50" s="19" t="s">
        <v>404</v>
      </c>
      <c r="E50" s="17">
        <v>1</v>
      </c>
      <c r="R50"/>
      <c r="S50"/>
      <c r="T50"/>
      <c r="U50"/>
      <c r="V50"/>
      <c r="X50"/>
      <c r="Y50"/>
      <c r="Z50"/>
      <c r="AA50"/>
      <c r="AB50"/>
      <c r="AD50" s="19" t="s">
        <v>419</v>
      </c>
      <c r="AE50" s="17">
        <v>1</v>
      </c>
      <c r="AF50" s="17">
        <v>322</v>
      </c>
      <c r="AG50" s="17">
        <v>57.96</v>
      </c>
      <c r="AH50" s="17">
        <v>379.96</v>
      </c>
      <c r="AI50"/>
      <c r="AJ50" s="19" t="s">
        <v>156</v>
      </c>
      <c r="AK50" s="17">
        <v>1</v>
      </c>
      <c r="AL50" s="17">
        <v>65.25</v>
      </c>
      <c r="AM50" s="17">
        <v>11.75</v>
      </c>
      <c r="AN50" s="17">
        <v>77</v>
      </c>
    </row>
    <row r="51" spans="4:40" ht="15">
      <c r="D51" s="19" t="s">
        <v>405</v>
      </c>
      <c r="E51" s="17">
        <v>1</v>
      </c>
      <c r="R51"/>
      <c r="S51"/>
      <c r="T51"/>
      <c r="U51"/>
      <c r="V51"/>
      <c r="X51"/>
      <c r="Y51"/>
      <c r="Z51"/>
      <c r="AA51"/>
      <c r="AB51"/>
      <c r="AD51" s="19" t="s">
        <v>417</v>
      </c>
      <c r="AE51" s="17">
        <v>1</v>
      </c>
      <c r="AF51" s="17">
        <v>54.15</v>
      </c>
      <c r="AG51" s="17">
        <v>9.75</v>
      </c>
      <c r="AH51" s="17">
        <v>63.9</v>
      </c>
      <c r="AI51"/>
      <c r="AJ51" s="19" t="s">
        <v>155</v>
      </c>
      <c r="AK51" s="17">
        <v>1</v>
      </c>
      <c r="AL51" s="17">
        <v>65.25</v>
      </c>
      <c r="AM51" s="17">
        <v>11.75</v>
      </c>
      <c r="AN51" s="17">
        <v>77</v>
      </c>
    </row>
    <row r="52" spans="4:40" ht="15">
      <c r="D52" s="19" t="s">
        <v>406</v>
      </c>
      <c r="E52" s="17">
        <v>1</v>
      </c>
      <c r="R52"/>
      <c r="S52"/>
      <c r="T52"/>
      <c r="U52"/>
      <c r="V52"/>
      <c r="X52"/>
      <c r="Y52"/>
      <c r="Z52"/>
      <c r="AA52"/>
      <c r="AB52"/>
      <c r="AD52" s="19" t="s">
        <v>416</v>
      </c>
      <c r="AE52" s="17">
        <v>1</v>
      </c>
      <c r="AF52" s="17">
        <v>54.15</v>
      </c>
      <c r="AG52" s="17">
        <v>9.75</v>
      </c>
      <c r="AH52" s="17">
        <v>63.9</v>
      </c>
      <c r="AI52"/>
      <c r="AJ52" s="19" t="s">
        <v>154</v>
      </c>
      <c r="AK52" s="17">
        <v>1</v>
      </c>
      <c r="AL52" s="17">
        <v>65.25</v>
      </c>
      <c r="AM52" s="17">
        <v>11.75</v>
      </c>
      <c r="AN52" s="17">
        <v>77</v>
      </c>
    </row>
    <row r="53" spans="4:40" ht="15">
      <c r="D53" s="19" t="s">
        <v>407</v>
      </c>
      <c r="E53" s="17">
        <v>1</v>
      </c>
      <c r="R53"/>
      <c r="S53"/>
      <c r="T53"/>
      <c r="U53"/>
      <c r="V53"/>
      <c r="X53"/>
      <c r="Y53"/>
      <c r="Z53"/>
      <c r="AA53"/>
      <c r="AB53"/>
      <c r="AD53" s="19" t="s">
        <v>415</v>
      </c>
      <c r="AE53" s="17">
        <v>1</v>
      </c>
      <c r="AF53" s="17">
        <v>900</v>
      </c>
      <c r="AG53" s="17">
        <v>162</v>
      </c>
      <c r="AH53" s="17">
        <v>1062</v>
      </c>
      <c r="AI53"/>
      <c r="AJ53" s="19" t="s">
        <v>153</v>
      </c>
      <c r="AK53" s="17">
        <v>1</v>
      </c>
      <c r="AL53" s="17">
        <v>65.25</v>
      </c>
      <c r="AM53" s="17">
        <v>11.75</v>
      </c>
      <c r="AN53" s="17">
        <v>77</v>
      </c>
    </row>
    <row r="54" spans="4:40" ht="15">
      <c r="D54" s="19" t="s">
        <v>408</v>
      </c>
      <c r="E54" s="17">
        <v>1</v>
      </c>
      <c r="R54"/>
      <c r="S54"/>
      <c r="T54"/>
      <c r="U54"/>
      <c r="V54"/>
      <c r="X54"/>
      <c r="Y54"/>
      <c r="Z54"/>
      <c r="AA54"/>
      <c r="AB54"/>
      <c r="AD54" s="19" t="s">
        <v>414</v>
      </c>
      <c r="AE54" s="17">
        <v>1</v>
      </c>
      <c r="AF54" s="17">
        <v>53.9</v>
      </c>
      <c r="AG54" s="17">
        <v>9.6999999999999993</v>
      </c>
      <c r="AH54" s="17">
        <v>63.6</v>
      </c>
      <c r="AI54"/>
      <c r="AJ54" s="19" t="s">
        <v>152</v>
      </c>
      <c r="AK54" s="17">
        <v>1</v>
      </c>
      <c r="AL54" s="17">
        <v>65.25</v>
      </c>
      <c r="AM54" s="17">
        <v>11.75</v>
      </c>
      <c r="AN54" s="17">
        <v>77</v>
      </c>
    </row>
    <row r="55" spans="4:40" ht="15">
      <c r="D55" s="19" t="s">
        <v>409</v>
      </c>
      <c r="E55" s="17">
        <v>1</v>
      </c>
      <c r="R55"/>
      <c r="S55"/>
      <c r="T55"/>
      <c r="U55"/>
      <c r="V55"/>
      <c r="X55"/>
      <c r="Y55"/>
      <c r="Z55"/>
      <c r="AA55"/>
      <c r="AB55"/>
      <c r="AD55" s="19" t="s">
        <v>413</v>
      </c>
      <c r="AE55" s="17">
        <v>1</v>
      </c>
      <c r="AF55" s="17">
        <v>53.81</v>
      </c>
      <c r="AG55" s="17">
        <v>9.69</v>
      </c>
      <c r="AH55" s="17">
        <v>63.5</v>
      </c>
      <c r="AI55"/>
      <c r="AJ55" s="19" t="s">
        <v>150</v>
      </c>
      <c r="AK55" s="17">
        <v>1</v>
      </c>
      <c r="AL55" s="17">
        <v>104.24</v>
      </c>
      <c r="AM55" s="17">
        <v>18.760000000000002</v>
      </c>
      <c r="AN55" s="17">
        <v>123</v>
      </c>
    </row>
    <row r="56" spans="4:40" ht="15">
      <c r="D56" s="19" t="s">
        <v>410</v>
      </c>
      <c r="E56" s="17">
        <v>1</v>
      </c>
      <c r="R56"/>
      <c r="S56"/>
      <c r="T56"/>
      <c r="U56"/>
      <c r="V56"/>
      <c r="X56"/>
      <c r="Y56"/>
      <c r="Z56"/>
      <c r="AA56"/>
      <c r="AB56"/>
      <c r="AD56" s="19" t="s">
        <v>412</v>
      </c>
      <c r="AE56" s="17">
        <v>1</v>
      </c>
      <c r="AF56" s="17">
        <v>1016.95</v>
      </c>
      <c r="AG56" s="17">
        <v>183.05</v>
      </c>
      <c r="AH56" s="17">
        <v>1200</v>
      </c>
      <c r="AI56"/>
      <c r="AJ56" s="19" t="s">
        <v>149</v>
      </c>
      <c r="AK56" s="17">
        <v>1</v>
      </c>
      <c r="AL56" s="17">
        <v>84.75</v>
      </c>
      <c r="AM56" s="17">
        <v>15.26</v>
      </c>
      <c r="AN56" s="17">
        <v>100.01</v>
      </c>
    </row>
    <row r="57" spans="4:40" ht="15">
      <c r="D57" s="19" t="s">
        <v>411</v>
      </c>
      <c r="E57" s="17">
        <v>1</v>
      </c>
      <c r="R57"/>
      <c r="S57"/>
      <c r="T57"/>
      <c r="U57"/>
      <c r="V57"/>
      <c r="X57"/>
      <c r="Y57"/>
      <c r="Z57"/>
      <c r="AA57"/>
      <c r="AB57"/>
      <c r="AD57" s="19" t="s">
        <v>411</v>
      </c>
      <c r="AE57" s="17">
        <v>1</v>
      </c>
      <c r="AF57" s="17">
        <v>1016.95</v>
      </c>
      <c r="AG57" s="17">
        <v>183.05</v>
      </c>
      <c r="AH57" s="17">
        <v>1200</v>
      </c>
      <c r="AI57"/>
      <c r="AJ57" s="19" t="s">
        <v>148</v>
      </c>
      <c r="AK57" s="17">
        <v>1</v>
      </c>
      <c r="AL57" s="17">
        <v>110.17</v>
      </c>
      <c r="AM57" s="17">
        <v>19.829999999999998</v>
      </c>
      <c r="AN57" s="17">
        <v>130</v>
      </c>
    </row>
    <row r="58" spans="4:40" ht="15">
      <c r="D58" s="19" t="s">
        <v>412</v>
      </c>
      <c r="E58" s="17">
        <v>1</v>
      </c>
      <c r="R58"/>
      <c r="S58"/>
      <c r="T58"/>
      <c r="U58"/>
      <c r="V58"/>
      <c r="X58"/>
      <c r="Y58"/>
      <c r="Z58"/>
      <c r="AA58"/>
      <c r="AB58"/>
      <c r="AD58" s="19" t="s">
        <v>410</v>
      </c>
      <c r="AE58" s="17">
        <v>1</v>
      </c>
      <c r="AF58" s="17">
        <v>805.08</v>
      </c>
      <c r="AG58" s="17">
        <v>144.91</v>
      </c>
      <c r="AH58" s="17">
        <v>949.99</v>
      </c>
      <c r="AI58"/>
      <c r="AJ58" s="19" t="s">
        <v>25</v>
      </c>
      <c r="AK58" s="17">
        <v>1</v>
      </c>
      <c r="AL58" s="17">
        <v>127.12</v>
      </c>
      <c r="AM58" s="17">
        <v>22.88</v>
      </c>
      <c r="AN58" s="17">
        <v>150</v>
      </c>
    </row>
    <row r="59" spans="4:40" ht="15">
      <c r="D59" s="19" t="s">
        <v>413</v>
      </c>
      <c r="E59" s="17">
        <v>1</v>
      </c>
      <c r="R59"/>
      <c r="S59"/>
      <c r="T59"/>
      <c r="U59"/>
      <c r="V59"/>
      <c r="X59"/>
      <c r="Y59"/>
      <c r="Z59"/>
      <c r="AA59"/>
      <c r="AB59"/>
      <c r="AD59" s="19" t="s">
        <v>409</v>
      </c>
      <c r="AE59" s="17">
        <v>1</v>
      </c>
      <c r="AF59" s="17">
        <v>677.97</v>
      </c>
      <c r="AG59" s="17">
        <v>122.03</v>
      </c>
      <c r="AH59" s="17">
        <v>800</v>
      </c>
      <c r="AI59"/>
      <c r="AJ59" s="19" t="s">
        <v>147</v>
      </c>
      <c r="AK59" s="17">
        <v>1</v>
      </c>
      <c r="AL59" s="17">
        <v>93.22</v>
      </c>
      <c r="AM59" s="17">
        <v>16.78</v>
      </c>
      <c r="AN59" s="17">
        <v>110</v>
      </c>
    </row>
    <row r="60" spans="4:40" ht="15">
      <c r="D60" s="19" t="s">
        <v>414</v>
      </c>
      <c r="E60" s="17">
        <v>1</v>
      </c>
      <c r="R60"/>
      <c r="S60"/>
      <c r="T60"/>
      <c r="U60"/>
      <c r="V60"/>
      <c r="X60"/>
      <c r="Y60"/>
      <c r="Z60"/>
      <c r="AA60"/>
      <c r="AB60"/>
      <c r="AD60" s="19" t="s">
        <v>408</v>
      </c>
      <c r="AE60" s="17">
        <v>1</v>
      </c>
      <c r="AF60" s="17">
        <v>51.99</v>
      </c>
      <c r="AG60" s="17">
        <v>9.36</v>
      </c>
      <c r="AH60" s="17">
        <v>61.35</v>
      </c>
      <c r="AI60"/>
      <c r="AJ60" s="19" t="s">
        <v>146</v>
      </c>
      <c r="AK60" s="17">
        <v>1</v>
      </c>
      <c r="AL60" s="17">
        <v>135.59</v>
      </c>
      <c r="AM60" s="17">
        <v>24.41</v>
      </c>
      <c r="AN60" s="17">
        <v>160</v>
      </c>
    </row>
    <row r="61" spans="4:40" ht="15">
      <c r="D61" s="19" t="s">
        <v>415</v>
      </c>
      <c r="E61" s="17">
        <v>1</v>
      </c>
      <c r="R61"/>
      <c r="S61"/>
      <c r="T61"/>
      <c r="U61"/>
      <c r="V61"/>
      <c r="X61"/>
      <c r="Y61"/>
      <c r="Z61"/>
      <c r="AA61"/>
      <c r="AB61"/>
      <c r="AD61" s="19" t="s">
        <v>396</v>
      </c>
      <c r="AE61" s="17">
        <v>1</v>
      </c>
      <c r="AF61" s="17">
        <v>55.34</v>
      </c>
      <c r="AG61" s="17">
        <v>9.9600000000000009</v>
      </c>
      <c r="AH61" s="17">
        <v>65.3</v>
      </c>
      <c r="AI61"/>
      <c r="AJ61" s="19" t="s">
        <v>145</v>
      </c>
      <c r="AK61" s="17">
        <v>1</v>
      </c>
      <c r="AL61" s="17">
        <v>110.17</v>
      </c>
      <c r="AM61" s="17">
        <v>19.829999999999998</v>
      </c>
      <c r="AN61" s="17">
        <v>130</v>
      </c>
    </row>
    <row r="62" spans="4:40" ht="15">
      <c r="D62" s="19" t="s">
        <v>416</v>
      </c>
      <c r="E62" s="17">
        <v>1</v>
      </c>
      <c r="R62"/>
      <c r="S62"/>
      <c r="T62"/>
      <c r="U62"/>
      <c r="V62"/>
      <c r="X62"/>
      <c r="Y62"/>
      <c r="Z62"/>
      <c r="AA62"/>
      <c r="AB62"/>
      <c r="AD62" s="19" t="s">
        <v>395</v>
      </c>
      <c r="AE62" s="17">
        <v>1</v>
      </c>
      <c r="AF62" s="17">
        <v>51.86</v>
      </c>
      <c r="AG62" s="17">
        <v>9.33</v>
      </c>
      <c r="AH62" s="17">
        <v>61.19</v>
      </c>
      <c r="AI62"/>
      <c r="AJ62" s="19" t="s">
        <v>144</v>
      </c>
      <c r="AK62" s="17">
        <v>1</v>
      </c>
      <c r="AL62" s="17">
        <v>118.64</v>
      </c>
      <c r="AM62" s="17">
        <v>21.36</v>
      </c>
      <c r="AN62" s="17">
        <v>140</v>
      </c>
    </row>
    <row r="63" spans="4:40" ht="15">
      <c r="D63" s="19" t="s">
        <v>417</v>
      </c>
      <c r="E63" s="17">
        <v>1</v>
      </c>
      <c r="R63"/>
      <c r="S63"/>
      <c r="T63"/>
      <c r="U63"/>
      <c r="V63"/>
      <c r="X63"/>
      <c r="Y63"/>
      <c r="Z63"/>
      <c r="AA63"/>
      <c r="AB63"/>
      <c r="AD63" s="19" t="s">
        <v>393</v>
      </c>
      <c r="AE63" s="17">
        <v>1</v>
      </c>
      <c r="AF63" s="17">
        <v>51.86</v>
      </c>
      <c r="AG63" s="17">
        <v>9.33</v>
      </c>
      <c r="AH63" s="17">
        <v>61.19</v>
      </c>
      <c r="AI63"/>
      <c r="AJ63" s="19" t="s">
        <v>143</v>
      </c>
      <c r="AK63" s="17">
        <v>1</v>
      </c>
      <c r="AL63" s="17">
        <v>65.25</v>
      </c>
      <c r="AM63" s="17">
        <v>11.75</v>
      </c>
      <c r="AN63" s="17">
        <v>77</v>
      </c>
    </row>
    <row r="64" spans="4:40" ht="15">
      <c r="D64" s="19" t="s">
        <v>418</v>
      </c>
      <c r="E64" s="17">
        <v>1</v>
      </c>
      <c r="R64"/>
      <c r="S64"/>
      <c r="T64"/>
      <c r="U64"/>
      <c r="V64"/>
      <c r="X64"/>
      <c r="Y64"/>
      <c r="Z64"/>
      <c r="AA64"/>
      <c r="AB64"/>
      <c r="AD64" s="19" t="s">
        <v>397</v>
      </c>
      <c r="AE64" s="17">
        <v>1</v>
      </c>
      <c r="AF64" s="17">
        <v>322</v>
      </c>
      <c r="AG64" s="17">
        <v>57.96</v>
      </c>
      <c r="AH64" s="17">
        <v>379.96</v>
      </c>
      <c r="AI64"/>
      <c r="AJ64" s="19" t="s">
        <v>142</v>
      </c>
      <c r="AK64" s="17">
        <v>1</v>
      </c>
      <c r="AL64" s="17">
        <v>33.9</v>
      </c>
      <c r="AM64" s="17">
        <v>6.1</v>
      </c>
      <c r="AN64" s="17">
        <v>40</v>
      </c>
    </row>
    <row r="65" spans="4:40" ht="15">
      <c r="D65" s="19" t="s">
        <v>419</v>
      </c>
      <c r="E65" s="17">
        <v>1</v>
      </c>
      <c r="R65"/>
      <c r="S65"/>
      <c r="T65"/>
      <c r="U65"/>
      <c r="V65"/>
      <c r="X65"/>
      <c r="Y65"/>
      <c r="Z65"/>
      <c r="AA65"/>
      <c r="AB65"/>
      <c r="AD65" s="19" t="s">
        <v>394</v>
      </c>
      <c r="AE65" s="17">
        <v>1</v>
      </c>
      <c r="AF65" s="17">
        <v>322</v>
      </c>
      <c r="AG65" s="17">
        <v>57.96</v>
      </c>
      <c r="AH65" s="17">
        <v>379.96</v>
      </c>
      <c r="AI65"/>
      <c r="AJ65" s="19" t="s">
        <v>139</v>
      </c>
      <c r="AK65" s="17">
        <v>1</v>
      </c>
      <c r="AL65" s="17">
        <v>74.58</v>
      </c>
      <c r="AM65" s="17">
        <v>13.42</v>
      </c>
      <c r="AN65" s="17">
        <v>88</v>
      </c>
    </row>
    <row r="66" spans="4:40" ht="15">
      <c r="D66" s="19" t="s">
        <v>420</v>
      </c>
      <c r="E66" s="17">
        <v>1</v>
      </c>
      <c r="R66"/>
      <c r="S66"/>
      <c r="T66"/>
      <c r="U66"/>
      <c r="V66"/>
      <c r="X66"/>
      <c r="Y66"/>
      <c r="Z66"/>
      <c r="AA66"/>
      <c r="AB66"/>
      <c r="AD66" s="19" t="s">
        <v>392</v>
      </c>
      <c r="AE66" s="17">
        <v>1</v>
      </c>
      <c r="AF66" s="17">
        <v>322</v>
      </c>
      <c r="AG66" s="17">
        <v>57.96</v>
      </c>
      <c r="AH66" s="17">
        <v>379.96</v>
      </c>
      <c r="AI66"/>
      <c r="AJ66" s="19" t="s">
        <v>138</v>
      </c>
      <c r="AK66" s="17">
        <v>1</v>
      </c>
      <c r="AL66" s="17">
        <v>55.93</v>
      </c>
      <c r="AM66" s="17">
        <v>10.07</v>
      </c>
      <c r="AN66" s="17">
        <v>66</v>
      </c>
    </row>
    <row r="67" spans="4:40" ht="15">
      <c r="D67" s="19" t="s">
        <v>421</v>
      </c>
      <c r="E67" s="17">
        <v>1</v>
      </c>
      <c r="R67"/>
      <c r="S67"/>
      <c r="T67"/>
      <c r="U67"/>
      <c r="V67"/>
      <c r="X67"/>
      <c r="Y67"/>
      <c r="Z67"/>
      <c r="AA67"/>
      <c r="AB67"/>
      <c r="AD67" s="19" t="s">
        <v>391</v>
      </c>
      <c r="AE67" s="17">
        <v>1</v>
      </c>
      <c r="AF67" s="17">
        <v>322</v>
      </c>
      <c r="AG67" s="17">
        <v>57.96</v>
      </c>
      <c r="AH67" s="17">
        <v>379.96</v>
      </c>
      <c r="AI67"/>
      <c r="AJ67" s="19" t="s">
        <v>137</v>
      </c>
      <c r="AK67" s="17">
        <v>1</v>
      </c>
      <c r="AL67" s="17">
        <v>84.75</v>
      </c>
      <c r="AM67" s="17">
        <v>15.26</v>
      </c>
      <c r="AN67" s="17">
        <v>100.01</v>
      </c>
    </row>
    <row r="68" spans="4:40" ht="15">
      <c r="D68" s="19" t="s">
        <v>422</v>
      </c>
      <c r="E68" s="17">
        <v>1</v>
      </c>
      <c r="R68"/>
      <c r="S68"/>
      <c r="T68"/>
      <c r="U68"/>
      <c r="V68"/>
      <c r="X68"/>
      <c r="Y68"/>
      <c r="Z68"/>
      <c r="AA68"/>
      <c r="AB68"/>
      <c r="AD68" s="19" t="s">
        <v>390</v>
      </c>
      <c r="AE68" s="17">
        <v>1</v>
      </c>
      <c r="AF68" s="17">
        <v>0</v>
      </c>
      <c r="AG68" s="17">
        <v>0</v>
      </c>
      <c r="AH68" s="17">
        <v>0</v>
      </c>
      <c r="AI68"/>
      <c r="AJ68" s="19" t="s">
        <v>136</v>
      </c>
      <c r="AK68" s="17">
        <v>1</v>
      </c>
      <c r="AL68" s="17">
        <v>16.95</v>
      </c>
      <c r="AM68" s="17">
        <v>3.05</v>
      </c>
      <c r="AN68" s="17">
        <v>20</v>
      </c>
    </row>
    <row r="69" spans="4:40" ht="15">
      <c r="D69" s="19" t="s">
        <v>423</v>
      </c>
      <c r="E69" s="17">
        <v>1</v>
      </c>
      <c r="R69"/>
      <c r="S69"/>
      <c r="T69"/>
      <c r="U69"/>
      <c r="V69"/>
      <c r="X69"/>
      <c r="Y69"/>
      <c r="Z69"/>
      <c r="AA69"/>
      <c r="AB69"/>
      <c r="AD69" s="19" t="s">
        <v>389</v>
      </c>
      <c r="AE69" s="17">
        <v>1</v>
      </c>
      <c r="AF69" s="17">
        <v>0</v>
      </c>
      <c r="AG69" s="17">
        <v>0</v>
      </c>
      <c r="AH69" s="17">
        <v>0</v>
      </c>
      <c r="AI69"/>
      <c r="AJ69" s="19" t="s">
        <v>135</v>
      </c>
      <c r="AK69" s="17">
        <v>1</v>
      </c>
      <c r="AL69" s="17">
        <v>33.9</v>
      </c>
      <c r="AM69" s="17">
        <v>6.1</v>
      </c>
      <c r="AN69" s="17">
        <v>40</v>
      </c>
    </row>
    <row r="70" spans="4:40" ht="15">
      <c r="D70" s="19" t="s">
        <v>424</v>
      </c>
      <c r="E70" s="17">
        <v>1</v>
      </c>
      <c r="R70"/>
      <c r="S70"/>
      <c r="T70"/>
      <c r="U70"/>
      <c r="V70"/>
      <c r="X70"/>
      <c r="Y70"/>
      <c r="Z70"/>
      <c r="AA70"/>
      <c r="AB70"/>
      <c r="AD70" s="19" t="s">
        <v>388</v>
      </c>
      <c r="AE70" s="17">
        <v>1</v>
      </c>
      <c r="AF70" s="17">
        <v>0</v>
      </c>
      <c r="AG70" s="17">
        <v>0</v>
      </c>
      <c r="AH70" s="17">
        <v>0</v>
      </c>
      <c r="AI70"/>
      <c r="AJ70" s="19" t="s">
        <v>134</v>
      </c>
      <c r="AK70" s="17">
        <v>1</v>
      </c>
      <c r="AL70" s="17">
        <v>101.69</v>
      </c>
      <c r="AM70" s="17">
        <v>18.3</v>
      </c>
      <c r="AN70" s="17">
        <v>119.99</v>
      </c>
    </row>
    <row r="71" spans="4:40" ht="15">
      <c r="D71" s="19" t="s">
        <v>425</v>
      </c>
      <c r="E71" s="17">
        <v>1</v>
      </c>
      <c r="R71"/>
      <c r="S71"/>
      <c r="T71"/>
      <c r="U71"/>
      <c r="V71"/>
      <c r="X71"/>
      <c r="Y71"/>
      <c r="Z71"/>
      <c r="AA71"/>
      <c r="AB71"/>
      <c r="AD71" s="19" t="s">
        <v>386</v>
      </c>
      <c r="AE71" s="17">
        <v>1</v>
      </c>
      <c r="AF71" s="17">
        <v>0</v>
      </c>
      <c r="AG71" s="17">
        <v>0</v>
      </c>
      <c r="AH71" s="17">
        <v>0</v>
      </c>
      <c r="AI71"/>
      <c r="AJ71" s="19" t="s">
        <v>133</v>
      </c>
      <c r="AK71" s="17">
        <v>1</v>
      </c>
      <c r="AL71" s="17">
        <v>127.12</v>
      </c>
      <c r="AM71" s="17">
        <v>22.88</v>
      </c>
      <c r="AN71" s="17">
        <v>150</v>
      </c>
    </row>
    <row r="72" spans="4:40" ht="15">
      <c r="D72" s="19" t="s">
        <v>426</v>
      </c>
      <c r="E72" s="17">
        <v>1</v>
      </c>
      <c r="R72"/>
      <c r="S72"/>
      <c r="T72"/>
      <c r="U72"/>
      <c r="V72"/>
      <c r="X72"/>
      <c r="Y72"/>
      <c r="Z72"/>
      <c r="AA72"/>
      <c r="AB72"/>
      <c r="AD72" s="19" t="s">
        <v>385</v>
      </c>
      <c r="AE72" s="17">
        <v>1</v>
      </c>
      <c r="AF72" s="17">
        <v>0</v>
      </c>
      <c r="AG72" s="17">
        <v>0</v>
      </c>
      <c r="AH72" s="17">
        <v>0</v>
      </c>
      <c r="AI72"/>
      <c r="AJ72" s="19" t="s">
        <v>132</v>
      </c>
      <c r="AK72" s="17">
        <v>1</v>
      </c>
      <c r="AL72" s="17">
        <v>169.49</v>
      </c>
      <c r="AM72" s="17">
        <v>30.51</v>
      </c>
      <c r="AN72" s="17">
        <v>200</v>
      </c>
    </row>
    <row r="73" spans="4:40" ht="15">
      <c r="D73" s="19" t="s">
        <v>427</v>
      </c>
      <c r="E73" s="17">
        <v>1</v>
      </c>
      <c r="R73"/>
      <c r="S73"/>
      <c r="T73"/>
      <c r="U73"/>
      <c r="V73"/>
      <c r="X73"/>
      <c r="Y73"/>
      <c r="Z73"/>
      <c r="AA73"/>
      <c r="AB73"/>
      <c r="AD73" s="19" t="s">
        <v>384</v>
      </c>
      <c r="AE73" s="17">
        <v>1</v>
      </c>
      <c r="AF73" s="17">
        <v>0</v>
      </c>
      <c r="AG73" s="17">
        <v>0</v>
      </c>
      <c r="AH73" s="17">
        <v>0</v>
      </c>
      <c r="AI73"/>
      <c r="AJ73" s="19" t="s">
        <v>131</v>
      </c>
      <c r="AK73" s="17">
        <v>1</v>
      </c>
      <c r="AL73" s="17">
        <v>74.58</v>
      </c>
      <c r="AM73" s="17">
        <v>13.42</v>
      </c>
      <c r="AN73" s="17">
        <v>88</v>
      </c>
    </row>
    <row r="74" spans="4:40" ht="15">
      <c r="D74" s="19" t="s">
        <v>428</v>
      </c>
      <c r="E74" s="17">
        <v>1</v>
      </c>
      <c r="R74"/>
      <c r="S74"/>
      <c r="T74"/>
      <c r="U74"/>
      <c r="V74"/>
      <c r="X74"/>
      <c r="Y74"/>
      <c r="Z74"/>
      <c r="AA74"/>
      <c r="AB74"/>
      <c r="AD74" s="19" t="s">
        <v>421</v>
      </c>
      <c r="AE74" s="17">
        <v>1</v>
      </c>
      <c r="AF74" s="17">
        <v>322</v>
      </c>
      <c r="AG74" s="17">
        <v>57.96</v>
      </c>
      <c r="AH74" s="17">
        <v>379.96</v>
      </c>
      <c r="AI74"/>
      <c r="AJ74" s="19" t="s">
        <v>130</v>
      </c>
      <c r="AK74" s="17">
        <v>1</v>
      </c>
      <c r="AL74" s="17">
        <v>33.9</v>
      </c>
      <c r="AM74" s="17">
        <v>6.1</v>
      </c>
      <c r="AN74" s="17">
        <v>40</v>
      </c>
    </row>
    <row r="75" spans="4:40" ht="15">
      <c r="D75" s="19" t="s">
        <v>429</v>
      </c>
      <c r="E75" s="17">
        <v>1</v>
      </c>
      <c r="R75"/>
      <c r="S75"/>
      <c r="T75"/>
      <c r="U75"/>
      <c r="V75"/>
      <c r="X75"/>
      <c r="Y75"/>
      <c r="Z75"/>
      <c r="AA75"/>
      <c r="AB75"/>
      <c r="AD75" s="19" t="s">
        <v>418</v>
      </c>
      <c r="AE75" s="17">
        <v>1</v>
      </c>
      <c r="AF75" s="17">
        <v>322</v>
      </c>
      <c r="AG75" s="17">
        <v>57.96</v>
      </c>
      <c r="AH75" s="17">
        <v>379.96</v>
      </c>
      <c r="AI75"/>
      <c r="AJ75" s="19" t="s">
        <v>129</v>
      </c>
      <c r="AK75" s="17">
        <v>1</v>
      </c>
      <c r="AL75" s="17">
        <v>50.85</v>
      </c>
      <c r="AM75" s="17">
        <v>9.15</v>
      </c>
      <c r="AN75" s="17">
        <v>60</v>
      </c>
    </row>
    <row r="76" spans="4:40" ht="15">
      <c r="D76" s="19" t="s">
        <v>430</v>
      </c>
      <c r="E76" s="17">
        <v>1</v>
      </c>
      <c r="R76"/>
      <c r="S76"/>
      <c r="T76"/>
      <c r="U76"/>
      <c r="V76"/>
      <c r="X76"/>
      <c r="Y76"/>
      <c r="Z76"/>
      <c r="AA76"/>
      <c r="AB76"/>
      <c r="AD76" s="19" t="s">
        <v>407</v>
      </c>
      <c r="AE76" s="17">
        <v>1</v>
      </c>
      <c r="AF76" s="17">
        <v>322</v>
      </c>
      <c r="AG76" s="17">
        <v>57.96</v>
      </c>
      <c r="AH76" s="17">
        <v>379.96</v>
      </c>
      <c r="AI76"/>
      <c r="AJ76" s="19" t="s">
        <v>128</v>
      </c>
      <c r="AK76" s="17">
        <v>1</v>
      </c>
      <c r="AL76" s="17">
        <v>67.8</v>
      </c>
      <c r="AM76" s="17">
        <v>12.2</v>
      </c>
      <c r="AN76" s="17">
        <v>80</v>
      </c>
    </row>
    <row r="77" spans="4:40" ht="15">
      <c r="D77" s="19" t="s">
        <v>431</v>
      </c>
      <c r="E77" s="17">
        <v>1</v>
      </c>
      <c r="R77"/>
      <c r="S77"/>
      <c r="T77"/>
      <c r="U77"/>
      <c r="V77"/>
      <c r="X77"/>
      <c r="Y77"/>
      <c r="Z77"/>
      <c r="AA77"/>
      <c r="AB77"/>
      <c r="AD77" s="19" t="s">
        <v>406</v>
      </c>
      <c r="AE77" s="17">
        <v>1</v>
      </c>
      <c r="AF77" s="17">
        <v>322</v>
      </c>
      <c r="AG77" s="17">
        <v>57.96</v>
      </c>
      <c r="AH77" s="17">
        <v>379.96</v>
      </c>
      <c r="AI77"/>
      <c r="AJ77" s="19" t="s">
        <v>127</v>
      </c>
      <c r="AK77" s="17">
        <v>1</v>
      </c>
      <c r="AL77" s="17">
        <v>76.27</v>
      </c>
      <c r="AM77" s="17">
        <v>13.73</v>
      </c>
      <c r="AN77" s="17">
        <v>90</v>
      </c>
    </row>
    <row r="78" spans="4:40" ht="15">
      <c r="D78" s="19" t="s">
        <v>432</v>
      </c>
      <c r="E78" s="17">
        <v>1</v>
      </c>
      <c r="R78"/>
      <c r="S78"/>
      <c r="T78"/>
      <c r="U78"/>
      <c r="V78"/>
      <c r="X78"/>
      <c r="Y78"/>
      <c r="Z78"/>
      <c r="AA78"/>
      <c r="AB78"/>
      <c r="AD78" s="19" t="s">
        <v>405</v>
      </c>
      <c r="AE78" s="17">
        <v>1</v>
      </c>
      <c r="AF78" s="17">
        <v>322</v>
      </c>
      <c r="AG78" s="17">
        <v>57.96</v>
      </c>
      <c r="AH78" s="17">
        <v>379.96</v>
      </c>
      <c r="AI78"/>
      <c r="AJ78" s="19" t="s">
        <v>126</v>
      </c>
      <c r="AK78" s="17">
        <v>1</v>
      </c>
      <c r="AL78" s="17">
        <v>55.93</v>
      </c>
      <c r="AM78" s="17">
        <v>10.07</v>
      </c>
      <c r="AN78" s="17">
        <v>66</v>
      </c>
    </row>
    <row r="79" spans="4:40" ht="15">
      <c r="D79" s="19" t="s">
        <v>433</v>
      </c>
      <c r="E79" s="17">
        <v>1</v>
      </c>
      <c r="R79"/>
      <c r="S79"/>
      <c r="T79"/>
      <c r="U79"/>
      <c r="V79"/>
      <c r="X79"/>
      <c r="Y79"/>
      <c r="Z79"/>
      <c r="AA79"/>
      <c r="AB79"/>
      <c r="AD79" s="19" t="s">
        <v>404</v>
      </c>
      <c r="AE79" s="17">
        <v>1</v>
      </c>
      <c r="AF79" s="17">
        <v>322</v>
      </c>
      <c r="AG79" s="17">
        <v>57.96</v>
      </c>
      <c r="AH79" s="17">
        <v>379.96</v>
      </c>
      <c r="AI79"/>
      <c r="AJ79" s="19" t="s">
        <v>125</v>
      </c>
      <c r="AK79" s="17">
        <v>1</v>
      </c>
      <c r="AL79" s="17">
        <v>67.8</v>
      </c>
      <c r="AM79" s="17">
        <v>12.2</v>
      </c>
      <c r="AN79" s="17">
        <v>80</v>
      </c>
    </row>
    <row r="80" spans="4:40" ht="15">
      <c r="D80" s="19" t="s">
        <v>434</v>
      </c>
      <c r="E80" s="17">
        <v>1</v>
      </c>
      <c r="R80"/>
      <c r="S80"/>
      <c r="T80"/>
      <c r="U80"/>
      <c r="V80"/>
      <c r="X80"/>
      <c r="Y80"/>
      <c r="Z80"/>
      <c r="AA80"/>
      <c r="AB80"/>
      <c r="AD80" s="19" t="s">
        <v>403</v>
      </c>
      <c r="AE80" s="17">
        <v>1</v>
      </c>
      <c r="AF80" s="17">
        <v>322</v>
      </c>
      <c r="AG80" s="17">
        <v>57.96</v>
      </c>
      <c r="AH80" s="17">
        <v>379.96</v>
      </c>
      <c r="AI80"/>
      <c r="AJ80" s="19" t="s">
        <v>124</v>
      </c>
      <c r="AK80" s="17">
        <v>1</v>
      </c>
      <c r="AL80" s="17">
        <v>47.46</v>
      </c>
      <c r="AM80" s="17">
        <v>8.5399999999999991</v>
      </c>
      <c r="AN80" s="17">
        <v>56</v>
      </c>
    </row>
    <row r="81" spans="4:40" ht="15">
      <c r="D81" s="19" t="s">
        <v>435</v>
      </c>
      <c r="E81" s="17">
        <v>1</v>
      </c>
      <c r="R81"/>
      <c r="S81"/>
      <c r="T81"/>
      <c r="U81"/>
      <c r="V81"/>
      <c r="X81"/>
      <c r="Y81"/>
      <c r="Z81"/>
      <c r="AA81"/>
      <c r="AB81"/>
      <c r="AD81" s="19" t="s">
        <v>387</v>
      </c>
      <c r="AE81" s="17">
        <v>1</v>
      </c>
      <c r="AF81" s="17">
        <v>0</v>
      </c>
      <c r="AG81" s="17">
        <v>0</v>
      </c>
      <c r="AH81" s="17">
        <v>0</v>
      </c>
      <c r="AI81"/>
      <c r="AJ81" s="19" t="s">
        <v>113</v>
      </c>
      <c r="AK81" s="17">
        <v>1</v>
      </c>
      <c r="AL81" s="17">
        <v>50.85</v>
      </c>
      <c r="AM81" s="17">
        <v>9.15</v>
      </c>
      <c r="AN81" s="17">
        <v>60</v>
      </c>
    </row>
    <row r="82" spans="4:40" ht="15">
      <c r="D82" s="19" t="s">
        <v>436</v>
      </c>
      <c r="E82" s="17">
        <v>1</v>
      </c>
      <c r="R82"/>
      <c r="S82"/>
      <c r="T82"/>
      <c r="U82"/>
      <c r="V82"/>
      <c r="X82"/>
      <c r="Y82"/>
      <c r="Z82"/>
      <c r="AA82"/>
      <c r="AB82"/>
      <c r="AD82" s="19" t="s">
        <v>383</v>
      </c>
      <c r="AE82" s="17">
        <v>1</v>
      </c>
      <c r="AF82" s="17">
        <v>0</v>
      </c>
      <c r="AG82" s="17">
        <v>0</v>
      </c>
      <c r="AH82" s="17">
        <v>0</v>
      </c>
      <c r="AI82"/>
      <c r="AJ82" s="19" t="s">
        <v>111</v>
      </c>
      <c r="AK82" s="17">
        <v>1</v>
      </c>
      <c r="AL82" s="17">
        <v>1355.93</v>
      </c>
      <c r="AM82" s="17">
        <v>244.07</v>
      </c>
      <c r="AN82" s="17">
        <v>1600</v>
      </c>
    </row>
    <row r="83" spans="4:40" ht="15">
      <c r="D83" s="19" t="s">
        <v>437</v>
      </c>
      <c r="E83" s="17">
        <v>1</v>
      </c>
      <c r="R83"/>
      <c r="S83"/>
      <c r="T83"/>
      <c r="U83"/>
      <c r="V83"/>
      <c r="X83"/>
      <c r="Y83"/>
      <c r="Z83"/>
      <c r="AA83"/>
      <c r="AB83"/>
      <c r="AD83" s="19" t="s">
        <v>488</v>
      </c>
      <c r="AE83" s="17">
        <v>3</v>
      </c>
      <c r="AF83" s="17">
        <v>310.17</v>
      </c>
      <c r="AG83" s="17">
        <v>55.830000000000005</v>
      </c>
      <c r="AH83" s="17">
        <v>366</v>
      </c>
      <c r="AI83"/>
      <c r="AJ83" s="19" t="s">
        <v>493</v>
      </c>
      <c r="AK83" s="17">
        <v>1</v>
      </c>
      <c r="AL83" s="17">
        <v>177.29</v>
      </c>
      <c r="AM83" s="17">
        <v>31.91</v>
      </c>
      <c r="AN83" s="17">
        <v>209.2</v>
      </c>
    </row>
    <row r="84" spans="4:40" ht="15">
      <c r="D84" s="19" t="s">
        <v>438</v>
      </c>
      <c r="E84" s="17">
        <v>1</v>
      </c>
      <c r="R84"/>
      <c r="S84"/>
      <c r="T84"/>
      <c r="U84"/>
      <c r="V84"/>
      <c r="X84"/>
      <c r="Y84"/>
      <c r="Z84"/>
      <c r="AA84"/>
      <c r="AB84"/>
      <c r="AD84" s="19" t="s">
        <v>463</v>
      </c>
      <c r="AE84" s="17">
        <v>1</v>
      </c>
      <c r="AF84" s="17">
        <v>1241</v>
      </c>
      <c r="AG84" s="17">
        <v>223.38</v>
      </c>
      <c r="AH84" s="17">
        <v>1464.38</v>
      </c>
      <c r="AI84"/>
      <c r="AJ84" s="19" t="s">
        <v>494</v>
      </c>
      <c r="AK84" s="17">
        <v>1</v>
      </c>
      <c r="AL84" s="17">
        <v>425.93</v>
      </c>
      <c r="AM84" s="17">
        <v>76.67</v>
      </c>
      <c r="AN84" s="17">
        <v>502.6</v>
      </c>
    </row>
    <row r="85" spans="4:40" ht="15">
      <c r="D85" s="19" t="s">
        <v>439</v>
      </c>
      <c r="E85" s="17">
        <v>1</v>
      </c>
      <c r="R85"/>
      <c r="S85"/>
      <c r="T85"/>
      <c r="U85"/>
      <c r="V85"/>
      <c r="X85"/>
      <c r="Y85"/>
      <c r="Z85"/>
      <c r="AA85"/>
      <c r="AB85"/>
      <c r="AD85" s="19" t="s">
        <v>462</v>
      </c>
      <c r="AE85" s="17">
        <v>1</v>
      </c>
      <c r="AF85" s="17">
        <v>400</v>
      </c>
      <c r="AG85" s="17">
        <v>72</v>
      </c>
      <c r="AH85" s="17">
        <v>472</v>
      </c>
      <c r="AI85"/>
      <c r="AJ85" s="19" t="s">
        <v>569</v>
      </c>
      <c r="AK85" s="17">
        <v>1</v>
      </c>
      <c r="AL85" s="17">
        <v>65.25</v>
      </c>
      <c r="AM85" s="17">
        <v>11.75</v>
      </c>
      <c r="AN85" s="17">
        <v>77</v>
      </c>
    </row>
    <row r="86" spans="4:40" ht="15">
      <c r="D86" s="19" t="s">
        <v>440</v>
      </c>
      <c r="E86" s="17">
        <v>1</v>
      </c>
      <c r="R86"/>
      <c r="S86"/>
      <c r="T86"/>
      <c r="U86"/>
      <c r="V86"/>
      <c r="X86"/>
      <c r="Y86"/>
      <c r="Z86"/>
      <c r="AA86"/>
      <c r="AB86"/>
      <c r="AD86" s="19" t="s">
        <v>496</v>
      </c>
      <c r="AE86" s="17">
        <v>1</v>
      </c>
      <c r="AF86" s="17">
        <v>177.29</v>
      </c>
      <c r="AG86" s="17">
        <v>31.91</v>
      </c>
      <c r="AH86" s="17">
        <v>209.2</v>
      </c>
      <c r="AI86"/>
      <c r="AJ86" s="19" t="s">
        <v>56</v>
      </c>
      <c r="AK86" s="17">
        <v>85</v>
      </c>
      <c r="AL86" s="17">
        <v>25269.810000000009</v>
      </c>
      <c r="AM86" s="17">
        <v>4548.5800000000008</v>
      </c>
      <c r="AN86" s="17">
        <v>29818.389999999989</v>
      </c>
    </row>
    <row r="87" spans="4:40" ht="15">
      <c r="D87" s="19" t="s">
        <v>441</v>
      </c>
      <c r="E87" s="17">
        <v>1</v>
      </c>
      <c r="R87"/>
      <c r="S87"/>
      <c r="T87"/>
      <c r="U87"/>
      <c r="V87"/>
      <c r="X87"/>
      <c r="Y87"/>
      <c r="Z87"/>
      <c r="AA87"/>
      <c r="AB87"/>
      <c r="AD87" s="19" t="s">
        <v>497</v>
      </c>
      <c r="AE87" s="17">
        <v>1</v>
      </c>
      <c r="AF87" s="17">
        <v>425.93</v>
      </c>
      <c r="AG87" s="17">
        <v>76.67</v>
      </c>
      <c r="AH87" s="17">
        <v>502.6</v>
      </c>
      <c r="AI87"/>
    </row>
    <row r="88" spans="4:40" ht="15">
      <c r="D88" s="19" t="s">
        <v>442</v>
      </c>
      <c r="E88" s="17">
        <v>1</v>
      </c>
      <c r="R88"/>
      <c r="S88"/>
      <c r="T88"/>
      <c r="U88"/>
      <c r="V88"/>
      <c r="X88"/>
      <c r="Y88"/>
      <c r="Z88"/>
      <c r="AA88"/>
      <c r="AB88"/>
      <c r="AD88" s="19" t="s">
        <v>568</v>
      </c>
      <c r="AE88" s="17">
        <v>1</v>
      </c>
      <c r="AF88" s="17">
        <v>65.25</v>
      </c>
      <c r="AG88" s="17">
        <v>11.75</v>
      </c>
      <c r="AH88" s="17">
        <v>77</v>
      </c>
      <c r="AI88"/>
    </row>
    <row r="89" spans="4:40" ht="15">
      <c r="D89" s="19" t="s">
        <v>443</v>
      </c>
      <c r="E89" s="17">
        <v>1</v>
      </c>
      <c r="R89"/>
      <c r="S89"/>
      <c r="T89"/>
      <c r="U89"/>
      <c r="V89"/>
      <c r="X89"/>
      <c r="Y89"/>
      <c r="Z89"/>
      <c r="AA89"/>
      <c r="AB89"/>
      <c r="AD89" s="19" t="s">
        <v>56</v>
      </c>
      <c r="AE89" s="17">
        <v>88</v>
      </c>
      <c r="AF89" s="17">
        <v>25269.810000000005</v>
      </c>
      <c r="AG89" s="17">
        <v>4548.5800000000017</v>
      </c>
      <c r="AH89" s="17">
        <v>29818.389999999985</v>
      </c>
      <c r="AI89"/>
    </row>
    <row r="90" spans="4:40" ht="15">
      <c r="D90" s="19" t="s">
        <v>444</v>
      </c>
      <c r="E90" s="17">
        <v>1</v>
      </c>
      <c r="R90"/>
      <c r="S90"/>
      <c r="T90"/>
      <c r="U90"/>
      <c r="V90"/>
      <c r="X90"/>
      <c r="Y90"/>
      <c r="Z90"/>
      <c r="AA90"/>
      <c r="AB90"/>
      <c r="AD90"/>
      <c r="AE90"/>
      <c r="AF90"/>
      <c r="AG90"/>
      <c r="AH90"/>
      <c r="AI90"/>
    </row>
    <row r="91" spans="4:40" ht="15">
      <c r="D91" s="19" t="s">
        <v>445</v>
      </c>
      <c r="E91" s="17">
        <v>1</v>
      </c>
      <c r="R91"/>
      <c r="S91"/>
      <c r="T91"/>
      <c r="U91"/>
      <c r="V91"/>
      <c r="X91"/>
      <c r="Y91"/>
      <c r="Z91"/>
      <c r="AA91"/>
      <c r="AB91"/>
    </row>
    <row r="92" spans="4:40" ht="15">
      <c r="D92" s="19" t="s">
        <v>446</v>
      </c>
      <c r="E92" s="17">
        <v>1</v>
      </c>
      <c r="R92"/>
      <c r="S92"/>
      <c r="T92"/>
      <c r="U92"/>
      <c r="V92"/>
      <c r="X92"/>
      <c r="Y92"/>
      <c r="Z92"/>
      <c r="AA92"/>
      <c r="AB92"/>
    </row>
    <row r="93" spans="4:40" ht="15">
      <c r="D93" s="19" t="s">
        <v>447</v>
      </c>
      <c r="E93" s="17">
        <v>1</v>
      </c>
      <c r="R93"/>
      <c r="S93"/>
      <c r="T93"/>
      <c r="U93"/>
      <c r="V93"/>
      <c r="X93"/>
      <c r="Y93"/>
      <c r="Z93"/>
      <c r="AA93"/>
      <c r="AB93"/>
    </row>
    <row r="94" spans="4:40" ht="15">
      <c r="D94" s="19" t="s">
        <v>448</v>
      </c>
      <c r="E94" s="17">
        <v>1</v>
      </c>
      <c r="R94"/>
      <c r="S94"/>
      <c r="T94"/>
      <c r="U94"/>
      <c r="V94"/>
      <c r="X94"/>
      <c r="Y94"/>
      <c r="Z94"/>
      <c r="AA94"/>
      <c r="AB94"/>
    </row>
    <row r="95" spans="4:40" ht="15">
      <c r="D95" s="19" t="s">
        <v>449</v>
      </c>
      <c r="E95" s="17">
        <v>1</v>
      </c>
      <c r="R95"/>
      <c r="S95"/>
      <c r="T95"/>
      <c r="U95"/>
      <c r="V95"/>
      <c r="X95"/>
      <c r="Y95"/>
      <c r="Z95"/>
      <c r="AA95"/>
      <c r="AB95"/>
    </row>
    <row r="96" spans="4:40" ht="15">
      <c r="D96" s="19" t="s">
        <v>450</v>
      </c>
      <c r="E96" s="17">
        <v>1</v>
      </c>
      <c r="R96"/>
      <c r="S96"/>
      <c r="T96"/>
      <c r="U96"/>
      <c r="V96"/>
      <c r="X96"/>
      <c r="Y96"/>
      <c r="Z96"/>
      <c r="AA96"/>
      <c r="AB96"/>
    </row>
    <row r="97" spans="4:28" ht="15">
      <c r="D97" s="19" t="s">
        <v>451</v>
      </c>
      <c r="E97" s="17">
        <v>1</v>
      </c>
      <c r="R97"/>
      <c r="S97"/>
      <c r="T97"/>
      <c r="U97"/>
      <c r="V97"/>
      <c r="X97"/>
      <c r="Y97"/>
      <c r="Z97"/>
      <c r="AA97"/>
      <c r="AB97"/>
    </row>
    <row r="98" spans="4:28" ht="15">
      <c r="D98" s="19" t="s">
        <v>452</v>
      </c>
      <c r="E98" s="17">
        <v>1</v>
      </c>
      <c r="R98"/>
      <c r="S98"/>
      <c r="T98"/>
      <c r="U98"/>
      <c r="V98"/>
      <c r="X98"/>
      <c r="Y98"/>
      <c r="Z98"/>
      <c r="AA98"/>
      <c r="AB98"/>
    </row>
    <row r="99" spans="4:28" ht="15">
      <c r="D99" s="19" t="s">
        <v>453</v>
      </c>
      <c r="E99" s="17">
        <v>1</v>
      </c>
      <c r="R99"/>
      <c r="S99"/>
      <c r="T99"/>
      <c r="U99"/>
      <c r="V99"/>
      <c r="X99"/>
      <c r="Y99"/>
      <c r="Z99"/>
      <c r="AA99"/>
      <c r="AB99"/>
    </row>
    <row r="100" spans="4:28" ht="15">
      <c r="D100" s="19" t="s">
        <v>454</v>
      </c>
      <c r="E100" s="17">
        <v>1</v>
      </c>
      <c r="R100"/>
      <c r="S100"/>
      <c r="T100"/>
      <c r="U100"/>
      <c r="V100"/>
      <c r="X100"/>
      <c r="Y100"/>
      <c r="Z100"/>
      <c r="AA100"/>
      <c r="AB100"/>
    </row>
    <row r="101" spans="4:28" ht="15">
      <c r="D101" s="19" t="s">
        <v>455</v>
      </c>
      <c r="E101" s="17">
        <v>1</v>
      </c>
      <c r="R101"/>
      <c r="S101"/>
      <c r="T101"/>
      <c r="U101"/>
      <c r="V101"/>
      <c r="X101"/>
      <c r="Y101"/>
      <c r="Z101"/>
      <c r="AA101"/>
      <c r="AB101"/>
    </row>
    <row r="102" spans="4:28" ht="15">
      <c r="D102" s="19" t="s">
        <v>456</v>
      </c>
      <c r="E102" s="17">
        <v>1</v>
      </c>
      <c r="R102"/>
      <c r="S102"/>
      <c r="T102"/>
      <c r="U102"/>
      <c r="V102"/>
      <c r="X102"/>
      <c r="Y102"/>
      <c r="Z102"/>
      <c r="AA102"/>
      <c r="AB102"/>
    </row>
    <row r="103" spans="4:28" ht="15">
      <c r="D103" s="19" t="s">
        <v>457</v>
      </c>
      <c r="E103" s="17">
        <v>1</v>
      </c>
      <c r="R103"/>
      <c r="S103"/>
      <c r="T103"/>
      <c r="U103"/>
      <c r="V103"/>
      <c r="X103"/>
      <c r="Y103"/>
      <c r="Z103"/>
      <c r="AA103"/>
      <c r="AB103"/>
    </row>
    <row r="104" spans="4:28" ht="15">
      <c r="D104" s="19" t="s">
        <v>458</v>
      </c>
      <c r="E104" s="17">
        <v>1</v>
      </c>
      <c r="R104"/>
      <c r="S104"/>
      <c r="T104"/>
      <c r="U104"/>
      <c r="V104"/>
      <c r="X104"/>
      <c r="Y104"/>
      <c r="Z104"/>
      <c r="AA104"/>
      <c r="AB104"/>
    </row>
    <row r="105" spans="4:28" ht="15">
      <c r="D105" s="19" t="s">
        <v>459</v>
      </c>
      <c r="E105" s="17">
        <v>1</v>
      </c>
      <c r="R105"/>
      <c r="S105"/>
      <c r="T105"/>
      <c r="U105"/>
      <c r="V105"/>
      <c r="X105"/>
      <c r="Y105"/>
      <c r="Z105"/>
      <c r="AA105"/>
      <c r="AB105"/>
    </row>
    <row r="106" spans="4:28" ht="15">
      <c r="D106" s="19" t="s">
        <v>460</v>
      </c>
      <c r="E106" s="17">
        <v>1</v>
      </c>
      <c r="R106"/>
      <c r="S106"/>
      <c r="T106"/>
      <c r="U106"/>
      <c r="V106"/>
      <c r="X106"/>
      <c r="Y106"/>
      <c r="Z106"/>
      <c r="AA106"/>
      <c r="AB106"/>
    </row>
    <row r="107" spans="4:28" ht="15">
      <c r="D107" s="19" t="s">
        <v>461</v>
      </c>
      <c r="E107" s="17">
        <v>1</v>
      </c>
      <c r="R107"/>
      <c r="S107"/>
      <c r="T107"/>
      <c r="U107"/>
      <c r="V107"/>
      <c r="X107"/>
      <c r="Y107"/>
      <c r="Z107"/>
      <c r="AA107"/>
      <c r="AB107"/>
    </row>
    <row r="108" spans="4:28" ht="15">
      <c r="D108" s="19" t="s">
        <v>497</v>
      </c>
      <c r="E108" s="17">
        <v>1</v>
      </c>
      <c r="R108"/>
      <c r="S108"/>
      <c r="T108"/>
      <c r="U108"/>
      <c r="V108"/>
      <c r="X108"/>
      <c r="Y108"/>
      <c r="Z108"/>
      <c r="AA108"/>
      <c r="AB108"/>
    </row>
    <row r="109" spans="4:28" ht="15">
      <c r="D109" s="19" t="s">
        <v>496</v>
      </c>
      <c r="E109" s="17">
        <v>1</v>
      </c>
      <c r="R109"/>
      <c r="S109"/>
      <c r="T109"/>
      <c r="U109"/>
      <c r="V109"/>
      <c r="X109"/>
      <c r="Y109"/>
      <c r="Z109"/>
      <c r="AA109"/>
      <c r="AB109"/>
    </row>
    <row r="110" spans="4:28" ht="15">
      <c r="D110" s="19" t="s">
        <v>568</v>
      </c>
      <c r="E110" s="17">
        <v>1</v>
      </c>
      <c r="R110"/>
      <c r="S110"/>
      <c r="T110"/>
      <c r="U110"/>
      <c r="V110"/>
      <c r="X110"/>
      <c r="Y110"/>
      <c r="Z110"/>
      <c r="AA110"/>
      <c r="AB110"/>
    </row>
    <row r="111" spans="4:28" ht="15">
      <c r="D111" s="19" t="s">
        <v>488</v>
      </c>
      <c r="E111" s="17">
        <v>3</v>
      </c>
      <c r="R111"/>
      <c r="S111"/>
      <c r="T111"/>
      <c r="U111"/>
      <c r="V111"/>
    </row>
    <row r="112" spans="4:28">
      <c r="D112" s="19" t="s">
        <v>462</v>
      </c>
      <c r="E112" s="17">
        <v>1</v>
      </c>
    </row>
    <row r="113" spans="4:5">
      <c r="D113" s="19" t="s">
        <v>463</v>
      </c>
      <c r="E113" s="17">
        <v>1</v>
      </c>
    </row>
    <row r="114" spans="4:5">
      <c r="D114" s="19" t="s">
        <v>56</v>
      </c>
      <c r="E114" s="17">
        <v>88</v>
      </c>
    </row>
    <row r="115" spans="4:5" ht="15">
      <c r="D115"/>
      <c r="E115"/>
    </row>
    <row r="116" spans="4:5" ht="15">
      <c r="D116"/>
      <c r="E116"/>
    </row>
    <row r="117" spans="4:5" ht="15">
      <c r="D117"/>
      <c r="E117"/>
    </row>
    <row r="118" spans="4:5" ht="15">
      <c r="D118"/>
      <c r="E118"/>
    </row>
    <row r="119" spans="4:5" ht="15">
      <c r="D119"/>
      <c r="E119"/>
    </row>
    <row r="120" spans="4:5" ht="15">
      <c r="D120"/>
      <c r="E120"/>
    </row>
    <row r="121" spans="4:5" ht="15">
      <c r="D121"/>
      <c r="E121"/>
    </row>
    <row r="122" spans="4:5" ht="15">
      <c r="D122"/>
      <c r="E122"/>
    </row>
    <row r="123" spans="4:5" ht="15">
      <c r="D123"/>
      <c r="E123"/>
    </row>
    <row r="124" spans="4:5" ht="15">
      <c r="D124"/>
      <c r="E124"/>
    </row>
    <row r="125" spans="4:5" ht="15">
      <c r="D125"/>
      <c r="E125"/>
    </row>
    <row r="126" spans="4:5" ht="15">
      <c r="D126"/>
      <c r="E126"/>
    </row>
    <row r="127" spans="4:5" ht="15">
      <c r="D127"/>
      <c r="E127"/>
    </row>
    <row r="128" spans="4:5" ht="15">
      <c r="D128"/>
      <c r="E128"/>
    </row>
    <row r="129" spans="4:5" ht="15">
      <c r="D129"/>
      <c r="E129"/>
    </row>
    <row r="130" spans="4:5" ht="15">
      <c r="D130"/>
      <c r="E130"/>
    </row>
    <row r="131" spans="4:5" ht="15">
      <c r="D131"/>
      <c r="E131"/>
    </row>
    <row r="132" spans="4:5" ht="15">
      <c r="D132"/>
      <c r="E132"/>
    </row>
    <row r="133" spans="4:5" ht="15">
      <c r="D133"/>
      <c r="E133"/>
    </row>
    <row r="134" spans="4:5" ht="15">
      <c r="D134"/>
      <c r="E134"/>
    </row>
    <row r="135" spans="4:5" ht="15">
      <c r="D135"/>
      <c r="E135"/>
    </row>
    <row r="136" spans="4:5" ht="15">
      <c r="D136"/>
      <c r="E136"/>
    </row>
    <row r="137" spans="4:5" ht="15">
      <c r="D137"/>
      <c r="E137"/>
    </row>
    <row r="138" spans="4:5" ht="15">
      <c r="D138"/>
      <c r="E138"/>
    </row>
    <row r="139" spans="4:5" ht="15">
      <c r="D139"/>
      <c r="E139"/>
    </row>
    <row r="140" spans="4:5" ht="15">
      <c r="D140"/>
      <c r="E140"/>
    </row>
    <row r="141" spans="4:5" ht="15">
      <c r="D141"/>
      <c r="E141"/>
    </row>
    <row r="142" spans="4:5" ht="15">
      <c r="D142"/>
      <c r="E142"/>
    </row>
    <row r="143" spans="4:5" ht="15">
      <c r="D143"/>
      <c r="E143"/>
    </row>
    <row r="144" spans="4:5" ht="15">
      <c r="D144"/>
      <c r="E144"/>
    </row>
    <row r="145" spans="4:5" ht="15">
      <c r="D145"/>
      <c r="E145"/>
    </row>
    <row r="146" spans="4:5" ht="15">
      <c r="D146"/>
      <c r="E146"/>
    </row>
    <row r="147" spans="4:5" ht="15">
      <c r="D147"/>
      <c r="E147"/>
    </row>
    <row r="148" spans="4:5" ht="15">
      <c r="D148"/>
      <c r="E148"/>
    </row>
    <row r="149" spans="4:5" ht="15">
      <c r="D149"/>
      <c r="E149"/>
    </row>
    <row r="150" spans="4:5" ht="15">
      <c r="D150"/>
      <c r="E150"/>
    </row>
    <row r="151" spans="4:5" ht="15">
      <c r="D151"/>
      <c r="E151"/>
    </row>
    <row r="152" spans="4:5" ht="15">
      <c r="D152"/>
      <c r="E152"/>
    </row>
    <row r="153" spans="4:5" ht="15">
      <c r="D153"/>
      <c r="E153"/>
    </row>
    <row r="154" spans="4:5" ht="15">
      <c r="D154"/>
      <c r="E154"/>
    </row>
    <row r="155" spans="4:5" ht="15">
      <c r="D155"/>
      <c r="E155"/>
    </row>
    <row r="156" spans="4:5" ht="15">
      <c r="D156"/>
      <c r="E156"/>
    </row>
    <row r="157" spans="4:5" ht="15">
      <c r="D157"/>
      <c r="E157"/>
    </row>
    <row r="158" spans="4:5" ht="15">
      <c r="D158"/>
      <c r="E158"/>
    </row>
    <row r="159" spans="4:5" ht="15">
      <c r="D159"/>
      <c r="E159"/>
    </row>
    <row r="160" spans="4:5" ht="15">
      <c r="D160"/>
      <c r="E160"/>
    </row>
    <row r="161" spans="4:5" ht="15">
      <c r="D161"/>
      <c r="E161"/>
    </row>
    <row r="162" spans="4:5" ht="15">
      <c r="D162"/>
      <c r="E162"/>
    </row>
    <row r="163" spans="4:5" ht="15">
      <c r="D163"/>
      <c r="E163"/>
    </row>
    <row r="164" spans="4:5" ht="15">
      <c r="D164"/>
      <c r="E164"/>
    </row>
    <row r="165" spans="4:5" ht="15">
      <c r="D165"/>
      <c r="E165"/>
    </row>
    <row r="166" spans="4:5" ht="15">
      <c r="D166"/>
      <c r="E166"/>
    </row>
    <row r="167" spans="4:5" ht="15">
      <c r="D167"/>
      <c r="E167"/>
    </row>
    <row r="168" spans="4:5" ht="15">
      <c r="D168"/>
      <c r="E168"/>
    </row>
    <row r="169" spans="4:5" ht="15">
      <c r="D169"/>
      <c r="E169"/>
    </row>
    <row r="170" spans="4:5" ht="15">
      <c r="D170"/>
      <c r="E170"/>
    </row>
    <row r="171" spans="4:5" ht="15">
      <c r="D171"/>
      <c r="E171"/>
    </row>
    <row r="172" spans="4:5" ht="15">
      <c r="D172"/>
      <c r="E172"/>
    </row>
    <row r="173" spans="4:5" ht="15">
      <c r="D173"/>
      <c r="E173"/>
    </row>
    <row r="174" spans="4:5" ht="15">
      <c r="D174"/>
      <c r="E174"/>
    </row>
    <row r="175" spans="4:5" ht="15">
      <c r="D175"/>
      <c r="E175"/>
    </row>
    <row r="176" spans="4:5" ht="15">
      <c r="D176"/>
      <c r="E176"/>
    </row>
    <row r="177" spans="4:5" ht="15">
      <c r="D177"/>
      <c r="E177"/>
    </row>
    <row r="178" spans="4:5" ht="15">
      <c r="D178"/>
      <c r="E178"/>
    </row>
    <row r="179" spans="4:5" ht="15">
      <c r="D179"/>
      <c r="E179"/>
    </row>
    <row r="180" spans="4:5" ht="15">
      <c r="D180"/>
      <c r="E180"/>
    </row>
    <row r="181" spans="4:5" ht="15">
      <c r="D181"/>
      <c r="E181"/>
    </row>
    <row r="182" spans="4:5" ht="15">
      <c r="D182"/>
      <c r="E182"/>
    </row>
    <row r="183" spans="4:5" ht="15">
      <c r="D183"/>
      <c r="E183"/>
    </row>
    <row r="184" spans="4:5" ht="15">
      <c r="D184"/>
      <c r="E184"/>
    </row>
    <row r="185" spans="4:5" ht="15">
      <c r="D185"/>
      <c r="E185"/>
    </row>
    <row r="186" spans="4:5" ht="15">
      <c r="D186"/>
      <c r="E186"/>
    </row>
    <row r="187" spans="4:5" ht="15">
      <c r="D187"/>
      <c r="E187"/>
    </row>
    <row r="188" spans="4:5" ht="15">
      <c r="D188"/>
      <c r="E188"/>
    </row>
    <row r="189" spans="4:5" ht="15">
      <c r="D189"/>
      <c r="E189"/>
    </row>
    <row r="190" spans="4:5" ht="15">
      <c r="D190"/>
      <c r="E190"/>
    </row>
    <row r="191" spans="4:5" ht="15">
      <c r="D191"/>
      <c r="E191"/>
    </row>
    <row r="192" spans="4:5" ht="15">
      <c r="D192"/>
      <c r="E192"/>
    </row>
    <row r="193" spans="4:5" ht="15">
      <c r="D193"/>
      <c r="E193"/>
    </row>
    <row r="194" spans="4:5" ht="15">
      <c r="D194"/>
      <c r="E194"/>
    </row>
    <row r="195" spans="4:5" ht="15">
      <c r="D195"/>
      <c r="E195"/>
    </row>
    <row r="196" spans="4:5" ht="15">
      <c r="D196"/>
      <c r="E196"/>
    </row>
    <row r="197" spans="4:5" ht="15">
      <c r="D197"/>
      <c r="E197"/>
    </row>
    <row r="198" spans="4:5" ht="15">
      <c r="D198"/>
      <c r="E198"/>
    </row>
    <row r="199" spans="4:5" ht="15">
      <c r="D199"/>
      <c r="E199"/>
    </row>
  </sheetData>
  <pageMargins left="0.7" right="0.7" top="0.75" bottom="0.75" header="0.3" footer="0.3"/>
  <drawing r:id="rId1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F512-EC09-4493-B070-63690AB11B32}">
  <dimension ref="A1:J18"/>
  <sheetViews>
    <sheetView workbookViewId="0">
      <selection activeCell="G4" sqref="G4"/>
    </sheetView>
  </sheetViews>
  <sheetFormatPr baseColWidth="10" defaultRowHeight="15"/>
  <cols>
    <col min="5" max="5" width="19" bestFit="1" customWidth="1"/>
    <col min="6" max="6" width="23.140625" bestFit="1" customWidth="1"/>
    <col min="7" max="7" width="85" bestFit="1" customWidth="1"/>
    <col min="8" max="8" width="25.85546875" bestFit="1" customWidth="1"/>
    <col min="9" max="9" width="26.7109375" bestFit="1" customWidth="1"/>
  </cols>
  <sheetData>
    <row r="1" spans="1:10">
      <c r="A1" s="6" t="s">
        <v>51</v>
      </c>
      <c r="B1" s="6" t="s">
        <v>52</v>
      </c>
    </row>
    <row r="2" spans="1:10">
      <c r="A2" s="6" t="s">
        <v>53</v>
      </c>
      <c r="B2" s="6">
        <v>11</v>
      </c>
    </row>
    <row r="3" spans="1:10">
      <c r="A3" s="6" t="s">
        <v>54</v>
      </c>
      <c r="B3" s="6">
        <v>11</v>
      </c>
      <c r="E3" s="9" t="s">
        <v>7</v>
      </c>
      <c r="F3" s="9" t="s">
        <v>69</v>
      </c>
      <c r="G3" s="9" t="s">
        <v>70</v>
      </c>
      <c r="H3" s="9" t="s">
        <v>71</v>
      </c>
      <c r="I3" s="9" t="s">
        <v>72</v>
      </c>
      <c r="J3" s="15" t="s">
        <v>216</v>
      </c>
    </row>
    <row r="4" spans="1:10">
      <c r="E4" s="10" t="s">
        <v>73</v>
      </c>
      <c r="F4" s="10" t="s">
        <v>74</v>
      </c>
      <c r="G4" s="10" t="s">
        <v>75</v>
      </c>
      <c r="H4" s="10" t="s">
        <v>76</v>
      </c>
      <c r="I4" s="10" t="s">
        <v>104</v>
      </c>
      <c r="J4" s="10"/>
    </row>
    <row r="5" spans="1:10">
      <c r="E5" s="10" t="s">
        <v>73</v>
      </c>
      <c r="F5" s="10" t="s">
        <v>77</v>
      </c>
      <c r="G5" s="10" t="s">
        <v>78</v>
      </c>
      <c r="H5" s="10" t="s">
        <v>76</v>
      </c>
      <c r="I5" s="10" t="s">
        <v>104</v>
      </c>
      <c r="J5" s="10"/>
    </row>
    <row r="6" spans="1:10">
      <c r="E6" s="10" t="s">
        <v>73</v>
      </c>
      <c r="F6" s="10" t="s">
        <v>79</v>
      </c>
      <c r="G6" s="10" t="s">
        <v>109</v>
      </c>
      <c r="H6" s="10" t="s">
        <v>76</v>
      </c>
      <c r="I6" s="10" t="s">
        <v>104</v>
      </c>
      <c r="J6" s="10"/>
    </row>
    <row r="7" spans="1:10">
      <c r="E7" s="10" t="s">
        <v>73</v>
      </c>
      <c r="F7" s="10" t="s">
        <v>80</v>
      </c>
      <c r="G7" s="11" t="s">
        <v>81</v>
      </c>
      <c r="H7" s="10" t="s">
        <v>76</v>
      </c>
      <c r="I7" s="10" t="s">
        <v>104</v>
      </c>
      <c r="J7" s="10"/>
    </row>
    <row r="8" spans="1:10">
      <c r="E8" s="10" t="s">
        <v>82</v>
      </c>
      <c r="F8" s="10" t="s">
        <v>74</v>
      </c>
      <c r="G8" s="10" t="s">
        <v>83</v>
      </c>
      <c r="H8" s="10" t="s">
        <v>76</v>
      </c>
      <c r="I8" s="10" t="s">
        <v>104</v>
      </c>
      <c r="J8" s="10"/>
    </row>
    <row r="9" spans="1:10">
      <c r="E9" s="10" t="s">
        <v>82</v>
      </c>
      <c r="F9" s="10" t="s">
        <v>77</v>
      </c>
      <c r="G9" s="10" t="s">
        <v>84</v>
      </c>
      <c r="H9" s="10" t="s">
        <v>76</v>
      </c>
      <c r="I9" s="10" t="s">
        <v>104</v>
      </c>
      <c r="J9" s="10"/>
    </row>
    <row r="10" spans="1:10">
      <c r="E10" s="12" t="s">
        <v>85</v>
      </c>
      <c r="F10" s="12" t="s">
        <v>86</v>
      </c>
      <c r="G10" s="12" t="s">
        <v>87</v>
      </c>
      <c r="H10" s="12" t="s">
        <v>88</v>
      </c>
      <c r="I10" s="12" t="s">
        <v>104</v>
      </c>
      <c r="J10" s="12"/>
    </row>
    <row r="11" spans="1:10">
      <c r="E11" s="12" t="s">
        <v>85</v>
      </c>
      <c r="F11" s="12" t="s">
        <v>89</v>
      </c>
      <c r="G11" s="12" t="s">
        <v>90</v>
      </c>
      <c r="H11" s="12" t="s">
        <v>88</v>
      </c>
      <c r="I11" s="12" t="s">
        <v>104</v>
      </c>
      <c r="J11" s="12"/>
    </row>
    <row r="12" spans="1:10">
      <c r="E12" s="12" t="s">
        <v>85</v>
      </c>
      <c r="F12" s="12" t="s">
        <v>91</v>
      </c>
      <c r="G12" s="12" t="s">
        <v>92</v>
      </c>
      <c r="H12" s="12" t="s">
        <v>88</v>
      </c>
      <c r="I12" s="12" t="s">
        <v>104</v>
      </c>
      <c r="J12" s="12"/>
    </row>
    <row r="13" spans="1:10">
      <c r="E13" s="12" t="s">
        <v>85</v>
      </c>
      <c r="F13" s="12" t="s">
        <v>93</v>
      </c>
      <c r="G13" s="12" t="s">
        <v>94</v>
      </c>
      <c r="H13" s="12" t="s">
        <v>88</v>
      </c>
      <c r="I13" s="12" t="s">
        <v>104</v>
      </c>
      <c r="J13" s="12"/>
    </row>
    <row r="14" spans="1:10">
      <c r="E14" s="13" t="s">
        <v>95</v>
      </c>
      <c r="F14" s="13" t="s">
        <v>91</v>
      </c>
      <c r="G14" s="13" t="s">
        <v>96</v>
      </c>
      <c r="H14" s="13" t="s">
        <v>97</v>
      </c>
      <c r="I14" s="13" t="s">
        <v>104</v>
      </c>
      <c r="J14" s="13"/>
    </row>
    <row r="15" spans="1:10">
      <c r="E15" s="13" t="s">
        <v>95</v>
      </c>
      <c r="F15" s="13" t="s">
        <v>98</v>
      </c>
      <c r="G15" s="13" t="s">
        <v>99</v>
      </c>
      <c r="H15" s="13" t="s">
        <v>97</v>
      </c>
      <c r="I15" s="13" t="s">
        <v>104</v>
      </c>
      <c r="J15" s="13"/>
    </row>
    <row r="16" spans="1:10">
      <c r="E16" s="14" t="s">
        <v>100</v>
      </c>
      <c r="F16" s="14" t="s">
        <v>101</v>
      </c>
      <c r="G16" s="14" t="s">
        <v>102</v>
      </c>
      <c r="H16" s="14" t="s">
        <v>103</v>
      </c>
      <c r="I16" s="14" t="s">
        <v>104</v>
      </c>
      <c r="J16" s="14"/>
    </row>
    <row r="17" spans="5:10">
      <c r="E17" s="14" t="s">
        <v>100</v>
      </c>
      <c r="F17" s="14" t="s">
        <v>105</v>
      </c>
      <c r="G17" s="14" t="s">
        <v>106</v>
      </c>
      <c r="H17" s="14" t="s">
        <v>103</v>
      </c>
      <c r="I17" s="14" t="s">
        <v>104</v>
      </c>
      <c r="J17" s="14"/>
    </row>
    <row r="18" spans="5:10">
      <c r="E18" s="14" t="s">
        <v>100</v>
      </c>
      <c r="F18" s="14" t="s">
        <v>107</v>
      </c>
      <c r="G18" s="14" t="s">
        <v>108</v>
      </c>
      <c r="H18" s="14" t="s">
        <v>103</v>
      </c>
      <c r="I18" s="14" t="s">
        <v>104</v>
      </c>
      <c r="J18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A6D8-82E0-4000-931F-C336E7CCE87F}">
  <dimension ref="A1:AR5"/>
  <sheetViews>
    <sheetView workbookViewId="0">
      <selection activeCell="B4" sqref="B4"/>
    </sheetView>
  </sheetViews>
  <sheetFormatPr baseColWidth="10" defaultRowHeight="15"/>
  <cols>
    <col min="1" max="1" width="18.42578125" bestFit="1" customWidth="1"/>
    <col min="2" max="2" width="11.5703125" bestFit="1" customWidth="1"/>
    <col min="3" max="3" width="19.7109375" bestFit="1" customWidth="1"/>
    <col min="4" max="4" width="18.85546875" bestFit="1" customWidth="1"/>
    <col min="5" max="5" width="17.5703125" bestFit="1" customWidth="1"/>
    <col min="6" max="6" width="16.140625" bestFit="1" customWidth="1"/>
    <col min="7" max="7" width="18" bestFit="1" customWidth="1"/>
    <col min="8" max="8" width="16.7109375" bestFit="1" customWidth="1"/>
    <col min="9" max="9" width="255.7109375" bestFit="1" customWidth="1"/>
    <col min="10" max="10" width="23.140625" bestFit="1" customWidth="1"/>
    <col min="11" max="11" width="16.140625" bestFit="1" customWidth="1"/>
    <col min="12" max="12" width="19" bestFit="1" customWidth="1"/>
    <col min="13" max="13" width="14.140625" bestFit="1" customWidth="1"/>
    <col min="14" max="14" width="17.28515625" bestFit="1" customWidth="1"/>
    <col min="15" max="15" width="16" bestFit="1" customWidth="1"/>
    <col min="16" max="16" width="18.85546875" bestFit="1" customWidth="1"/>
    <col min="17" max="17" width="23" bestFit="1" customWidth="1"/>
    <col min="18" max="18" width="26.7109375" bestFit="1" customWidth="1"/>
    <col min="19" max="19" width="25.42578125" bestFit="1" customWidth="1"/>
    <col min="20" max="20" width="15.5703125" bestFit="1" customWidth="1"/>
    <col min="21" max="21" width="20.5703125" bestFit="1" customWidth="1"/>
    <col min="22" max="22" width="21.7109375" bestFit="1" customWidth="1"/>
    <col min="23" max="23" width="17.28515625" bestFit="1" customWidth="1"/>
    <col min="24" max="24" width="15.28515625" bestFit="1" customWidth="1"/>
    <col min="25" max="25" width="24.7109375" bestFit="1" customWidth="1"/>
    <col min="26" max="26" width="11.5703125" bestFit="1" customWidth="1"/>
    <col min="27" max="27" width="12.140625" bestFit="1" customWidth="1"/>
    <col min="28" max="28" width="15.28515625" bestFit="1" customWidth="1"/>
    <col min="29" max="29" width="22.42578125" bestFit="1" customWidth="1"/>
    <col min="30" max="30" width="16.7109375" bestFit="1" customWidth="1"/>
    <col min="31" max="31" width="22.140625" bestFit="1" customWidth="1"/>
    <col min="32" max="32" width="19.42578125" bestFit="1" customWidth="1"/>
    <col min="33" max="33" width="21.7109375" bestFit="1" customWidth="1"/>
    <col min="34" max="34" width="25.42578125" bestFit="1" customWidth="1"/>
    <col min="35" max="35" width="27.7109375" bestFit="1" customWidth="1"/>
    <col min="36" max="36" width="154.42578125" bestFit="1" customWidth="1"/>
    <col min="37" max="37" width="24.140625" bestFit="1" customWidth="1"/>
    <col min="38" max="38" width="42.7109375" bestFit="1" customWidth="1"/>
    <col min="39" max="39" width="35" bestFit="1" customWidth="1"/>
    <col min="40" max="40" width="35.140625" bestFit="1" customWidth="1"/>
    <col min="41" max="41" width="28.28515625" bestFit="1" customWidth="1"/>
    <col min="42" max="42" width="30.7109375" bestFit="1" customWidth="1"/>
    <col min="43" max="43" width="30.28515625" bestFit="1" customWidth="1"/>
    <col min="44" max="44" width="24" bestFit="1" customWidth="1"/>
  </cols>
  <sheetData>
    <row r="1" spans="1:44">
      <c r="A1" s="1" t="s">
        <v>464</v>
      </c>
    </row>
    <row r="3" spans="1:44">
      <c r="A3" t="s">
        <v>223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  <c r="Q3" t="s">
        <v>239</v>
      </c>
      <c r="R3" t="s">
        <v>240</v>
      </c>
      <c r="S3" t="s">
        <v>241</v>
      </c>
      <c r="T3" t="s">
        <v>242</v>
      </c>
      <c r="U3" t="s">
        <v>243</v>
      </c>
      <c r="V3" t="s">
        <v>244</v>
      </c>
      <c r="W3" t="s">
        <v>245</v>
      </c>
      <c r="X3" t="s">
        <v>246</v>
      </c>
      <c r="Y3" t="s">
        <v>247</v>
      </c>
      <c r="Z3" t="s">
        <v>248</v>
      </c>
      <c r="AA3" t="s">
        <v>249</v>
      </c>
      <c r="AB3" t="s">
        <v>250</v>
      </c>
      <c r="AC3" t="s">
        <v>251</v>
      </c>
      <c r="AD3" t="s">
        <v>252</v>
      </c>
      <c r="AE3" t="s">
        <v>253</v>
      </c>
      <c r="AF3" t="s">
        <v>254</v>
      </c>
      <c r="AG3" t="s">
        <v>255</v>
      </c>
      <c r="AH3" t="s">
        <v>256</v>
      </c>
      <c r="AI3" t="s">
        <v>257</v>
      </c>
      <c r="AJ3" t="s">
        <v>258</v>
      </c>
      <c r="AK3" t="s">
        <v>259</v>
      </c>
      <c r="AL3" t="s">
        <v>260</v>
      </c>
      <c r="AM3" t="s">
        <v>261</v>
      </c>
      <c r="AN3" t="s">
        <v>262</v>
      </c>
      <c r="AO3" t="s">
        <v>263</v>
      </c>
      <c r="AP3" t="s">
        <v>264</v>
      </c>
      <c r="AQ3" t="s">
        <v>265</v>
      </c>
      <c r="AR3" t="s">
        <v>382</v>
      </c>
    </row>
    <row r="4" spans="1:44">
      <c r="A4" t="s">
        <v>273</v>
      </c>
      <c r="B4" t="s">
        <v>274</v>
      </c>
      <c r="C4" s="8">
        <v>45919</v>
      </c>
      <c r="D4" s="22">
        <v>45932.448761574073</v>
      </c>
      <c r="E4" t="s">
        <v>37</v>
      </c>
      <c r="G4">
        <v>6</v>
      </c>
      <c r="H4">
        <v>20609168961</v>
      </c>
      <c r="I4" t="s">
        <v>275</v>
      </c>
      <c r="J4" s="8">
        <v>45919</v>
      </c>
      <c r="P4">
        <v>2</v>
      </c>
      <c r="Q4">
        <v>228</v>
      </c>
      <c r="R4" t="s">
        <v>281</v>
      </c>
      <c r="S4" t="s">
        <v>277</v>
      </c>
      <c r="T4">
        <v>2</v>
      </c>
      <c r="U4">
        <v>1000</v>
      </c>
      <c r="V4">
        <v>1180</v>
      </c>
      <c r="X4">
        <v>2000</v>
      </c>
      <c r="Y4">
        <v>18</v>
      </c>
      <c r="Z4">
        <v>360</v>
      </c>
      <c r="AA4">
        <v>2360</v>
      </c>
      <c r="AB4">
        <v>1</v>
      </c>
      <c r="AD4" t="s">
        <v>269</v>
      </c>
      <c r="AE4" t="s">
        <v>270</v>
      </c>
      <c r="AF4">
        <v>2</v>
      </c>
      <c r="AG4" t="s">
        <v>28</v>
      </c>
      <c r="AH4">
        <v>101</v>
      </c>
      <c r="AI4" t="s">
        <v>278</v>
      </c>
      <c r="AJ4" t="s">
        <v>279</v>
      </c>
      <c r="AK4">
        <v>2</v>
      </c>
      <c r="AL4" t="s">
        <v>280</v>
      </c>
      <c r="AM4" s="8">
        <v>44204</v>
      </c>
      <c r="AN4" s="8">
        <v>44204</v>
      </c>
      <c r="AP4" t="s">
        <v>37</v>
      </c>
      <c r="AR4" t="s">
        <v>402</v>
      </c>
    </row>
    <row r="5" spans="1:44">
      <c r="A5" t="s">
        <v>273</v>
      </c>
      <c r="B5" t="s">
        <v>274</v>
      </c>
      <c r="C5" s="8">
        <v>45919</v>
      </c>
      <c r="D5" s="22">
        <v>45932.448761574073</v>
      </c>
      <c r="E5" t="s">
        <v>37</v>
      </c>
      <c r="G5">
        <v>6</v>
      </c>
      <c r="H5">
        <v>20609168961</v>
      </c>
      <c r="I5" t="s">
        <v>275</v>
      </c>
      <c r="J5" s="8">
        <v>45919</v>
      </c>
      <c r="P5">
        <v>1</v>
      </c>
      <c r="Q5">
        <v>232</v>
      </c>
      <c r="R5" t="s">
        <v>276</v>
      </c>
      <c r="S5" t="s">
        <v>277</v>
      </c>
      <c r="T5">
        <v>2</v>
      </c>
      <c r="U5">
        <v>1000</v>
      </c>
      <c r="V5">
        <v>1180</v>
      </c>
      <c r="X5">
        <v>2000</v>
      </c>
      <c r="Y5">
        <v>18</v>
      </c>
      <c r="Z5">
        <v>360</v>
      </c>
      <c r="AA5">
        <v>2360</v>
      </c>
      <c r="AB5">
        <v>1</v>
      </c>
      <c r="AD5" t="s">
        <v>269</v>
      </c>
      <c r="AE5" t="s">
        <v>270</v>
      </c>
      <c r="AF5">
        <v>2</v>
      </c>
      <c r="AG5" t="s">
        <v>28</v>
      </c>
      <c r="AH5">
        <v>101</v>
      </c>
      <c r="AI5" t="s">
        <v>278</v>
      </c>
      <c r="AJ5" t="s">
        <v>279</v>
      </c>
      <c r="AK5">
        <v>2</v>
      </c>
      <c r="AL5" t="s">
        <v>280</v>
      </c>
      <c r="AM5" s="8">
        <v>44204</v>
      </c>
      <c r="AN5" s="8">
        <v>44204</v>
      </c>
      <c r="AP5" t="s">
        <v>37</v>
      </c>
      <c r="AR5" t="s">
        <v>402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C186-089A-4780-8AFB-9C5BD27B8718}">
  <dimension ref="A1:B26"/>
  <sheetViews>
    <sheetView workbookViewId="0">
      <selection activeCell="A3" sqref="A3"/>
    </sheetView>
  </sheetViews>
  <sheetFormatPr baseColWidth="10" defaultRowHeight="15"/>
  <cols>
    <col min="1" max="2" width="40.28515625" bestFit="1" customWidth="1"/>
  </cols>
  <sheetData>
    <row r="1" spans="1:2">
      <c r="A1" s="1" t="s">
        <v>0</v>
      </c>
      <c r="B1" s="4" t="s">
        <v>0</v>
      </c>
    </row>
    <row r="2" spans="1:2">
      <c r="A2" s="1" t="s">
        <v>1</v>
      </c>
      <c r="B2" s="4" t="s">
        <v>1</v>
      </c>
    </row>
    <row r="3" spans="1:2">
      <c r="A3" s="1" t="s">
        <v>110</v>
      </c>
      <c r="B3" s="1" t="s">
        <v>2</v>
      </c>
    </row>
    <row r="4" spans="1:2">
      <c r="A4" s="1" t="s">
        <v>2</v>
      </c>
      <c r="B4" s="4" t="s">
        <v>3</v>
      </c>
    </row>
    <row r="5" spans="1:2">
      <c r="A5" s="1" t="s">
        <v>3</v>
      </c>
      <c r="B5" s="4" t="s">
        <v>4</v>
      </c>
    </row>
    <row r="6" spans="1:2">
      <c r="A6" s="1" t="s">
        <v>4</v>
      </c>
      <c r="B6" s="1" t="s">
        <v>5</v>
      </c>
    </row>
    <row r="7" spans="1:2">
      <c r="A7" s="1" t="s">
        <v>5</v>
      </c>
      <c r="B7" s="1" t="s">
        <v>6</v>
      </c>
    </row>
    <row r="8" spans="1:2">
      <c r="A8" s="1" t="s">
        <v>6</v>
      </c>
      <c r="B8" s="1" t="s">
        <v>7</v>
      </c>
    </row>
    <row r="9" spans="1:2">
      <c r="A9" s="1" t="s">
        <v>7</v>
      </c>
      <c r="B9" s="1" t="s">
        <v>8</v>
      </c>
    </row>
    <row r="10" spans="1:2">
      <c r="A10" s="1" t="s">
        <v>8</v>
      </c>
      <c r="B10" s="4" t="s">
        <v>9</v>
      </c>
    </row>
    <row r="11" spans="1:2">
      <c r="A11" s="1" t="s">
        <v>9</v>
      </c>
      <c r="B11" s="1" t="s">
        <v>10</v>
      </c>
    </row>
    <row r="12" spans="1:2">
      <c r="A12" s="1" t="s">
        <v>10</v>
      </c>
      <c r="B12" s="1" t="s">
        <v>11</v>
      </c>
    </row>
    <row r="13" spans="1:2">
      <c r="A13" s="1" t="s">
        <v>11</v>
      </c>
      <c r="B13" s="4" t="s">
        <v>12</v>
      </c>
    </row>
    <row r="14" spans="1:2">
      <c r="A14" s="1" t="s">
        <v>12</v>
      </c>
      <c r="B14" s="4" t="s">
        <v>13</v>
      </c>
    </row>
    <row r="15" spans="1:2">
      <c r="A15" s="1" t="s">
        <v>13</v>
      </c>
      <c r="B15" s="4" t="s">
        <v>14</v>
      </c>
    </row>
    <row r="16" spans="1:2">
      <c r="A16" s="1" t="s">
        <v>14</v>
      </c>
      <c r="B16" s="4" t="s">
        <v>15</v>
      </c>
    </row>
    <row r="17" spans="1:2">
      <c r="A17" s="1" t="s">
        <v>15</v>
      </c>
      <c r="B17" s="1" t="s">
        <v>16</v>
      </c>
    </row>
    <row r="18" spans="1:2">
      <c r="A18" s="1" t="s">
        <v>16</v>
      </c>
      <c r="B18" s="1" t="s">
        <v>17</v>
      </c>
    </row>
    <row r="19" spans="1:2">
      <c r="A19" s="1" t="s">
        <v>17</v>
      </c>
      <c r="B19" s="4" t="s">
        <v>18</v>
      </c>
    </row>
    <row r="20" spans="1:2">
      <c r="A20" s="1" t="s">
        <v>18</v>
      </c>
      <c r="B20" s="1" t="s">
        <v>19</v>
      </c>
    </row>
    <row r="21" spans="1:2">
      <c r="A21" s="1" t="s">
        <v>19</v>
      </c>
      <c r="B21" s="4" t="s">
        <v>20</v>
      </c>
    </row>
    <row r="22" spans="1:2">
      <c r="A22" s="1" t="s">
        <v>20</v>
      </c>
      <c r="B22" s="1" t="s">
        <v>21</v>
      </c>
    </row>
    <row r="23" spans="1:2">
      <c r="A23" s="1" t="s">
        <v>21</v>
      </c>
      <c r="B23" s="1" t="s">
        <v>22</v>
      </c>
    </row>
    <row r="24" spans="1:2">
      <c r="A24" s="1" t="s">
        <v>22</v>
      </c>
      <c r="B24" s="1" t="s">
        <v>23</v>
      </c>
    </row>
    <row r="25" spans="1:2">
      <c r="A25" s="1" t="s">
        <v>23</v>
      </c>
      <c r="B25" s="4" t="s">
        <v>24</v>
      </c>
    </row>
    <row r="26" spans="1:2">
      <c r="A2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FactClientes_InterfaceODOO</vt:lpstr>
      <vt:lpstr>Validaciones_odoo_inteface</vt:lpstr>
      <vt:lpstr>facturas_con_items_json</vt:lpstr>
      <vt:lpstr>Detalle1</vt:lpstr>
      <vt:lpstr>Detalle3</vt:lpstr>
      <vt:lpstr>validaciones_json</vt:lpstr>
      <vt:lpstr>Checklist</vt:lpstr>
      <vt:lpstr>Detalle2</vt:lpstr>
      <vt:lpstr>Comparacion nuevos campos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Zuniga</dc:creator>
  <cp:lastModifiedBy>u201823368 (Zuñiga Cordova, Johan Poul Hugo)</cp:lastModifiedBy>
  <dcterms:created xsi:type="dcterms:W3CDTF">2025-09-08T19:53:07Z</dcterms:created>
  <dcterms:modified xsi:type="dcterms:W3CDTF">2025-10-10T21:05:20Z</dcterms:modified>
</cp:coreProperties>
</file>