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Gastos\"/>
    </mc:Choice>
  </mc:AlternateContent>
  <xr:revisionPtr revIDLastSave="0" documentId="13_ncr:1_{DCF11CF0-5731-4EBB-8FFA-30E529A285DC}" xr6:coauthVersionLast="47" xr6:coauthVersionMax="47" xr10:uidLastSave="{00000000-0000-0000-0000-000000000000}"/>
  <bookViews>
    <workbookView xWindow="20370" yWindow="-1485" windowWidth="29040" windowHeight="15720" firstSheet="1" activeTab="4" xr2:uid="{00000000-000D-0000-FFFF-FFFF00000000}"/>
  </bookViews>
  <sheets>
    <sheet name="Ventas_odoo Interface" sheetId="1" r:id="rId1"/>
    <sheet name="Validaciones_odooInterface" sheetId="3" r:id="rId2"/>
    <sheet name="facturas_con_items_json" sheetId="4" r:id="rId3"/>
    <sheet name="Detalle1" sheetId="10" r:id="rId4"/>
    <sheet name="validaciones_json" sheetId="7" r:id="rId5"/>
    <sheet name="Checklist" sheetId="2" r:id="rId6"/>
  </sheets>
  <definedNames>
    <definedName name="_xlnm._FilterDatabase" localSheetId="0" hidden="1">'Ventas_odoo Interface'!$A$1:$AI$723</definedName>
  </definedNames>
  <calcPr calcId="191029"/>
  <pivotCaches>
    <pivotCache cacheId="2" r:id="rId7"/>
    <pivotCache cacheId="3" r:id="rId8"/>
    <pivotCache cacheId="4" r:id="rId9"/>
    <pivotCache cacheId="85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4" l="1"/>
  <c r="AT14" i="4"/>
  <c r="AT13" i="4"/>
  <c r="AT12" i="4"/>
  <c r="AT11" i="4"/>
  <c r="AT10" i="4"/>
  <c r="AT9" i="4"/>
  <c r="AT8" i="4"/>
  <c r="AT7" i="4"/>
  <c r="AT6" i="4"/>
  <c r="AT5" i="4"/>
  <c r="AT4" i="4"/>
  <c r="AT3" i="4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<sst xmlns="http://schemas.openxmlformats.org/spreadsheetml/2006/main" count="675" uniqueCount="252">
  <si>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</si>
  <si>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</si>
  <si>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</si>
  <si>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</si>
  <si>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</si>
  <si>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</si>
  <si>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</si>
  <si>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</si>
  <si>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</si>
  <si>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</si>
  <si>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</si>
  <si>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</si>
  <si>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</si>
  <si>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</si>
  <si>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</si>
  <si>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</si>
  <si>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</si>
  <si>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</si>
  <si>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</si>
  <si>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</si>
  <si>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</si>
  <si>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SAMUEL CHUQUISTA</t>
  </si>
  <si>
    <t>COLABORATIVA S.A.C.</t>
  </si>
  <si>
    <t>PEN</t>
  </si>
  <si>
    <t>Sin pagar</t>
  </si>
  <si>
    <t>Registrado</t>
  </si>
  <si>
    <t>Pagado</t>
  </si>
  <si>
    <t>A &amp; Q AYLLU S.A.C.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</si>
  <si>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</si>
  <si>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</si>
  <si>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</si>
  <si>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</si>
  <si>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</si>
  <si>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</si>
  <si>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</si>
  <si>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</si>
  <si>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</si>
  <si>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</si>
  <si>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</si>
  <si>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</si>
  <si>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</si>
  <si>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</si>
  <si>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</si>
  <si>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</si>
  <si>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</si>
  <si>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</si>
  <si>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</si>
  <si>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</si>
  <si>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</si>
  <si>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</si>
  <si>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</si>
  <si>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</si>
  <si>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Importe sin IGV por 1.Fecha Evento o 2.Fecha factura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</si>
  <si>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</si>
  <si>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</si>
  <si>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</si>
  <si>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</si>
  <si>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</si>
  <si>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</si>
  <si>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</si>
  <si>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</si>
  <si>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</si>
  <si>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</si>
  <si>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</si>
  <si>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</si>
  <si>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</si>
  <si>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</si>
  <si>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</si>
  <si>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</si>
  <si>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</si>
  <si>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</si>
  <si>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</si>
  <si>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</si>
  <si>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</si>
  <si>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</si>
  <si>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</si>
  <si>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</si>
  <si>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</si>
  <si>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</si>
  <si>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</si>
  <si>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</si>
  <si>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</si>
  <si>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</si>
  <si>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</si>
  <si>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</si>
  <si>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</si>
  <si>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</si>
  <si>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</si>
  <si>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</si>
  <si>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</si>
  <si>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</si>
  <si>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</si>
  <si>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</si>
  <si>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</si>
  <si>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FXG/00008</t>
  </si>
  <si>
    <t>COMIDA</t>
  </si>
  <si>
    <t>FXG/00007</t>
  </si>
  <si>
    <t>FLINK S.A.C.</t>
  </si>
  <si>
    <t>FXG/00006</t>
  </si>
  <si>
    <t>FXG/00005</t>
  </si>
  <si>
    <t>DELIVERY</t>
  </si>
  <si>
    <t>FXG/00003</t>
  </si>
  <si>
    <t>comida</t>
  </si>
  <si>
    <t>FXG/00002</t>
  </si>
  <si>
    <t>compra de agua</t>
  </si>
  <si>
    <t>FXG/00001</t>
  </si>
  <si>
    <t>Compra agua</t>
  </si>
  <si>
    <t>BILL0005</t>
  </si>
  <si>
    <t>BILL0004</t>
  </si>
  <si>
    <t>HOMECENTERS PERUANOS S.A.</t>
  </si>
  <si>
    <t>FXG/00004</t>
  </si>
  <si>
    <t>cena de aniversario vaope</t>
  </si>
  <si>
    <t>BILL0003</t>
  </si>
  <si>
    <t>TURISMO J.A.K.S.A</t>
  </si>
  <si>
    <t>Número</t>
  </si>
  <si>
    <t>Referencia de pago</t>
  </si>
  <si>
    <t>Tipo de gasto</t>
  </si>
  <si>
    <t>serie_correlativo</t>
  </si>
  <si>
    <t>numero</t>
  </si>
  <si>
    <t>nombre_empresa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</si>
  <si>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</si>
  <si>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</si>
  <si>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</si>
  <si>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</si>
  <si>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</si>
  <si>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</si>
  <si>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</si>
  <si>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</si>
  <si>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</si>
  <si>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</si>
  <si>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</si>
  <si>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</si>
  <si>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</si>
  <si>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item.codigo_producto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</si>
  <si>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</si>
  <si>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</si>
  <si>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</si>
  <si>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</si>
  <si>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</si>
  <si>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</si>
  <si>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</si>
  <si>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</si>
  <si>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</si>
  <si>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</si>
  <si>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item.id_tipo_gasto</t>
  </si>
  <si>
    <t>item.nom_tipo_gasto</t>
  </si>
  <si>
    <t>item.id_proveedor</t>
  </si>
  <si>
    <t>item.id_producto</t>
  </si>
  <si>
    <t>item.nom_producto</t>
  </si>
  <si>
    <t>item.categoria_producto</t>
  </si>
  <si>
    <t>item.Id_estado</t>
  </si>
  <si>
    <t>item.Nombre_estado</t>
  </si>
  <si>
    <t>item.id_cuenta</t>
  </si>
  <si>
    <t>item.nom_cuenta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</si>
  <si>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</si>
  <si>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</si>
  <si>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</si>
  <si>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</si>
  <si>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</si>
  <si>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</si>
  <si>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</si>
  <si>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F001</t>
  </si>
  <si>
    <t>00025478</t>
  </si>
  <si>
    <t>RUC</t>
  </si>
  <si>
    <t>[{'codigo_producto': '100', 'cantidad': '1', 'valor_unitario': 30.0, 'precio_unitario': 30.0, 'descuento': None, 'subtotal': 30.0, 'porcentaje_de_igv': '0.00', 'igv': 0.0, 'total': 30.0, 'moneda': '1', 'tipo_de_cambio': '', 'id_tipo_gasto': '', 'nom_tipo_gasto': 'Otros', 'id_proveedor': 1113, 'id_producto': 1780, 'nom_producto': 'SAMUEL CHUQUISTA: COMIDA', 'categoria_producto': 'EVENTOS', 'Id_estado': 'not_paid', 'Nombre_estado': 'Sin pagar', 'evento': {'id_evento': '', 'nom_evento': '', 'Fecha_hora_ini_event': '', 'Fecha_hora_fin_event': '', 'id_organizador': '', 'nom_organizador': '', 'tipo_organizador': ''}, 'id_cuenta': 6726, 'nom_cuenta': '6314100 AlimentaciÃ³n', 'distribucion_analitica': [[{'cÃ³digo': 84, 'nom_distribucion': 'Impresos', 'sub_categoria': 'OPERATIVOS', 'porcentaje': '100.00'}]]}]</t>
  </si>
  <si>
    <t>Otros</t>
  </si>
  <si>
    <t>SAMUEL CHUQUISTA: COMIDA</t>
  </si>
  <si>
    <t>EVENTOS</t>
  </si>
  <si>
    <t>not_paid</t>
  </si>
  <si>
    <t>6314100 AlimentaciÃ³n</t>
  </si>
  <si>
    <t>[[{'cÃ³digo': 84, 'nom_distribucion': 'Impresos', 'sub_categoria': 'OPERATIVOS', 'porcentaje': '100.00'}]]</t>
  </si>
  <si>
    <t>E001</t>
  </si>
  <si>
    <t>00000020</t>
  </si>
  <si>
    <t xml:space="preserve">FLINK S.A.C.
</t>
  </si>
  <si>
    <t>[{'codigo_producto': '100', 'cantidad': '1', 'valor_unitario': 50.0, 'precio_unitario': 59.0, 'descuento': None, 'subtotal': 50.0, 'porcentaje_de_igv': '18.00', 'igv': 9.0, 'total': 59.0, 'moneda': '1', 'tipo_de_cambio': '', 'id_tipo_gasto': '', 'nom_tipo_gasto': 'Otros', 'id_proveedor': 1555, 'id_producto': 1789, 'nom_producto': 'COMIDA', 'categoria_producto': 'EVENTOS', 'Id_estado': 'paid', 'Nombre_estado': 'Pagado', 'evento': {'id_evento': '', 'nom_evento': '', 'Fecha_hora_ini_event': '', 'Fecha_hora_fin_event': '', 'id_organizador': '', 'nom_organizador': '', 'tipo_organizador': ''}, 'id_cuenta': 6974, 'nom_cuenta': '1011104 Caja chica Responsable 2', 'distribucion_analitica': [[{'cÃ³digo': 84, 'nom_distribucion': 'Impresos', 'sub_categoria': 'OPERATIVOS', 'porcentaje': '100.00'}]]}]</t>
  </si>
  <si>
    <t>paid</t>
  </si>
  <si>
    <t>1011104 Caja chica Responsable 2</t>
  </si>
  <si>
    <t>FXG</t>
  </si>
  <si>
    <t>00006</t>
  </si>
  <si>
    <t>DNI</t>
  </si>
  <si>
    <t>[{'codigo_producto': '100', 'cantidad': '1', 'valor_unitario': 30.0, 'precio_unitario': 30.0, 'descuento': None, 'subtotal': 30.0, 'porcentaje_de_igv': '0.00', 'igv': 0.0, 'total': 30.0, 'moneda': '1', 'tipo_de_cambio': '', 'id_tipo_gasto': '', 'nom_tipo_gasto': 'Otros', 'id_proveedor': 3, 'id_producto': 1780, 'nom_producto': 'SAMUEL CHUQUISTA: COMIDA',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84, 'nom_distribucion': 'Impresos', 'sub_categoria': 'OPERATIVOS', 'porcentaje': '100.00'}]]}]</t>
  </si>
  <si>
    <t>00005</t>
  </si>
  <si>
    <t>[{'codigo_producto': '100', 'cantidad': '1', 'valor_unitario': 25.0, 'precio_unitario': 25.0, 'descuento': None, 'subtotal': 25.0, 'porcentaje_de_igv': '0.00', 'igv': 0.0, 'total': 25.0, 'moneda': '1', 'tipo_de_cambio': '', 'id_tipo_gasto': '', 'nom_tipo_gasto': 'Otros', 'id_proveedor': 3, 'id_producto': 1780, 'nom_producto': 'SAMUEL CHUQUISTA: DELIVERY',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81, 'nom_distribucion': 'Impresos', 'sub_categoria': 'DELIVERY', 'porcentaje': '100.00'}]]}]</t>
  </si>
  <si>
    <t>SAMUEL CHUQUISTA: DELIVERY</t>
  </si>
  <si>
    <t>[[{'cÃ³digo': 81, 'nom_distribucion': 'Impresos', 'sub_categoria': 'DELIVERY', 'porcentaje': '100.00'}]]</t>
  </si>
  <si>
    <t>00004</t>
  </si>
  <si>
    <t>[{'codigo_producto': '100', 'cantidad': '1', 'valor_unitario': 33.9, 'precio_unitario': 40.0, 'descuento': None, 'subtotal': 33.9, 'porcentaje_de_igv': '17.99', 'igv': 6.100000000000001, 'total': 40.0, 'moneda': '1', 'tipo_de_cambio': '', 'id_tipo_gasto': '', 'nom_tipo_gasto': 'Otros', 'id_proveedor': 3, 'id_producto': 1785, 'nom_producto': 'SAMUEL CHUQUISTA: movilidad', 'categoria_producto': 'Expenses',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[[{'cÃ³digo': 56, 'nom_distribucion': 'Administrativo', 'sub_categoria': 'CONTABLE', 'porcentaje': '100.00'}]]}, {'codigo_producto': '100', 'cantidad': '1', 'valor_unitario': 1694.92, 'precio_unitario': 2000.0, 'descuento': None, 'subtotal': 1694.92, 'porcentaje_de_igv': '18.00', 'igv': 305.0799999999999, 'total': 2000.0, 'moneda': '1', 'tipo_de_cambio': '', 'id_tipo_gasto': '', 'nom_tipo_gasto': 'Otros', 'id_proveedor': 3, 'id_producto': 1780, 'nom_producto': 'SAMUEL CHUQUISTA: cena de aniversario vaope',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55, 'nom_distribucion': 'Administrativo', 'sub_categoria': 'COMIDA', 'porcentaje': '100.00'}]]}]</t>
  </si>
  <si>
    <t>SAMUEL CHUQUISTA: movilidad</t>
  </si>
  <si>
    <t>Expenses</t>
  </si>
  <si>
    <t>6329000 AsesorÃ­a y consultorÃ­a - Otros</t>
  </si>
  <si>
    <t>[[{'cÃ³digo': 56, 'nom_distribucion': 'Administrativo', 'sub_categoria': 'CONTABLE', 'porcentaje': '100.00'}]]</t>
  </si>
  <si>
    <t>SAMUEL CHUQUISTA: cena de aniversario vaope</t>
  </si>
  <si>
    <t>[[{'cÃ³digo': 55, 'nom_distribucion': 'Administrativo', 'sub_categoria': 'COMIDA', 'porcentaje': '100.00'}]]</t>
  </si>
  <si>
    <t>00003</t>
  </si>
  <si>
    <t>[{'codigo_producto': '100', 'cantidad': '1', 'valor_unitario': 63.56, 'precio_unitario': 75.0, 'descuento': None, 'subtotal': 63.56, 'porcentaje_de_igv': '18.00', 'igv': 11.439999999999998, 'total': 75.0, 'moneda': '1', 'tipo_de_cambio': '', 'id_tipo_gasto': '', 'nom_tipo_gasto': 'Otros', 'id_proveedor': 3, 'id_producto': 1780, 'nom_producto': 'SAMUEL CHUQUISTA: comida',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[[{'cÃ³digo': 55, 'nom_distribucion': 'Administrativo', 'sub_categoria': 'COMIDA', 'porcentaje': '100.00'}]]}]</t>
  </si>
  <si>
    <t>SAMUEL CHUQUISTA: comida</t>
  </si>
  <si>
    <t>00002</t>
  </si>
  <si>
    <t>[{'codigo_producto': '100', 'cantidad': '1', 'valor_unitario': 50.85, 'precio_unitario': 60.0, 'descuento': None, 'subtotal': 50.85, 'porcentaje_de_igv': '17.99', 'igv': 9.149999999999999, 'total': 60.0, 'moneda': '1', 'tipo_de_cambio': '', 'id_tipo_gasto': '', 'nom_tipo_gasto': 'Otros', 'id_proveedor': 3, 'id_producto': 1780, 'nom_producto': 'SAMUEL CHUQUISTA: compra de agua',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'', 'nom_distribucion': '', 'sub_categoria': '', 'porcentaje': '100.00'}]]}]</t>
  </si>
  <si>
    <t>SAMUEL CHUQUISTA: compra de agua</t>
  </si>
  <si>
    <t>[[{'cÃ³digo': '', 'nom_distribucion': '', 'sub_categoria': '', 'porcentaje': '100.00'}]]</t>
  </si>
  <si>
    <t>[{'codigo_producto': '100', 'cantidad': '1', 'valor_unitario': 50.85, 'precio_unitario': 60.0, 'descuento': None, 'subtotal': 50.85, 'porcentaje_de_igv': '17.99', 'igv': 9.149999999999999, 'total': 60.0, 'moneda': '1', 'tipo_de_cambio': '', 'id_tipo_gasto': '', 'nom_tipo_gasto': 'Otros', 'id_proveedor': 3, 'id_producto': 1780, 'nom_producto': 'SAMUEL CHUQUISTA: compra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6726, 'nom_cuenta': '6314100 AlimentaciÃ³n', 'distribucion_analitica': [[{'cÃ³digo': '', 'nom_distribucion': '', 'sub_categoria': '', 'porcentaje': '100.00'}]]}]</t>
  </si>
  <si>
    <t>00001</t>
  </si>
  <si>
    <t>[{'codigo_producto': '100', 'cantidad': '1', 'valor_unitario': 60.0, 'precio_unitario': 60.0, 'descuento': None, 'subtotal': 60.0, 'porcentaje_de_igv': '0.00', 'igv': 0.0, 'total': 60.0, 'moneda': '1', 'tipo_de_cambio': '', 'id_tipo_gasto': '', 'nom_tipo_gasto': 'Otros', 'id_proveedor': 3, 'id_producto': 1780, 'nom_producto': 'SAMUEL CHUQUISTA: compra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6576, 'nom_cuenta': '4211101 Facturas, bol. y otros No emitidas MN', 'distribucion_analitica': [[{'cÃ³digo': '', 'nom_distribucion': '', 'sub_categoria': '', 'porcentaje': '100.00'}]]}]</t>
  </si>
  <si>
    <t>4211101 Facturas, bol. y otros No emitidas MN</t>
  </si>
  <si>
    <t>00002222</t>
  </si>
  <si>
    <t>[{'codigo_producto': '100', 'cantidad': '1', 'valor_unitario': 31.27, 'precio_unitario': 36.9, 'descuento': None, 'subtotal': 31.27, 'porcentaje_de_igv': '18.00', 'igv': 5.629999999999999, 'total': 36.9, 'moneda': '1', 'tipo_de_cambio': '', 'id_tipo_gasto': '', 'nom_tipo_gasto': 'Otros', 'id_proveedor': 1586, 'id_producto': 1766, 'nom_producto': 'PASAJE DE BUS ZE CARLOS RETORNO',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[[{'cÃ³digo': 132, 'nom_distribucion': 'Validadores', 'sub_categoria': 'VIÃTICOS', 'porcentaje': '100.00'}]]}]</t>
  </si>
  <si>
    <t>PASAJE DE BUS ZE CARLOS RETORNO</t>
  </si>
  <si>
    <t>6315100 Otros gastos de viaje</t>
  </si>
  <si>
    <t>[[{'cÃ³digo': 132, 'nom_distribucion': 'Validadores', 'sub_categoria': 'VIÃTICOS', 'porcentaje': '100.00'}]]</t>
  </si>
  <si>
    <t>00002224</t>
  </si>
  <si>
    <t>[{'codigo_producto': '100', 'cantidad': '1', 'valor_unitario': 308.82, 'precio_unitario': 364.41, 'descuento': None, 'subtotal': 308.82, 'porcentaje_de_igv': '18.00', 'igv': 55.59000000000003, 'total': 364.41, 'moneda': '1', 'tipo_de_cambio': '', 'id_tipo_gasto': '', 'nom_tipo_gasto': 'Otros', 'id_proveedor': 1555, 'id_producto': 1654, 'nom_producto': 'BRAZALETE TYVEK',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[[{'cÃ³digo': 83, 'nom_distribucion': 'Impresos', 'sub_categoria': 'INSUMO', 'porcentaje': '100.00'}]]}]</t>
  </si>
  <si>
    <t>BRAZALETE TYVEK</t>
  </si>
  <si>
    <t>602112 Insumos</t>
  </si>
  <si>
    <t>[[{'cÃ³digo': 83, 'nom_distribucion': 'Impresos', 'sub_categoria': 'INSUMO', 'porcentaje': '100.00'}]]</t>
  </si>
  <si>
    <t>00002223</t>
  </si>
  <si>
    <t>[{'codigo_producto': '100', 'cantidad': '1', 'valor_unitario': 149.97, 'precio_unitario': 176.96, 'descuento': None, 'subtotal': 149.97, 'porcentaje_de_igv': '18.00', 'igv': 26.99000000000001, 'total': 176.96, 'moneda': '1', 'tipo_de_cambio': '', 'id_tipo_gasto': '', 'nom_tipo_gasto': 'Otros', 'id_proveedor': 1392, 'id_producto': 1745, 'nom_producto': 'ESCOBA, RECOGEDOR Y 2 TACHOS PARA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6733, 'nom_cuenta': '6326100 PROYECTO Y DESARROLLO', 'distribucion_analitica': [[{'cÃ³digo': 110, 'nom_distribucion': 'Administrativo', 'sub_categoria': 'PROYECTO', 'porcentaje': '100.00'}]]}]</t>
  </si>
  <si>
    <t>ESCOBA, RECOGEDOR Y 2 TACHOS PARA OFICINA</t>
  </si>
  <si>
    <t>6326100 PROYECTO Y DESARROLLO</t>
  </si>
  <si>
    <t>[[{'cÃ³digo': 110, 'nom_distribucion': 'Administrativo', 'sub_categoria': 'PROYECTO', 'porcentaje': '100.00'}]]</t>
  </si>
  <si>
    <t>Cuenta de Fecha de factura</t>
  </si>
  <si>
    <t>Suma de Impuesto firmado</t>
  </si>
  <si>
    <t>Suma de Total firmado</t>
  </si>
  <si>
    <t>May</t>
  </si>
  <si>
    <t>Jun</t>
  </si>
  <si>
    <t>UNIFICADO</t>
  </si>
  <si>
    <t>Importes por Fecha factura JSON</t>
  </si>
  <si>
    <t>Importes por Fecha factura ODOO</t>
  </si>
  <si>
    <t>JSON</t>
  </si>
  <si>
    <t>DESCARGA ODOO</t>
  </si>
  <si>
    <t>Pruebas Johan:</t>
  </si>
  <si>
    <t>Resultados</t>
  </si>
  <si>
    <t>Observaciones</t>
  </si>
  <si>
    <t>Cantidad</t>
  </si>
  <si>
    <t>Cuenta de fecha_de_emision</t>
  </si>
  <si>
    <t>Suma de item.subtotal</t>
  </si>
  <si>
    <t>Suma de item.igv</t>
  </si>
  <si>
    <t>Suma de item.total</t>
  </si>
  <si>
    <t xml:space="preserve"> 85 facturas unicas:</t>
  </si>
  <si>
    <t>Cuenta de UNIFICADO</t>
  </si>
  <si>
    <t>F00100025478</t>
  </si>
  <si>
    <t>E00100000020</t>
  </si>
  <si>
    <t>FXG00006</t>
  </si>
  <si>
    <t>FXG00005</t>
  </si>
  <si>
    <t>FXG00004</t>
  </si>
  <si>
    <t>FXG00003</t>
  </si>
  <si>
    <t>FXG00002</t>
  </si>
  <si>
    <t>FXG00001</t>
  </si>
  <si>
    <t>F00100002222</t>
  </si>
  <si>
    <t>F00100002224</t>
  </si>
  <si>
    <t>F00100002223</t>
  </si>
  <si>
    <t>Detalles para Cantidad - UNIFICADO: FXG00004</t>
  </si>
  <si>
    <t>item.evento.tipo_organizador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</si>
</sst>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 indent="1"/>
    </xf>
    <xf numFmtId="0" fontId="5" fillId="0" borderId="0" xfId="0" quotePrefix="1" applyFont="1"/>
    <xf numFmtId="0" fontId="4" fillId="0" borderId="0" xfId="0" pivotButton="1" applyFont="1"/>
    <xf numFmtId="0" fontId="4" fillId="0" borderId="0" xfId="0" applyNumberFormat="1" applyFont="1"/>
    <xf numFmtId="0" fontId="0" fillId="0" borderId="0" xfId="0" quotePrefix="1" applyNumberFormat="1"/>
  </cellXfs>
  <cellStyles count="1">
    <cellStyle name="Normal" xfId="0" builtinId="0"/>
  </cellStyles>
  <dxfs count="176">
    <dxf>
      <numFmt numFmtId="19" formatCode="d/mm/yyyy"/>
    </dxf>
    <dxf>
      <numFmt numFmtId="27" formatCode="d/mm/yyyy\ hh:mm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659131</xdr:colOff>
      <xdr:row>25</xdr:row>
      <xdr:rowOff>30480</xdr:rowOff>
    </xdr:from>
    <xdr:to>
      <xdr:col>6</xdr:col>
      <xdr:colOff>2428875</xdr:colOff>
      <xdr:row>43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777D580-BFD0-4070-A3A7-D76486578D82}"/>
            </a:ext>
          </a:extLst>
        </xdr:cNvPr>
        <xdr:cNvSpPr txBox="1"/>
      </xdr:nvSpPr>
      <xdr:spPr>
        <a:xfrm>
          <a:off x="6812281" y="4735830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08.728289930557" createdVersion="8" refreshedVersion="8" minRefreshableVersion="3" recordCount="445" xr:uid="{6502BB74-7290-4CC9-ACE6-2CC1C563353D}">
  <cacheSource type="worksheet">
    <worksheetSource ref="A1:AI446" sheet="Ventas_odoo Interface"/>
  </cacheSource>
  <cacheFields count="39">
    <cacheField name="Número de Documento" numFmtId="4">
      <sharedItems/>
    </cacheField>
    <cacheField name="VAOPE Codigo Evento" numFmtId="4">
      <sharedItems containsSemiMixedTypes="0" containsString="0" containsNumber="1" containsInteger="1" minValue="0" maxValue="2525"/>
    </cacheField>
    <cacheField name="Nombre del tipo" numFmtId="4">
      <sharedItems/>
    </cacheField>
    <cacheField name="Nombre del contacto a mostrar en la factura" numFmtId="4">
      <sharedItems/>
    </cacheField>
    <cacheField name="Fecha de factura" numFmtId="0">
      <sharedItems containsNonDate="0" containsDate="1" containsString="0" containsBlank="1" minDate="2025-01-03T00:00:00" maxDate="2025-09-09T00:00:00"/>
    </cacheField>
    <cacheField name="Fecha" numFmtId="164">
      <sharedItems containsSemiMixedTypes="0" containsNonDate="0" containsDate="1" containsString="0" minDate="2025-01-03T00:00:00" maxDate="2025-09-09T00:00:00"/>
    </cacheField>
    <cacheField name="Fecha de vencimiento" numFmtId="164">
      <sharedItems containsSemiMixedTypes="0" containsNonDate="0" containsDate="1" containsString="0" minDate="2025-01-03T00:00:00" maxDate="2025-09-09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" maxValue="6508.39"/>
    </cacheField>
    <cacheField name="Impuesto firmado" numFmtId="4">
      <sharedItems containsString="0" containsBlank="1" containsNumber="1" minValue="0.18" maxValue="1171.51"/>
    </cacheField>
    <cacheField name="Total firmado" numFmtId="4">
      <sharedItems containsString="0" containsBlank="1" containsNumber="1" minValue="1.18" maxValue="7679.9"/>
    </cacheField>
    <cacheField name="Total en divisa firmado" numFmtId="4">
      <sharedItems containsString="0" containsBlank="1" containsNumber="1" minValue="1.18" maxValue="7679.9"/>
    </cacheField>
    <cacheField name="Importe pendiente firmado" numFmtId="4">
      <sharedItems containsString="0" containsBlank="1" containsNumber="1" minValue="1.18" maxValue="7679.9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1899-12-30T00:00:00" maxDate="2025-09-09T00:00:00" count="27">
        <d v="2025-09-08T00:00:00"/>
        <d v="2025-09-03T00:00:00"/>
        <d v="2025-09-02T00:00:00"/>
        <d v="2025-08-29T00:00:00"/>
        <d v="2025-08-27T00:00:00"/>
        <d v="1899-12-30T00:00:00"/>
        <d v="2025-08-25T00:00:00"/>
        <d v="2025-08-22T00:00:00"/>
        <d v="2025-03-27T00:00:00"/>
        <d v="2025-03-23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38"/>
    </cacheField>
    <cacheField name="Meses (FechaEvento_fechaFactura)" numFmtId="0" databaseField="0">
      <fieldGroup base="35">
        <rangePr groupBy="months" startDate="1899-12-30T00:00:00" endDate="2025-09-09T00:00:00"/>
        <groupItems count="14">
          <s v="&lt;0/01/190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9/09/2025"/>
        </groupItems>
      </fieldGroup>
    </cacheField>
    <cacheField name="Trimestres (FechaEvento_fechaFactura)" numFmtId="0" databaseField="0">
      <fieldGroup base="35">
        <rangePr groupBy="quarters" startDate="1899-12-30T00:00:00" endDate="2025-09-09T00:00:00"/>
        <groupItems count="6">
          <s v="&lt;0/01/1900"/>
          <s v="Trim.1"/>
          <s v="Trim.2"/>
          <s v="Trim.3"/>
          <s v="Trim.4"/>
          <s v="&gt;9/09/2025"/>
        </groupItems>
      </fieldGroup>
    </cacheField>
    <cacheField name="Años (FechaEvento_fechaFactura)" numFmtId="0" databaseField="0">
      <fieldGroup base="35">
        <rangePr groupBy="years" startDate="1899-12-30T00:00:00" endDate="2025-09-09T00:00:00"/>
        <groupItems count="128">
          <s v="&lt;0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9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0.436047337964" createdVersion="8" refreshedVersion="8" minRefreshableVersion="3" recordCount="445" xr:uid="{F2631290-5F5C-4E28-B690-1197C93482C5}">
  <cacheSource type="worksheet">
    <worksheetSource ref="A1:AG446" sheet="Ventas_odoo Interface"/>
  </cacheSource>
  <cacheFields count="33">
    <cacheField name="Número" numFmtId="4">
      <sharedItems containsBlank="1"/>
    </cacheField>
    <cacheField name="VAOPE Codigo Evento" numFmtId="4">
      <sharedItems containsString="0" containsBlank="1" containsNumber="1" containsInteger="1" minValue="0" maxValue="0"/>
    </cacheField>
    <cacheField name="Nombre del contacto a mostrar en la factura" numFmtId="4">
      <sharedItems containsBlank="1" count="84">
        <s v="A &amp; Q AYLLU S.A.C."/>
        <s v="FLINK S.A.C."/>
        <s v="SAMUEL CHUQUISTA"/>
        <s v="HOMECENTERS PERUANOS S.A."/>
        <s v="TURISMO J.A.K.S.A"/>
        <m/>
        <s v="CORPORACION MUKANRANKO S.A.C." u="1"/>
        <s v="JP Producciones Generales EIRL" u="1"/>
        <s v="RF PROMOTORA DE ESPECTACULOS E.I.R.L" u="1"/>
        <s v="G &amp; N MUSIC S.A.C." u="1"/>
        <s v="PERUVIAN PRODUCTIONS SOCIEDAD ANONIMA CERRADA" u="1"/>
        <s v="MACHA MUNIVE JULIO" u="1"/>
        <s v="REYNOSO BENDEZU CARLOS ARTURO" u="1"/>
        <s v="RODRIGO ANTONIO QUISPE MONTAÑEZ" u="1"/>
        <s v="FIESTA KARIBEÑA SOCIEDAD ANONIMA CERRADA" u="1"/>
        <s v="MAKWA ENTERTAINMENT S.A.C." u="1"/>
        <s v="LA MATARINA PUENTE PIEDRA E.I.R.L." u="1"/>
        <s v="CONSORCIO CHUNGA &amp; ASOCIADOS S.A.C." u="1"/>
        <s v="COMPLEJO TURISTICO EL REMANSO SAC" u="1"/>
        <s v="TARPUY PRODUCCIONES E.I.R.L." u="1"/>
        <s v="SEVAFRA SAC" u="1"/>
        <s v="MULTISERVICIOS YATACO E.I.R.L." u="1"/>
        <s v="EL PADRINO DIVERSIONES S.A.C." u="1"/>
        <s v="INVERSIONES SAM &amp; ASOCIADOS SAC" u="1"/>
        <s v="NEGOCIACIONES Y PRODUCCIONES VEGA S.A.C" u="1"/>
        <s v="CARDANO PRODUCCIONES S.A.C." u="1"/>
        <s v="JDA BUSINESS PERU S.A.C." u="1"/>
        <s v="RAMOS CRUZ MILAGRITOS" u="1"/>
        <s v="TORRES TOVAR WILDER" u="1"/>
        <s v="EULALIA GAUDENCIA PEREZ CARHUAMACA" u="1"/>
        <s v="JULIO MACHA MUNIVE" u="1"/>
        <s v="YARIT ZARI ALANYA PEREZ" u="1"/>
        <s v="Erol Aylas Marquiño" u="1"/>
        <s v="Humberto Ronald Mendoza Chacha" u="1"/>
        <s v="Piero Macha Perez" u="1"/>
        <s v="GARELD ZAID HERRERA CARDENAS" u="1"/>
        <s v="JAVIER ABEL SANCHEZ NUNTON" u="1"/>
        <s v="JESUS MANUEL COTRINA CORPUS" u="1"/>
        <s v="CHAMORRO AYALA ERIKA SOLEDAD" u="1"/>
        <s v="JHON DANNY BERNABLE BERNABLE" u="1"/>
        <s v="SILVIA SEMIRA SANCHEZ SANGAMA" u="1"/>
        <s v="ALEJANDRA FLORES TICONA" u="1"/>
        <s v="JORGE ANDRES RAMOS VILCAS" u="1"/>
        <s v="MOGROVEJO RAMOS ERWIN KERMER" u="1"/>
        <s v="RESTAURANTE RECEPCIONES CHEPITA ROYAL EMPRESA INDIVIDUAL DE RESPONSABILIDAD LIMITADA" u="1"/>
        <s v="MARIA ANTONELA GUERRERO GONZALES" u="1"/>
        <s v="EMPRESA PROMOTORA DE EVENTOS MAGDA PERU S.A.C." u="1"/>
        <s v="3A BUSINESS EMPRESA INDIVIDUAL DE RESPONSABILIDAD LIMITADA" u="1"/>
        <s v="JC SAN MARTIN EN SU SALSA E.I.R.L." u="1"/>
        <s v="MARIA ALICIA CORONADO MALUQUIS" u="1"/>
        <s v="ORLANDO ALDAIR POMACAJA CARVO" u="1"/>
        <s v="NAHOMY TRILCE CHAMORRO TORRES" u="1"/>
        <s v="JOHEL EDWIN RICALDI ARIAS" u="1"/>
        <s v="JESSMIR PRODUCCIONES S.A.C." u="1"/>
        <s v="FENCO GORDILLO MAXIMO" u="1"/>
        <s v="M.C.A. SERVICIOS INDUSTRIALES E.I.R.L." u="1"/>
        <s v="JHONATHAN CALDERON QUISPE" u="1"/>
        <s v="JORGE NIKITA GALLO PEREZ" u="1"/>
        <s v="FIESTAS BRAVAS GROUP S.A.C." u="1"/>
        <s v="GEINER DAVID QUIROZ GIL" u="1"/>
        <s v="PROMOTORA Y SONIDO MUSICAL WC E.I.R.L." u="1"/>
        <s v="LIMA VIAJES Y TURISMO S.A.C." u="1"/>
        <s v="ALFREDO CALDERON MEDINA" u="1"/>
        <s v="ALAN GUILLERMO PAUCAR GARRO" u="1"/>
        <s v="EMILIANO MINCHOLA RIVEROS" u="1"/>
        <s v="EMPRESA OK MEDIOS PERU S.A.C." u="1"/>
        <s v="ESPECTACULOS MARCABALITO S.A.C." u="1"/>
        <s v="LA PLAZA GASTRONOMICA S.A.C." u="1"/>
        <s v="ECO CABAÑAS DEL ESTE S.A.C." u="1"/>
        <s v="SABORES CRIOLLOS DEL PERU S.A.C." u="1"/>
        <s v="SAOCO FR E.I.R.L." u="1"/>
        <s v="PROMOTORA SR. DE MURUHUAY E.I.R.L." u="1"/>
        <s v="COJAL ARROYO JAVIER MARCIANO" u="1"/>
        <s v="SUPER LEO SAC" u="1"/>
        <s v="MAQUINA DEL TIEMPO S.A.C." u="1"/>
        <s v="ADRIAN DOLORES FLORES" u="1"/>
        <s v="ALEX DARWIN MUERAS PORRAS" u="1"/>
        <s v="Dilbert Aguilar" u="1"/>
        <s v="MARGARITA ARROYO FLORES" u="1"/>
        <s v="HERMOGENES HUAMAN ESPINOZA" u="1"/>
        <s v="JOSE CORPUS CERDAN DIAZ" u="1"/>
        <s v="JENNER ROBERTO CRISANTA RIOS" u="1"/>
        <s v="CRISTHIAM ABEL ALDANA CASTILLO" u="1"/>
        <s v="PERCY ORDINOLA" u="1"/>
      </sharedItems>
    </cacheField>
    <cacheField name="Fecha de factura" numFmtId="164">
      <sharedItems containsNonDate="0" containsDate="1" containsString="0" containsBlank="1" minDate="2025-05-22T00:00:00" maxDate="2025-06-24T00:00:00"/>
    </cacheField>
    <cacheField name="Fecha" numFmtId="164">
      <sharedItems containsNonDate="0" containsDate="1" containsString="0" containsBlank="1" minDate="2025-05-27T00:00:00" maxDate="2025-06-14T00:00:00"/>
    </cacheField>
    <cacheField name="Fecha de vencimiento" numFmtId="164">
      <sharedItems containsNonDate="0" containsDate="1" containsString="0" containsBlank="1" minDate="2025-05-22T00:00:00" maxDate="2025-06-24T00:00:00"/>
    </cacheField>
    <cacheField name="Origen" numFmtId="4">
      <sharedItems containsNonDate="0" containsString="0" containsBlank="1"/>
    </cacheField>
    <cacheField name="Referencia de pago" numFmtId="4">
      <sharedItems containsNonDate="0" containsString="0" containsBlank="1"/>
    </cacheField>
    <cacheField name="Referencia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 containsBlank="1"/>
    </cacheField>
    <cacheField name="Importe sin impuestos firmado" numFmtId="4">
      <sharedItems containsString="0" containsBlank="1" containsNumber="1" minValue="-1728.82" maxValue="-25"/>
    </cacheField>
    <cacheField name="Impuesto firmado" numFmtId="4">
      <sharedItems containsString="0" containsBlank="1" containsNumber="1" minValue="-311.18" maxValue="-5.63"/>
    </cacheField>
    <cacheField name="Total firmado" numFmtId="4">
      <sharedItems containsString="0" containsBlank="1" containsNumber="1" minValue="-2040" maxValue="-25"/>
    </cacheField>
    <cacheField name="Total en divisa firmado" numFmtId="4">
      <sharedItems containsString="0" containsBlank="1" containsNumber="1" minValue="-2040" maxValue="-25"/>
    </cacheField>
    <cacheField name="Importe pendiente firmado" numFmtId="4">
      <sharedItems containsString="0" containsBlank="1" containsNumber="1" minValue="-364.41" maxValue="-30"/>
    </cacheField>
    <cacheField name="Moneda" numFmtId="4">
      <sharedItems containsBlank="1"/>
    </cacheField>
    <cacheField name="Por revisar" numFmtId="4">
      <sharedItems containsBlank="1"/>
    </cacheField>
    <cacheField name="Estado de pago" numFmtId="4">
      <sharedItems containsBlank="1"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 containsBlank="1" count="4">
        <s v="Registrado"/>
        <m/>
        <s v="Borrador" u="1"/>
        <s v="Cancelado" u="1"/>
      </sharedItems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0.439463425922" createdVersion="8" refreshedVersion="8" minRefreshableVersion="3" recordCount="12" xr:uid="{32C25407-6F60-49A6-A368-1636E82C1A2C}">
  <cacheSource type="worksheet">
    <worksheetSource ref="A1:AI13" sheet="Ventas_odoo Interface"/>
  </cacheSource>
  <cacheFields count="40">
    <cacheField name="Número" numFmtId="4">
      <sharedItems containsBlank="1" count="12">
        <s v="FXG/00008"/>
        <s v="FXG/00007"/>
        <s v="FXG/00006"/>
        <s v="FXG/00005"/>
        <s v="FXG/00003"/>
        <s v="FXG/00002"/>
        <s v="FXG/00001"/>
        <s v="BILL0005"/>
        <s v="BILL0004"/>
        <m/>
        <s v="FXG/00004"/>
        <s v="BILL0003"/>
      </sharedItems>
    </cacheField>
    <cacheField name="VAOPE Codigo Evento" numFmtId="4">
      <sharedItems containsSemiMixedTypes="0" containsString="0" containsNumber="1" containsInteger="1" minValue="0" maxValue="0"/>
    </cacheField>
    <cacheField name="Nombre del contacto a mostrar en la factura" numFmtId="4">
      <sharedItems/>
    </cacheField>
    <cacheField name="Fecha de factura" numFmtId="164">
      <sharedItems containsSemiMixedTypes="0" containsNonDate="0" containsDate="1" containsString="0" minDate="2025-05-22T00:00:00" maxDate="2025-06-24T00:00:00" count="7">
        <d v="2025-06-23T00:00:00"/>
        <d v="2025-06-13T00:00:00"/>
        <d v="2025-06-04T00:00:00"/>
        <d v="2025-06-02T00:00:00"/>
        <d v="2025-05-23T00:00:00"/>
        <d v="2025-05-22T00:00:00"/>
        <d v="2025-05-27T00:00:00"/>
      </sharedItems>
      <fieldGroup par="39"/>
    </cacheField>
    <cacheField name="Fecha" numFmtId="164">
      <sharedItems containsSemiMixedTypes="0" containsNonDate="0" containsDate="1" containsString="0" minDate="2025-05-27T00:00:00" maxDate="2025-06-14T00:00:00"/>
    </cacheField>
    <cacheField name="Fecha de vencimiento" numFmtId="164">
      <sharedItems containsSemiMixedTypes="0" containsNonDate="0" containsDate="1" containsString="0" minDate="2025-05-22T00:00:00" maxDate="2025-06-24T00:00:00"/>
    </cacheField>
    <cacheField name="Origen" numFmtId="4">
      <sharedItems containsNonDate="0" containsString="0" containsBlank="1"/>
    </cacheField>
    <cacheField name="Referencia de pago" numFmtId="4">
      <sharedItems containsNonDate="0" containsString="0" containsBlank="1"/>
    </cacheField>
    <cacheField name="Referencia" numFmtId="4">
      <sharedItems containsBlank="1"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emiMixedTypes="0" containsString="0" containsNumber="1" minValue="-1728.82" maxValue="-25"/>
    </cacheField>
    <cacheField name="Impuesto firmado" numFmtId="4">
      <sharedItems containsString="0" containsBlank="1" containsNumber="1" minValue="-311.18" maxValue="-5.63"/>
    </cacheField>
    <cacheField name="Total firmado" numFmtId="4">
      <sharedItems containsSemiMixedTypes="0" containsString="0" containsNumber="1" minValue="-2040" maxValue="-25"/>
    </cacheField>
    <cacheField name="Total en divisa firmado" numFmtId="4">
      <sharedItems containsSemiMixedTypes="0" containsString="0" containsNumber="1" minValue="-2040" maxValue="-25"/>
    </cacheField>
    <cacheField name="Importe pendiente firmado" numFmtId="4">
      <sharedItems containsString="0" containsBlank="1" containsNumber="1" minValue="-364.41" maxValue="-30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/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5-22T00:00:00" maxDate="2025-06-24T00:00:00" count="7">
        <d v="2025-06-23T00:00:00"/>
        <d v="2025-06-13T00:00:00"/>
        <d v="2025-06-04T00:00:00"/>
        <d v="2025-06-02T00:00:00"/>
        <d v="2025-05-23T00:00:00"/>
        <d v="2025-05-22T00:00:00"/>
        <d v="2025-05-27T00:00:00"/>
      </sharedItems>
      <fieldGroup par="37"/>
    </cacheField>
    <cacheField name="Meses (FechaEvento_fechaFactura)" numFmtId="0" databaseField="0">
      <fieldGroup base="34">
        <rangePr groupBy="months" startDate="2025-05-22T00:00:00" endDate="2025-06-24T00:00:00"/>
        <groupItems count="14">
          <s v="&lt;22/05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4/06/2025"/>
        </groupItems>
      </fieldGroup>
    </cacheField>
    <cacheField name="Trimestres (FechaEvento_fechaFactura)" numFmtId="0" databaseField="0">
      <fieldGroup base="34">
        <rangePr groupBy="quarters" startDate="2025-05-22T00:00:00" endDate="2025-06-24T00:00:00"/>
        <groupItems count="6">
          <s v="&lt;22/05/2025"/>
          <s v="Trim.1"/>
          <s v="Trim.2"/>
          <s v="Trim.3"/>
          <s v="Trim.4"/>
          <s v="&gt;24/06/2025"/>
        </groupItems>
      </fieldGroup>
    </cacheField>
    <cacheField name="Años (FechaEvento_fechaFactura)" numFmtId="0" databaseField="0">
      <fieldGroup base="34">
        <rangePr groupBy="years" startDate="2025-05-22T00:00:00" endDate="2025-06-24T00:00:00"/>
        <groupItems count="3">
          <s v="&lt;22/05/2025"/>
          <s v="2025"/>
          <s v="&gt;24/06/2025"/>
        </groupItems>
      </fieldGroup>
    </cacheField>
    <cacheField name="Días (Fecha de factura)" numFmtId="0" databaseField="0">
      <fieldGroup base="3">
        <rangePr groupBy="days" startDate="2025-05-22T00:00:00" endDate="2025-06-24T00:00:00"/>
        <groupItems count="368">
          <s v="&lt;22/05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06/2025"/>
        </groupItems>
      </fieldGroup>
    </cacheField>
    <cacheField name="Meses (Fecha de factura)" numFmtId="0" databaseField="0">
      <fieldGroup base="3">
        <rangePr groupBy="months" startDate="2025-05-22T00:00:00" endDate="2025-06-24T00:00:00"/>
        <groupItems count="14">
          <s v="&lt;22/05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4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0.682218287038" createdVersion="8" refreshedVersion="8" minRefreshableVersion="3" recordCount="13" xr:uid="{BA68C661-E14F-46F7-88BD-2D0E6E9399D1}">
  <cacheSource type="worksheet">
    <worksheetSource ref="A1:AT14" sheet="facturas_con_items_json"/>
  </cacheSource>
  <cacheFields count="48">
    <cacheField name="serie_correlativo" numFmtId="0">
      <sharedItems containsBlank="1"/>
    </cacheField>
    <cacheField name="numero" numFmtId="0">
      <sharedItems containsBlank="1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6-02T00:00:00" maxDate="2025-06-24T00:00:00" count="4">
        <d v="2025-06-23T00:00:00"/>
        <d v="2025-06-13T00:00:00"/>
        <d v="2025-06-04T00:00:00"/>
        <d v="2025-06-02T00:00:00"/>
      </sharedItems>
      <fieldGroup par="47"/>
    </cacheField>
    <cacheField name="Hora_de_emision" numFmtId="22">
      <sharedItems containsSemiMixedTypes="0" containsNonDate="0" containsDate="1" containsString="0" minDate="2025-10-10T10:00:00" maxDate="2025-10-10T20:09:00"/>
    </cacheField>
    <cacheField name="nom_proveedor" numFmtId="0">
      <sharedItems count="5">
        <s v="A &amp; Q AYLLU S.A.C."/>
        <s v="FLINK S.A.C._x000a_"/>
        <s v="SAMUEL CHUQUISTA"/>
        <s v="TURISMO J.A.K.S.A"/>
        <s v="HOMECENTERS PERUANOS S.A."/>
      </sharedItems>
    </cacheField>
    <cacheField name="cat_proveedor" numFmtId="0">
      <sharedItems containsNonDate="0" containsString="0" containsBlank="1"/>
    </cacheField>
    <cacheField name="tipo_documento" numFmtId="0">
      <sharedItems/>
    </cacheField>
    <cacheField name="doc_proveedor" numFmtId="0">
      <sharedItems containsSemiMixedTypes="0" containsString="0" containsNumber="1" containsInteger="1" minValue="43680546" maxValue="2060916896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6-02T00:00:00" maxDate="2025-06-24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emiMixedTypes="0" containsString="0" containsNumber="1" containsInteger="1" minValue="100" maxValue="100"/>
    </cacheField>
    <cacheField name="item.cantidad" numFmtId="0">
      <sharedItems containsSemiMixedTypes="0" containsString="0" containsNumber="1" containsInteger="1" minValue="1" maxValue="1"/>
    </cacheField>
    <cacheField name="item.valor_unitario" numFmtId="0">
      <sharedItems containsSemiMixedTypes="0" containsString="0" containsNumber="1" minValue="25" maxValue="1694.92"/>
    </cacheField>
    <cacheField name="item.precio_unitario" numFmtId="0">
      <sharedItems containsSemiMixedTypes="0" containsString="0" containsNumber="1" minValue="25" maxValue="20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25" maxValue="1694.92"/>
    </cacheField>
    <cacheField name="item.porcentaje_de_igv" numFmtId="0">
      <sharedItems containsSemiMixedTypes="0" containsString="0" containsNumber="1" minValue="0" maxValue="18"/>
    </cacheField>
    <cacheField name="item.igv" numFmtId="0">
      <sharedItems containsSemiMixedTypes="0" containsString="0" containsNumber="1" minValue="0" maxValue="305.07999999999902"/>
    </cacheField>
    <cacheField name="item.total" numFmtId="0">
      <sharedItems containsSemiMixedTypes="0" containsString="0" containsNumber="1" minValue="25" maxValue="200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tipo_gasto" numFmtId="0">
      <sharedItems containsNonDate="0" containsString="0" containsBlank="1"/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" maxValue="1586"/>
    </cacheField>
    <cacheField name="item.id_producto" numFmtId="0">
      <sharedItems containsSemiMixedTypes="0" containsString="0" containsNumber="1" containsInteger="1" minValue="1654" maxValue="1789"/>
    </cacheField>
    <cacheField name="item.nom_producto" numFmtId="0">
      <sharedItems count="9">
        <s v="SAMUEL CHUQUISTA: COMIDA"/>
        <s v="COMIDA"/>
        <s v="SAMUEL CHUQUISTA: DELIVERY"/>
        <s v="SAMUEL CHUQUISTA: movilidad"/>
        <s v="SAMUEL CHUQUISTA: cena de aniversario vaope"/>
        <s v="SAMUEL CHUQUISTA: compra de agua"/>
        <s v="PASAJE DE BUS ZE CARLOS RETORNO"/>
        <s v="BRAZALETE TYVEK"/>
        <s v="ESCOBA, RECOGEDOR Y 2 TACHOS PARA OFICINA"/>
      </sharedItems>
    </cacheField>
    <cacheField name="item.categoria_producto" numFmtId="0">
      <sharedItems/>
    </cacheField>
    <cacheField name="item.Id_estado" numFmtId="0">
      <sharedItems/>
    </cacheField>
    <cacheField name="item.Nombre_estado" numFmtId="0">
      <sharedItems count="2">
        <s v="Sin pagar"/>
        <s v="Pagado"/>
      </sharedItems>
    </cacheField>
    <cacheField name="item.id_cuenta" numFmtId="0">
      <sharedItems containsSemiMixedTypes="0" containsString="0" containsNumber="1" containsInteger="1" minValue="877" maxValue="6974"/>
    </cacheField>
    <cacheField name="item.nom_cuenta" numFmtId="0">
      <sharedItems/>
    </cacheField>
    <cacheField name="item.distribucion_analitica" numFmtId="0">
      <sharedItems/>
    </cacheField>
    <cacheField name="item.evento.id_evento" numFmtId="0">
      <sharedItems containsNonDate="0" containsString="0" containsBlank="1"/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/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12">
        <s v="F00100025478"/>
        <s v="E00100000020"/>
        <s v="FXG00006"/>
        <s v="FXG00005"/>
        <s v="FXG00004"/>
        <s v="FXG00003"/>
        <s v="FXG00002"/>
        <s v=""/>
        <s v="FXG00001"/>
        <s v="F00100002222"/>
        <s v="F00100002224"/>
        <s v="F00100002223"/>
      </sharedItems>
    </cacheField>
    <cacheField name="Días (fecha_de_emision)" numFmtId="0" databaseField="0">
      <fieldGroup base="3">
        <rangePr groupBy="days" startDate="2025-06-02T00:00:00" endDate="2025-06-24T00:00:00"/>
        <groupItems count="368">
          <s v="&lt;2/06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06/2025"/>
        </groupItems>
      </fieldGroup>
    </cacheField>
    <cacheField name="Meses (fecha_de_emision)" numFmtId="0" databaseField="0">
      <fieldGroup base="3">
        <rangePr groupBy="months" startDate="2025-06-02T00:00:00" endDate="2025-06-24T00:00:00"/>
        <groupItems count="14">
          <s v="&lt;2/06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4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1-FB01-00000051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0"/>
  </r>
  <r>
    <s v="01-FB01-00000050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0"/>
  </r>
  <r>
    <s v="01-FB01-00000049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0"/>
  </r>
  <r>
    <s v="01-FB01-00000048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x v="0"/>
    <m/>
    <m/>
    <x v="0"/>
  </r>
  <r>
    <s v="01-FB01-00000047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6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5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4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3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2"/>
    <n v="1254"/>
    <s v="Factura"/>
    <s v="JP Producciones Generales EIRL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0"/>
  </r>
  <r>
    <s v="01-FB01-00000041"/>
    <n v="1254"/>
    <s v="Factura"/>
    <s v="JP Producciones Generales EIRL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0"/>
  </r>
  <r>
    <s v="01-FB01-00000040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0"/>
  </r>
  <r>
    <s v="01-FB01-00000039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x v="0"/>
    <m/>
    <m/>
    <x v="0"/>
  </r>
  <r>
    <s v="01-FB01-00000038"/>
    <n v="1254"/>
    <s v="Factura"/>
    <s v="JP Producciones Generales EIRL"/>
    <d v="2025-09-03T00:00:00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"/>
  </r>
  <r>
    <s v="01-FB01-00000036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5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3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2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0"/>
    <n v="2337"/>
    <s v="Factura"/>
    <s v="CORPORACION MUKANRANKO S.A.C."/>
    <d v="2025-09-02T00:00:00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2"/>
  </r>
  <r>
    <s v="01-FB01-00000029"/>
    <n v="2337"/>
    <s v="Factura"/>
    <s v="CORPORACION MUKANRANKO S.A.C."/>
    <d v="2025-08-29T00:00:00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3"/>
  </r>
  <r>
    <s v="01-FB01-00000028"/>
    <n v="0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x v="0"/>
    <m/>
    <m/>
    <x v="4"/>
  </r>
  <r>
    <s v="01-FB01-00000027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x v="0"/>
    <m/>
    <m/>
    <x v="4"/>
  </r>
  <r>
    <s v="01-FB01-00000026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x v="0"/>
    <m/>
    <m/>
    <x v="4"/>
  </r>
  <r>
    <s v="01-FB01-00000025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x v="0"/>
    <m/>
    <m/>
    <x v="4"/>
  </r>
  <r>
    <s v="01-FB01-00000024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x v="0"/>
    <m/>
    <m/>
    <x v="4"/>
  </r>
  <r>
    <s v="01-FB01-00000023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x v="0"/>
    <m/>
    <m/>
    <x v="4"/>
  </r>
  <r>
    <s v="01-FB01-00000022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x v="0"/>
    <m/>
    <m/>
    <x v="4"/>
  </r>
  <r>
    <s v="01-FB01-00000021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x v="0"/>
    <m/>
    <m/>
    <x v="4"/>
  </r>
  <r>
    <s v="01-"/>
    <n v="0"/>
    <s v="Factura"/>
    <s v="CORPORACION MUKANRANKO S.A.C."/>
    <m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m/>
    <m/>
    <m/>
    <s v="Borrador"/>
    <m/>
    <m/>
    <m/>
    <m/>
    <m/>
    <m/>
    <m/>
    <x v="0"/>
    <m/>
    <m/>
    <x v="5"/>
  </r>
  <r>
    <s v="01-F001-00000014"/>
    <n v="2525"/>
    <s v="Factura"/>
    <s v="CORPORACION MUKANRANKO S.A.C."/>
    <d v="2025-08-25T00:00:00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x v="0"/>
    <m/>
    <m/>
    <x v="6"/>
  </r>
  <r>
    <s v="01-F001-00000013"/>
    <n v="0"/>
    <s v="Factura"/>
    <s v="CORPORACION MUKANRANKO S.A.C.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x v="0"/>
    <m/>
    <m/>
    <x v="6"/>
  </r>
  <r>
    <s v="01-F001-00000011"/>
    <n v="0"/>
    <s v="Factura"/>
    <s v="CORPORACION MUKANRANKO S.A.C.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x v="0"/>
    <m/>
    <m/>
    <x v="6"/>
  </r>
  <r>
    <s v="F001-6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Sin pagar"/>
    <m/>
    <m/>
    <m/>
    <s v="Borrador"/>
    <m/>
    <m/>
    <m/>
    <m/>
    <m/>
    <m/>
    <m/>
    <x v="0"/>
    <m/>
    <m/>
    <x v="7"/>
  </r>
  <r>
    <s v="01-F001-00000015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x v="0"/>
    <m/>
    <m/>
    <x v="7"/>
  </r>
  <r>
    <s v="01-F001-00000012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x v="0"/>
    <m/>
    <m/>
    <x v="7"/>
  </r>
  <r>
    <s v="01-F001-00000010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x v="0"/>
    <m/>
    <m/>
    <x v="7"/>
  </r>
  <r>
    <s v="01-F001-00000009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x v="0"/>
    <m/>
    <m/>
    <x v="7"/>
  </r>
  <r>
    <s v="01-F001-00000008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x v="0"/>
    <m/>
    <m/>
    <x v="7"/>
  </r>
  <r>
    <s v="01-F001-00000007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x v="0"/>
    <m/>
    <m/>
    <x v="7"/>
  </r>
  <r>
    <s v="01-F001-00000006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x v="0"/>
    <m/>
    <m/>
    <x v="7"/>
  </r>
  <r>
    <s v="01-F001-00000004"/>
    <n v="0"/>
    <s v="Factura"/>
    <s v="RF PROMOTORA DE ESPECTACULOS E.I.R.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x v="0"/>
    <m/>
    <m/>
    <x v="7"/>
  </r>
  <r>
    <s v="01-F001-00000003"/>
    <n v="0"/>
    <s v="Factura"/>
    <s v="RF PROMOTORA DE ESPECTACULOS E.I.R.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x v="0"/>
    <m/>
    <m/>
    <x v="7"/>
  </r>
  <r>
    <s v="01-F001-00000002"/>
    <n v="0"/>
    <s v="Factura"/>
    <s v="RF PROMOTORA DE ESPECTACULOS E.I.R.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x v="0"/>
    <m/>
    <m/>
    <x v="7"/>
  </r>
  <r>
    <s v="01-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Sin pagar"/>
    <m/>
    <m/>
    <m/>
    <s v="Borrador"/>
    <m/>
    <m/>
    <m/>
    <m/>
    <m/>
    <m/>
    <m/>
    <x v="0"/>
    <m/>
    <m/>
    <x v="7"/>
  </r>
  <r>
    <s v="FB01-1753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Sin pagar"/>
    <m/>
    <m/>
    <m/>
    <s v="Borrador"/>
    <m/>
    <m/>
    <m/>
    <m/>
    <m/>
    <m/>
    <m/>
    <x v="0"/>
    <m/>
    <m/>
    <x v="8"/>
  </r>
  <r>
    <s v="01-FB01-00000034"/>
    <n v="125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31"/>
    <n v="125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20"/>
    <n v="123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9"/>
    <n v="123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8"/>
    <n v="123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7"/>
    <n v="1233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6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001-00000005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x v="0"/>
    <m/>
    <m/>
    <x v="8"/>
  </r>
  <r>
    <s v="01-F001-00000001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x v="0"/>
    <m/>
    <m/>
    <x v="8"/>
  </r>
  <r>
    <s v="01-"/>
    <n v="0"/>
    <s v="Factura"/>
    <s v="A &amp; Q AYLLU S.A.C."/>
    <m/>
    <d v="2025-03-24T00:00:00"/>
    <d v="2025-03-24T00:00:00"/>
    <s v="S00066"/>
    <m/>
    <s v="DAJHANA DIAZ"/>
    <s v="Ventas"/>
    <m/>
    <s v="COLABORATIVA S.A.C."/>
    <n v="1000"/>
    <n v="180"/>
    <n v="1180"/>
    <n v="1180"/>
    <n v="1180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m/>
    <d v="2025-03-24T00:00:00"/>
    <d v="2025-03-24T00:00:00"/>
    <s v="S00066"/>
    <m/>
    <s v="SAMUEL CHUQUISTA"/>
    <s v="Ventas"/>
    <m/>
    <s v="COLABORATIVA S.A.C."/>
    <m/>
    <m/>
    <m/>
    <m/>
    <m/>
    <s v="PEN"/>
    <b v="0"/>
    <s v="Sin pagar"/>
    <m/>
    <m/>
    <m/>
    <s v="Cancelado"/>
    <m/>
    <m/>
    <m/>
    <m/>
    <m/>
    <m/>
    <m/>
    <x v="0"/>
    <m/>
    <m/>
    <x v="5"/>
  </r>
  <r>
    <s v="01-"/>
    <n v="0"/>
    <s v="Factura"/>
    <s v="G &amp; N MUSIC S.A.C."/>
    <m/>
    <d v="2025-03-24T00:00:00"/>
    <d v="2025-03-24T00:00:00"/>
    <s v="S00065"/>
    <m/>
    <s v="SAMUEL CHUQUISTA"/>
    <s v="Ventas"/>
    <m/>
    <s v="COLABORATIVA S.A.C."/>
    <n v="700"/>
    <n v="126"/>
    <n v="826"/>
    <n v="826"/>
    <n v="826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G &amp; N MUSIC S.A.C."/>
    <m/>
    <d v="2025-03-24T00:00:00"/>
    <d v="2025-03-24T00:00:00"/>
    <s v="S00064"/>
    <m/>
    <s v="SAMUEL CHUQUISTA"/>
    <s v="Ventas"/>
    <m/>
    <s v="COLABORATIVA S.A.C."/>
    <n v="700"/>
    <n v="126"/>
    <n v="826"/>
    <n v="826"/>
    <n v="826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m/>
    <d v="2025-03-24T00:00:00"/>
    <d v="2025-03-24T00:00:00"/>
    <s v="S00001"/>
    <m/>
    <s v="SAMUEL CHUQUISTA"/>
    <s v="Ventas"/>
    <m/>
    <s v="COLABORATIVA S.A.C."/>
    <n v="700"/>
    <n v="126"/>
    <n v="826"/>
    <n v="826"/>
    <n v="826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m/>
    <d v="2025-03-24T00:00:00"/>
    <d v="2025-03-24T00:00:00"/>
    <s v="S00061"/>
    <m/>
    <s v="SAMUEL CHUQUISTA"/>
    <s v="Ventas"/>
    <m/>
    <s v="COLABORATIVA S.A.C."/>
    <n v="1372.04"/>
    <n v="246.96"/>
    <n v="1619"/>
    <n v="1619"/>
    <n v="1619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d v="2025-03-23T00:00:00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x v="0"/>
    <m/>
    <m/>
    <x v="9"/>
  </r>
  <r>
    <s v="01-"/>
    <n v="0"/>
    <s v="Factura"/>
    <s v="PERUVIAN PRODUCTIONS SOCIEDAD ANONIMA CERRADA"/>
    <d v="2025-02-10T00:00:00"/>
    <d v="2025-02-10T00:00:00"/>
    <d v="2025-02-10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m/>
    <m/>
    <m/>
    <s v="Borrador"/>
    <m/>
    <m/>
    <m/>
    <m/>
    <m/>
    <m/>
    <m/>
    <x v="0"/>
    <m/>
    <m/>
    <x v="10"/>
  </r>
  <r>
    <s v="01-"/>
    <n v="0"/>
    <s v="Factura"/>
    <s v="G &amp; N MUSIC S.A.C."/>
    <d v="2025-02-10T00:00:00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x v="0"/>
    <m/>
    <m/>
    <x v="10"/>
  </r>
  <r>
    <s v="01-"/>
    <n v="0"/>
    <s v="Factura"/>
    <s v="MACHA MUNIVE JULIO"/>
    <d v="2025-02-10T00:00:00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x v="0"/>
    <m/>
    <m/>
    <x v="10"/>
  </r>
  <r>
    <s v="01-"/>
    <n v="0"/>
    <s v="Factura"/>
    <s v="REYNOSO BENDEZU CARLOS ARTURO"/>
    <d v="2025-02-07T00:00:00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x v="0"/>
    <m/>
    <m/>
    <x v="11"/>
  </r>
  <r>
    <s v="01-"/>
    <n v="0"/>
    <s v="Factura"/>
    <s v="REYNOSO BENDEZU CARLOS ARTURO"/>
    <d v="2025-02-07T00:00:00"/>
    <d v="2025-02-07T00:00:00"/>
    <d v="2025-02-07T00:00:00"/>
    <m/>
    <m/>
    <s v="SAMUEL CHUQUISTA"/>
    <s v="Ventas"/>
    <m/>
    <s v="COLABORATIVA S.A.C."/>
    <n v="30.68"/>
    <n v="5.52"/>
    <n v="36.200000000000003"/>
    <n v="36.200000000000003"/>
    <n v="36.200000000000003"/>
    <s v="PEN"/>
    <b v="0"/>
    <s v="Sin pagar"/>
    <m/>
    <m/>
    <m/>
    <s v="Borrador"/>
    <m/>
    <m/>
    <m/>
    <m/>
    <m/>
    <m/>
    <m/>
    <x v="0"/>
    <m/>
    <m/>
    <x v="11"/>
  </r>
  <r>
    <s v="01-"/>
    <n v="0"/>
    <s v="Factura"/>
    <s v="REYNOSO BENDEZU CARLOS ARTURO"/>
    <d v="2025-02-07T00:00:00"/>
    <d v="2025-02-07T00:00:00"/>
    <d v="2025-02-07T00:00:00"/>
    <m/>
    <m/>
    <s v="SAMUEL CHUQUISTA"/>
    <s v="Ventas"/>
    <m/>
    <s v="COLABORATIVA S.A.C."/>
    <n v="20.190000000000001"/>
    <n v="3.64"/>
    <n v="23.83"/>
    <n v="23.83"/>
    <n v="23.83"/>
    <s v="PEN"/>
    <b v="0"/>
    <s v="Sin pagar"/>
    <m/>
    <m/>
    <m/>
    <s v="Borrador"/>
    <m/>
    <m/>
    <m/>
    <m/>
    <m/>
    <m/>
    <m/>
    <x v="0"/>
    <m/>
    <m/>
    <x v="11"/>
  </r>
  <r>
    <s v="03-"/>
    <n v="0"/>
    <s v="Factura"/>
    <s v="RODRIGO ANTONIO QUISPE MONTAÑEZ"/>
    <d v="2025-02-07T00:00:00"/>
    <d v="2025-02-07T00:00:00"/>
    <d v="2025-02-07T00:00:00"/>
    <m/>
    <m/>
    <s v="SAMUEL CHUQUISTA"/>
    <s v="Ventas"/>
    <m/>
    <s v="COLABORATIVA S.A.C."/>
    <n v="50.85"/>
    <n v="9.15"/>
    <n v="60"/>
    <n v="60"/>
    <n v="60"/>
    <s v="PEN"/>
    <b v="0"/>
    <s v="Sin pagar"/>
    <m/>
    <m/>
    <m/>
    <s v="Borrador"/>
    <m/>
    <m/>
    <m/>
    <m/>
    <m/>
    <m/>
    <m/>
    <x v="0"/>
    <m/>
    <m/>
    <x v="11"/>
  </r>
  <r>
    <s v="03-"/>
    <n v="0"/>
    <s v="Factura"/>
    <s v="RODRIGO ANTONIO QUISPE MONTAÑEZ"/>
    <d v="2025-02-07T00:00:00"/>
    <d v="2025-02-07T00:00:00"/>
    <d v="2025-02-07T00:00:00"/>
    <m/>
    <m/>
    <s v="SAMUEL CHUQUISTA"/>
    <s v="Ventas"/>
    <m/>
    <s v="COLABORATIVA S.A.C."/>
    <n v="60"/>
    <n v="10.8"/>
    <n v="70.8"/>
    <n v="70.8"/>
    <n v="70.8"/>
    <s v="PEN"/>
    <b v="0"/>
    <s v="Sin pagar"/>
    <m/>
    <m/>
    <m/>
    <s v="Borrador"/>
    <m/>
    <m/>
    <m/>
    <m/>
    <m/>
    <m/>
    <m/>
    <x v="0"/>
    <m/>
    <m/>
    <x v="11"/>
  </r>
  <r>
    <s v="01-"/>
    <n v="0"/>
    <s v="Factura"/>
    <s v="FIESTA KARIBEÑA SOCIEDAD ANONIMA CERRADA"/>
    <d v="2025-02-05T00:00:00"/>
    <d v="2025-02-05T00:00:00"/>
    <d v="2025-02-05T00:00:00"/>
    <m/>
    <m/>
    <s v="SAMUEL CHUQUISTA"/>
    <s v="Ventas"/>
    <m/>
    <s v="COLABORATIVA S.A.C."/>
    <n v="12.75"/>
    <n v="2.29"/>
    <n v="15.04"/>
    <n v="15.04"/>
    <n v="15.0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FIESTA KARIBEÑA SOCIEDAD ANONIMA CERRADA"/>
    <d v="2025-02-05T00:00:00"/>
    <d v="2025-02-05T00:00:00"/>
    <d v="2025-02-05T00:00:00"/>
    <m/>
    <m/>
    <s v="SAMUEL CHUQUISTA"/>
    <s v="Ventas"/>
    <m/>
    <s v="COLABORATIVA S.A.C."/>
    <n v="392.2"/>
    <n v="70.599999999999994"/>
    <n v="462.8"/>
    <n v="462.8"/>
    <n v="462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FIESTA KARIBEÑA SOCIEDAD ANONIMA CERRADA"/>
    <d v="2025-02-05T00:00:00"/>
    <d v="2025-02-05T00:00:00"/>
    <d v="2025-02-05T00:00:00"/>
    <m/>
    <m/>
    <s v="SAMUEL CHUQUISTA"/>
    <s v="Ventas"/>
    <m/>
    <s v="COLABORATIVA S.A.C."/>
    <n v="527.39"/>
    <n v="94.93"/>
    <n v="622.32000000000005"/>
    <n v="622.32000000000005"/>
    <n v="622.32000000000005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AKWA ENTERTAINMENT S.A.C."/>
    <d v="2025-02-05T00:00:00"/>
    <d v="2025-02-05T00:00:00"/>
    <d v="2025-02-05T00:00:00"/>
    <m/>
    <m/>
    <s v="SAMUEL CHUQUISTA"/>
    <s v="Ventas"/>
    <m/>
    <s v="COLABORATIVA S.A.C."/>
    <n v="190.17"/>
    <n v="34.229999999999997"/>
    <n v="224.4"/>
    <n v="224.4"/>
    <n v="224.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AKWA ENTERTAINMENT S.A.C."/>
    <d v="2025-02-05T00:00:00"/>
    <d v="2025-02-05T00:00:00"/>
    <d v="2025-02-05T00:00:00"/>
    <m/>
    <m/>
    <s v="SAMUEL CHUQUISTA"/>
    <s v="Ventas"/>
    <m/>
    <s v="COLABORATIVA S.A.C."/>
    <n v="140.34"/>
    <n v="25.26"/>
    <n v="165.6"/>
    <n v="165.6"/>
    <n v="165.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18.64"/>
    <n v="3.36"/>
    <n v="22"/>
    <n v="22"/>
    <n v="2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12.71"/>
    <n v="2.29"/>
    <n v="15"/>
    <n v="15"/>
    <n v="15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6.95"/>
    <n v="1.25"/>
    <n v="8.1999999999999993"/>
    <n v="8.1999999999999993"/>
    <n v="8.199999999999999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4.58"/>
    <n v="0.82"/>
    <n v="5.4"/>
    <n v="5.4"/>
    <n v="5.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200"/>
    <n v="36"/>
    <n v="236"/>
    <n v="236"/>
    <n v="23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9.42"/>
    <n v="12.5"/>
    <n v="81.92"/>
    <n v="81.92"/>
    <n v="81.9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42.58"/>
    <n v="7.66"/>
    <n v="50.24"/>
    <n v="50.24"/>
    <n v="50.2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1693.39"/>
    <n v="304.81"/>
    <n v="1998.2"/>
    <n v="1998.2"/>
    <n v="1998.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660"/>
    <n v="118.8"/>
    <n v="778.8"/>
    <n v="778.8"/>
    <n v="778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ARPUY PRODUCCIONES E.I.R.L."/>
    <d v="2025-02-05T00:00:00"/>
    <d v="2025-02-05T00:00:00"/>
    <d v="2025-02-05T00:00:00"/>
    <m/>
    <m/>
    <s v="SAMUEL CHUQUISTA"/>
    <s v="Ventas"/>
    <m/>
    <s v="COLABORATIVA S.A.C."/>
    <n v="308"/>
    <n v="55.44"/>
    <n v="363.44"/>
    <n v="363.44"/>
    <n v="363.4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ARPUY PRODUCCIONES E.I.R.L."/>
    <d v="2025-02-05T00:00:00"/>
    <d v="2025-02-05T00:00:00"/>
    <d v="2025-02-05T00:00:00"/>
    <m/>
    <m/>
    <s v="SAMUEL CHUQUISTA"/>
    <s v="Ventas"/>
    <m/>
    <s v="COLABORATIVA S.A.C."/>
    <n v="298.87"/>
    <n v="53.8"/>
    <n v="352.67"/>
    <n v="352.67"/>
    <n v="352.6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ARPUY PRODUCCIONES E.I.R.L."/>
    <d v="2025-02-05T00:00:00"/>
    <d v="2025-02-05T00:00:00"/>
    <d v="2025-02-05T00:00:00"/>
    <m/>
    <m/>
    <s v="SAMUEL CHUQUISTA"/>
    <s v="Ventas"/>
    <m/>
    <s v="COLABORATIVA S.A.C."/>
    <n v="183.02"/>
    <n v="32.94"/>
    <n v="215.96"/>
    <n v="215.96"/>
    <n v="215.9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SEVAFRA SAC"/>
    <d v="2025-02-05T00:00:00"/>
    <d v="2025-02-05T00:00:00"/>
    <d v="2025-02-05T00:00:00"/>
    <m/>
    <m/>
    <s v="SAMUEL CHUQUISTA"/>
    <s v="Ventas"/>
    <m/>
    <s v="COLABORATIVA S.A.C."/>
    <n v="54.07"/>
    <n v="9.73"/>
    <n v="63.8"/>
    <n v="63.8"/>
    <n v="63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SEVAFRA SAC"/>
    <d v="2025-02-05T00:00:00"/>
    <d v="2025-02-05T00:00:00"/>
    <d v="2025-02-05T00:00:00"/>
    <m/>
    <m/>
    <s v="SAMUEL CHUQUISTA"/>
    <s v="Ventas"/>
    <m/>
    <s v="COLABORATIVA S.A.C."/>
    <n v="29.49"/>
    <n v="5.31"/>
    <n v="34.799999999999997"/>
    <n v="34.799999999999997"/>
    <n v="34.79999999999999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ULTISERVICIOS YATACO E.I.R.L."/>
    <d v="2025-02-05T00:00:00"/>
    <d v="2025-02-05T00:00:00"/>
    <d v="2025-02-05T00:00:00"/>
    <m/>
    <m/>
    <s v="SAMUEL CHUQUISTA"/>
    <s v="Ventas"/>
    <m/>
    <s v="COLABORATIVA S.A.C."/>
    <n v="16.440000000000001"/>
    <n v="2.96"/>
    <n v="19.399999999999999"/>
    <n v="19.399999999999999"/>
    <n v="19.39999999999999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ULTISERVICIOS YATACO E.I.R.L."/>
    <d v="2025-02-05T00:00:00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EL PADRINO DIVERSIONES S.A.C."/>
    <d v="2025-02-05T00:00:00"/>
    <d v="2025-02-05T00:00:00"/>
    <d v="2025-02-05T00:00:00"/>
    <m/>
    <m/>
    <s v="SAMUEL CHUQUISTA"/>
    <s v="Ventas"/>
    <m/>
    <s v="COLABORATIVA S.A.C."/>
    <n v="30.34"/>
    <n v="5.46"/>
    <n v="35.799999999999997"/>
    <n v="35.799999999999997"/>
    <n v="35.79999999999999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EL PADRINO DIVERSIONES S.A.C."/>
    <d v="2025-02-05T00:00:00"/>
    <d v="2025-02-05T00:00:00"/>
    <d v="2025-02-05T00:00:00"/>
    <m/>
    <m/>
    <s v="SAMUEL CHUQUISTA"/>
    <s v="Ventas"/>
    <m/>
    <s v="COLABORATIVA S.A.C."/>
    <n v="17.29"/>
    <n v="3.11"/>
    <n v="20.399999999999999"/>
    <n v="20.399999999999999"/>
    <n v="20.39999999999999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INVERSIONES SAM &amp; ASOCIADOS SAC"/>
    <d v="2025-02-05T00:00:00"/>
    <d v="2025-02-05T00:00:00"/>
    <d v="2025-02-05T00:00:00"/>
    <m/>
    <m/>
    <s v="SAMUEL CHUQUISTA"/>
    <s v="Ventas"/>
    <m/>
    <s v="COLABORATIVA S.A.C."/>
    <n v="11.47"/>
    <n v="2.0699999999999998"/>
    <n v="13.54"/>
    <n v="13.54"/>
    <n v="13.5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INVERSIONES SAM &amp; ASOCIADOS SAC"/>
    <d v="2025-02-05T00:00:00"/>
    <d v="2025-02-05T00:00:00"/>
    <d v="2025-02-05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NEGOCIACIONES Y PRODUCCIONES VEGA S.A.C"/>
    <d v="2025-02-05T00:00:00"/>
    <d v="2025-02-05T00:00:00"/>
    <d v="2025-02-05T00:00:00"/>
    <m/>
    <m/>
    <s v="SAMUEL CHUQUISTA"/>
    <s v="Ventas"/>
    <m/>
    <s v="COLABORATIVA S.A.C."/>
    <n v="1553.9"/>
    <n v="279.7"/>
    <n v="1833.6"/>
    <n v="1833.6"/>
    <n v="1833.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NEGOCIACIONES Y PRODUCCIONES VEGA S.A.C"/>
    <d v="2025-02-05T00:00:00"/>
    <d v="2025-02-05T00:00:00"/>
    <d v="2025-02-05T00:00:00"/>
    <m/>
    <m/>
    <s v="SAMUEL CHUQUISTA"/>
    <s v="Ventas"/>
    <m/>
    <s v="COLABORATIVA S.A.C."/>
    <n v="1180.25"/>
    <n v="212.45"/>
    <n v="1392.7"/>
    <n v="1392.7"/>
    <n v="1392.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2327.5300000000002"/>
    <n v="418.95"/>
    <n v="2746.48"/>
    <n v="2746.48"/>
    <n v="2746.4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440.93"/>
    <n v="259.37"/>
    <n v="1700.3"/>
    <n v="1700.3"/>
    <n v="1700.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50"/>
    <n v="117"/>
    <n v="767"/>
    <n v="767"/>
    <n v="76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2530.92"/>
    <n v="455.56"/>
    <n v="2986.48"/>
    <n v="2986.48"/>
    <n v="2986.4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544.46"/>
    <n v="278"/>
    <n v="1822.46"/>
    <n v="1822.46"/>
    <n v="1822.4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ARDANO PRODUCCIONES S.A.C."/>
    <d v="2025-02-05T00:00:00"/>
    <d v="2025-02-05T00:00:00"/>
    <d v="2025-02-05T00:00:00"/>
    <m/>
    <m/>
    <s v="SAMUEL CHUQUISTA"/>
    <s v="Ventas"/>
    <m/>
    <s v="COLABORATIVA S.A.C."/>
    <n v="25.85"/>
    <n v="4.6500000000000004"/>
    <n v="30.5"/>
    <n v="30.5"/>
    <n v="30.5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ARDANO PRODUCCIONES S.A.C."/>
    <d v="2025-02-05T00:00:00"/>
    <d v="2025-02-05T00:00:00"/>
    <d v="2025-02-05T00:00:00"/>
    <m/>
    <m/>
    <s v="SAMUEL CHUQUISTA"/>
    <s v="Ventas"/>
    <m/>
    <s v="COLABORATIVA S.A.C."/>
    <n v="20.34"/>
    <n v="3.66"/>
    <n v="24"/>
    <n v="24"/>
    <n v="2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JDA BUSINESS PERU S.A.C."/>
    <d v="2025-02-05T00:00:00"/>
    <d v="2025-02-05T00:00:00"/>
    <d v="2025-02-05T00:00:00"/>
    <m/>
    <m/>
    <s v="SAMUEL CHUQUISTA"/>
    <s v="Ventas"/>
    <m/>
    <s v="COLABORATIVA S.A.C."/>
    <n v="24.75"/>
    <n v="4.45"/>
    <n v="29.2"/>
    <n v="29.2"/>
    <n v="29.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JDA BUSINESS PERU S.A.C."/>
    <d v="2025-02-05T00:00:00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264.92"/>
    <n v="227.68"/>
    <n v="1492.6"/>
    <n v="1492.6"/>
    <n v="1492.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896.27"/>
    <n v="161.33000000000001"/>
    <n v="1057.5999999999999"/>
    <n v="1057.5999999999999"/>
    <n v="1057.599999999999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RAMOS CRUZ MILAGRITOS"/>
    <d v="2025-02-05T00:00:00"/>
    <d v="2025-02-05T00:00:00"/>
    <d v="2025-02-05T00:00:00"/>
    <m/>
    <m/>
    <s v="SAMUEL CHUQUISTA"/>
    <s v="Ventas"/>
    <m/>
    <s v="COLABORATIVA S.A.C."/>
    <n v="4.95"/>
    <n v="0.89"/>
    <n v="5.84"/>
    <n v="5.84"/>
    <n v="5.8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RAMOS CRUZ MILAGRITOS"/>
    <d v="2025-02-05T00:00:00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854.82"/>
    <n v="333.87"/>
    <n v="2188.69"/>
    <n v="2188.69"/>
    <n v="2188.6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170.3900000000001"/>
    <n v="210.67"/>
    <n v="1381.06"/>
    <n v="1381.06"/>
    <n v="1381.0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ORRES TOVAR WILDER"/>
    <d v="2025-02-05T00:00:00"/>
    <d v="2025-02-05T00:00:00"/>
    <d v="2025-02-05T00:00:00"/>
    <m/>
    <m/>
    <s v="SAMUEL CHUQUISTA"/>
    <s v="Ventas"/>
    <m/>
    <s v="COLABORATIVA S.A.C."/>
    <n v="138.18"/>
    <n v="24.87"/>
    <n v="163.05000000000001"/>
    <n v="163.05000000000001"/>
    <n v="163.05000000000001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ORRES TOVAR WILDER"/>
    <d v="2025-02-05T00:00:00"/>
    <d v="2025-02-05T00:00:00"/>
    <d v="2025-02-05T00:00:00"/>
    <m/>
    <m/>
    <s v="SAMUEL CHUQUISTA"/>
    <s v="Ventas"/>
    <m/>
    <s v="COLABORATIVA S.A.C."/>
    <n v="132.97"/>
    <n v="23.93"/>
    <n v="156.9"/>
    <n v="156.9"/>
    <n v="156.9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ULALIA GAUDENCIA PEREZ CARHUAMACA"/>
    <d v="2025-02-05T00:00:00"/>
    <d v="2025-02-05T00:00:00"/>
    <d v="2025-02-05T00:00:00"/>
    <m/>
    <m/>
    <s v="SAMUEL CHUQUISTA"/>
    <s v="Ventas"/>
    <m/>
    <s v="COLABORATIVA S.A.C."/>
    <n v="980"/>
    <n v="176.4"/>
    <n v="1156.4000000000001"/>
    <n v="1156.4000000000001"/>
    <n v="1156.4000000000001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ULALIA GAUDENCIA PEREZ CARHUAMACA"/>
    <d v="2025-02-05T00:00:00"/>
    <d v="2025-02-05T00:00:00"/>
    <d v="2025-02-05T00:00:00"/>
    <m/>
    <m/>
    <s v="SAMUEL CHUQUISTA"/>
    <s v="Ventas"/>
    <m/>
    <s v="COLABORATIVA S.A.C."/>
    <n v="437.8"/>
    <n v="78.8"/>
    <n v="516.6"/>
    <n v="516.6"/>
    <n v="516.6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ULALIA GAUDENCIA PEREZ CARHUAMACA"/>
    <d v="2025-02-05T00:00:00"/>
    <d v="2025-02-05T00:00:00"/>
    <d v="2025-02-05T00:00:00"/>
    <m/>
    <m/>
    <s v="SAMUEL CHUQUISTA"/>
    <s v="Ventas"/>
    <m/>
    <s v="COLABORATIVA S.A.C."/>
    <n v="391.08"/>
    <n v="70.39"/>
    <n v="461.47"/>
    <n v="461.47"/>
    <n v="461.47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ULIO MACHA MUNIVE"/>
    <d v="2025-02-05T00:00:00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ULIO MACHA MUNIVE"/>
    <d v="2025-02-05T00:00:00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ULIO MACHA MUNIVE"/>
    <d v="2025-02-05T00:00:00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YARIT ZARI ALANYA PEREZ"/>
    <d v="2025-02-05T00:00:00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YARIT ZARI ALANYA PEREZ"/>
    <d v="2025-02-05T00:00:00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YARIT ZARI ALANYA PEREZ"/>
    <d v="2025-02-05T00:00:00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rol Aylas Marquiño"/>
    <d v="2025-02-05T00:00:00"/>
    <d v="2025-02-05T00:00:00"/>
    <d v="2025-02-05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rol Aylas Marquiño"/>
    <d v="2025-02-05T00:00:00"/>
    <d v="2025-02-05T00:00:00"/>
    <d v="2025-02-05T00:00:00"/>
    <m/>
    <m/>
    <s v="SAMUEL CHUQUISTA"/>
    <s v="Ventas"/>
    <m/>
    <s v="COLABORATIVA S.A.C."/>
    <n v="57.2"/>
    <n v="10.3"/>
    <n v="67.5"/>
    <n v="67.5"/>
    <n v="67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rol Aylas Marquiño"/>
    <d v="2025-02-05T00:00:00"/>
    <d v="2025-02-05T00:00:00"/>
    <d v="2025-02-05T00:00:00"/>
    <m/>
    <m/>
    <s v="SAMUEL CHUQUISTA"/>
    <s v="Ventas"/>
    <m/>
    <s v="COLABORATIVA S.A.C."/>
    <n v="33.47"/>
    <n v="6.03"/>
    <n v="39.5"/>
    <n v="39.5"/>
    <n v="39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Humberto Ronald Mendoza Chacha"/>
    <d v="2025-02-05T00:00:00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Humberto Ronald Mendoza Chacha"/>
    <d v="2025-02-05T00:00:00"/>
    <d v="2025-02-05T00:00:00"/>
    <d v="2025-02-05T00:00:00"/>
    <m/>
    <m/>
    <s v="SAMUEL CHUQUISTA"/>
    <s v="Ventas"/>
    <m/>
    <s v="COLABORATIVA S.A.C."/>
    <n v="275.32"/>
    <n v="49.56"/>
    <n v="324.88"/>
    <n v="324.88"/>
    <n v="324.8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Humberto Ronald Mendoza Chacha"/>
    <d v="2025-02-05T00:00:00"/>
    <d v="2025-02-05T00:00:00"/>
    <d v="2025-02-05T00:00:00"/>
    <m/>
    <m/>
    <s v="SAMUEL CHUQUISTA"/>
    <s v="Ventas"/>
    <m/>
    <s v="COLABORATIVA S.A.C."/>
    <n v="165.5"/>
    <n v="29.79"/>
    <n v="195.29"/>
    <n v="195.29"/>
    <n v="195.29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Piero Macha Perez"/>
    <d v="2025-02-05T00:00:00"/>
    <d v="2025-02-05T00:00:00"/>
    <d v="2025-02-05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Piero Macha Perez"/>
    <d v="2025-02-05T00:00:00"/>
    <d v="2025-02-05T00:00:00"/>
    <d v="2025-02-05T00:00:00"/>
    <m/>
    <m/>
    <s v="SAMUEL CHUQUISTA"/>
    <s v="Ventas"/>
    <m/>
    <s v="COLABORATIVA S.A.C."/>
    <n v="8.93"/>
    <n v="1.61"/>
    <n v="10.54"/>
    <n v="10.54"/>
    <n v="10.54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Piero Macha Perez"/>
    <d v="2025-02-05T00:00:00"/>
    <d v="2025-02-05T00:00:00"/>
    <d v="2025-02-05T00:00:00"/>
    <m/>
    <m/>
    <s v="SAMUEL CHUQUISTA"/>
    <s v="Ventas"/>
    <m/>
    <s v="COLABORATIVA S.A.C."/>
    <n v="7.98"/>
    <n v="1.44"/>
    <n v="9.42"/>
    <n v="9.42"/>
    <n v="9.42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GARELD ZAID HERRERA CARDENAS"/>
    <d v="2025-02-05T00:00:00"/>
    <d v="2025-02-05T00:00:00"/>
    <d v="2025-02-05T00:00:00"/>
    <m/>
    <m/>
    <s v="SAMUEL CHUQUISTA"/>
    <s v="Ventas"/>
    <m/>
    <s v="COLABORATIVA S.A.C."/>
    <n v="3.48"/>
    <n v="0.63"/>
    <n v="4.1100000000000003"/>
    <n v="4.1100000000000003"/>
    <n v="4.1100000000000003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GARELD ZAID HERRERA CARDENAS"/>
    <d v="2025-02-05T00:00:00"/>
    <d v="2025-02-05T00:00:00"/>
    <d v="2025-02-05T00:00:00"/>
    <m/>
    <m/>
    <s v="SAMUEL CHUQUISTA"/>
    <s v="Ventas"/>
    <m/>
    <s v="COLABORATIVA S.A.C."/>
    <n v="3"/>
    <n v="0.54"/>
    <n v="3.54"/>
    <n v="3.54"/>
    <n v="3.54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799.58"/>
    <n v="143.91999999999999"/>
    <n v="943.5"/>
    <n v="943.5"/>
    <n v="943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614.24"/>
    <n v="110.56"/>
    <n v="724.8"/>
    <n v="724.8"/>
    <n v="724.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272.2"/>
    <n v="49"/>
    <n v="321.2"/>
    <n v="321.2"/>
    <n v="321.2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222.71"/>
    <n v="40.090000000000003"/>
    <n v="262.8"/>
    <n v="262.8"/>
    <n v="262.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1885.17"/>
    <n v="339.33"/>
    <n v="2224.5"/>
    <n v="2224.5"/>
    <n v="2224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2021.19"/>
    <n v="363.81"/>
    <n v="2385"/>
    <n v="2385"/>
    <n v="238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32"/>
    <n v="5.76"/>
    <n v="37.76"/>
    <n v="37.76"/>
    <n v="37.76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930"/>
    <n v="167.4"/>
    <n v="1097.4000000000001"/>
    <n v="1097.4000000000001"/>
    <n v="1097.4000000000001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4T00:00:00"/>
    <d v="2025-02-04T00:00:00"/>
    <d v="2025-02-04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s v="Borrador"/>
    <m/>
    <m/>
    <m/>
    <m/>
    <m/>
    <m/>
    <m/>
    <x v="0"/>
    <m/>
    <m/>
    <x v="13"/>
  </r>
  <r>
    <s v="01-"/>
    <n v="0"/>
    <s v="Factura"/>
    <s v="PERUVIAN PRODUCTIONS SOCIEDAD ANONIMA CERRADA"/>
    <d v="2025-02-03T00:00:00"/>
    <d v="2025-02-03T00:00:00"/>
    <d v="2025-02-03T00:00:00"/>
    <m/>
    <m/>
    <s v="SAMUEL CHUQUISTA"/>
    <s v="Ventas"/>
    <m/>
    <s v="COLABORATIVA S.A.C."/>
    <n v="830"/>
    <n v="149.4"/>
    <n v="979.4"/>
    <n v="979.4"/>
    <n v="979.4"/>
    <s v="PEN"/>
    <b v="0"/>
    <s v="Sin pagar"/>
    <m/>
    <m/>
    <m/>
    <s v="Borrador"/>
    <m/>
    <m/>
    <m/>
    <m/>
    <m/>
    <m/>
    <m/>
    <x v="0"/>
    <m/>
    <m/>
    <x v="14"/>
  </r>
  <r>
    <s v="01-"/>
    <n v="0"/>
    <s v="Factura"/>
    <s v="CHAMORRO AYALA ERIKA SOLEDAD"/>
    <d v="2025-01-31T00:00:00"/>
    <d v="2025-01-31T00:00:00"/>
    <d v="2025-01-31T00:00:00"/>
    <m/>
    <m/>
    <s v="SAMUEL CHUQUISTA"/>
    <s v="Ventas"/>
    <m/>
    <s v="COLABORATIVA S.A.C."/>
    <n v="212.8"/>
    <n v="38.299999999999997"/>
    <n v="251.1"/>
    <n v="251.1"/>
    <n v="251.1"/>
    <s v="PEN"/>
    <b v="0"/>
    <s v="Sin pagar"/>
    <m/>
    <m/>
    <m/>
    <s v="Borrador"/>
    <m/>
    <m/>
    <m/>
    <m/>
    <m/>
    <m/>
    <m/>
    <x v="0"/>
    <m/>
    <m/>
    <x v="15"/>
  </r>
  <r>
    <s v="01-"/>
    <n v="0"/>
    <s v="Factura"/>
    <s v="CHAMORRO AYALA ERIKA SOLEDAD"/>
    <d v="2025-01-31T00:00:00"/>
    <d v="2025-01-31T00:00:00"/>
    <d v="2025-01-31T00:00:00"/>
    <m/>
    <m/>
    <s v="SAMUEL CHUQUISTA"/>
    <s v="Ventas"/>
    <m/>
    <s v="COLABORATIVA S.A.C."/>
    <n v="125.25"/>
    <n v="22.55"/>
    <n v="147.80000000000001"/>
    <n v="147.80000000000001"/>
    <n v="147.80000000000001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JHON DANNY BERNABLE BERNABLE"/>
    <d v="2025-01-31T00:00:00"/>
    <d v="2025-01-31T00:00:00"/>
    <d v="2025-01-31T00:00:00"/>
    <m/>
    <m/>
    <s v="SAMUEL CHUQUISTA"/>
    <s v="Ventas"/>
    <m/>
    <s v="COLABORATIVA S.A.C."/>
    <n v="24.56"/>
    <n v="4.42"/>
    <n v="28.98"/>
    <n v="28.98"/>
    <n v="28.98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JHON DANNY BERNABLE BERNABLE"/>
    <d v="2025-01-31T00:00:00"/>
    <d v="2025-01-31T00:00:00"/>
    <d v="2025-01-31T00:00:00"/>
    <m/>
    <m/>
    <s v="SAMUEL CHUQUISTA"/>
    <s v="Ventas"/>
    <m/>
    <s v="COLABORATIVA S.A.C."/>
    <n v="26.45"/>
    <n v="4.76"/>
    <n v="31.21"/>
    <n v="31.21"/>
    <n v="31.21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SILVIA SEMIRA SANCHEZ SANGAMA"/>
    <d v="2025-01-31T00:00:00"/>
    <d v="2025-01-31T00:00:00"/>
    <d v="2025-01-31T00:00:00"/>
    <m/>
    <m/>
    <s v="SAMUEL CHUQUISTA"/>
    <s v="Ventas"/>
    <m/>
    <s v="COLABORATIVA S.A.C."/>
    <n v="117.97"/>
    <n v="21.23"/>
    <n v="139.19999999999999"/>
    <n v="139.19999999999999"/>
    <n v="139.19999999999999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SILVIA SEMIRA SANCHEZ SANGAMA"/>
    <d v="2025-01-31T00:00:00"/>
    <d v="2025-01-31T00:00:00"/>
    <d v="2025-01-31T00:00:00"/>
    <m/>
    <m/>
    <s v="SAMUEL CHUQUISTA"/>
    <s v="Ventas"/>
    <m/>
    <s v="COLABORATIVA S.A.C."/>
    <n v="96.1"/>
    <n v="17.3"/>
    <n v="113.4"/>
    <n v="113.4"/>
    <n v="113.4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JAVIER ABEL SANCHEZ NUNTON"/>
    <d v="2025-01-30T00:00:00"/>
    <d v="2025-01-30T00:00:00"/>
    <d v="2025-01-30T00:00:00"/>
    <m/>
    <m/>
    <s v="SAMUEL CHUQUISTA"/>
    <s v="Ventas"/>
    <m/>
    <s v="COLABORATIVA S.A.C."/>
    <n v="374.24"/>
    <n v="67.36"/>
    <n v="441.6"/>
    <n v="441.6"/>
    <n v="441.6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JAVIER ABEL SANCHEZ NUNTON"/>
    <d v="2025-01-30T00:00:00"/>
    <d v="2025-01-30T00:00:00"/>
    <d v="2025-01-30T00:00:00"/>
    <m/>
    <m/>
    <s v="SAMUEL CHUQUISTA"/>
    <s v="Ventas"/>
    <m/>
    <s v="COLABORATIVA S.A.C."/>
    <n v="279.66000000000003"/>
    <n v="50.34"/>
    <n v="330"/>
    <n v="330"/>
    <n v="330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ALEJANDRA FLORES TICONA"/>
    <d v="2025-01-30T00:00:00"/>
    <d v="2025-01-30T00:00:00"/>
    <d v="2025-01-30T00:00:00"/>
    <m/>
    <m/>
    <s v="SAMUEL CHUQUISTA"/>
    <s v="Ventas"/>
    <m/>
    <s v="COLABORATIVA S.A.C."/>
    <n v="32.5"/>
    <n v="5.85"/>
    <n v="38.35"/>
    <n v="38.35"/>
    <n v="38.35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ALEJANDRA FLORES TICONA"/>
    <d v="2025-01-30T00:00:00"/>
    <d v="2025-01-30T00:00:00"/>
    <d v="2025-01-30T00:00:00"/>
    <m/>
    <m/>
    <s v="SAMUEL CHUQUISTA"/>
    <s v="Ventas"/>
    <m/>
    <s v="COLABORATIVA S.A.C."/>
    <n v="4.83"/>
    <n v="0.87"/>
    <n v="5.7"/>
    <n v="5.7"/>
    <n v="5.7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ALEJANDRA FLORES TICONA"/>
    <d v="2025-01-30T00:00:00"/>
    <d v="2025-01-30T00:00:00"/>
    <d v="2025-01-30T00:00:00"/>
    <m/>
    <m/>
    <s v="SAMUEL CHUQUISTA"/>
    <s v="Ventas"/>
    <m/>
    <s v="COLABORATIVA S.A.C."/>
    <n v="35.549999999999997"/>
    <n v="6.4"/>
    <n v="41.95"/>
    <n v="41.95"/>
    <n v="41.95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JORGE ANDRES RAMOS VILCAS"/>
    <d v="2025-01-30T00:00:00"/>
    <d v="2025-01-30T00:00:00"/>
    <d v="2025-01-30T00:00:00"/>
    <m/>
    <m/>
    <s v="SAMUEL CHUQUISTA"/>
    <s v="Ventas"/>
    <m/>
    <s v="COLABORATIVA S.A.C."/>
    <n v="370.08"/>
    <n v="66.62"/>
    <n v="436.7"/>
    <n v="436.7"/>
    <n v="436.7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JORGE ANDRES RAMOS VILCAS"/>
    <d v="2025-01-30T00:00:00"/>
    <d v="2025-01-30T00:00:00"/>
    <d v="2025-01-30T00:00:00"/>
    <m/>
    <m/>
    <s v="SAMUEL CHUQUISTA"/>
    <s v="Ventas"/>
    <m/>
    <s v="COLABORATIVA S.A.C."/>
    <n v="283.73"/>
    <n v="51.07"/>
    <n v="334.8"/>
    <n v="334.8"/>
    <n v="334.8"/>
    <s v="PEN"/>
    <b v="0"/>
    <s v="Sin pagar"/>
    <m/>
    <m/>
    <m/>
    <s v="Borrador"/>
    <m/>
    <m/>
    <m/>
    <m/>
    <m/>
    <m/>
    <m/>
    <x v="0"/>
    <m/>
    <m/>
    <x v="16"/>
  </r>
  <r>
    <s v="01-"/>
    <n v="0"/>
    <s v="Factura"/>
    <s v="MOGROVEJO RAMOS ERWIN KERMER"/>
    <d v="2025-01-29T00:00:00"/>
    <d v="2025-01-29T00:00:00"/>
    <d v="2025-01-29T00:00:00"/>
    <m/>
    <m/>
    <s v="SAMUEL CHUQUISTA"/>
    <s v="Ventas"/>
    <m/>
    <s v="COLABORATIVA S.A.C."/>
    <n v="53.56"/>
    <n v="9.64"/>
    <n v="63.2"/>
    <n v="63.2"/>
    <n v="63.2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MOGROVEJO RAMOS ERWIN KERMER"/>
    <d v="2025-01-29T00:00:00"/>
    <d v="2025-01-29T00:00:00"/>
    <d v="2025-01-29T00:00:00"/>
    <m/>
    <m/>
    <s v="SAMUEL CHUQUISTA"/>
    <s v="Ventas"/>
    <m/>
    <s v="COLABORATIVA S.A.C."/>
    <n v="34.75"/>
    <n v="6.25"/>
    <n v="41"/>
    <n v="41"/>
    <n v="41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0"/>
    <n v="5.4"/>
    <n v="35.4"/>
    <n v="35.4"/>
    <n v="35.4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608.31"/>
    <n v="289.49"/>
    <n v="1897.8"/>
    <n v="1897.8"/>
    <n v="1897.8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991.19"/>
    <n v="178.41"/>
    <n v="1169.5999999999999"/>
    <n v="1169.5999999999999"/>
    <n v="1169.599999999999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18.22"/>
    <n v="75.28"/>
    <n v="493.5"/>
    <n v="493.5"/>
    <n v="493.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250.51"/>
    <n v="45.09"/>
    <n v="295.60000000000002"/>
    <n v="295.60000000000002"/>
    <n v="295.60000000000002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38.73"/>
    <n v="78.97"/>
    <n v="517.70000000000005"/>
    <n v="517.70000000000005"/>
    <n v="517.7000000000000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39.75"/>
    <n v="25.15"/>
    <n v="164.9"/>
    <n v="164.9"/>
    <n v="164.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79.150000000000006"/>
    <n v="14.25"/>
    <n v="93.4"/>
    <n v="93.4"/>
    <n v="93.4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47.73"/>
    <n v="80.59"/>
    <n v="528.32000000000005"/>
    <n v="528.32000000000005"/>
    <n v="528.3200000000000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2377.37"/>
    <n v="427.93"/>
    <n v="2805.3"/>
    <n v="2805.3"/>
    <n v="2805.3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467.71"/>
    <n v="264.19"/>
    <n v="1731.9"/>
    <n v="1731.9"/>
    <n v="1731.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04.83"/>
    <n v="54.87"/>
    <n v="359.7"/>
    <n v="359.7"/>
    <n v="359.7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637.63"/>
    <n v="654.77"/>
    <n v="4292.3999999999996"/>
    <n v="4292.3999999999996"/>
    <n v="4292.3999999999996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2347.0300000000002"/>
    <n v="422.47"/>
    <n v="2769.5"/>
    <n v="2769.5"/>
    <n v="2769.5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483.73"/>
    <n v="87.07"/>
    <n v="570.79999999999995"/>
    <n v="570.79999999999995"/>
    <n v="570.79999999999995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3100"/>
    <n v="558"/>
    <n v="3658"/>
    <n v="3658"/>
    <n v="3658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5235.68"/>
    <n v="942.42"/>
    <n v="6178.1"/>
    <n v="6178.1"/>
    <n v="6178.1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4611.78"/>
    <n v="830.12"/>
    <n v="5441.9"/>
    <n v="5441.9"/>
    <n v="5441.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PERUVIAN PRODUCTIONS SOCIEDAD ANONIMA CERRADA"/>
    <d v="2025-01-28T00:00:00"/>
    <d v="2025-01-28T00:00:00"/>
    <d v="2025-01-28T00:00:00"/>
    <m/>
    <m/>
    <s v="SAMUEL CHUQUISTA"/>
    <s v="Ventas"/>
    <m/>
    <s v="COLABORATIVA S.A.C."/>
    <n v="2080"/>
    <n v="374.4"/>
    <n v="2454.4"/>
    <n v="2454.4"/>
    <n v="2454.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872.71"/>
    <n v="157.09"/>
    <n v="1029.8"/>
    <n v="1029.8"/>
    <n v="1029.8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750"/>
    <n v="135"/>
    <n v="885"/>
    <n v="885"/>
    <n v="88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1575"/>
    <n v="283.5"/>
    <n v="1858.5"/>
    <n v="1858.5"/>
    <n v="1858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3585.68"/>
    <n v="645.41999999999996"/>
    <n v="4231.1000000000004"/>
    <n v="4231.1000000000004"/>
    <n v="4231.100000000000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2103.31"/>
    <n v="378.59"/>
    <n v="2481.9"/>
    <n v="2481.9"/>
    <n v="2481.9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ARDANO PRODUCCIONES S.A.C."/>
    <d v="2025-01-28T00:00:00"/>
    <d v="2025-01-28T00:00:00"/>
    <d v="2025-01-28T00:00:00"/>
    <m/>
    <m/>
    <s v="SAMUEL CHUQUISTA"/>
    <s v="Ventas"/>
    <m/>
    <s v="COLABORATIVA S.A.C."/>
    <n v="16.809999999999999"/>
    <n v="3.03"/>
    <n v="19.84"/>
    <n v="19.84"/>
    <n v="19.8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ARDANO PRODUCCIONES S.A.C."/>
    <d v="2025-01-28T00:00:00"/>
    <d v="2025-01-28T00:00:00"/>
    <d v="2025-01-28T00:00:00"/>
    <m/>
    <m/>
    <s v="SAMUEL CHUQUISTA"/>
    <s v="Ventas"/>
    <m/>
    <s v="COLABORATIVA S.A.C."/>
    <n v="16"/>
    <n v="2.88"/>
    <n v="18.88"/>
    <n v="18.88"/>
    <n v="18.88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DA BUSINESS PERU S.A.C."/>
    <d v="2025-01-28T00:00:00"/>
    <d v="2025-01-28T00:00:00"/>
    <d v="2025-01-28T00:00:00"/>
    <m/>
    <m/>
    <s v="SAMUEL CHUQUISTA"/>
    <s v="Ventas"/>
    <m/>
    <s v="COLABORATIVA S.A.C."/>
    <n v="11.44"/>
    <n v="2.06"/>
    <n v="13.5"/>
    <n v="13.5"/>
    <n v="13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DA BUSINESS PERU S.A.C."/>
    <d v="2025-01-28T00:00:00"/>
    <d v="2025-01-28T00:00:00"/>
    <d v="2025-01-28T00:00:00"/>
    <m/>
    <m/>
    <s v="SAMUEL CHUQUISTA"/>
    <s v="Ventas"/>
    <m/>
    <s v="COLABORATIVA S.A.C."/>
    <n v="6.36"/>
    <n v="1.1399999999999999"/>
    <n v="7.5"/>
    <n v="7.5"/>
    <n v="7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NEGOCIACIONES Y PRODUCCIONES VEGA S.A.C"/>
    <d v="2025-01-28T00:00:00"/>
    <d v="2025-01-28T00:00:00"/>
    <d v="2025-01-28T00:00:00"/>
    <m/>
    <m/>
    <s v="SAMUEL CHUQUISTA"/>
    <s v="Ventas"/>
    <m/>
    <s v="COLABORATIVA S.A.C."/>
    <n v="41.1"/>
    <n v="7.4"/>
    <n v="48.5"/>
    <n v="48.5"/>
    <n v="48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NEGOCIACIONES Y PRODUCCIONES VEGA S.A.C"/>
    <d v="2025-01-28T00:00:00"/>
    <d v="2025-01-28T00:00:00"/>
    <d v="2025-01-28T00:00:00"/>
    <m/>
    <m/>
    <s v="SAMUEL CHUQUISTA"/>
    <s v="Ventas"/>
    <m/>
    <s v="COLABORATIVA S.A.C."/>
    <n v="27.46"/>
    <n v="4.9400000000000004"/>
    <n v="32.4"/>
    <n v="32.4"/>
    <n v="32.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EMPRESA PROMOTORA DE EVENTOS MAGDA PERU S.A.C."/>
    <d v="2025-01-28T00:00:00"/>
    <d v="2025-01-28T00:00:00"/>
    <d v="2025-01-28T00:00:00"/>
    <m/>
    <m/>
    <s v="SAMUEL CHUQUISTA"/>
    <s v="Ventas"/>
    <m/>
    <s v="COLABORATIVA S.A.C."/>
    <n v="274.92"/>
    <n v="49.48"/>
    <n v="324.39999999999998"/>
    <n v="324.39999999999998"/>
    <n v="324.39999999999998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EMPRESA PROMOTORA DE EVENTOS MAGDA PERU S.A.C."/>
    <d v="2025-01-28T00:00:00"/>
    <d v="2025-01-28T00:00:00"/>
    <d v="2025-01-28T00:00:00"/>
    <m/>
    <m/>
    <s v="SAMUEL CHUQUISTA"/>
    <s v="Ventas"/>
    <m/>
    <s v="COLABORATIVA S.A.C."/>
    <n v="159.29"/>
    <n v="28.67"/>
    <n v="187.96"/>
    <n v="187.96"/>
    <n v="187.9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3A BUSINESS EMPRESA INDIVIDUAL DE RESPONSABILIDAD LIMITADA"/>
    <d v="2025-01-28T00:00:00"/>
    <d v="2025-01-28T00:00:00"/>
    <d v="2025-01-28T00:00:00"/>
    <m/>
    <m/>
    <s v="SAMUEL CHUQUISTA"/>
    <s v="Ventas"/>
    <m/>
    <s v="COLABORATIVA S.A.C."/>
    <n v="967.12"/>
    <n v="174.08"/>
    <n v="1141.2"/>
    <n v="1141.2"/>
    <n v="1141.2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3A BUSINESS EMPRESA INDIVIDUAL DE RESPONSABILIDAD LIMITADA"/>
    <d v="2025-01-28T00:00:00"/>
    <d v="2025-01-28T00:00:00"/>
    <d v="2025-01-28T00:00:00"/>
    <m/>
    <m/>
    <s v="SAMUEL CHUQUISTA"/>
    <s v="Ventas"/>
    <m/>
    <s v="COLABORATIVA S.A.C."/>
    <n v="777.2"/>
    <n v="139.9"/>
    <n v="917.1"/>
    <n v="917.1"/>
    <n v="917.1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C SAN MARTIN EN SU SALSA E.I.R.L."/>
    <d v="2025-01-28T00:00:00"/>
    <d v="2025-01-28T00:00:00"/>
    <d v="2025-01-28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C SAN MARTIN EN SU SALSA E.I.R.L."/>
    <d v="2025-01-28T00:00:00"/>
    <d v="2025-01-28T00:00:00"/>
    <d v="2025-01-28T00:00:00"/>
    <m/>
    <m/>
    <s v="SAMUEL CHUQUISTA"/>
    <s v="Ventas"/>
    <m/>
    <s v="COLABORATIVA S.A.C."/>
    <n v="276.52999999999997"/>
    <n v="49.77"/>
    <n v="326.3"/>
    <n v="326.3"/>
    <n v="326.3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C SAN MARTIN EN SU SALSA E.I.R.L."/>
    <d v="2025-01-28T00:00:00"/>
    <d v="2025-01-28T00:00:00"/>
    <d v="2025-01-28T00:00:00"/>
    <m/>
    <m/>
    <s v="SAMUEL CHUQUISTA"/>
    <s v="Ventas"/>
    <m/>
    <s v="COLABORATIVA S.A.C."/>
    <n v="177.63"/>
    <n v="31.97"/>
    <n v="209.6"/>
    <n v="209.6"/>
    <n v="209.6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MARIA ALICIA CORONADO MALUQUIS"/>
    <d v="2025-01-28T00:00:00"/>
    <d v="2025-01-28T00:00:00"/>
    <d v="2025-01-28T00:00:00"/>
    <m/>
    <m/>
    <s v="SAMUEL CHUQUISTA"/>
    <s v="Ventas"/>
    <m/>
    <s v="COLABORATIVA S.A.C."/>
    <n v="34.32"/>
    <n v="6.18"/>
    <n v="40.5"/>
    <n v="40.5"/>
    <n v="40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MARIA ALICIA CORONADO MALUQUIS"/>
    <d v="2025-01-28T00:00:00"/>
    <d v="2025-01-28T00:00:00"/>
    <d v="2025-01-28T00:00:00"/>
    <m/>
    <m/>
    <s v="SAMUEL CHUQUISTA"/>
    <s v="Ventas"/>
    <m/>
    <s v="COLABORATIVA S.A.C."/>
    <n v="19.07"/>
    <n v="3.43"/>
    <n v="22.5"/>
    <n v="22.5"/>
    <n v="22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ORLANDO ALDAIR POMACAJA CARVO"/>
    <d v="2025-01-28T00:00:00"/>
    <d v="2025-01-28T00:00:00"/>
    <d v="2025-01-28T00:00:00"/>
    <m/>
    <m/>
    <s v="SAMUEL CHUQUISTA"/>
    <s v="Ventas"/>
    <m/>
    <s v="COLABORATIVA S.A.C."/>
    <n v="240.25"/>
    <n v="43.25"/>
    <n v="283.5"/>
    <n v="283.5"/>
    <n v="283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ORLANDO ALDAIR POMACAJA CARVO"/>
    <d v="2025-01-28T00:00:00"/>
    <d v="2025-01-28T00:00:00"/>
    <d v="2025-01-28T00:00:00"/>
    <m/>
    <m/>
    <s v="SAMUEL CHUQUISTA"/>
    <s v="Ventas"/>
    <m/>
    <s v="COLABORATIVA S.A.C."/>
    <n v="133.47"/>
    <n v="24.03"/>
    <n v="157.5"/>
    <n v="157.5"/>
    <n v="157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NAHOMY TRILCE CHAMORRO TORRES"/>
    <d v="2025-01-28T00:00:00"/>
    <d v="2025-01-28T00:00:00"/>
    <d v="2025-01-28T00:00:00"/>
    <m/>
    <m/>
    <s v="SAMUEL CHUQUISTA"/>
    <s v="Ventas"/>
    <m/>
    <s v="COLABORATIVA S.A.C."/>
    <n v="1346.2"/>
    <n v="242.32"/>
    <n v="1588.52"/>
    <n v="1588.52"/>
    <n v="1588.52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NAHOMY TRILCE CHAMORRO TORRES"/>
    <d v="2025-01-28T00:00:00"/>
    <d v="2025-01-28T00:00:00"/>
    <d v="2025-01-28T00:00:00"/>
    <m/>
    <m/>
    <s v="SAMUEL CHUQUISTA"/>
    <s v="Ventas"/>
    <m/>
    <s v="COLABORATIVA S.A.C."/>
    <n v="824.87"/>
    <n v="148.47999999999999"/>
    <n v="973.35"/>
    <n v="973.35"/>
    <n v="973.3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JOHEL EDWIN RICALDI ARIAS"/>
    <d v="2025-01-28T00:00:00"/>
    <d v="2025-01-28T00:00:00"/>
    <d v="2025-01-28T00:00:00"/>
    <m/>
    <m/>
    <s v="SAMUEL CHUQUISTA"/>
    <s v="Ventas"/>
    <m/>
    <s v="COLABORATIVA S.A.C."/>
    <n v="96.1"/>
    <n v="17.3"/>
    <n v="113.4"/>
    <n v="113.4"/>
    <n v="113.4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JOHEL EDWIN RICALDI ARIAS"/>
    <d v="2025-01-28T00:00:00"/>
    <d v="2025-01-28T00:00:00"/>
    <d v="2025-01-28T00:00:00"/>
    <m/>
    <m/>
    <s v="SAMUEL CHUQUISTA"/>
    <s v="Ventas"/>
    <m/>
    <s v="COLABORATIVA S.A.C."/>
    <n v="95.97"/>
    <n v="17.27"/>
    <n v="113.24"/>
    <n v="113.24"/>
    <n v="113.2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G &amp; N MUSIC S.A.C."/>
    <d v="2025-01-27T00:00:00"/>
    <d v="2025-01-27T00:00:00"/>
    <d v="2025-01-27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19"/>
  </r>
  <r>
    <s v="01-"/>
    <n v="0"/>
    <s v="Factura"/>
    <s v="G &amp; N MUSIC S.A.C."/>
    <d v="2025-01-23T00:00:00"/>
    <d v="2025-01-23T00:00:00"/>
    <d v="2025-01-23T00:00:00"/>
    <m/>
    <m/>
    <s v="SAMUEL CHUQUISTA"/>
    <s v="Ventas"/>
    <m/>
    <s v="COLABORATIVA S.A.C."/>
    <n v="910"/>
    <n v="163.80000000000001"/>
    <n v="1073.8"/>
    <n v="1073.8"/>
    <n v="1073.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25.35"/>
    <n v="4.5599999999999996"/>
    <n v="29.91"/>
    <n v="29.91"/>
    <n v="29.91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6508.39"/>
    <n v="1171.51"/>
    <n v="7679.9"/>
    <n v="7679.9"/>
    <n v="7679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5640.85"/>
    <n v="1015.35"/>
    <n v="6656.2"/>
    <n v="6656.2"/>
    <n v="6656.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IESTA KARIBEÑA SOCIEDAD ANONIMA CERRADA"/>
    <d v="2025-01-23T00:00:00"/>
    <d v="2025-01-23T00:00:00"/>
    <d v="2025-01-23T00:00:00"/>
    <m/>
    <m/>
    <s v="SAMUEL CHUQUISTA"/>
    <s v="Ventas"/>
    <m/>
    <s v="COLABORATIVA S.A.C."/>
    <n v="170"/>
    <n v="30.6"/>
    <n v="200.6"/>
    <n v="200.6"/>
    <n v="200.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IESTA KARIBEÑA SOCIEDAD ANONIMA CERRADA"/>
    <d v="2025-01-23T00:00:00"/>
    <d v="2025-01-23T00:00:00"/>
    <d v="2025-01-23T00:00:00"/>
    <m/>
    <m/>
    <s v="SAMUEL CHUQUISTA"/>
    <s v="Ventas"/>
    <m/>
    <s v="COLABORATIVA S.A.C."/>
    <n v="187.63"/>
    <n v="33.770000000000003"/>
    <n v="221.4"/>
    <n v="221.4"/>
    <n v="221.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NEGOCIACIONES Y PRODUCCIONES VEGA S.A.C"/>
    <d v="2025-01-23T00:00:00"/>
    <d v="2025-01-23T00:00:00"/>
    <d v="2025-01-23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NEGOCIACIONES Y PRODUCCIONES VEGA S.A.C"/>
    <d v="2025-01-23T00:00:00"/>
    <d v="2025-01-23T00:00:00"/>
    <d v="2025-01-23T00:00:00"/>
    <m/>
    <m/>
    <s v="SAMUEL CHUQUISTA"/>
    <s v="Ventas"/>
    <m/>
    <s v="COLABORATIVA S.A.C."/>
    <n v="400.93"/>
    <n v="72.17"/>
    <n v="473.1"/>
    <n v="473.1"/>
    <n v="473.1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NEGOCIACIONES Y PRODUCCIONES VEGA S.A.C"/>
    <d v="2025-01-23T00:00:00"/>
    <d v="2025-01-23T00:00:00"/>
    <d v="2025-01-23T00:00:00"/>
    <m/>
    <m/>
    <s v="SAMUEL CHUQUISTA"/>
    <s v="Ventas"/>
    <m/>
    <s v="COLABORATIVA S.A.C."/>
    <n v="289.32"/>
    <n v="52.08"/>
    <n v="341.4"/>
    <n v="341.4"/>
    <n v="341.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SEVAFRA SAC"/>
    <d v="2025-01-23T00:00:00"/>
    <d v="2025-01-23T00:00:00"/>
    <d v="2025-01-23T00:00:00"/>
    <m/>
    <m/>
    <s v="SAMUEL CHUQUISTA"/>
    <s v="Ventas"/>
    <m/>
    <s v="COLABORATIVA S.A.C."/>
    <n v="106.95"/>
    <n v="19.25"/>
    <n v="126.2"/>
    <n v="126.2"/>
    <n v="126.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SEVAFRA SAC"/>
    <d v="2025-01-23T00:00:00"/>
    <d v="2025-01-23T00:00:00"/>
    <d v="2025-01-23T00:00:00"/>
    <m/>
    <m/>
    <s v="SAMUEL CHUQUISTA"/>
    <s v="Ventas"/>
    <m/>
    <s v="COLABORATIVA S.A.C."/>
    <n v="66.69"/>
    <n v="12.01"/>
    <n v="78.7"/>
    <n v="78.7"/>
    <n v="78.7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EL PADRINO DIVERSIONES S.A.C."/>
    <d v="2025-01-23T00:00:00"/>
    <d v="2025-01-23T00:00:00"/>
    <d v="2025-01-23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EL PADRINO DIVERSIONES S.A.C."/>
    <d v="2025-01-23T00:00:00"/>
    <d v="2025-01-23T00:00:00"/>
    <d v="2025-01-23T00:00:00"/>
    <m/>
    <m/>
    <s v="SAMUEL CHUQUISTA"/>
    <s v="Ventas"/>
    <m/>
    <s v="COLABORATIVA S.A.C."/>
    <n v="33.22"/>
    <n v="5.98"/>
    <n v="39.200000000000003"/>
    <n v="39.200000000000003"/>
    <n v="39.20000000000000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ENCO GORDILLO MAXIMO"/>
    <d v="2025-01-23T00:00:00"/>
    <d v="2025-01-23T00:00:00"/>
    <d v="2025-01-23T00:00:00"/>
    <m/>
    <m/>
    <s v="SAMUEL CHUQUISTA"/>
    <s v="Ventas"/>
    <m/>
    <s v="COLABORATIVA S.A.C."/>
    <n v="97.37"/>
    <n v="17.53"/>
    <n v="114.9"/>
    <n v="114.9"/>
    <n v="114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ENCO GORDILLO MAXIMO"/>
    <d v="2025-01-23T00:00:00"/>
    <d v="2025-01-23T00:00:00"/>
    <d v="2025-01-23T00:00:00"/>
    <m/>
    <m/>
    <s v="SAMUEL CHUQUISTA"/>
    <s v="Ventas"/>
    <m/>
    <s v="COLABORATIVA S.A.C."/>
    <n v="59.07"/>
    <n v="10.63"/>
    <n v="69.7"/>
    <n v="69.7"/>
    <n v="69.7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3754.15"/>
    <n v="675.75"/>
    <n v="4429.8999999999996"/>
    <n v="4429.8999999999996"/>
    <n v="4429.899999999999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88.14"/>
    <n v="51.86"/>
    <n v="340"/>
    <n v="340"/>
    <n v="340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400"/>
    <n v="432"/>
    <n v="2832"/>
    <n v="2832"/>
    <n v="283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200"/>
    <n v="396"/>
    <n v="2596"/>
    <n v="2596"/>
    <n v="259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5158.5600000000004"/>
    <n v="928.54"/>
    <n v="6087.1"/>
    <n v="6087.1"/>
    <n v="6087.1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3246.44"/>
    <n v="584.36"/>
    <n v="3830.8"/>
    <n v="3830.8"/>
    <n v="3830.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DA BUSINESS PERU S.A.C."/>
    <d v="2025-01-23T00:00:00"/>
    <d v="2025-01-23T00:00:00"/>
    <d v="2025-01-23T00:00:00"/>
    <m/>
    <m/>
    <s v="SAMUEL CHUQUISTA"/>
    <s v="Ventas"/>
    <m/>
    <s v="COLABORATIVA S.A.C."/>
    <n v="25.34"/>
    <n v="4.5599999999999996"/>
    <n v="29.9"/>
    <n v="29.9"/>
    <n v="29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DA BUSINESS PERU S.A.C."/>
    <d v="2025-01-23T00:00:00"/>
    <d v="2025-01-23T00:00:00"/>
    <d v="2025-01-23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1000"/>
    <n v="180"/>
    <n v="1180"/>
    <n v="1180"/>
    <n v="1180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3384.15"/>
    <n v="609.15"/>
    <n v="3993.3"/>
    <n v="3993.3"/>
    <n v="3993.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1669.75"/>
    <n v="300.55"/>
    <n v="1970.3"/>
    <n v="1970.3"/>
    <n v="1970.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372.2399999999998"/>
    <n v="427"/>
    <n v="2799.24"/>
    <n v="2799.24"/>
    <n v="2799.2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67.44"/>
    <n v="264.14"/>
    <n v="1731.58"/>
    <n v="1731.58"/>
    <n v="1731.5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382.31"/>
    <n v="428.81"/>
    <n v="2811.12"/>
    <n v="2811.12"/>
    <n v="2811.1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68.68"/>
    <n v="264.36"/>
    <n v="1733.04"/>
    <n v="1733.04"/>
    <n v="1733.0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ARDANO PRODUCCIONES S.A.C."/>
    <d v="2025-01-23T00:00:00"/>
    <d v="2025-01-23T00:00:00"/>
    <d v="2025-01-23T00:00:00"/>
    <m/>
    <m/>
    <s v="SAMUEL CHUQUISTA"/>
    <s v="Ventas"/>
    <m/>
    <s v="COLABORATIVA S.A.C."/>
    <n v="22"/>
    <n v="3.96"/>
    <n v="25.96"/>
    <n v="25.96"/>
    <n v="25.9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ARDANO PRODUCCIONES S.A.C."/>
    <d v="2025-01-23T00:00:00"/>
    <d v="2025-01-23T00:00:00"/>
    <d v="2025-01-23T00:00:00"/>
    <m/>
    <m/>
    <s v="SAMUEL CHUQUISTA"/>
    <s v="Ventas"/>
    <m/>
    <s v="COLABORATIVA S.A.C."/>
    <n v="20.5"/>
    <n v="3.69"/>
    <n v="24.19"/>
    <n v="24.19"/>
    <n v="24.1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M.C.A. SERVICIOS INDUSTRIALES E.I.R.L."/>
    <d v="2025-01-23T00:00:00"/>
    <d v="2025-01-23T00:00:00"/>
    <d v="2025-01-23T00:00:00"/>
    <m/>
    <m/>
    <s v="SAMUEL CHUQUISTA"/>
    <s v="Ventas"/>
    <m/>
    <s v="COLABORATIVA S.A.C."/>
    <n v="52.29"/>
    <n v="9.41"/>
    <n v="61.7"/>
    <n v="61.7"/>
    <n v="61.7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M.C.A. SERVICIOS INDUSTRIALES E.I.R.L."/>
    <d v="2025-01-23T00:00:00"/>
    <d v="2025-01-23T00:00:00"/>
    <d v="2025-01-23T00:00:00"/>
    <m/>
    <m/>
    <s v="SAMUEL CHUQUISTA"/>
    <s v="Ventas"/>
    <m/>
    <s v="COLABORATIVA S.A.C."/>
    <n v="32.200000000000003"/>
    <n v="5.8"/>
    <n v="38"/>
    <n v="38"/>
    <n v="3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1181.29"/>
    <n v="212.63"/>
    <n v="1393.92"/>
    <n v="1393.92"/>
    <n v="1393.9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1028.46"/>
    <n v="185.12"/>
    <n v="1213.58"/>
    <n v="1213.58"/>
    <n v="1213.5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24.11"/>
    <n v="4.34"/>
    <n v="28.45"/>
    <n v="28.45"/>
    <n v="28.45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20.99"/>
    <n v="3.78"/>
    <n v="24.77"/>
    <n v="24.77"/>
    <n v="24.7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1029.3599999999999"/>
    <n v="185.28"/>
    <n v="1214.6400000000001"/>
    <n v="1214.6400000000001"/>
    <n v="1214.6400000000001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886.52"/>
    <n v="159.57"/>
    <n v="1046.0899999999999"/>
    <n v="1046.0899999999999"/>
    <n v="1046.089999999999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21.01"/>
    <n v="3.78"/>
    <n v="24.79"/>
    <n v="24.79"/>
    <n v="24.7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18.09"/>
    <n v="3.26"/>
    <n v="21.35"/>
    <n v="21.35"/>
    <n v="21.35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293.38"/>
    <n v="52.81"/>
    <n v="346.19"/>
    <n v="346.19"/>
    <n v="346.1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248.53"/>
    <n v="44.73"/>
    <n v="293.26"/>
    <n v="293.26"/>
    <n v="293.26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5.99"/>
    <n v="1.08"/>
    <n v="7.07"/>
    <n v="7.07"/>
    <n v="7.0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5.07"/>
    <n v="0.91"/>
    <n v="5.98"/>
    <n v="5.98"/>
    <n v="5.9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HONATHAN CALDERON QUISPE"/>
    <d v="2025-01-23T00:00:00"/>
    <d v="2025-01-23T00:00:00"/>
    <d v="2025-01-23T00:00:00"/>
    <m/>
    <m/>
    <s v="SAMUEL CHUQUISTA"/>
    <s v="Ventas"/>
    <m/>
    <s v="COLABORATIVA S.A.C."/>
    <n v="46.78"/>
    <n v="8.42"/>
    <n v="55.2"/>
    <n v="55.2"/>
    <n v="55.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HONATHAN CALDERON QUISPE"/>
    <d v="2025-01-23T00:00:00"/>
    <d v="2025-01-23T00:00:00"/>
    <d v="2025-01-23T00:00:00"/>
    <m/>
    <m/>
    <s v="SAMUEL CHUQUISTA"/>
    <s v="Ventas"/>
    <m/>
    <s v="COLABORATIVA S.A.C."/>
    <n v="32.880000000000003"/>
    <n v="5.92"/>
    <n v="38.799999999999997"/>
    <n v="38.799999999999997"/>
    <n v="38.79999999999999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65"/>
    <n v="11.7"/>
    <n v="76.7"/>
    <n v="76.7"/>
    <n v="76.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660"/>
    <n v="118.8"/>
    <n v="778.8"/>
    <n v="778.8"/>
    <n v="778.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281.61"/>
    <n v="50.69"/>
    <n v="332.3"/>
    <n v="332.3"/>
    <n v="332.3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238.98"/>
    <n v="43.02"/>
    <n v="282"/>
    <n v="282"/>
    <n v="28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ORGE NIKITA GALLO PEREZ"/>
    <d v="2025-01-23T00:00:00"/>
    <d v="2025-01-23T00:00:00"/>
    <d v="2025-01-23T00:00:00"/>
    <m/>
    <m/>
    <s v="SAMUEL CHUQUISTA"/>
    <s v="Ventas"/>
    <m/>
    <s v="COLABORATIVA S.A.C."/>
    <n v="19.41"/>
    <n v="3.49"/>
    <n v="22.9"/>
    <n v="22.9"/>
    <n v="22.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ORGE NIKITA GALLO PEREZ"/>
    <d v="2025-01-23T00:00:00"/>
    <d v="2025-01-23T00:00:00"/>
    <d v="2025-01-23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IESTAS BRAVAS GROUP S.A.C."/>
    <d v="2025-01-16T00:00:00"/>
    <d v="2025-01-16T00:00:00"/>
    <d v="2025-01-16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G &amp; N MUSIC S.A.C."/>
    <d v="2025-01-16T00:00:00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G &amp; N MUSIC S.A.C."/>
    <d v="2025-01-16T00:00:00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G &amp; N MUSIC S.A.C."/>
    <d v="2025-01-16T00:00:00"/>
    <d v="2025-01-16T00:00:00"/>
    <d v="2025-01-16T00:00:00"/>
    <m/>
    <m/>
    <s v="SAMUEL CHUQUISTA"/>
    <s v="Ventas"/>
    <m/>
    <s v="COLABORATIVA S.A.C."/>
    <n v="209.66"/>
    <n v="37.74"/>
    <n v="247.4"/>
    <n v="247.4"/>
    <n v="247.4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COMPLEJO TURISTICO EL REMANSO SAC"/>
    <d v="2025-01-15T00:00:00"/>
    <d v="2025-01-15T00:00:00"/>
    <d v="2025-01-15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COMPLEJO TURISTICO EL REMANSO SAC"/>
    <d v="2025-01-15T00:00:00"/>
    <d v="2025-01-15T00:00:00"/>
    <d v="2025-01-15T00:00:00"/>
    <m/>
    <m/>
    <s v="SAMUEL CHUQUISTA"/>
    <s v="Ventas"/>
    <m/>
    <s v="COLABORATIVA S.A.C."/>
    <n v="933.64"/>
    <n v="168.06"/>
    <n v="1101.7"/>
    <n v="1101.7"/>
    <n v="1101.7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COMPLEJO TURISTICO EL REMANSO SAC"/>
    <d v="2025-01-15T00:00:00"/>
    <d v="2025-01-15T00:00:00"/>
    <d v="2025-01-15T00:00:00"/>
    <m/>
    <m/>
    <s v="SAMUEL CHUQUISTA"/>
    <s v="Ventas"/>
    <m/>
    <s v="COLABORATIVA S.A.C."/>
    <n v="364.66"/>
    <n v="65.64"/>
    <n v="430.3"/>
    <n v="430.3"/>
    <n v="430.3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EL PADRINO DIVERSIONES S.A.C."/>
    <d v="2025-01-15T00:00:00"/>
    <d v="2025-01-15T00:00:00"/>
    <d v="2025-01-15T00:00:00"/>
    <m/>
    <m/>
    <s v="SAMUEL CHUQUISTA"/>
    <s v="Ventas"/>
    <m/>
    <s v="COLABORATIVA S.A.C."/>
    <n v="7.5"/>
    <n v="1.35"/>
    <n v="8.85"/>
    <n v="8.85"/>
    <n v="8.85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EL PADRINO DIVERSIONES S.A.C."/>
    <d v="2025-01-15T00:00:00"/>
    <d v="2025-01-15T00:00:00"/>
    <d v="2025-01-15T00:00:00"/>
    <m/>
    <m/>
    <s v="SAMUEL CHUQUISTA"/>
    <s v="Ventas"/>
    <m/>
    <s v="COLABORATIVA S.A.C."/>
    <n v="95"/>
    <n v="17.100000000000001"/>
    <n v="112.1"/>
    <n v="112.1"/>
    <n v="112.1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EL PADRINO DIVERSIONES S.A.C."/>
    <d v="2025-01-15T00:00:00"/>
    <d v="2025-01-15T00:00:00"/>
    <d v="2025-01-15T00:00:00"/>
    <m/>
    <m/>
    <s v="SAMUEL CHUQUISTA"/>
    <s v="Ventas"/>
    <m/>
    <s v="COLABORATIVA S.A.C."/>
    <n v="56.69"/>
    <n v="10.210000000000001"/>
    <n v="66.900000000000006"/>
    <n v="66.900000000000006"/>
    <n v="66.900000000000006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GEINER DAVID QUIROZ GIL"/>
    <d v="2025-01-15T00:00:00"/>
    <d v="2025-01-15T00:00:00"/>
    <d v="2025-01-15T00:00:00"/>
    <m/>
    <m/>
    <s v="SAMUEL CHUQUISTA"/>
    <s v="Ventas"/>
    <m/>
    <s v="COLABORATIVA S.A.C."/>
    <n v="109.83"/>
    <n v="19.77"/>
    <n v="129.6"/>
    <n v="129.6"/>
    <n v="129.6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GEINER DAVID QUIROZ GIL"/>
    <d v="2025-01-15T00:00:00"/>
    <d v="2025-01-15T00:00:00"/>
    <d v="2025-01-15T00:00:00"/>
    <m/>
    <m/>
    <s v="SAMUEL CHUQUISTA"/>
    <s v="Ventas"/>
    <m/>
    <s v="COLABORATIVA S.A.C."/>
    <n v="61.02"/>
    <n v="10.98"/>
    <n v="72"/>
    <n v="72"/>
    <n v="72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JAVIER ABEL SANCHEZ NUNTON"/>
    <d v="2025-01-15T00:00:00"/>
    <d v="2025-01-15T00:00:00"/>
    <d v="2025-01-15T00:00:00"/>
    <m/>
    <m/>
    <s v="SAMUEL CHUQUISTA"/>
    <s v="Ventas"/>
    <m/>
    <s v="COLABORATIVA S.A.C."/>
    <n v="518.80999999999995"/>
    <n v="93.39"/>
    <n v="612.20000000000005"/>
    <n v="612.20000000000005"/>
    <n v="612.20000000000005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JAVIER ABEL SANCHEZ NUNTON"/>
    <d v="2025-01-15T00:00:00"/>
    <d v="2025-01-15T00:00:00"/>
    <d v="2025-01-15T00:00:00"/>
    <m/>
    <m/>
    <s v="SAMUEL CHUQUISTA"/>
    <s v="Ventas"/>
    <m/>
    <s v="COLABORATIVA S.A.C."/>
    <n v="511.53"/>
    <n v="92.07"/>
    <n v="603.6"/>
    <n v="603.6"/>
    <n v="603.6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G &amp; N MUSIC S.A.C."/>
    <d v="2025-01-09T00:00:00"/>
    <d v="2025-01-09T00:00:00"/>
    <d v="2025-01-09T00:00:00"/>
    <m/>
    <m/>
    <s v="SAMUEL CHUQUISTA"/>
    <s v="Ventas"/>
    <m/>
    <s v="COLABORATIVA S.A.C."/>
    <n v="976.5"/>
    <n v="175.77"/>
    <n v="1152.27"/>
    <n v="1152.27"/>
    <n v="1152.27"/>
    <s v="PEN"/>
    <b v="0"/>
    <s v="Sin pagar"/>
    <m/>
    <m/>
    <m/>
    <s v="Borrador"/>
    <m/>
    <m/>
    <m/>
    <m/>
    <m/>
    <m/>
    <m/>
    <x v="0"/>
    <m/>
    <m/>
    <x v="23"/>
  </r>
  <r>
    <s v="01-"/>
    <n v="0"/>
    <s v="Factura"/>
    <s v="G &amp; N MUSIC S.A.C."/>
    <d v="2025-01-09T00:00:00"/>
    <d v="2025-01-09T00:00:00"/>
    <d v="2025-01-09T00:00:00"/>
    <m/>
    <m/>
    <s v="SAMUEL CHUQUISTA"/>
    <s v="Ventas"/>
    <m/>
    <s v="COLABORATIVA S.A.C."/>
    <n v="970"/>
    <n v="174.6"/>
    <n v="1144.5999999999999"/>
    <n v="1144.5999999999999"/>
    <n v="1144.5999999999999"/>
    <s v="PEN"/>
    <b v="0"/>
    <s v="Sin pagar"/>
    <m/>
    <m/>
    <m/>
    <s v="Borrador"/>
    <m/>
    <m/>
    <m/>
    <m/>
    <m/>
    <m/>
    <m/>
    <x v="0"/>
    <m/>
    <m/>
    <x v="23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44.97"/>
    <n v="8.1"/>
    <n v="53.07"/>
    <n v="53.07"/>
    <n v="53.07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210"/>
    <n v="37.799999999999997"/>
    <n v="247.8"/>
    <n v="247.8"/>
    <n v="247.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2551.0300000000002"/>
    <n v="459.18"/>
    <n v="3010.21"/>
    <n v="3010.21"/>
    <n v="3010.21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1594.55"/>
    <n v="287.02"/>
    <n v="1881.57"/>
    <n v="1881.57"/>
    <n v="1881.57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83.53"/>
    <n v="15.03"/>
    <n v="98.56"/>
    <n v="98.56"/>
    <n v="98.5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4737.62"/>
    <n v="852.77"/>
    <n v="5590.39"/>
    <n v="5590.39"/>
    <n v="5590.3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2961.31"/>
    <n v="533.03"/>
    <n v="3494.34"/>
    <n v="3494.34"/>
    <n v="3494.3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390"/>
    <n v="70.2"/>
    <n v="460.2"/>
    <n v="460.2"/>
    <n v="460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PROMOTORA Y SONIDO MUSICAL WC E.I.R.L."/>
    <d v="2025-01-08T00:00:00"/>
    <d v="2025-01-08T00:00:00"/>
    <d v="2025-01-08T00:00:00"/>
    <m/>
    <m/>
    <s v="SAMUEL CHUQUISTA"/>
    <s v="Ventas"/>
    <m/>
    <s v="COLABORATIVA S.A.C."/>
    <n v="788.9"/>
    <n v="142"/>
    <n v="930.9"/>
    <n v="930.9"/>
    <n v="930.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PROMOTORA Y SONIDO MUSICAL WC E.I.R.L."/>
    <d v="2025-01-08T00:00:00"/>
    <d v="2025-01-08T00:00:00"/>
    <d v="2025-01-08T00:00:00"/>
    <m/>
    <m/>
    <s v="SAMUEL CHUQUISTA"/>
    <s v="Ventas"/>
    <m/>
    <s v="COLABORATIVA S.A.C."/>
    <n v="461.61"/>
    <n v="83.09"/>
    <n v="544.70000000000005"/>
    <n v="544.70000000000005"/>
    <n v="544.7000000000000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EL PADRINO DIVERSIONES S.A.C."/>
    <d v="2025-01-08T00:00:00"/>
    <d v="2025-01-08T00:00:00"/>
    <d v="2025-01-08T00:00:00"/>
    <m/>
    <m/>
    <s v="SAMUEL CHUQUISTA"/>
    <s v="Ventas"/>
    <m/>
    <s v="COLABORATIVA S.A.C."/>
    <n v="92.54"/>
    <n v="16.66"/>
    <n v="109.2"/>
    <n v="109.2"/>
    <n v="109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EL PADRINO DIVERSIONES S.A.C."/>
    <d v="2025-01-08T00:00:00"/>
    <d v="2025-01-08T00:00:00"/>
    <d v="2025-01-08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920"/>
    <n v="165.6"/>
    <n v="1085.5999999999999"/>
    <n v="1085.5999999999999"/>
    <n v="1085.599999999999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1200.42"/>
    <n v="216.08"/>
    <n v="1416.5"/>
    <n v="1416.5"/>
    <n v="1416.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586.36"/>
    <n v="105.54"/>
    <n v="691.9"/>
    <n v="691.9"/>
    <n v="691.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DA BUSINESS PERU S.A.C."/>
    <d v="2025-01-08T00:00:00"/>
    <d v="2025-01-08T00:00:00"/>
    <d v="2025-01-08T00:00:00"/>
    <m/>
    <m/>
    <s v="SAMUEL CHUQUISTA"/>
    <s v="Ventas"/>
    <m/>
    <s v="COLABORATIVA S.A.C."/>
    <n v="52.54"/>
    <n v="9.4600000000000009"/>
    <n v="62"/>
    <n v="62"/>
    <n v="6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DA BUSINESS PERU S.A.C."/>
    <d v="2025-01-08T00:00:00"/>
    <d v="2025-01-08T00:00:00"/>
    <d v="2025-01-08T00:00:00"/>
    <m/>
    <m/>
    <s v="SAMUEL CHUQUISTA"/>
    <s v="Ventas"/>
    <m/>
    <s v="COLABORATIVA S.A.C."/>
    <n v="36.61"/>
    <n v="6.59"/>
    <n v="43.2"/>
    <n v="43.2"/>
    <n v="43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1800"/>
    <n v="324"/>
    <n v="2124"/>
    <n v="2124"/>
    <n v="212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2000"/>
    <n v="360"/>
    <n v="2360"/>
    <n v="2360"/>
    <n v="2360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5200"/>
    <n v="936"/>
    <n v="6136"/>
    <n v="6136"/>
    <n v="613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3942.12"/>
    <n v="709.58"/>
    <n v="4651.7"/>
    <n v="4651.7"/>
    <n v="4651.7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2244.0700000000002"/>
    <n v="403.93"/>
    <n v="2648"/>
    <n v="2648"/>
    <n v="264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202.5"/>
    <n v="36.450000000000003"/>
    <n v="238.95"/>
    <n v="238.95"/>
    <n v="238.9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2862.29"/>
    <n v="515.21"/>
    <n v="3377.5"/>
    <n v="3377.5"/>
    <n v="3377.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4262.2"/>
    <n v="767.2"/>
    <n v="5029.3999999999996"/>
    <n v="5029.3999999999996"/>
    <n v="5029.399999999999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17.100000000000001"/>
    <n v="3.08"/>
    <n v="20.18"/>
    <n v="20.18"/>
    <n v="20.1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9.9"/>
    <n v="1.78"/>
    <n v="11.68"/>
    <n v="11.68"/>
    <n v="11.6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6"/>
    <n v="1.08"/>
    <n v="7.08"/>
    <n v="7.08"/>
    <n v="7.08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FREDO CALDERON MEDINA"/>
    <d v="2025-01-08T00:00:00"/>
    <d v="2025-01-08T00:00:00"/>
    <d v="2025-01-08T00:00:00"/>
    <m/>
    <m/>
    <s v="SAMUEL CHUQUISTA"/>
    <s v="Ventas"/>
    <m/>
    <s v="COLABORATIVA S.A.C."/>
    <n v="1599.66"/>
    <n v="287.94"/>
    <n v="1887.6"/>
    <n v="1887.6"/>
    <n v="1887.6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FREDO CALDERON MEDINA"/>
    <d v="2025-01-08T00:00:00"/>
    <d v="2025-01-08T00:00:00"/>
    <d v="2025-01-08T00:00:00"/>
    <m/>
    <m/>
    <s v="SAMUEL CHUQUISTA"/>
    <s v="Ventas"/>
    <m/>
    <s v="COLABORATIVA S.A.C."/>
    <n v="947.12"/>
    <n v="170.48"/>
    <n v="1117.5999999999999"/>
    <n v="1117.5999999999999"/>
    <n v="1117.5999999999999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AN GUILLERMO PAUCAR GARRO"/>
    <d v="2025-01-08T00:00:00"/>
    <d v="2025-01-08T00:00:00"/>
    <d v="2025-01-08T00:00:00"/>
    <m/>
    <m/>
    <s v="SAMUEL CHUQUISTA"/>
    <s v="Ventas"/>
    <m/>
    <s v="COLABORATIVA S.A.C."/>
    <n v="15"/>
    <n v="2.7"/>
    <n v="17.7"/>
    <n v="17.7"/>
    <n v="17.7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AN GUILLERMO PAUCAR GARRO"/>
    <d v="2025-01-08T00:00:00"/>
    <d v="2025-01-08T00:00:00"/>
    <d v="2025-01-08T00:00:00"/>
    <m/>
    <m/>
    <s v="SAMUEL CHUQUISTA"/>
    <s v="Ventas"/>
    <m/>
    <s v="COLABORATIVA S.A.C."/>
    <n v="530.16999999999996"/>
    <n v="95.43"/>
    <n v="625.6"/>
    <n v="625.6"/>
    <n v="625.6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AN GUILLERMO PAUCAR GARRO"/>
    <d v="2025-01-08T00:00:00"/>
    <d v="2025-01-08T00:00:00"/>
    <d v="2025-01-08T00:00:00"/>
    <m/>
    <m/>
    <s v="SAMUEL CHUQUISTA"/>
    <s v="Ventas"/>
    <m/>
    <s v="COLABORATIVA S.A.C."/>
    <n v="338.9"/>
    <n v="61"/>
    <n v="399.9"/>
    <n v="399.9"/>
    <n v="399.9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EMILIANO MINCHOLA RIVEROS"/>
    <d v="2025-01-08T00:00:00"/>
    <d v="2025-01-08T00:00:00"/>
    <d v="2025-01-08T00:00:00"/>
    <m/>
    <m/>
    <s v="SAMUEL CHUQUISTA"/>
    <s v="Ventas"/>
    <m/>
    <s v="COLABORATIVA S.A.C."/>
    <n v="1.44"/>
    <n v="0.26"/>
    <n v="1.7"/>
    <n v="1.7"/>
    <n v="1.7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EMILIANO MINCHOLA RIVEROS"/>
    <d v="2025-01-08T00:00:00"/>
    <d v="2025-01-08T00:00:00"/>
    <d v="2025-01-08T00:00:00"/>
    <m/>
    <m/>
    <s v="SAMUEL CHUQUISTA"/>
    <s v="Ventas"/>
    <m/>
    <s v="COLABORATIVA S.A.C."/>
    <n v="1.02"/>
    <n v="0.18"/>
    <n v="1.2"/>
    <n v="1.2"/>
    <n v="1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EMPRESA OK MEDIOS PERU S.A.C."/>
    <d v="2025-01-06T00:00:00"/>
    <d v="2025-01-06T00:00:00"/>
    <d v="2025-01-06T00:00:00"/>
    <m/>
    <m/>
    <s v="SAMUEL CHUQUISTA"/>
    <s v="Ventas"/>
    <m/>
    <s v="COLABORATIVA S.A.C."/>
    <n v="32.5"/>
    <n v="5.85"/>
    <n v="38.35"/>
    <n v="38.35"/>
    <n v="38.3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MPRESA OK MEDIOS PERU S.A.C."/>
    <d v="2025-01-06T00:00:00"/>
    <d v="2025-01-06T00:00:00"/>
    <d v="2025-01-06T00:00:00"/>
    <m/>
    <m/>
    <s v="SAMUEL CHUQUISTA"/>
    <s v="Ventas"/>
    <m/>
    <s v="COLABORATIVA S.A.C."/>
    <n v="1978.14"/>
    <n v="356.06"/>
    <n v="2334.1999999999998"/>
    <n v="2334.1999999999998"/>
    <n v="2334.199999999999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MPRESA OK MEDIOS PERU S.A.C."/>
    <d v="2025-01-06T00:00:00"/>
    <d v="2025-01-06T00:00:00"/>
    <d v="2025-01-06T00:00:00"/>
    <m/>
    <m/>
    <s v="SAMUEL CHUQUISTA"/>
    <s v="Ventas"/>
    <m/>
    <s v="COLABORATIVA S.A.C."/>
    <n v="1085.76"/>
    <n v="195.44"/>
    <n v="1281.2"/>
    <n v="1281.2"/>
    <n v="1281.2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SPECTACULOS MARCABALITO S.A.C."/>
    <d v="2025-01-06T00:00:00"/>
    <d v="2025-01-06T00:00:00"/>
    <d v="2025-01-06T00:00:00"/>
    <m/>
    <m/>
    <s v="SAMUEL CHUQUISTA"/>
    <s v="Ventas"/>
    <m/>
    <s v="COLABORATIVA S.A.C."/>
    <n v="50"/>
    <n v="9"/>
    <n v="59"/>
    <n v="59"/>
    <n v="5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SPECTACULOS MARCABALITO S.A.C."/>
    <d v="2025-01-06T00:00:00"/>
    <d v="2025-01-06T00:00:00"/>
    <d v="2025-01-06T00:00:00"/>
    <m/>
    <m/>
    <s v="SAMUEL CHUQUISTA"/>
    <s v="Ventas"/>
    <m/>
    <s v="COLABORATIVA S.A.C."/>
    <n v="227.88"/>
    <n v="41.02"/>
    <n v="268.89999999999998"/>
    <n v="268.89999999999998"/>
    <n v="268.8999999999999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SPECTACULOS MARCABALITO S.A.C."/>
    <d v="2025-01-06T00:00:00"/>
    <d v="2025-01-06T00:00:00"/>
    <d v="2025-01-06T00:00:00"/>
    <m/>
    <m/>
    <s v="SAMUEL CHUQUISTA"/>
    <s v="Ventas"/>
    <m/>
    <s v="COLABORATIVA S.A.C."/>
    <n v="126.36"/>
    <n v="22.74"/>
    <n v="149.1"/>
    <n v="149.1"/>
    <n v="149.1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FIESTAS BRAVAS GROUP S.A.C."/>
    <d v="2025-01-06T00:00:00"/>
    <d v="2025-01-06T00:00:00"/>
    <d v="2025-01-06T00:00:00"/>
    <m/>
    <m/>
    <s v="SAMUEL CHUQUISTA"/>
    <s v="Ventas"/>
    <m/>
    <s v="COLABORATIVA S.A.C."/>
    <n v="283.79000000000002"/>
    <n v="51.08"/>
    <n v="334.87"/>
    <n v="334.87"/>
    <n v="334.8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FIESTAS BRAVAS GROUP S.A.C."/>
    <d v="2025-01-06T00:00:00"/>
    <d v="2025-01-06T00:00:00"/>
    <d v="2025-01-06T00:00:00"/>
    <m/>
    <m/>
    <s v="SAMUEL CHUQUISTA"/>
    <s v="Ventas"/>
    <m/>
    <s v="COLABORATIVA S.A.C."/>
    <n v="208.23"/>
    <n v="37.479999999999997"/>
    <n v="245.71"/>
    <n v="245.71"/>
    <n v="245.71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LA PLAZA GASTRONOMICA S.A.C.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LA PLAZA GASTRONOMICA S.A.C."/>
    <d v="2025-01-06T00:00:00"/>
    <d v="2025-01-06T00:00:00"/>
    <d v="2025-01-06T00:00:00"/>
    <m/>
    <m/>
    <s v="SAMUEL CHUQUISTA"/>
    <s v="Ventas"/>
    <m/>
    <s v="COLABORATIVA S.A.C."/>
    <n v="218.69"/>
    <n v="39.369999999999997"/>
    <n v="258.06"/>
    <n v="258.06"/>
    <n v="258.0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CO CABAÑAS DEL ESTE S.A.C.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CO CABAÑAS DEL ESTE S.A.C."/>
    <d v="2025-01-06T00:00:00"/>
    <d v="2025-01-06T00:00:00"/>
    <d v="2025-01-06T00:00:00"/>
    <m/>
    <m/>
    <s v="SAMUEL CHUQUISTA"/>
    <s v="Ventas"/>
    <m/>
    <s v="COLABORATIVA S.A.C."/>
    <n v="311.91000000000003"/>
    <n v="56.14"/>
    <n v="368.05"/>
    <n v="368.05"/>
    <n v="368.0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BORES CRIOLLOS DEL PERU S.A.C.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BORES CRIOLLOS DEL PERU S.A.C."/>
    <d v="2025-01-06T00:00:00"/>
    <d v="2025-01-06T00:00:00"/>
    <d v="2025-01-06T00:00:00"/>
    <m/>
    <m/>
    <s v="SAMUEL CHUQUISTA"/>
    <s v="Ventas"/>
    <m/>
    <s v="COLABORATIVA S.A.C."/>
    <n v="678.25"/>
    <n v="122.08"/>
    <n v="800.33"/>
    <n v="800.33"/>
    <n v="800.33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OCO FR E.I.R.L."/>
    <d v="2025-01-06T00:00:00"/>
    <d v="2025-01-06T00:00:00"/>
    <d v="2025-01-06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OCO FR E.I.R.L."/>
    <d v="2025-01-06T00:00:00"/>
    <d v="2025-01-06T00:00:00"/>
    <d v="2025-01-06T00:00:00"/>
    <m/>
    <m/>
    <s v="SAMUEL CHUQUISTA"/>
    <s v="Ventas"/>
    <m/>
    <s v="COLABORATIVA S.A.C."/>
    <n v="2836.25"/>
    <n v="510.52"/>
    <n v="3346.77"/>
    <n v="3346.77"/>
    <n v="3346.7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OCO FR E.I.R.L."/>
    <d v="2025-01-06T00:00:00"/>
    <d v="2025-01-06T00:00:00"/>
    <d v="2025-01-06T00:00:00"/>
    <m/>
    <m/>
    <s v="SAMUEL CHUQUISTA"/>
    <s v="Ventas"/>
    <m/>
    <s v="COLABORATIVA S.A.C."/>
    <n v="2033.08"/>
    <n v="365.96"/>
    <n v="2399.04"/>
    <n v="2399.04"/>
    <n v="2399.04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TORRES TOVAR WILDER"/>
    <d v="2025-01-06T00:00:00"/>
    <d v="2025-01-06T00:00:00"/>
    <d v="2025-01-06T00:00:00"/>
    <m/>
    <m/>
    <s v="SAMUEL CHUQUISTA"/>
    <s v="Ventas"/>
    <m/>
    <s v="COLABORATIVA S.A.C."/>
    <n v="222.31"/>
    <n v="40.01"/>
    <n v="262.32"/>
    <n v="262.32"/>
    <n v="262.32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TORRES TOVAR WILDER"/>
    <d v="2025-01-06T00:00:00"/>
    <d v="2025-01-06T00:00:00"/>
    <d v="2025-01-06T00:00:00"/>
    <m/>
    <m/>
    <s v="SAMUEL CHUQUISTA"/>
    <s v="Ventas"/>
    <m/>
    <s v="COLABORATIVA S.A.C."/>
    <n v="133.41999999999999"/>
    <n v="24.02"/>
    <n v="157.44"/>
    <n v="157.44"/>
    <n v="157.44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PROMOTORA SR. DE MURUHUAY E.I.R.L."/>
    <d v="2025-01-06T00:00:00"/>
    <d v="2025-01-06T00:00:00"/>
    <d v="2025-01-06T00:00:00"/>
    <m/>
    <m/>
    <s v="SAMUEL CHUQUISTA"/>
    <s v="Ventas"/>
    <m/>
    <s v="COLABORATIVA S.A.C."/>
    <n v="21.61"/>
    <n v="3.89"/>
    <n v="25.5"/>
    <n v="25.5"/>
    <n v="25.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PROMOTORA SR. DE MURUHUAY E.I.R.L."/>
    <d v="2025-01-06T00:00:00"/>
    <d v="2025-01-06T00:00:00"/>
    <d v="2025-01-06T00:00:00"/>
    <m/>
    <m/>
    <s v="SAMUEL CHUQUISTA"/>
    <s v="Ventas"/>
    <m/>
    <s v="COLABORATIVA S.A.C."/>
    <n v="15.25"/>
    <n v="2.75"/>
    <n v="18"/>
    <n v="18"/>
    <n v="1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JAL ARROYO JAVIER MARCIANO"/>
    <d v="2025-01-06T00:00:00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JAL ARROYO JAVIER MARCIANO"/>
    <d v="2025-01-06T00:00:00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8.5"/>
    <n v="1.53"/>
    <n v="10.029999999999999"/>
    <n v="10.029999999999999"/>
    <n v="10.02999999999999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1000"/>
    <n v="180"/>
    <n v="1180"/>
    <n v="1180"/>
    <n v="1180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750"/>
    <n v="135"/>
    <n v="885"/>
    <n v="885"/>
    <n v="88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1500"/>
    <n v="270"/>
    <n v="1770"/>
    <n v="1770"/>
    <n v="1770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2915"/>
    <n v="524.70000000000005"/>
    <n v="3439.7"/>
    <n v="3439.7"/>
    <n v="3439.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1759.92"/>
    <n v="316.77999999999997"/>
    <n v="2076.6999999999998"/>
    <n v="2076.6999999999998"/>
    <n v="2076.699999999999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L PADRINO DIVERSIONES S.A.C."/>
    <d v="2025-01-06T00:00:00"/>
    <d v="2025-01-06T00:00:00"/>
    <d v="2025-01-06T00:00:00"/>
    <m/>
    <m/>
    <s v="SAMUEL CHUQUISTA"/>
    <s v="Ventas"/>
    <m/>
    <s v="COLABORATIVA S.A.C."/>
    <n v="170.76"/>
    <n v="30.74"/>
    <n v="201.5"/>
    <n v="201.5"/>
    <n v="201.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L PADRINO DIVERSIONES S.A.C."/>
    <d v="2025-01-06T00:00:00"/>
    <d v="2025-01-06T00:00:00"/>
    <d v="2025-01-06T00:00:00"/>
    <m/>
    <m/>
    <s v="SAMUEL CHUQUISTA"/>
    <s v="Ventas"/>
    <m/>
    <s v="COLABORATIVA S.A.C."/>
    <n v="102.29"/>
    <n v="18.41"/>
    <n v="120.7"/>
    <n v="120.7"/>
    <n v="120.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UPER LEO SAC"/>
    <d v="2025-01-06T00:00:00"/>
    <d v="2025-01-06T00:00:00"/>
    <d v="2025-01-06T00:00:00"/>
    <m/>
    <m/>
    <s v="SAMUEL CHUQUISTA"/>
    <s v="Ventas"/>
    <m/>
    <s v="COLABORATIVA S.A.C."/>
    <n v="75.680000000000007"/>
    <n v="13.62"/>
    <n v="89.3"/>
    <n v="89.3"/>
    <n v="89.3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UPER LEO SAC"/>
    <d v="2025-01-06T00:00:00"/>
    <d v="2025-01-06T00:00:00"/>
    <d v="2025-01-06T00:00:00"/>
    <m/>
    <m/>
    <s v="SAMUEL CHUQUISTA"/>
    <s v="Ventas"/>
    <m/>
    <s v="COLABORATIVA S.A.C."/>
    <n v="43.22"/>
    <n v="7.78"/>
    <n v="51"/>
    <n v="51"/>
    <n v="51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JDA BUSINESS PERU S.A.C."/>
    <d v="2025-01-06T00:00:00"/>
    <d v="2025-01-06T00:00:00"/>
    <d v="2025-01-06T00:00:00"/>
    <m/>
    <m/>
    <s v="SAMUEL CHUQUISTA"/>
    <s v="Ventas"/>
    <m/>
    <s v="COLABORATIVA S.A.C."/>
    <n v="58.39"/>
    <n v="10.51"/>
    <n v="68.900000000000006"/>
    <n v="68.900000000000006"/>
    <n v="68.90000000000000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JDA BUSINESS PERU S.A.C."/>
    <d v="2025-01-06T00:00:00"/>
    <d v="2025-01-06T00:00:00"/>
    <d v="2025-01-06T00:00:00"/>
    <m/>
    <m/>
    <s v="SAMUEL CHUQUISTA"/>
    <s v="Ventas"/>
    <m/>
    <s v="COLABORATIVA S.A.C."/>
    <n v="38.81"/>
    <n v="6.99"/>
    <n v="45.8"/>
    <n v="45.8"/>
    <n v="45.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MAQUINA DEL TIEMPO S.A.C."/>
    <d v="2025-01-06T00:00:00"/>
    <d v="2025-01-06T00:00:00"/>
    <d v="2025-01-06T00:00:00"/>
    <m/>
    <m/>
    <s v="SAMUEL CHUQUISTA"/>
    <s v="Ventas"/>
    <m/>
    <s v="COLABORATIVA S.A.C."/>
    <n v="11.53"/>
    <n v="2.0699999999999998"/>
    <n v="13.6"/>
    <n v="13.6"/>
    <n v="13.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MAQUINA DEL TIEMPO S.A.C."/>
    <d v="2025-01-06T00:00:00"/>
    <d v="2025-01-06T00:00:00"/>
    <d v="2025-01-06T00:00:00"/>
    <m/>
    <m/>
    <s v="SAMUEL CHUQUISTA"/>
    <s v="Ventas"/>
    <m/>
    <s v="COLABORATIVA S.A.C."/>
    <n v="8.14"/>
    <n v="1.46"/>
    <n v="9.6"/>
    <n v="9.6"/>
    <n v="9.6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DRIAN DOLORES FLORES"/>
    <d v="2025-01-06T00:00:00"/>
    <d v="2025-01-06T00:00:00"/>
    <d v="2025-01-06T00:00:00"/>
    <m/>
    <m/>
    <s v="SAMUEL CHUQUISTA"/>
    <s v="Ventas"/>
    <m/>
    <s v="COLABORATIVA S.A.C."/>
    <n v="113.39"/>
    <n v="20.41"/>
    <n v="133.80000000000001"/>
    <n v="133.80000000000001"/>
    <n v="133.80000000000001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DRIAN DOLORES FLORES"/>
    <d v="2025-01-06T00:00:00"/>
    <d v="2025-01-06T00:00:00"/>
    <d v="2025-01-06T00:00:00"/>
    <m/>
    <m/>
    <s v="SAMUEL CHUQUISTA"/>
    <s v="Ventas"/>
    <m/>
    <s v="COLABORATIVA S.A.C."/>
    <n v="59.15"/>
    <n v="10.65"/>
    <n v="69.8"/>
    <n v="69.8"/>
    <n v="69.8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LEX DARWIN MUERAS PORRAS"/>
    <d v="2025-01-06T00:00:00"/>
    <d v="2025-01-06T00:00:00"/>
    <d v="2025-01-06T00:00:00"/>
    <m/>
    <m/>
    <s v="SAMUEL CHUQUISTA"/>
    <s v="Ventas"/>
    <m/>
    <s v="COLABORATIVA S.A.C."/>
    <n v="59.66"/>
    <n v="10.74"/>
    <n v="70.400000000000006"/>
    <n v="70.400000000000006"/>
    <n v="70.400000000000006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LEX DARWIN MUERAS PORRAS"/>
    <d v="2025-01-06T00:00:00"/>
    <d v="2025-01-06T00:00:00"/>
    <d v="2025-01-06T00:00:00"/>
    <m/>
    <m/>
    <s v="SAMUEL CHUQUISTA"/>
    <s v="Ventas"/>
    <m/>
    <s v="COLABORATIVA S.A.C."/>
    <n v="43"/>
    <n v="7.74"/>
    <n v="50.74"/>
    <n v="50.74"/>
    <n v="50.74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Dilbert Aguilar"/>
    <d v="2025-01-06T00:00:00"/>
    <d v="2025-01-06T00:00:00"/>
    <d v="2025-01-06T00:00:00"/>
    <m/>
    <m/>
    <s v="SAMUEL CHUQUISTA"/>
    <s v="Ventas"/>
    <m/>
    <s v="COLABORATIVA S.A.C."/>
    <n v="66.45"/>
    <n v="11.96"/>
    <n v="78.41"/>
    <n v="78.41"/>
    <n v="78.41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Dilbert Aguilar"/>
    <d v="2025-01-06T00:00:00"/>
    <d v="2025-01-06T00:00:00"/>
    <d v="2025-01-06T00:00:00"/>
    <m/>
    <m/>
    <s v="SAMUEL CHUQUISTA"/>
    <s v="Ventas"/>
    <m/>
    <s v="COLABORATIVA S.A.C."/>
    <n v="41.47"/>
    <n v="7.47"/>
    <n v="48.94"/>
    <n v="48.94"/>
    <n v="48.94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MARGARITA ARROYO FLORES"/>
    <d v="2025-01-06T00:00:00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MARGARITA ARROYO FLORES"/>
    <d v="2025-01-06T00:00:00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HERMOGENES HUAMAN ESPINOZA"/>
    <d v="2025-01-06T00:00:00"/>
    <d v="2025-01-06T00:00:00"/>
    <d v="2025-01-06T00:00:00"/>
    <m/>
    <m/>
    <s v="SAMUEL CHUQUISTA"/>
    <s v="Ventas"/>
    <m/>
    <s v="COLABORATIVA S.A.C."/>
    <n v="757.54"/>
    <n v="136.36000000000001"/>
    <n v="893.9"/>
    <n v="893.9"/>
    <n v="893.9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HERMOGENES HUAMAN ESPINOZA"/>
    <d v="2025-01-06T00:00:00"/>
    <d v="2025-01-06T00:00:00"/>
    <d v="2025-01-06T00:00:00"/>
    <m/>
    <m/>
    <s v="SAMUEL CHUQUISTA"/>
    <s v="Ventas"/>
    <m/>
    <s v="COLABORATIVA S.A.C."/>
    <n v="460.17"/>
    <n v="82.83"/>
    <n v="543"/>
    <n v="543"/>
    <n v="543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SILVIA SEMIRA SANCHEZ SANGAMA"/>
    <d v="2025-01-06T00:00:00"/>
    <d v="2025-01-06T00:00:00"/>
    <d v="2025-01-06T00:00:00"/>
    <m/>
    <m/>
    <s v="SAMUEL CHUQUISTA"/>
    <s v="Ventas"/>
    <m/>
    <s v="COLABORATIVA S.A.C."/>
    <n v="889.65"/>
    <n v="160.13999999999999"/>
    <n v="1049.79"/>
    <n v="1049.79"/>
    <n v="1049.79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SILVIA SEMIRA SANCHEZ SANGAMA"/>
    <d v="2025-01-06T00:00:00"/>
    <d v="2025-01-06T00:00:00"/>
    <d v="2025-01-06T00:00:00"/>
    <m/>
    <m/>
    <s v="SAMUEL CHUQUISTA"/>
    <s v="Ventas"/>
    <m/>
    <s v="COLABORATIVA S.A.C."/>
    <n v="545.08000000000004"/>
    <n v="98.12"/>
    <n v="643.20000000000005"/>
    <n v="643.20000000000005"/>
    <n v="643.20000000000005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JOSE CORPUS CERDAN DIAZ"/>
    <d v="2025-01-06T00:00:00"/>
    <d v="2025-01-06T00:00:00"/>
    <d v="2025-01-06T00:00:00"/>
    <m/>
    <m/>
    <s v="SAMUEL CHUQUISTA"/>
    <s v="Ventas"/>
    <m/>
    <s v="COLABORATIVA S.A.C."/>
    <n v="39.729999999999997"/>
    <n v="7.15"/>
    <n v="46.88"/>
    <n v="46.88"/>
    <n v="46.88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JOSE CORPUS CERDAN DIAZ"/>
    <d v="2025-01-06T00:00:00"/>
    <d v="2025-01-06T00:00:00"/>
    <d v="2025-01-06T00:00:00"/>
    <m/>
    <m/>
    <s v="SAMUEL CHUQUISTA"/>
    <s v="Ventas"/>
    <m/>
    <s v="COLABORATIVA S.A.C."/>
    <n v="24.58"/>
    <n v="4.42"/>
    <n v="29"/>
    <n v="29"/>
    <n v="2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2919.83"/>
    <n v="525.57000000000005"/>
    <n v="3445.4"/>
    <n v="3445.4"/>
    <n v="3445.4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1439.87"/>
    <n v="259.18"/>
    <n v="1699.05"/>
    <n v="1699.05"/>
    <n v="1699.05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1590.93"/>
    <n v="286.37"/>
    <n v="1877.3"/>
    <n v="1877.3"/>
    <n v="1877.3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2158.64"/>
    <n v="388.56"/>
    <n v="2547.1999999999998"/>
    <n v="2547.1999999999998"/>
    <n v="2547.199999999999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3700"/>
    <n v="666"/>
    <n v="4366"/>
    <n v="4366"/>
    <n v="4366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3425.85"/>
    <n v="616.65"/>
    <n v="4042.5"/>
    <n v="4042.5"/>
    <n v="4042.5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4569.66"/>
    <n v="822.54"/>
    <n v="5392.2"/>
    <n v="5392.2"/>
    <n v="5392.2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JENNER ROBERTO CRISANTA RIOS"/>
    <d v="2025-01-03T00:00:00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JENNER ROBERTO CRISANTA RIOS"/>
    <d v="2025-01-03T00:00:00"/>
    <d v="2025-01-03T00:00:00"/>
    <d v="2025-01-03T00:00:00"/>
    <m/>
    <m/>
    <s v="SAMUEL CHUQUISTA"/>
    <s v="Ventas"/>
    <m/>
    <s v="COLABORATIVA S.A.C."/>
    <n v="598.73"/>
    <n v="107.77"/>
    <n v="706.5"/>
    <n v="706.5"/>
    <n v="706.5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JENNER ROBERTO CRISANTA RIOS"/>
    <d v="2025-01-03T00:00:00"/>
    <d v="2025-01-03T00:00:00"/>
    <d v="2025-01-03T00:00:00"/>
    <m/>
    <m/>
    <s v="SAMUEL CHUQUISTA"/>
    <s v="Ventas"/>
    <m/>
    <s v="COLABORATIVA S.A.C."/>
    <n v="343.47"/>
    <n v="61.83"/>
    <n v="405.3"/>
    <n v="405.3"/>
    <n v="405.3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CRISTHIAM ABEL ALDANA CASTILLO"/>
    <d v="2025-01-03T00:00:00"/>
    <d v="2025-01-03T00:00:00"/>
    <d v="2025-01-03T00:00:00"/>
    <m/>
    <m/>
    <s v="SAMUEL CHUQUISTA"/>
    <s v="Ventas"/>
    <m/>
    <s v="COLABORATIVA S.A.C."/>
    <n v="323.68"/>
    <n v="58.26"/>
    <n v="381.94"/>
    <n v="381.94"/>
    <n v="381.94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CRISTHIAM ABEL ALDANA CASTILLO"/>
    <d v="2025-01-03T00:00:00"/>
    <d v="2025-01-03T00:00:00"/>
    <d v="2025-01-03T00:00:00"/>
    <m/>
    <m/>
    <s v="SAMUEL CHUQUISTA"/>
    <s v="Ventas"/>
    <m/>
    <s v="COLABORATIVA S.A.C."/>
    <n v="177.59"/>
    <n v="31.97"/>
    <n v="209.56"/>
    <n v="209.56"/>
    <n v="209.56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HERMOGENES HUAMAN ESPINOZA"/>
    <d v="2025-01-03T00:00:00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HERMOGENES HUAMAN ESPINOZA"/>
    <d v="2025-01-03T00:00:00"/>
    <d v="2025-01-03T00:00:00"/>
    <d v="2025-01-03T00:00:00"/>
    <m/>
    <m/>
    <s v="SAMUEL CHUQUISTA"/>
    <s v="Ventas"/>
    <m/>
    <s v="COLABORATIVA S.A.C."/>
    <n v="3774.66"/>
    <n v="679.44"/>
    <n v="4454.1000000000004"/>
    <n v="4454.1000000000004"/>
    <n v="4454.1000000000004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HERMOGENES HUAMAN ESPINOZA"/>
    <d v="2025-01-03T00:00:00"/>
    <d v="2025-01-03T00:00:00"/>
    <d v="2025-01-03T00:00:00"/>
    <m/>
    <m/>
    <s v="SAMUEL CHUQUISTA"/>
    <s v="Ventas"/>
    <m/>
    <s v="COLABORATIVA S.A.C."/>
    <n v="3056.78"/>
    <n v="550.22"/>
    <n v="3607"/>
    <n v="3607"/>
    <n v="3607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PERCY ORDINOLA"/>
    <d v="2025-01-03T00:00:00"/>
    <d v="2025-01-03T00:00:00"/>
    <d v="2025-01-03T00:00:00"/>
    <m/>
    <m/>
    <s v="SAMUEL CHUQUISTA"/>
    <s v="Ventas"/>
    <m/>
    <s v="COLABORATIVA S.A.C."/>
    <n v="129.15"/>
    <n v="23.25"/>
    <n v="152.4"/>
    <n v="152.4"/>
    <n v="152.4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PERCY ORDINOLA"/>
    <d v="2025-01-03T00:00:00"/>
    <d v="2025-01-03T00:00:00"/>
    <d v="2025-01-03T00:00:00"/>
    <m/>
    <m/>
    <s v="SAMUEL CHUQUISTA"/>
    <s v="Ventas"/>
    <m/>
    <s v="COLABORATIVA S.A.C."/>
    <n v="84.07"/>
    <n v="15.13"/>
    <n v="99.2"/>
    <n v="99.2"/>
    <n v="99.2"/>
    <s v="PEN"/>
    <b v="0"/>
    <s v="Sin pagar"/>
    <m/>
    <m/>
    <m/>
    <s v="Borrador"/>
    <m/>
    <m/>
    <m/>
    <m/>
    <m/>
    <m/>
    <m/>
    <x v="0"/>
    <m/>
    <m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FXG/00008"/>
    <n v="0"/>
    <x v="0"/>
    <d v="2025-06-23T00:00:00"/>
    <d v="2025-06-13T00:00:00"/>
    <d v="2025-06-23T00:00:00"/>
    <m/>
    <m/>
    <s v="COMIDA"/>
    <m/>
    <s v="COLABORATIVA S.A.C."/>
    <n v="-30"/>
    <m/>
    <n v="-30"/>
    <n v="-30"/>
    <n v="-30"/>
    <s v="PEN"/>
    <b v="0"/>
    <s v="Sin pagar"/>
    <m/>
    <m/>
    <m/>
    <x v="0"/>
    <m/>
    <m/>
    <x v="0"/>
    <m/>
    <m/>
    <m/>
    <m/>
    <m/>
    <m/>
    <m/>
  </r>
  <r>
    <s v="FXG/00007"/>
    <n v="0"/>
    <x v="1"/>
    <d v="2025-06-13T00:00:00"/>
    <d v="2025-06-13T00:00:00"/>
    <d v="2025-06-13T00:00:00"/>
    <m/>
    <m/>
    <m/>
    <m/>
    <s v="COLABORATIVA S.A.C."/>
    <n v="-50"/>
    <n v="-9"/>
    <n v="-59"/>
    <n v="-59"/>
    <m/>
    <s v="PEN"/>
    <b v="0"/>
    <s v="Pagado"/>
    <m/>
    <m/>
    <m/>
    <x v="0"/>
    <m/>
    <m/>
    <x v="0"/>
    <m/>
    <m/>
    <m/>
    <m/>
    <m/>
    <m/>
    <m/>
  </r>
  <r>
    <s v="FXG/00006"/>
    <n v="0"/>
    <x v="2"/>
    <d v="2025-06-13T00:00:00"/>
    <d v="2025-06-13T00:00:00"/>
    <d v="2025-06-13T00:00:00"/>
    <m/>
    <m/>
    <s v="COMIDA"/>
    <m/>
    <s v="COLABORATIVA S.A.C."/>
    <n v="-30"/>
    <m/>
    <n v="-30"/>
    <n v="-30"/>
    <m/>
    <s v="PEN"/>
    <b v="0"/>
    <s v="Pagado"/>
    <m/>
    <m/>
    <m/>
    <x v="0"/>
    <m/>
    <m/>
    <x v="0"/>
    <m/>
    <m/>
    <m/>
    <m/>
    <m/>
    <m/>
    <m/>
  </r>
  <r>
    <s v="FXG/00005"/>
    <n v="0"/>
    <x v="2"/>
    <d v="2025-06-13T00:00:00"/>
    <d v="2025-06-13T00:00:00"/>
    <d v="2025-06-13T00:00:00"/>
    <m/>
    <m/>
    <s v="DELIVERY"/>
    <m/>
    <s v="COLABORATIVA S.A.C."/>
    <n v="-25"/>
    <m/>
    <n v="-25"/>
    <n v="-25"/>
    <m/>
    <s v="PEN"/>
    <b v="0"/>
    <s v="Pagado"/>
    <m/>
    <m/>
    <m/>
    <x v="0"/>
    <m/>
    <m/>
    <x v="0"/>
    <m/>
    <m/>
    <m/>
    <m/>
    <m/>
    <m/>
    <m/>
  </r>
  <r>
    <s v="FXG/00003"/>
    <n v="0"/>
    <x v="2"/>
    <d v="2025-06-04T00:00:00"/>
    <d v="2025-06-02T00:00:00"/>
    <d v="2025-06-04T00:00:00"/>
    <m/>
    <m/>
    <s v="COMIDA"/>
    <m/>
    <s v="COLABORATIVA S.A.C."/>
    <n v="-63.56"/>
    <n v="-11.44"/>
    <n v="-75"/>
    <n v="-75"/>
    <m/>
    <s v="PEN"/>
    <b v="0"/>
    <s v="Pagado"/>
    <m/>
    <m/>
    <m/>
    <x v="0"/>
    <m/>
    <m/>
    <x v="0"/>
    <m/>
    <m/>
    <m/>
    <m/>
    <m/>
    <m/>
    <m/>
  </r>
  <r>
    <s v="FXG/00002"/>
    <n v="0"/>
    <x v="2"/>
    <d v="2025-06-02T00:00:00"/>
    <d v="2025-05-31T00:00:00"/>
    <d v="2025-06-02T00:00:00"/>
    <m/>
    <m/>
    <s v="compra de agua"/>
    <m/>
    <s v="COLABORATIVA S.A.C."/>
    <n v="-50.85"/>
    <n v="-9.15"/>
    <n v="-60"/>
    <n v="-60"/>
    <m/>
    <s v="PEN"/>
    <b v="0"/>
    <s v="Pagado"/>
    <m/>
    <m/>
    <m/>
    <x v="0"/>
    <m/>
    <m/>
    <x v="0"/>
    <m/>
    <m/>
    <m/>
    <m/>
    <m/>
    <m/>
    <m/>
  </r>
  <r>
    <s v="FXG/00001"/>
    <n v="0"/>
    <x v="2"/>
    <d v="2025-06-02T00:00:00"/>
    <d v="2025-05-31T00:00:00"/>
    <d v="2025-06-02T00:00:00"/>
    <m/>
    <m/>
    <s v="Compra agua"/>
    <m/>
    <s v="COLABORATIVA S.A.C."/>
    <n v="-60"/>
    <m/>
    <n v="-60"/>
    <n v="-60"/>
    <n v="-60"/>
    <s v="PEN"/>
    <b v="0"/>
    <s v="Sin pagar"/>
    <m/>
    <m/>
    <m/>
    <x v="0"/>
    <m/>
    <m/>
    <x v="0"/>
    <m/>
    <m/>
    <m/>
    <m/>
    <m/>
    <m/>
    <m/>
  </r>
  <r>
    <s v="BILL0005"/>
    <n v="0"/>
    <x v="1"/>
    <d v="2025-05-23T00:00:00"/>
    <d v="2025-05-31T00:00:00"/>
    <d v="2025-05-23T00:00:00"/>
    <m/>
    <m/>
    <m/>
    <m/>
    <s v="COLABORATIVA S.A.C."/>
    <n v="-308.82"/>
    <n v="-55.59"/>
    <n v="-364.41"/>
    <n v="-364.41"/>
    <n v="-364.41"/>
    <s v="PEN"/>
    <b v="0"/>
    <s v="Sin pagar"/>
    <m/>
    <m/>
    <m/>
    <x v="0"/>
    <m/>
    <m/>
    <x v="0"/>
    <m/>
    <m/>
    <m/>
    <m/>
    <m/>
    <m/>
    <m/>
  </r>
  <r>
    <s v="BILL0004"/>
    <n v="0"/>
    <x v="3"/>
    <d v="2025-05-22T00:00:00"/>
    <d v="2025-05-31T00:00:00"/>
    <d v="2025-05-22T00:00:00"/>
    <m/>
    <m/>
    <m/>
    <m/>
    <s v="COLABORATIVA S.A.C."/>
    <n v="-149.97"/>
    <n v="-26.99"/>
    <n v="-176.96"/>
    <n v="-176.96"/>
    <n v="-176.96"/>
    <s v="PEN"/>
    <b v="0"/>
    <s v="Sin pagar"/>
    <m/>
    <m/>
    <m/>
    <x v="0"/>
    <m/>
    <m/>
    <x v="0"/>
    <m/>
    <m/>
    <m/>
    <m/>
    <m/>
    <m/>
    <m/>
  </r>
  <r>
    <m/>
    <n v="0"/>
    <x v="2"/>
    <d v="2025-06-02T00:00:00"/>
    <d v="2025-05-31T00:00:00"/>
    <d v="2025-06-02T00:00:00"/>
    <m/>
    <m/>
    <s v="compra de agua"/>
    <m/>
    <s v="COLABORATIVA S.A.C."/>
    <n v="-50.85"/>
    <n v="-9.15"/>
    <n v="-60"/>
    <n v="-60"/>
    <n v="-60"/>
    <s v="PEN"/>
    <b v="0"/>
    <s v="Sin pagar"/>
    <m/>
    <m/>
    <m/>
    <x v="0"/>
    <m/>
    <m/>
    <x v="0"/>
    <m/>
    <m/>
    <m/>
    <m/>
    <m/>
    <m/>
    <m/>
  </r>
  <r>
    <s v="FXG/00004"/>
    <n v="0"/>
    <x v="2"/>
    <d v="2025-06-04T00:00:00"/>
    <d v="2025-05-30T00:00:00"/>
    <d v="2025-06-04T00:00:00"/>
    <m/>
    <m/>
    <s v="cena de aniversario vaope"/>
    <m/>
    <s v="COLABORATIVA S.A.C."/>
    <n v="-1728.82"/>
    <n v="-311.18"/>
    <n v="-2040"/>
    <n v="-2040"/>
    <m/>
    <s v="PEN"/>
    <b v="0"/>
    <s v="Pagado"/>
    <m/>
    <m/>
    <m/>
    <x v="0"/>
    <m/>
    <m/>
    <x v="0"/>
    <m/>
    <m/>
    <m/>
    <m/>
    <m/>
    <m/>
    <m/>
  </r>
  <r>
    <s v="BILL0003"/>
    <n v="0"/>
    <x v="4"/>
    <d v="2025-05-27T00:00:00"/>
    <d v="2025-05-27T00:00:00"/>
    <d v="2025-05-27T00:00:00"/>
    <m/>
    <m/>
    <m/>
    <m/>
    <s v="COLABORATIVA S.A.C."/>
    <n v="-31.27"/>
    <n v="-5.63"/>
    <n v="-36.9"/>
    <n v="-36.9"/>
    <m/>
    <s v="PEN"/>
    <b v="0"/>
    <s v="Pagado"/>
    <m/>
    <m/>
    <m/>
    <x v="0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x v="1"/>
    <m/>
    <m/>
    <x v="0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0"/>
    <s v="A &amp; Q AYLLU S.A.C."/>
    <x v="0"/>
    <d v="2025-06-13T00:00:00"/>
    <d v="2025-06-23T00:00:00"/>
    <m/>
    <m/>
    <s v="COMIDA"/>
    <m/>
    <s v="COLABORATIVA S.A.C."/>
    <n v="-30"/>
    <m/>
    <n v="-30"/>
    <n v="-30"/>
    <n v="-30"/>
    <s v="PEN"/>
    <b v="0"/>
    <s v="Sin pagar"/>
    <m/>
    <m/>
    <m/>
    <s v="Registrado"/>
    <m/>
    <m/>
    <m/>
    <m/>
    <m/>
    <m/>
    <m/>
    <m/>
    <m/>
    <m/>
    <m/>
    <x v="0"/>
  </r>
  <r>
    <x v="1"/>
    <n v="0"/>
    <s v="FLINK S.A.C."/>
    <x v="1"/>
    <d v="2025-06-13T00:00:00"/>
    <d v="2025-06-13T00:00:00"/>
    <m/>
    <m/>
    <m/>
    <m/>
    <s v="COLABORATIVA S.A.C."/>
    <n v="-50"/>
    <n v="-9"/>
    <n v="-59"/>
    <n v="-59"/>
    <m/>
    <s v="PEN"/>
    <b v="0"/>
    <s v="Pagado"/>
    <m/>
    <m/>
    <m/>
    <s v="Registrado"/>
    <m/>
    <m/>
    <m/>
    <m/>
    <m/>
    <m/>
    <m/>
    <m/>
    <m/>
    <m/>
    <m/>
    <x v="1"/>
  </r>
  <r>
    <x v="2"/>
    <n v="0"/>
    <s v="SAMUEL CHUQUISTA"/>
    <x v="1"/>
    <d v="2025-06-13T00:00:00"/>
    <d v="2025-06-13T00:00:00"/>
    <m/>
    <m/>
    <s v="COMIDA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x v="1"/>
  </r>
  <r>
    <x v="3"/>
    <n v="0"/>
    <s v="SAMUEL CHUQUISTA"/>
    <x v="1"/>
    <d v="2025-06-13T00:00:00"/>
    <d v="2025-06-13T00:00:00"/>
    <m/>
    <m/>
    <s v="DELIVERY"/>
    <m/>
    <s v="COLABORATIVA S.A.C."/>
    <n v="-25"/>
    <m/>
    <n v="-25"/>
    <n v="-25"/>
    <m/>
    <s v="PEN"/>
    <b v="0"/>
    <s v="Pagado"/>
    <m/>
    <m/>
    <m/>
    <s v="Registrado"/>
    <m/>
    <m/>
    <m/>
    <m/>
    <m/>
    <m/>
    <m/>
    <m/>
    <m/>
    <m/>
    <m/>
    <x v="1"/>
  </r>
  <r>
    <x v="4"/>
    <n v="0"/>
    <s v="SAMUEL CHUQUISTA"/>
    <x v="2"/>
    <d v="2025-06-02T00:00:00"/>
    <d v="2025-06-04T00:00:00"/>
    <m/>
    <m/>
    <s v="COMIDA"/>
    <m/>
    <s v="COLABORATIVA S.A.C."/>
    <n v="-63.56"/>
    <n v="-11.44"/>
    <n v="-75"/>
    <n v="-75"/>
    <m/>
    <s v="PEN"/>
    <b v="0"/>
    <s v="Pagado"/>
    <m/>
    <m/>
    <m/>
    <s v="Registrado"/>
    <m/>
    <m/>
    <m/>
    <m/>
    <m/>
    <m/>
    <m/>
    <m/>
    <m/>
    <m/>
    <m/>
    <x v="2"/>
  </r>
  <r>
    <x v="5"/>
    <n v="0"/>
    <s v="SAMUEL CHUQUISTA"/>
    <x v="3"/>
    <d v="2025-05-31T00:00:00"/>
    <d v="2025-06-02T00:00:00"/>
    <m/>
    <m/>
    <s v="compra de agua"/>
    <m/>
    <s v="COLABORATIVA S.A.C."/>
    <n v="-50.85"/>
    <n v="-9.15"/>
    <n v="-60"/>
    <n v="-60"/>
    <m/>
    <s v="PEN"/>
    <b v="0"/>
    <s v="Pagado"/>
    <m/>
    <m/>
    <m/>
    <s v="Registrado"/>
    <m/>
    <m/>
    <m/>
    <m/>
    <m/>
    <m/>
    <m/>
    <m/>
    <m/>
    <m/>
    <m/>
    <x v="3"/>
  </r>
  <r>
    <x v="6"/>
    <n v="0"/>
    <s v="SAMUEL CHUQUISTA"/>
    <x v="3"/>
    <d v="2025-05-31T00:00:00"/>
    <d v="2025-06-02T00:00:00"/>
    <m/>
    <m/>
    <s v="Compra agua"/>
    <m/>
    <s v="COLABORATIVA S.A.C."/>
    <n v="-60"/>
    <m/>
    <n v="-60"/>
    <n v="-60"/>
    <n v="-60"/>
    <s v="PEN"/>
    <b v="0"/>
    <s v="Sin pagar"/>
    <m/>
    <m/>
    <m/>
    <s v="Registrado"/>
    <m/>
    <m/>
    <m/>
    <m/>
    <m/>
    <m/>
    <m/>
    <m/>
    <m/>
    <m/>
    <m/>
    <x v="3"/>
  </r>
  <r>
    <x v="7"/>
    <n v="0"/>
    <s v="FLINK S.A.C."/>
    <x v="4"/>
    <d v="2025-05-31T00:00:00"/>
    <d v="2025-05-23T00:00:00"/>
    <m/>
    <m/>
    <m/>
    <m/>
    <s v="COLABORATIVA S.A.C."/>
    <n v="-308.82"/>
    <n v="-55.59"/>
    <n v="-364.41"/>
    <n v="-364.41"/>
    <n v="-364.41"/>
    <s v="PEN"/>
    <b v="0"/>
    <s v="Sin pagar"/>
    <m/>
    <m/>
    <m/>
    <s v="Registrado"/>
    <m/>
    <m/>
    <m/>
    <m/>
    <m/>
    <m/>
    <m/>
    <m/>
    <m/>
    <m/>
    <m/>
    <x v="4"/>
  </r>
  <r>
    <x v="8"/>
    <n v="0"/>
    <s v="HOMECENTERS PERUANOS S.A."/>
    <x v="5"/>
    <d v="2025-05-31T00:00:00"/>
    <d v="2025-05-22T00:00:00"/>
    <m/>
    <m/>
    <m/>
    <m/>
    <s v="COLABORATIVA S.A.C."/>
    <n v="-149.97"/>
    <n v="-26.99"/>
    <n v="-176.96"/>
    <n v="-176.96"/>
    <n v="-176.96"/>
    <s v="PEN"/>
    <b v="0"/>
    <s v="Sin pagar"/>
    <m/>
    <m/>
    <m/>
    <s v="Registrado"/>
    <m/>
    <m/>
    <m/>
    <m/>
    <m/>
    <m/>
    <m/>
    <m/>
    <m/>
    <m/>
    <m/>
    <x v="5"/>
  </r>
  <r>
    <x v="9"/>
    <n v="0"/>
    <s v="SAMUEL CHUQUISTA"/>
    <x v="3"/>
    <d v="2025-05-31T00:00:00"/>
    <d v="2025-06-02T00:00:00"/>
    <m/>
    <m/>
    <s v="compra de agua"/>
    <m/>
    <s v="COLABORATIVA S.A.C."/>
    <n v="-50.85"/>
    <n v="-9.15"/>
    <n v="-60"/>
    <n v="-60"/>
    <n v="-60"/>
    <s v="PEN"/>
    <b v="0"/>
    <s v="Sin pagar"/>
    <m/>
    <m/>
    <m/>
    <s v="Registrado"/>
    <m/>
    <m/>
    <m/>
    <m/>
    <m/>
    <m/>
    <m/>
    <m/>
    <m/>
    <m/>
    <m/>
    <x v="3"/>
  </r>
  <r>
    <x v="10"/>
    <n v="0"/>
    <s v="SAMUEL CHUQUISTA"/>
    <x v="2"/>
    <d v="2025-05-30T00:00:00"/>
    <d v="2025-06-04T00:00:00"/>
    <m/>
    <m/>
    <s v="cena de aniversario vaope"/>
    <m/>
    <s v="COLABORATIVA S.A.C."/>
    <n v="-1728.82"/>
    <n v="-311.18"/>
    <n v="-2040"/>
    <n v="-2040"/>
    <m/>
    <s v="PEN"/>
    <b v="0"/>
    <s v="Pagado"/>
    <m/>
    <m/>
    <m/>
    <s v="Registrado"/>
    <m/>
    <m/>
    <m/>
    <m/>
    <m/>
    <m/>
    <m/>
    <m/>
    <m/>
    <m/>
    <m/>
    <x v="2"/>
  </r>
  <r>
    <x v="11"/>
    <n v="0"/>
    <s v="TURISMO J.A.K.S.A"/>
    <x v="6"/>
    <d v="2025-05-27T00:00:00"/>
    <d v="2025-05-27T00:00:00"/>
    <m/>
    <m/>
    <m/>
    <m/>
    <s v="COLABORATIVA S.A.C."/>
    <n v="-31.27"/>
    <n v="-5.63"/>
    <n v="-36.9"/>
    <n v="-36.9"/>
    <m/>
    <s v="PEN"/>
    <b v="0"/>
    <s v="Pagado"/>
    <m/>
    <m/>
    <m/>
    <s v="Registrado"/>
    <m/>
    <m/>
    <m/>
    <m/>
    <m/>
    <m/>
    <m/>
    <m/>
    <m/>
    <m/>
    <m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F001"/>
    <s v="00025478"/>
    <s v="COLABORATIVA S.A.C."/>
    <x v="0"/>
    <d v="2025-10-10T12:32:00"/>
    <x v="0"/>
    <m/>
    <s v="RUC"/>
    <n v="20609168961"/>
    <s v="[{'codigo_producto': '100', 'cantidad': '1', 'valor_unitario': 30.0, 'precio_unitario': 30.0, 'descuento': None, 'subtotal': 30.0, 'porcentaje_de_igv': '0.00', 'igv': 0.0, 'total': 30.0, 'moneda': '1', 'tipo_de_cambio': '', 'id_tipo_gasto': '', 'nom_tipo_gasto': 'Otros', 'id_proveedor': 1113, 'id_producto': 1780, 'nom_producto': 'SAMUEL CHUQUISTA: COMIDA', 'categoria_producto': 'EVENTOS', 'Id_estado': 'not_paid', 'Nombre_estado': 'Sin pagar', 'evento': {'id_evento': '', 'nom_evento': '', 'Fecha_hora_ini_event': '', 'Fecha_hora_fin_event': '', 'id_organizador': '', 'nom_organizador': '', 'tipo_organizador': ''}, 'id_cuenta': 6726, 'nom_cuenta': '6314100 AlimentaciÃ³n', 'distribucion_analitica': [[{'cÃ³digo': 84, 'nom_distribucion': 'Impresos', 'sub_categoria': 'OPERATIVOS', 'porcentaje': '100.00'}]]}]"/>
    <d v="2025-06-23T00:00:00"/>
    <m/>
    <m/>
    <m/>
    <m/>
    <m/>
    <n v="100"/>
    <n v="1"/>
    <n v="30"/>
    <n v="30"/>
    <m/>
    <n v="30"/>
    <n v="0"/>
    <n v="0"/>
    <n v="30"/>
    <n v="1"/>
    <m/>
    <m/>
    <s v="Otros"/>
    <n v="1113"/>
    <n v="1780"/>
    <x v="0"/>
    <s v="EVENTOS"/>
    <s v="not_paid"/>
    <x v="0"/>
    <n v="6726"/>
    <s v="6314100 AlimentaciÃ³n"/>
    <s v="[[{'cÃ³digo': 84, 'nom_distribucion': 'Impresos', 'sub_categoria': 'OPERATIVOS', 'porcentaje': '100.00'}]]"/>
    <m/>
    <m/>
    <m/>
    <m/>
    <m/>
    <m/>
    <m/>
    <x v="0"/>
  </r>
  <r>
    <s v="E001"/>
    <s v="00000020"/>
    <s v="COLABORATIVA S.A.C."/>
    <x v="1"/>
    <d v="2025-10-10T10:00:00"/>
    <x v="1"/>
    <m/>
    <s v="RUC"/>
    <n v="20421530107"/>
    <s v="[{'codigo_producto': '100', 'cantidad': '1', 'valor_unitario': 50.0, 'precio_unitario': 59.0, 'descuento': None, 'subtotal': 50.0, 'porcentaje_de_igv': '18.00', 'igv': 9.0, 'total': 59.0, 'moneda': '1', 'tipo_de_cambio': '', 'id_tipo_gasto': '', 'nom_tipo_gasto': 'Otros', 'id_proveedor': 1555, 'id_producto': 1789, 'nom_producto': 'COMIDA', 'categoria_producto': 'EVENTOS', 'Id_estado': 'paid', 'Nombre_estado': 'Pagado', 'evento': {'id_evento': '', 'nom_evento': '', 'Fecha_hora_ini_event': '', 'Fecha_hora_fin_event': '', 'id_organizador': '', 'nom_organizador': '', 'tipo_organizador': ''}, 'id_cuenta': 6974, 'nom_cuenta': '1011104 Caja chica Responsable 2', 'distribucion_analitica': [[{'cÃ³digo': 84, 'nom_distribucion': 'Impresos', 'sub_categoria': 'OPERATIVOS', 'porcentaje': '100.00'}]]}]"/>
    <d v="2025-06-13T00:00:00"/>
    <m/>
    <m/>
    <m/>
    <m/>
    <m/>
    <n v="100"/>
    <n v="1"/>
    <n v="50"/>
    <n v="59"/>
    <m/>
    <n v="50"/>
    <n v="18"/>
    <n v="9"/>
    <n v="59"/>
    <n v="1"/>
    <m/>
    <m/>
    <s v="Otros"/>
    <n v="1555"/>
    <n v="1789"/>
    <x v="1"/>
    <s v="EVENTOS"/>
    <s v="paid"/>
    <x v="1"/>
    <n v="6974"/>
    <s v="1011104 Caja chica Responsable 2"/>
    <s v="[[{'cÃ³digo': 84, 'nom_distribucion': 'Impresos', 'sub_categoria': 'OPERATIVOS', 'porcentaje': '100.00'}]]"/>
    <m/>
    <m/>
    <m/>
    <m/>
    <m/>
    <m/>
    <m/>
    <x v="1"/>
  </r>
  <r>
    <s v="FXG"/>
    <s v="00006"/>
    <s v="COLABORATIVA S.A.C."/>
    <x v="1"/>
    <d v="2025-10-10T10:57:00"/>
    <x v="2"/>
    <m/>
    <s v="DNI"/>
    <n v="43680546"/>
    <s v="[{'codigo_producto': '100', 'cantidad': '1', 'valor_unitario': 30.0, 'precio_unitario': 30.0, 'descuento': None, 'subtotal': 30.0, 'porcentaje_de_igv': '0.00', 'igv': 0.0, 'total': 30.0, 'moneda': '1', 'tipo_de_cambio': '', 'id_tipo_gasto': '', 'nom_tipo_gasto': 'Otros', 'id_proveedor': 3, 'id_producto': 1780, 'nom_producto': 'SAMUEL CHUQUISTA: COMID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84, 'nom_distribucion': 'Impresos', 'sub_categoria': 'OPERATIVOS', 'porcentaje': '100.00'}]]}]"/>
    <d v="2025-06-13T00:00:00"/>
    <m/>
    <m/>
    <m/>
    <m/>
    <m/>
    <n v="100"/>
    <n v="1"/>
    <n v="30"/>
    <n v="30"/>
    <m/>
    <n v="30"/>
    <n v="0"/>
    <n v="0"/>
    <n v="30"/>
    <n v="1"/>
    <m/>
    <m/>
    <s v="Otros"/>
    <n v="3"/>
    <n v="1780"/>
    <x v="0"/>
    <s v="EVENTOS"/>
    <s v="paid"/>
    <x v="1"/>
    <n v="6726"/>
    <s v="6314100 AlimentaciÃ³n"/>
    <s v="[[{'cÃ³digo': 84, 'nom_distribucion': 'Impresos', 'sub_categoria': 'OPERATIVOS', 'porcentaje': '100.00'}]]"/>
    <m/>
    <m/>
    <m/>
    <m/>
    <m/>
    <m/>
    <m/>
    <x v="2"/>
  </r>
  <r>
    <s v="FXG"/>
    <s v="00005"/>
    <s v="COLABORATIVA S.A.C."/>
    <x v="1"/>
    <d v="2025-10-10T10:50:00"/>
    <x v="2"/>
    <m/>
    <s v="DNI"/>
    <n v="43680546"/>
    <s v="[{'codigo_producto': '100', 'cantidad': '1', 'valor_unitario': 25.0, 'precio_unitario': 25.0, 'descuento': None, 'subtotal': 25.0, 'porcentaje_de_igv': '0.00', 'igv': 0.0, 'total': 25.0, 'moneda': '1', 'tipo_de_cambio': '', 'id_tipo_gasto': '', 'nom_tipo_gasto': 'Otros', 'id_proveedor': 3, 'id_producto': 1780, 'nom_producto': 'SAMUEL CHUQUISTA: DELIVERY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81, 'nom_distribucion': 'Impresos', 'sub_categoria': 'DELIVERY', 'porcentaje': '100.00'}]]}]"/>
    <d v="2025-06-13T00:00:00"/>
    <m/>
    <m/>
    <m/>
    <m/>
    <m/>
    <n v="100"/>
    <n v="1"/>
    <n v="25"/>
    <n v="25"/>
    <m/>
    <n v="25"/>
    <n v="0"/>
    <n v="0"/>
    <n v="25"/>
    <n v="1"/>
    <m/>
    <m/>
    <s v="Otros"/>
    <n v="3"/>
    <n v="1780"/>
    <x v="2"/>
    <s v="EVENTOS"/>
    <s v="paid"/>
    <x v="1"/>
    <n v="6726"/>
    <s v="6314100 AlimentaciÃ³n"/>
    <s v="[[{'cÃ³digo': 81, 'nom_distribucion': 'Impresos', 'sub_categoria': 'DELIVERY', 'porcentaje': '100.00'}]]"/>
    <m/>
    <m/>
    <m/>
    <m/>
    <m/>
    <m/>
    <m/>
    <x v="3"/>
  </r>
  <r>
    <s v="FXG"/>
    <s v="00004"/>
    <s v="COLABORATIVA S.A.C."/>
    <x v="2"/>
    <d v="2025-10-10T17:26:00"/>
    <x v="2"/>
    <m/>
    <s v="DNI"/>
    <n v="43680546"/>
    <s v="[{'codigo_producto': '100', 'cantidad': '1', 'valor_unitario': 33.9, 'precio_unitario': 40.0, 'descuento': None, 'subtotal': 33.9, 'porcentaje_de_igv': '17.99', 'igv': 6.100000000000001, 'total': 40.0, 'moneda': '1', 'tipo_de_cambio': '', 'id_tipo_gasto': '', 'nom_tipo_gasto': 'Otros', 'id_proveedor': 3, 'id_producto': 1785, 'nom_producto': 'SAMUEL CHUQUISTA: movilidad', 'categoria_producto': 'Expense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Ã³digo': 56, 'nom_distribucion': 'Administrativo', 'sub_categoria': 'CONTABLE', 'porcentaje': '100.00'}]]}, {'codigo_producto': '100', 'cantidad': '1', 'valor_unitario': 1694.92, 'precio_unitario': 2000.0, 'descuento': None, 'subtotal': 1694.92, 'porcentaje_de_igv': '18.00', 'igv': 305.0799999999999, 'total': 2000.0, 'moneda': '1', 'tipo_de_cambio': '', 'id_tipo_gasto': '', 'nom_tipo_gasto': 'Otros', 'id_proveedor': 3, 'id_producto': 1780, 'nom_producto': 'SAMUEL CHUQUISTA: cena de aniversario vaop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55, 'nom_distribucion': 'Administrativo', 'sub_categoria': 'COMIDA', 'porcentaje': '100.00'}]]}]"/>
    <d v="2025-06-04T00:00:00"/>
    <m/>
    <m/>
    <m/>
    <m/>
    <m/>
    <n v="100"/>
    <n v="1"/>
    <n v="33.9"/>
    <n v="40"/>
    <m/>
    <n v="33.9"/>
    <n v="17.989999999999998"/>
    <n v="6.1"/>
    <n v="40"/>
    <n v="1"/>
    <m/>
    <m/>
    <s v="Otros"/>
    <n v="3"/>
    <n v="1785"/>
    <x v="3"/>
    <s v="Expenses"/>
    <s v="paid"/>
    <x v="1"/>
    <n v="877"/>
    <s v="6329000 AsesorÃ­a y consultorÃ­a - Otros"/>
    <s v="[[{'cÃ³digo': 56, 'nom_distribucion': 'Administrativo', 'sub_categoria': 'CONTABLE', 'porcentaje': '100.00'}]]"/>
    <m/>
    <m/>
    <m/>
    <m/>
    <m/>
    <m/>
    <m/>
    <x v="4"/>
  </r>
  <r>
    <s v="FXG"/>
    <s v="00004"/>
    <s v="COLABORATIVA S.A.C."/>
    <x v="2"/>
    <d v="2025-10-10T17:26:00"/>
    <x v="2"/>
    <m/>
    <s v="DNI"/>
    <n v="43680546"/>
    <s v="[{'codigo_producto': '100', 'cantidad': '1', 'valor_unitario': 33.9, 'precio_unitario': 40.0, 'descuento': None, 'subtotal': 33.9, 'porcentaje_de_igv': '17.99', 'igv': 6.100000000000001, 'total': 40.0, 'moneda': '1', 'tipo_de_cambio': '', 'id_tipo_gasto': '', 'nom_tipo_gasto': 'Otros', 'id_proveedor': 3, 'id_producto': 1785, 'nom_producto': 'SAMUEL CHUQUISTA: movilidad', 'categoria_producto': 'Expense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Ã³digo': 56, 'nom_distribucion': 'Administrativo', 'sub_categoria': 'CONTABLE', 'porcentaje': '100.00'}]]}, {'codigo_producto': '100', 'cantidad': '1', 'valor_unitario': 1694.92, 'precio_unitario': 2000.0, 'descuento': None, 'subtotal': 1694.92, 'porcentaje_de_igv': '18.00', 'igv': 305.0799999999999, 'total': 2000.0, 'moneda': '1', 'tipo_de_cambio': '', 'id_tipo_gasto': '', 'nom_tipo_gasto': 'Otros', 'id_proveedor': 3, 'id_producto': 1780, 'nom_producto': 'SAMUEL CHUQUISTA: cena de aniversario vaop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55, 'nom_distribucion': 'Administrativo', 'sub_categoria': 'COMIDA', 'porcentaje': '100.00'}]]}]"/>
    <d v="2025-06-04T00:00:00"/>
    <m/>
    <m/>
    <m/>
    <m/>
    <m/>
    <n v="100"/>
    <n v="1"/>
    <n v="1694.92"/>
    <n v="2000"/>
    <m/>
    <n v="1694.92"/>
    <n v="18"/>
    <n v="305.07999999999902"/>
    <n v="2000"/>
    <n v="1"/>
    <m/>
    <m/>
    <s v="Otros"/>
    <n v="3"/>
    <n v="1780"/>
    <x v="4"/>
    <s v="EVENTOS"/>
    <s v="paid"/>
    <x v="1"/>
    <n v="6726"/>
    <s v="6314100 AlimentaciÃ³n"/>
    <s v="[[{'cÃ³digo': 55, 'nom_distribucion': 'Administrativo', 'sub_categoria': 'COMIDA', 'porcentaje': '100.00'}]]"/>
    <m/>
    <m/>
    <m/>
    <m/>
    <m/>
    <m/>
    <m/>
    <x v="4"/>
  </r>
  <r>
    <s v="FXG"/>
    <s v="00003"/>
    <s v="COLABORATIVA S.A.C."/>
    <x v="2"/>
    <d v="2025-10-10T17:18:00"/>
    <x v="2"/>
    <m/>
    <s v="DNI"/>
    <n v="43680546"/>
    <s v="[{'codigo_producto': '100', 'cantidad': '1', 'valor_unitario': 63.56, 'precio_unitario': 75.0, 'descuento': None, 'subtotal': 63.56, 'porcentaje_de_igv': '18.00', 'igv': 11.439999999999998, 'total': 75.0, 'moneda': '1', 'tipo_de_cambio': '', 'id_tipo_gasto': '', 'nom_tipo_gasto': 'Otros', 'id_proveedor': 3, 'id_producto': 1780, 'nom_producto': 'SAMUEL CHUQUISTA: comid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Ã³digo': 55, 'nom_distribucion': 'Administrativo', 'sub_categoria': 'COMIDA', 'porcentaje': '100.00'}]]}]"/>
    <d v="2025-06-04T00:00:00"/>
    <m/>
    <m/>
    <m/>
    <m/>
    <m/>
    <n v="100"/>
    <n v="1"/>
    <n v="63.56"/>
    <n v="75"/>
    <m/>
    <n v="63.56"/>
    <n v="18"/>
    <n v="11.4399999999999"/>
    <n v="75"/>
    <n v="1"/>
    <m/>
    <m/>
    <s v="Otros"/>
    <n v="3"/>
    <n v="1780"/>
    <x v="0"/>
    <s v="EVENTOS"/>
    <s v="paid"/>
    <x v="1"/>
    <n v="877"/>
    <s v="6329000 AsesorÃ­a y consultorÃ­a - Otros"/>
    <s v="[[{'cÃ³digo': 55, 'nom_distribucion': 'Administrativo', 'sub_categoria': 'COMIDA', 'porcentaje': '100.00'}]]"/>
    <m/>
    <m/>
    <m/>
    <m/>
    <m/>
    <m/>
    <m/>
    <x v="5"/>
  </r>
  <r>
    <s v="FXG"/>
    <s v="00002"/>
    <s v="COLABORATIVA S.A.C."/>
    <x v="3"/>
    <d v="2025-10-10T20:09:00"/>
    <x v="2"/>
    <m/>
    <s v="DNI"/>
    <n v="43680546"/>
    <s v="[{'codigo_producto': '100', 'cantidad': '1', 'valor_unitario': 50.85, 'precio_unitario': 60.0, 'descuento': None, 'subtotal': 50.85, 'porcentaje_de_igv': '17.99', 'igv': 9.149999999999999, 'total': 60.0, 'moneda': '1', 'tipo_de_cambio': '', 'id_tipo_gasto': '', 'nom_tipo_gasto': 'Otros', 'id_proveedor': 3, 'id_producto': 1780, 'nom_producto': 'SAMUEL CHUQUISTA: compra de agu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Ã³digo': '', 'nom_distribucion': '', 'sub_categoria': '', 'porcentaje': '100.00'}]]}]"/>
    <d v="2025-06-02T00:00:00"/>
    <m/>
    <m/>
    <m/>
    <m/>
    <m/>
    <n v="100"/>
    <n v="1"/>
    <n v="50.85"/>
    <n v="60"/>
    <m/>
    <n v="50.85"/>
    <n v="17.989999999999998"/>
    <n v="9.1499999999999897"/>
    <n v="60"/>
    <n v="1"/>
    <m/>
    <m/>
    <s v="Otros"/>
    <n v="3"/>
    <n v="1780"/>
    <x v="5"/>
    <s v="EVENTOS"/>
    <s v="paid"/>
    <x v="1"/>
    <n v="6726"/>
    <s v="6314100 AlimentaciÃ³n"/>
    <s v="[[{'cÃ³digo': '', 'nom_distribucion': '', 'sub_categoria': '', 'porcentaje': '100.00'}]]"/>
    <m/>
    <m/>
    <m/>
    <m/>
    <m/>
    <m/>
    <m/>
    <x v="6"/>
  </r>
  <r>
    <m/>
    <m/>
    <s v="COLABORATIVA S.A.C."/>
    <x v="3"/>
    <d v="2025-10-10T20:02:00"/>
    <x v="2"/>
    <m/>
    <s v="DNI"/>
    <n v="43680546"/>
    <s v="[{'codigo_producto': '100', 'cantidad': '1', 'valor_unitario': 50.85, 'precio_unitario': 60.0, 'descuento': None, 'subtotal': 50.85, 'porcentaje_de_igv': '17.99', 'igv': 9.149999999999999, 'total': 60.0, 'moneda': '1', 'tipo_de_cambio': '', 'id_tipo_gasto': '', 'nom_tipo_gasto': 'Otros', 'id_proveedor': 3, 'id_producto': 1780, 'nom_producto': 'SAMUEL CHUQUISTA: compr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726, 'nom_cuenta': '6314100 AlimentaciÃ³n', 'distribucion_analitica': [[{'cÃ³digo': '', 'nom_distribucion': '', 'sub_categoria': '', 'porcentaje': '100.00'}]]}]"/>
    <d v="2025-06-02T00:00:00"/>
    <m/>
    <m/>
    <m/>
    <m/>
    <m/>
    <n v="100"/>
    <n v="1"/>
    <n v="50.85"/>
    <n v="60"/>
    <m/>
    <n v="50.85"/>
    <n v="17.989999999999998"/>
    <n v="9.1499999999999897"/>
    <n v="60"/>
    <n v="1"/>
    <m/>
    <m/>
    <s v="Otros"/>
    <n v="3"/>
    <n v="1780"/>
    <x v="5"/>
    <s v="EVENTOS"/>
    <s v="not_paid"/>
    <x v="0"/>
    <n v="6726"/>
    <s v="6314100 AlimentaciÃ³n"/>
    <s v="[[{'cÃ³digo': '', 'nom_distribucion': '', 'sub_categoria': '', 'porcentaje': '100.00'}]]"/>
    <m/>
    <m/>
    <m/>
    <m/>
    <m/>
    <m/>
    <m/>
    <x v="7"/>
  </r>
  <r>
    <s v="FXG"/>
    <s v="00001"/>
    <s v="COLABORATIVA S.A.C."/>
    <x v="3"/>
    <d v="2025-10-10T19:52:00"/>
    <x v="2"/>
    <m/>
    <s v="DNI"/>
    <n v="43680546"/>
    <s v="[{'codigo_producto': '100', 'cantidad': '1', 'valor_unitario': 60.0, 'precio_unitario': 60.0, 'descuento': None, 'subtotal': 60.0, 'porcentaje_de_igv': '0.00', 'igv': 0.0, 'total': 60.0, 'moneda': '1', 'tipo_de_cambio': '', 'id_tipo_gasto': '', 'nom_tipo_gasto': 'Otros', 'id_proveedor': 3, 'id_producto': 1780, 'nom_producto': 'SAMUEL CHUQUISTA: compr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576, 'nom_cuenta': '4211101 Facturas, bol. y otros No emitidas MN', 'distribucion_analitica': [[{'cÃ³digo': '', 'nom_distribucion': '', 'sub_categoria': '', 'porcentaje': '100.00'}]]}]"/>
    <d v="2025-06-02T00:00:00"/>
    <m/>
    <m/>
    <m/>
    <m/>
    <m/>
    <n v="100"/>
    <n v="1"/>
    <n v="60"/>
    <n v="60"/>
    <m/>
    <n v="60"/>
    <n v="0"/>
    <n v="0"/>
    <n v="60"/>
    <n v="1"/>
    <m/>
    <m/>
    <s v="Otros"/>
    <n v="3"/>
    <n v="1780"/>
    <x v="5"/>
    <s v="EVENTOS"/>
    <s v="not_paid"/>
    <x v="0"/>
    <n v="6576"/>
    <s v="4211101 Facturas, bol. y otros No emitidas MN"/>
    <s v="[[{'cÃ³digo': '', 'nom_distribucion': '', 'sub_categoria': '', 'porcentaje': '100.00'}]]"/>
    <m/>
    <m/>
    <m/>
    <m/>
    <m/>
    <m/>
    <m/>
    <x v="8"/>
  </r>
  <r>
    <s v="F001"/>
    <s v="00002222"/>
    <s v="COLABORATIVA S.A.C."/>
    <x v="3"/>
    <d v="2025-10-10T14:06:00"/>
    <x v="3"/>
    <m/>
    <s v="RUC"/>
    <n v="20267269565"/>
    <s v="[{'codigo_producto': '100', 'cantidad': '1', 'valor_unitario': 31.27, 'precio_unitario': 36.9, 'descuento': None, 'subtotal': 31.27, 'porcentaje_de_igv': '18.00', 'igv': 5.629999999999999, 'total': 36.9, 'moneda': '1', 'tipo_de_cambio': '', 'id_tipo_gasto': '', 'nom_tipo_gasto': 'Otros', 'id_proveedor': 1586, 'id_producto': 1766, 'nom_producto': 'PASAJE DE BUS ZE CARLOS RETORN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Ã³digo': 132, 'nom_distribucion': 'Validadores', 'sub_categoria': 'VIÃTICOS', 'porcentaje': '100.00'}]]}]"/>
    <d v="2025-06-02T00:00:00"/>
    <m/>
    <m/>
    <m/>
    <m/>
    <m/>
    <n v="100"/>
    <n v="1"/>
    <n v="31.27"/>
    <n v="36.9"/>
    <m/>
    <n v="31.27"/>
    <n v="18"/>
    <n v="5.6299999999999901"/>
    <n v="36.9"/>
    <n v="1"/>
    <m/>
    <m/>
    <s v="Otros"/>
    <n v="1586"/>
    <n v="1766"/>
    <x v="6"/>
    <s v="EVENTOS"/>
    <s v="paid"/>
    <x v="1"/>
    <n v="6727"/>
    <s v="6315100 Otros gastos de viaje"/>
    <s v="[[{'cÃ³digo': 132, 'nom_distribucion': 'Validadores', 'sub_categoria': 'VIÃTICOS', 'porcentaje': '100.00'}]]"/>
    <m/>
    <m/>
    <m/>
    <m/>
    <m/>
    <m/>
    <m/>
    <x v="9"/>
  </r>
  <r>
    <s v="F001"/>
    <s v="00002224"/>
    <s v="COLABORATIVA S.A.C."/>
    <x v="3"/>
    <d v="2025-10-10T14:08:00"/>
    <x v="1"/>
    <m/>
    <s v="RUC"/>
    <n v="20421530107"/>
    <s v="[{'codigo_producto': '100', 'cantidad': '1', 'valor_unitario': 308.82, 'precio_unitario': 364.41, 'descuento': None, 'subtotal': 308.82, 'porcentaje_de_igv': '18.00', 'igv': 55.59000000000003, 'total': 364.41, 'moneda': '1', 'tipo_de_cambio': '', 'id_tipo_gasto': '', 'nom_tipo_gasto': 'Otros', 'id_proveedor': 1555, 'id_producto': 1654, 'nom_producto': 'BRAZALETE TYVEK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Ã³digo': 83, 'nom_distribucion': 'Impresos', 'sub_categoria': 'INSUMO', 'porcentaje': '100.00'}]]}]"/>
    <d v="2025-06-02T00:00:00"/>
    <m/>
    <m/>
    <m/>
    <m/>
    <m/>
    <n v="100"/>
    <n v="1"/>
    <n v="308.82"/>
    <n v="364.41"/>
    <m/>
    <n v="308.82"/>
    <n v="18"/>
    <n v="55.59"/>
    <n v="364.41"/>
    <n v="1"/>
    <m/>
    <m/>
    <s v="Otros"/>
    <n v="1555"/>
    <n v="1654"/>
    <x v="7"/>
    <s v="EVENTOS"/>
    <s v="not_paid"/>
    <x v="0"/>
    <n v="6962"/>
    <s v="602112 Insumos"/>
    <s v="[[{'cÃ³digo': 83, 'nom_distribucion': 'Impresos', 'sub_categoria': 'INSUMO', 'porcentaje': '100.00'}]]"/>
    <m/>
    <m/>
    <m/>
    <m/>
    <m/>
    <m/>
    <m/>
    <x v="10"/>
  </r>
  <r>
    <s v="F001"/>
    <s v="00002223"/>
    <s v="COLABORATIVA S.A.C."/>
    <x v="3"/>
    <d v="2025-10-10T14:07:00"/>
    <x v="4"/>
    <m/>
    <s v="RUC"/>
    <n v="20536557858"/>
    <s v="[{'codigo_producto': '100', 'cantidad': '1', 'valor_unitario': 149.97, 'precio_unitario': 176.96, 'descuento': None, 'subtotal': 149.97, 'porcentaje_de_igv': '18.00', 'igv': 26.99000000000001, 'total': 176.96, 'moneda': '1', 'tipo_de_cambio': '', 'id_tipo_gasto': '', 'nom_tipo_gasto': 'Otros', 'id_proveedor': 1392, 'id_producto': 1745, 'nom_producto': 'ESCOBA, RECOGEDOR Y 2 TACHOS PARA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733, 'nom_cuenta': '6326100 PROYECTO Y DESARROLLO', 'distribucion_analitica': [[{'cÃ³digo': 110, 'nom_distribucion': 'Administrativo', 'sub_categoria': 'PROYECTO', 'porcentaje': '100.00'}]]}]"/>
    <d v="2025-06-02T00:00:00"/>
    <m/>
    <m/>
    <m/>
    <m/>
    <m/>
    <n v="100"/>
    <n v="1"/>
    <n v="149.97"/>
    <n v="176.96"/>
    <m/>
    <n v="149.97"/>
    <n v="18"/>
    <n v="26.99"/>
    <n v="176.96"/>
    <n v="1"/>
    <m/>
    <m/>
    <s v="Otros"/>
    <n v="1392"/>
    <n v="1745"/>
    <x v="8"/>
    <s v="EVENTOS"/>
    <s v="not_paid"/>
    <x v="0"/>
    <n v="6733"/>
    <s v="6326100 PROYECTO Y DESARROLLO"/>
    <s v="[[{'cÃ³digo': 110, 'nom_distribucion': 'Administrativo', 'sub_categoria': 'PROYECTO', 'porcentaje': '100.00'}]]"/>
    <m/>
    <m/>
    <m/>
    <m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C4C86-0DEF-4C53-ACF3-4D310AA16DC0}" name="TablaDinámica9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21" firstHeaderRow="0" firstDataRow="1" firstDataCol="1"/>
  <pivotFields count="40">
    <pivotField axis="axisRow" showAll="0">
      <items count="13">
        <item x="11"/>
        <item x="8"/>
        <item x="7"/>
        <item x="6"/>
        <item x="5"/>
        <item x="4"/>
        <item x="10"/>
        <item x="3"/>
        <item x="2"/>
        <item x="1"/>
        <item x="0"/>
        <item x="9"/>
        <item t="default"/>
      </items>
    </pivotField>
    <pivotField numFmtId="4" showAll="0"/>
    <pivotField showAll="0"/>
    <pivotField dataField="1" showAll="0">
      <items count="8">
        <item x="5"/>
        <item x="4"/>
        <item x="6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1"/>
        <item sd="0" x="2"/>
        <item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3" subtotal="count" baseField="0" baseItem="0"/>
    <dataField name=" Importe sin impuestos firmado" fld="11" baseField="0" baseItem="0"/>
    <dataField name="Suma de Impuesto firmado" fld="12" baseField="0" baseItem="0"/>
    <dataField name="Suma de Total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EF536-B75D-4CAD-A89A-B2F473290952}" name="TablaDiná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5:F28" firstHeaderRow="1" firstDataRow="1" firstDataCol="1"/>
  <pivotFields count="33">
    <pivotField showAll="0"/>
    <pivotField numFmtId="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 v="2"/>
    </i>
    <i>
      <x v="3"/>
    </i>
    <i t="grand">
      <x/>
    </i>
  </rowItems>
  <colItems count="1">
    <i/>
  </colItems>
  <dataFields count="1">
    <dataField name="Suma de Total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45811-1AE0-4904-BCBB-F08724CB5F55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1" firstHeaderRow="1" firstDataRow="1" firstDataCol="1"/>
  <pivotFields count="33">
    <pivotField showAll="0"/>
    <pivotField numFmtId="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 v="2"/>
    </i>
    <i>
      <x v="3"/>
    </i>
    <i t="grand">
      <x/>
    </i>
  </rowItems>
  <colItems count="1">
    <i/>
  </colItems>
  <dataFields count="1">
    <dataField name=" Importe sin impuestos firmado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D2B42-A703-4378-8E3B-97127FD2C983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7:F20" firstHeaderRow="1" firstDataRow="1" firstDataCol="1"/>
  <pivotFields count="33">
    <pivotField showAll="0"/>
    <pivotField numFmtId="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 v="2"/>
    </i>
    <i>
      <x v="3"/>
    </i>
    <i t="grand">
      <x/>
    </i>
  </rowItems>
  <colItems count="1">
    <i/>
  </colItems>
  <dataFields count="1">
    <dataField name="Suma de Impuesto firmado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D6A4-11B0-444F-8699-517428A5A6B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1" firstHeaderRow="1" firstDataRow="1" firstDataCol="1"/>
  <pivotFields count="33">
    <pivotField showAll="0"/>
    <pivotField numFmtId="4"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 v="2"/>
    </i>
    <i>
      <x v="3"/>
    </i>
    <i t="grand">
      <x/>
    </i>
  </rowItems>
  <colItems count="1">
    <i/>
  </colItems>
  <dataFields count="1">
    <dataField name="Cuenta de Fecha de factura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4336E-86A5-49F0-9A2F-C831967A449F}" name="TablaDinámica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16" firstHeaderRow="0" firstDataRow="1" firstDataCol="1"/>
  <pivotFields count="40">
    <pivotField showAll="0"/>
    <pivotField numFmtId="4" showAll="0"/>
    <pivotField showAll="0"/>
    <pivotField axis="axisRow" dataField="1" showAll="0">
      <items count="8">
        <item x="5"/>
        <item x="4"/>
        <item x="6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1"/>
        <item sd="0" x="2"/>
        <item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3" subtotal="count" baseField="0" baseItem="0"/>
    <dataField name=" Importe sin impuestos firmado" fld="11" baseField="0" baseItem="0"/>
    <dataField name="Suma de Impuesto firmado" fld="12" baseField="0" baseItem="0"/>
    <dataField name="Suma de Total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3DBBF-79E5-4DEB-AB8B-A2987FF2266A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>
      <items count="28">
        <item x="5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4"/>
        <item x="3"/>
        <item x="2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C4A59-5172-46AD-AA85-A06C62C091C1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5" firstHeaderRow="0" firstDataRow="1" firstDataCol="1"/>
  <pivotFields count="33">
    <pivotField showAll="0"/>
    <pivotField numFmtId="4" showAll="0"/>
    <pivotField axis="axisRow" showAll="0">
      <items count="85">
        <item m="1" x="47"/>
        <item x="0"/>
        <item m="1" x="75"/>
        <item m="1" x="63"/>
        <item m="1" x="41"/>
        <item m="1" x="76"/>
        <item m="1" x="62"/>
        <item m="1" x="25"/>
        <item m="1" x="38"/>
        <item m="1" x="72"/>
        <item m="1" x="18"/>
        <item m="1" x="17"/>
        <item m="1" x="6"/>
        <item m="1" x="82"/>
        <item m="1" x="77"/>
        <item m="1" x="68"/>
        <item m="1" x="22"/>
        <item m="1" x="64"/>
        <item m="1" x="65"/>
        <item m="1" x="46"/>
        <item m="1" x="32"/>
        <item m="1" x="66"/>
        <item m="1" x="29"/>
        <item m="1" x="54"/>
        <item m="1" x="14"/>
        <item m="1" x="58"/>
        <item m="1" x="9"/>
        <item m="1" x="35"/>
        <item m="1" x="59"/>
        <item m="1" x="79"/>
        <item m="1" x="33"/>
        <item m="1" x="23"/>
        <item m="1" x="36"/>
        <item m="1" x="48"/>
        <item m="1" x="26"/>
        <item m="1" x="81"/>
        <item m="1" x="53"/>
        <item m="1" x="37"/>
        <item m="1" x="39"/>
        <item m="1" x="56"/>
        <item m="1" x="52"/>
        <item m="1" x="42"/>
        <item m="1" x="57"/>
        <item m="1" x="80"/>
        <item m="1" x="7"/>
        <item m="1" x="30"/>
        <item m="1" x="16"/>
        <item m="1" x="67"/>
        <item m="1" x="61"/>
        <item m="1" x="55"/>
        <item m="1" x="11"/>
        <item m="1" x="15"/>
        <item m="1" x="74"/>
        <item m="1" x="78"/>
        <item m="1" x="49"/>
        <item m="1" x="45"/>
        <item m="1" x="43"/>
        <item m="1" x="21"/>
        <item m="1" x="51"/>
        <item m="1" x="24"/>
        <item m="1" x="50"/>
        <item m="1" x="83"/>
        <item m="1" x="10"/>
        <item m="1" x="34"/>
        <item m="1" x="71"/>
        <item m="1" x="60"/>
        <item m="1" x="27"/>
        <item m="1" x="44"/>
        <item m="1" x="12"/>
        <item m="1" x="8"/>
        <item m="1" x="13"/>
        <item m="1" x="69"/>
        <item m="1" x="70"/>
        <item m="1" x="20"/>
        <item m="1" x="40"/>
        <item m="1" x="73"/>
        <item m="1" x="19"/>
        <item m="1" x="28"/>
        <item m="1" x="31"/>
        <item x="1"/>
        <item x="2"/>
        <item x="3"/>
        <item x="4"/>
        <item x="5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79"/>
    </i>
    <i>
      <x v="80"/>
    </i>
    <i>
      <x v="81"/>
    </i>
    <i>
      <x v="82"/>
    </i>
    <i>
      <x v="8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3" subtotal="count" baseField="0" baseItem="0"/>
    <dataField name=" Importe sin impuestos firmado" fld="11" baseField="0" baseItem="0"/>
    <dataField name="Suma de Impuesto firmado" fld="12" baseField="0" baseItem="0"/>
    <dataField name="Suma de Total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84E7-E278-4696-81AD-D1AFD661BC72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3">
    <pivotField showAll="0"/>
    <pivotField numFmtId="4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2">
    <i>
      <x/>
    </i>
    <i t="grand">
      <x/>
    </i>
  </rowItems>
  <colItems count="1">
    <i/>
  </colItems>
  <dataFields count="1">
    <dataField name=" Importe sin impuestos firmado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E3B55-FC1A-4DEB-94BF-2439233DF2AB}" name="TablaDinámica13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0" firstHeaderRow="1" firstDataRow="1" firstDataCol="1"/>
  <pivotFields count="48">
    <pivotField showAll="0"/>
    <pivotField showAll="0"/>
    <pivotField showAll="0"/>
    <pivotField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Suma de item.total" fld="24" baseField="0" baseItem="0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4" type="button" dataOnly="0" labelOnly="1" outline="0" axis="axisRow" fieldPosition="0"/>
    </format>
    <format dxfId="115">
      <pivotArea dataOnly="0" labelOnly="1" fieldPosition="0">
        <references count="1">
          <reference field="34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8868D-D2E7-458F-9448-EC431C3950BD}" name="TablaDinámica15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9" firstHeaderRow="0" firstDataRow="1" firstDataCol="1"/>
  <pivotFields count="48">
    <pivotField showAll="0"/>
    <pivotField showAll="0"/>
    <pivotField showAll="0"/>
    <pivotField dataField="1" numFmtId="14" showAll="0">
      <items count="5">
        <item x="0"/>
        <item x="1"/>
        <item x="2"/>
        <item x="3"/>
        <item t="default"/>
      </items>
    </pivotField>
    <pivotField numFmtId="22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5" type="button" dataOnly="0" labelOnly="1" outline="0" axis="axisRow" fieldPosition="0"/>
    </format>
    <format dxfId="121">
      <pivotArea dataOnly="0" labelOnly="1" fieldPosition="0">
        <references count="1">
          <reference field="5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730F1-9AC0-4A40-936D-3C19FFFED3C9}" name="TablaDinámica22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16" firstHeaderRow="0" firstDataRow="1" firstDataCol="1"/>
  <pivotFields count="48">
    <pivotField showAll="0"/>
    <pivotField showAll="0"/>
    <pivotField showAll="0"/>
    <pivotField dataField="1" numFmtId="14" showAll="0" sortType="ascending">
      <items count="5"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7"/>
        <item x="1"/>
        <item x="9"/>
        <item x="11"/>
        <item x="10"/>
        <item x="0"/>
        <item x="8"/>
        <item x="6"/>
        <item x="5"/>
        <item x="4"/>
        <item x="3"/>
        <item x="2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5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3" type="button" dataOnly="0" labelOnly="1" outline="0"/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F6F92-ABC5-47A9-B026-BD646B6AF357}" name="TablaDinámica10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8">
    <pivotField showAll="0"/>
    <pivotField showAll="0"/>
    <pivotField showAll="0"/>
    <pivotField dataField="1"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34" type="button" dataOnly="0" labelOnly="1" outline="0" axis="axisRow" fieldPosition="0"/>
    </format>
    <format dxfId="132">
      <pivotArea dataOnly="0" labelOnly="1" fieldPosition="0">
        <references count="1">
          <reference field="34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A79B3-AE3D-45B8-ACB6-95A87B783762}" name="TablaDinámica12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3" firstHeaderRow="1" firstDataRow="1" firstDataCol="1"/>
  <pivotFields count="48">
    <pivotField showAll="0"/>
    <pivotField showAll="0"/>
    <pivotField showAll="0"/>
    <pivotField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Suma de item.igv" fld="23" baseField="0" baseItem="0"/>
  </dataFields>
  <formats count="6"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34" type="button" dataOnly="0" labelOnly="1" outline="0" axis="axisRow" fieldPosition="0"/>
    </format>
    <format dxfId="138">
      <pivotArea dataOnly="0" labelOnly="1" fieldPosition="0">
        <references count="1">
          <reference field="34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07FBA-60FD-410B-AE7B-02E220B34D6A}" name="TablaDinámica16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8">
    <pivotField showAll="0"/>
    <pivotField showAll="0"/>
    <pivotField showAll="0"/>
    <pivotField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1" baseField="0" baseItem="0"/>
  </dataFields>
  <formats count="3"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3C3A0-069C-4BB9-A106-AAACDA29F57A}" name="TablaDinámica1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41" firstHeaderRow="1" firstDataRow="1" firstDataCol="1"/>
  <pivotFields count="48">
    <pivotField showAll="0"/>
    <pivotField showAll="0"/>
    <pivotField showAll="0"/>
    <pivotField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UNIFICADO" fld="45" subtotal="count" baseField="0" baseItem="0"/>
  </dataFields>
  <formats count="5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34" type="button" dataOnly="0" labelOnly="1" outline="0"/>
    </format>
    <format dxfId="146">
      <pivotArea dataOnly="0" labelOnly="1" grandRow="1" outline="0" fieldPosition="0"/>
    </format>
    <format dxfId="1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22E78-D564-429A-99A0-1CDECBD0501F}" name="TablaDinámica14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3" firstHeaderRow="1" firstDataRow="1" firstDataCol="1"/>
  <pivotFields count="48">
    <pivotField showAll="0"/>
    <pivotField showAll="0"/>
    <pivotField showAll="0"/>
    <pivotField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item.subtotal" fld="21" baseField="0" baseItem="0"/>
  </dataFields>
  <formats count="6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31" type="button" dataOnly="0" labelOnly="1" outline="0" axis="axisRow" fieldPosition="0"/>
    </format>
    <format dxfId="152">
      <pivotArea dataOnly="0" labelOnly="1" fieldPosition="0">
        <references count="1">
          <reference field="31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DBF62-6155-4765-9827-C2F08B78C876}" name="TablaDinámica2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13" firstHeaderRow="0" firstDataRow="1" firstDataCol="1"/>
  <pivotFields count="40">
    <pivotField showAll="0"/>
    <pivotField numFmtId="4" showAll="0"/>
    <pivotField showAll="0"/>
    <pivotField axis="axisRow" dataField="1" showAll="0" sortType="ascending">
      <items count="8">
        <item x="5"/>
        <item x="4"/>
        <item x="6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5"/>
        <item x="4"/>
        <item x="6"/>
        <item x="3"/>
        <item x="2"/>
        <item x="1"/>
        <item x="0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9"/>
    <field x="3"/>
  </rowFields>
  <rowItems count="10">
    <i>
      <x v="5"/>
    </i>
    <i r="1">
      <x/>
    </i>
    <i r="1">
      <x v="1"/>
    </i>
    <i r="1">
      <x v="2"/>
    </i>
    <i>
      <x v="6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Importe sin impuestos firmado" fld="11" baseField="0" baseItem="0"/>
    <dataField name="Suma de Impuesto firmado" fld="12" baseField="0" baseItem="0"/>
    <dataField name="Suma de Total firmado" fld="13" baseField="0" baseItem="0"/>
  </dataFields>
  <formats count="4">
    <format dxfId="159">
      <pivotArea type="all" dataOnly="0" outline="0" fieldPosition="0"/>
    </format>
    <format dxfId="158">
      <pivotArea outline="0" collapsedLevelsAreSubtotals="1" fieldPosition="0"/>
    </format>
    <format dxfId="157">
      <pivotArea dataOnly="0" labelOnly="1" grandRow="1" outline="0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AB088-670A-4445-A909-9FBB93DA308C}" name="TablaDinámica11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6" firstHeaderRow="1" firstDataRow="1" firstDataCol="1"/>
  <pivotFields count="48">
    <pivotField showAll="0"/>
    <pivotField showAll="0"/>
    <pivotField showAll="0"/>
    <pivotField numFmtId="14" showAll="0">
      <items count="5">
        <item x="0"/>
        <item x="1"/>
        <item x="2"/>
        <item x="3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3">
    <i>
      <x/>
    </i>
    <i>
      <x v="1"/>
    </i>
    <i t="grand">
      <x/>
    </i>
  </rowItems>
  <colItems count="1">
    <i/>
  </colItems>
  <dataFields count="1">
    <dataField name="Suma de item.subtotal" fld="21" baseField="0" baseItem="0"/>
  </dataFields>
  <formats count="6"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34" type="button" dataOnly="0" labelOnly="1" outline="0" axis="axisRow" fieldPosition="0"/>
    </format>
    <format dxfId="162">
      <pivotArea dataOnly="0" labelOnly="1" fieldPosition="0">
        <references count="1">
          <reference field="34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E2CC0-5E54-43EC-B25F-D0D43E0C9053}" name="TablaDinámica2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3:AN16" firstHeaderRow="0" firstDataRow="1" firstDataCol="1"/>
  <pivotFields count="40">
    <pivotField axis="axisRow" showAll="0" sortType="ascending">
      <items count="13">
        <item x="11"/>
        <item x="8"/>
        <item x="7"/>
        <item x="6"/>
        <item x="5"/>
        <item x="4"/>
        <item x="10"/>
        <item x="3"/>
        <item x="2"/>
        <item x="1"/>
        <item x="0"/>
        <item x="9"/>
        <item t="default"/>
      </items>
    </pivotField>
    <pivotField numFmtId="4" showAll="0"/>
    <pivotField showAll="0"/>
    <pivotField dataField="1" showAll="0" sortType="ascending">
      <items count="8">
        <item x="5"/>
        <item x="4"/>
        <item x="6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8">
        <item x="5"/>
        <item x="4"/>
        <item x="6"/>
        <item x="3"/>
        <item x="2"/>
        <item x="1"/>
        <item x="0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Importe sin impuestos firmado" fld="11" baseField="0" baseItem="0"/>
    <dataField name="Suma de Impuesto firmado" fld="12" baseField="0" baseItem="0"/>
    <dataField name="Suma de Total firmado" fld="13" baseField="0" baseItem="0"/>
  </dataFields>
  <formats count="4"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grandRow="1" outline="0" fieldPosition="0"/>
    </format>
    <format dxfId="1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CCAB-D919-40E0-A022-0636300137EA}" name="TablaDinámica17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9" firstHeaderRow="0" firstDataRow="1" firstDataCol="1"/>
  <pivotFields count="48">
    <pivotField showAll="0"/>
    <pivotField showAll="0"/>
    <pivotField showAll="0"/>
    <pivotField axis="axisRow" dataField="1" numFmtId="14" showAll="0" sortType="ascending">
      <items count="5">
        <item x="3"/>
        <item x="2"/>
        <item x="1"/>
        <item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x="2"/>
        <item x="3"/>
        <item sd="0" x="4"/>
        <item sd="0" x="5"/>
        <item x="6"/>
        <item sd="0" x="7"/>
        <item x="8"/>
        <item x="9"/>
        <item x="10"/>
        <item sd="0" x="11"/>
        <item sd="0" x="12"/>
        <item sd="0" x="13"/>
        <item t="default" sd="0"/>
      </items>
    </pivotField>
  </pivotFields>
  <rowFields count="2">
    <field x="47"/>
    <field x="3"/>
  </rowFields>
  <rowItems count="6"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3" type="button" dataOnly="0" labelOnly="1" outline="0" axis="axisRow" fieldPosition="1"/>
    </format>
    <format dxfId="172">
      <pivotArea dataOnly="0" labelOnly="1" fieldPosition="0">
        <references count="1">
          <reference field="3" count="0"/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F5402-7EC3-4855-A8A8-B02EC0927AAD}" name="Tabla3" displayName="Tabla3" ref="A3:AT5" totalsRowShown="0">
  <autoFilter ref="A3:AT5" xr:uid="{34EF5402-7EC3-4855-A8A8-B02EC0927AAD}"/>
  <tableColumns count="46">
    <tableColumn id="1" xr3:uid="{9A668D31-F656-4254-8E65-F6C0FACDBA89}" name="serie_correlativo"/>
    <tableColumn id="2" xr3:uid="{8D741034-E52B-4C98-998D-336AAFFDA567}" name="numero"/>
    <tableColumn id="3" xr3:uid="{40E949AE-BA79-4080-9B43-02ECFEFA4FB5}" name="nombre_empresa"/>
    <tableColumn id="4" xr3:uid="{5A5CC179-1DBD-4CAD-AA70-F56769FEB62C}" name="fecha_de_emision" dataDxfId="2"/>
    <tableColumn id="5" xr3:uid="{5BD1BAA6-311A-47C7-95B9-FA0F3103045F}" name="Hora_de_emision" dataDxfId="1"/>
    <tableColumn id="6" xr3:uid="{D14A3889-2A15-49F4-8B70-895D13588234}" name="nom_proveedor"/>
    <tableColumn id="7" xr3:uid="{2BE22D8E-61D5-4470-B15E-99E84823EBE8}" name="cat_proveedor"/>
    <tableColumn id="8" xr3:uid="{38C373FA-AF79-449C-BB1D-0B41FC6F9D0E}" name="tipo_documento"/>
    <tableColumn id="9" xr3:uid="{05AA59F3-A53F-45A6-B2E7-D8D9F4B6CFBF}" name="doc_proveedor"/>
    <tableColumn id="10" xr3:uid="{6A135A67-43A3-4C0E-AB75-FB5159FCFB02}" name="items"/>
    <tableColumn id="11" xr3:uid="{BF20BE95-ED32-49AF-A316-2321D0C022B1}" name="factura.fecha_emision" dataDxfId="0"/>
    <tableColumn id="12" xr3:uid="{E9E569CB-F78E-4C71-9E19-D17CFD3E6B63}" name="factura.cliente"/>
    <tableColumn id="13" xr3:uid="{7113CD81-6162-46F9-B9F1-338E34513072}" name="factura.id_cliente"/>
    <tableColumn id="14" xr3:uid="{C306C709-16D0-425C-9835-CDADD14B76AB}" name="factura.total"/>
    <tableColumn id="15" xr3:uid="{3525918F-ED9E-427E-A286-E7AACC79B599}" name="factura.moneda"/>
    <tableColumn id="16" xr3:uid="{E8D0D583-D820-4C73-8DF2-403622AE8A4C}" name="factura.estado"/>
    <tableColumn id="17" xr3:uid="{94871A3D-9EA3-40C1-93C4-15D5A0EBD219}" name="item.codigo_producto"/>
    <tableColumn id="18" xr3:uid="{9E556B04-1311-4F0B-97EB-D553F4D3C94D}" name="item.cantidad"/>
    <tableColumn id="19" xr3:uid="{A0F9FFC5-74DB-489A-B50B-6FA28D6C6F01}" name="item.valor_unitario"/>
    <tableColumn id="20" xr3:uid="{5A1ACE7D-EF5E-470F-8721-D8DDFE7476B3}" name="item.precio_unitario"/>
    <tableColumn id="21" xr3:uid="{403FD63C-4224-46F9-96FA-318DDB9684DF}" name="item.descuento"/>
    <tableColumn id="22" xr3:uid="{A984D89E-D606-4F01-8E83-1E244B3890B2}" name="item.subtotal"/>
    <tableColumn id="23" xr3:uid="{52BB3263-4F29-4B8F-88AC-2B2DFDD6ED75}" name="item.porcentaje_de_igv"/>
    <tableColumn id="24" xr3:uid="{F9C8B96B-65DA-4C8E-988D-5F2AA37FF3D7}" name="item.igv"/>
    <tableColumn id="25" xr3:uid="{196CC148-9C2E-405D-B746-6625074913E1}" name="item.total"/>
    <tableColumn id="26" xr3:uid="{623A204B-3D69-4EC3-86B4-53566BD332A1}" name="item.moneda"/>
    <tableColumn id="27" xr3:uid="{0BBB9DF6-8A50-47A2-BE61-391EBDC4C7A2}" name="item.tipo_de_cambio"/>
    <tableColumn id="28" xr3:uid="{FBEEB4FC-E54D-4898-AAEB-B994665D8DB8}" name="item.id_tipo_gasto"/>
    <tableColumn id="29" xr3:uid="{BAAA8B17-3F24-4A8E-8057-07823A70691A}" name="item.nom_tipo_gasto"/>
    <tableColumn id="30" xr3:uid="{12157170-4DC4-437D-9C1C-D5A6764F68BA}" name="item.id_proveedor"/>
    <tableColumn id="31" xr3:uid="{3F6F125C-FB3E-4CFA-BD73-42CF11FC7242}" name="item.id_producto"/>
    <tableColumn id="32" xr3:uid="{F7780F36-96E7-4D5C-9D81-AC8DD530FCBF}" name="item.nom_producto"/>
    <tableColumn id="33" xr3:uid="{89A5C3A2-AF4C-4B19-8FFE-1C39A5C799D8}" name="item.categoria_producto"/>
    <tableColumn id="34" xr3:uid="{65708835-EFEA-4270-BCDD-BA4DEC3FAE2C}" name="item.Id_estado"/>
    <tableColumn id="35" xr3:uid="{C3A21996-B99C-4A37-A093-BF18BBF6B2D6}" name="item.Nombre_estado"/>
    <tableColumn id="36" xr3:uid="{B46AB2AD-9E33-47F7-A76D-5060D8BF9D2A}" name="item.id_cuenta"/>
    <tableColumn id="37" xr3:uid="{EA85443F-C443-4CD8-8FB5-29CB20D795BD}" name="item.nom_cuenta"/>
    <tableColumn id="38" xr3:uid="{61CE12D6-4229-4DDD-970C-7BFBCFD6E4C4}" name="item.distribucion_analitica"/>
    <tableColumn id="39" xr3:uid="{81567BA8-A826-484C-83F4-730E72A5C87D}" name="item.evento.id_evento"/>
    <tableColumn id="40" xr3:uid="{5CD4BDA3-106F-4471-9C8F-A80C8EF8DB10}" name="item.evento.nom_evento"/>
    <tableColumn id="41" xr3:uid="{85E6D051-FEE3-4FCB-A059-0CD329414E54}" name="item.evento.Fecha_hora_ini_event"/>
    <tableColumn id="42" xr3:uid="{32A0C430-0847-4DFF-A5DE-62B2DB824A5D}" name="item.evento.Fecha_hora_fin_event"/>
    <tableColumn id="43" xr3:uid="{8263AA92-D167-4A31-B06C-DF4EE5AA8DC1}" name="item.evento.id_organizador"/>
    <tableColumn id="44" xr3:uid="{D7C8B9C6-2D26-4F28-BA32-983EFB91E203}" name="item.evento.nom_organizador"/>
    <tableColumn id="45" xr3:uid="{6347C365-61EA-41C1-9017-93EAC6D05001}" name="item.evento.tipo_organizador"/>
    <tableColumn id="46" xr3:uid="{79C3292C-3C06-4513-98DE-F753BC47203D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3"/>
  <sheetViews>
    <sheetView topLeftCell="T1" workbookViewId="0"/>
  </sheetViews>
  <sheetFormatPr baseColWidth="10" defaultColWidth="9.140625" defaultRowHeight="15"/>
  <cols>
    <col min="1" max="1" width="18.42578125" bestFit="1" customWidth="1"/>
    <col min="2" max="2" width="20.42578125" bestFit="1" customWidth="1"/>
    <col min="3" max="3" width="40.28515625" bestFit="1" customWidth="1"/>
    <col min="4" max="4" width="15.42578125" bestFit="1" customWidth="1"/>
    <col min="5" max="5" width="10.42578125" bestFit="1" customWidth="1"/>
    <col min="6" max="6" width="20.5703125" bestFit="1" customWidth="1"/>
    <col min="7" max="7" width="7.140625" bestFit="1" customWidth="1"/>
    <col min="8" max="8" width="18.140625" bestFit="1" customWidth="1"/>
    <col min="9" max="9" width="24.28515625" bestFit="1" customWidth="1"/>
    <col min="10" max="10" width="11.28515625" bestFit="1" customWidth="1"/>
    <col min="11" max="11" width="20.5703125" bestFit="1" customWidth="1"/>
    <col min="12" max="12" width="28.7109375" bestFit="1" customWidth="1"/>
    <col min="13" max="13" width="17" bestFit="1" customWidth="1"/>
    <col min="14" max="14" width="12.85546875" bestFit="1" customWidth="1"/>
    <col min="15" max="15" width="21.42578125" bestFit="1" customWidth="1"/>
    <col min="16" max="16" width="25.5703125" bestFit="1" customWidth="1"/>
    <col min="17" max="17" width="8.42578125" bestFit="1" customWidth="1"/>
    <col min="18" max="18" width="10.42578125" bestFit="1" customWidth="1"/>
    <col min="19" max="19" width="14.28515625" bestFit="1" customWidth="1"/>
    <col min="20" max="20" width="21.7109375" bestFit="1" customWidth="1"/>
    <col min="21" max="22" width="22.5703125" bestFit="1" customWidth="1"/>
    <col min="23" max="23" width="10.42578125" bestFit="1" customWidth="1"/>
    <col min="24" max="24" width="12.7109375" bestFit="1" customWidth="1"/>
    <col min="25" max="25" width="13.85546875" bestFit="1" customWidth="1"/>
    <col min="26" max="26" width="16.85546875" bestFit="1" customWidth="1"/>
    <col min="27" max="27" width="20.28515625" bestFit="1" customWidth="1"/>
    <col min="28" max="28" width="13.140625" bestFit="1" customWidth="1"/>
    <col min="29" max="29" width="15" bestFit="1" customWidth="1"/>
    <col min="30" max="30" width="13.42578125" bestFit="1" customWidth="1"/>
    <col min="31" max="31" width="14.85546875" bestFit="1" customWidth="1"/>
    <col min="32" max="32" width="10.42578125" bestFit="1" customWidth="1"/>
    <col min="33" max="33" width="12.28515625" bestFit="1" customWidth="1"/>
    <col min="34" max="34" width="12.28515625" customWidth="1"/>
    <col min="35" max="35" width="24.85546875" style="10" bestFit="1" customWidth="1"/>
  </cols>
  <sheetData>
    <row r="1" spans="1:35">
      <c r="A1" s="4" t="s">
        <v>114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115</v>
      </c>
      <c r="I1" s="1" t="s">
        <v>6</v>
      </c>
      <c r="J1" s="1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1" t="s">
        <v>12</v>
      </c>
      <c r="P1" s="1" t="s">
        <v>13</v>
      </c>
      <c r="Q1" s="4" t="s">
        <v>14</v>
      </c>
      <c r="R1" s="1" t="s">
        <v>15</v>
      </c>
      <c r="S1" s="4" t="s">
        <v>16</v>
      </c>
      <c r="T1" s="1" t="s">
        <v>17</v>
      </c>
      <c r="U1" s="1" t="s">
        <v>18</v>
      </c>
      <c r="V1" s="1" t="s">
        <v>19</v>
      </c>
      <c r="W1" s="4" t="s">
        <v>20</v>
      </c>
      <c r="X1" s="5" t="s">
        <v>116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37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28</v>
      </c>
      <c r="AI1" s="9" t="s">
        <v>46</v>
      </c>
    </row>
    <row r="2" spans="1:35">
      <c r="A2" s="2" t="s">
        <v>94</v>
      </c>
      <c r="B2" s="2">
        <v>0</v>
      </c>
      <c r="C2" s="2" t="s">
        <v>27</v>
      </c>
      <c r="D2" s="3">
        <v>45831</v>
      </c>
      <c r="E2" s="3">
        <v>45821</v>
      </c>
      <c r="F2" s="3">
        <v>45831</v>
      </c>
      <c r="G2" s="2"/>
      <c r="H2" s="2"/>
      <c r="I2" s="2" t="s">
        <v>95</v>
      </c>
      <c r="J2" s="2"/>
      <c r="K2" s="2" t="s">
        <v>22</v>
      </c>
      <c r="L2" s="2">
        <v>-30</v>
      </c>
      <c r="M2" s="2"/>
      <c r="N2" s="2">
        <v>-30</v>
      </c>
      <c r="O2" s="2">
        <v>-30</v>
      </c>
      <c r="P2" s="2">
        <v>-30</v>
      </c>
      <c r="Q2" s="2" t="s">
        <v>23</v>
      </c>
      <c r="R2" s="2" t="b">
        <v>0</v>
      </c>
      <c r="S2" s="2" t="s">
        <v>24</v>
      </c>
      <c r="T2" s="2"/>
      <c r="U2" s="2"/>
      <c r="V2" s="2"/>
      <c r="W2" s="2" t="s">
        <v>25</v>
      </c>
      <c r="AI2" s="10">
        <f>+IF(AH2&lt;&gt;"",AH2,D2)</f>
        <v>45831</v>
      </c>
    </row>
    <row r="3" spans="1:35">
      <c r="A3" s="2" t="s">
        <v>96</v>
      </c>
      <c r="B3" s="2">
        <v>0</v>
      </c>
      <c r="C3" s="2" t="s">
        <v>97</v>
      </c>
      <c r="D3" s="3">
        <v>45821</v>
      </c>
      <c r="E3" s="3">
        <v>45821</v>
      </c>
      <c r="F3" s="3">
        <v>45821</v>
      </c>
      <c r="G3" s="2"/>
      <c r="H3" s="2"/>
      <c r="I3" s="2"/>
      <c r="J3" s="2"/>
      <c r="K3" s="2" t="s">
        <v>22</v>
      </c>
      <c r="L3" s="2">
        <v>-50</v>
      </c>
      <c r="M3" s="2">
        <v>-9</v>
      </c>
      <c r="N3" s="2">
        <v>-59</v>
      </c>
      <c r="O3" s="2">
        <v>-59</v>
      </c>
      <c r="P3" s="2"/>
      <c r="Q3" s="2" t="s">
        <v>23</v>
      </c>
      <c r="R3" s="2" t="b">
        <v>0</v>
      </c>
      <c r="S3" s="2" t="s">
        <v>26</v>
      </c>
      <c r="T3" s="2"/>
      <c r="U3" s="2"/>
      <c r="V3" s="2"/>
      <c r="W3" s="2" t="s">
        <v>25</v>
      </c>
      <c r="AI3" s="10">
        <f t="shared" ref="AI3:AI66" si="0">+IF(AH3&lt;&gt;"",AH3,D3)</f>
        <v>45821</v>
      </c>
    </row>
    <row r="4" spans="1:35">
      <c r="A4" s="2" t="s">
        <v>98</v>
      </c>
      <c r="B4" s="2">
        <v>0</v>
      </c>
      <c r="C4" s="2" t="s">
        <v>21</v>
      </c>
      <c r="D4" s="3">
        <v>45821</v>
      </c>
      <c r="E4" s="3">
        <v>45821</v>
      </c>
      <c r="F4" s="3">
        <v>45821</v>
      </c>
      <c r="G4" s="2"/>
      <c r="H4" s="2"/>
      <c r="I4" s="2" t="s">
        <v>95</v>
      </c>
      <c r="J4" s="2"/>
      <c r="K4" s="2" t="s">
        <v>22</v>
      </c>
      <c r="L4" s="2">
        <v>-30</v>
      </c>
      <c r="M4" s="2"/>
      <c r="N4" s="2">
        <v>-30</v>
      </c>
      <c r="O4" s="2">
        <v>-30</v>
      </c>
      <c r="P4" s="2"/>
      <c r="Q4" s="2" t="s">
        <v>23</v>
      </c>
      <c r="R4" s="2" t="b">
        <v>0</v>
      </c>
      <c r="S4" s="2" t="s">
        <v>26</v>
      </c>
      <c r="T4" s="2"/>
      <c r="U4" s="2"/>
      <c r="V4" s="2"/>
      <c r="W4" s="2" t="s">
        <v>25</v>
      </c>
      <c r="AI4" s="10">
        <f t="shared" si="0"/>
        <v>45821</v>
      </c>
    </row>
    <row r="5" spans="1:35">
      <c r="A5" s="2" t="s">
        <v>99</v>
      </c>
      <c r="B5" s="2">
        <v>0</v>
      </c>
      <c r="C5" s="2" t="s">
        <v>21</v>
      </c>
      <c r="D5" s="3">
        <v>45821</v>
      </c>
      <c r="E5" s="3">
        <v>45821</v>
      </c>
      <c r="F5" s="3">
        <v>45821</v>
      </c>
      <c r="G5" s="2"/>
      <c r="H5" s="2"/>
      <c r="I5" s="2" t="s">
        <v>100</v>
      </c>
      <c r="J5" s="2"/>
      <c r="K5" s="2" t="s">
        <v>22</v>
      </c>
      <c r="L5" s="2">
        <v>-25</v>
      </c>
      <c r="M5" s="2"/>
      <c r="N5" s="2">
        <v>-25</v>
      </c>
      <c r="O5" s="2">
        <v>-25</v>
      </c>
      <c r="P5" s="2"/>
      <c r="Q5" s="2" t="s">
        <v>23</v>
      </c>
      <c r="R5" s="2" t="b">
        <v>0</v>
      </c>
      <c r="S5" s="2" t="s">
        <v>26</v>
      </c>
      <c r="T5" s="2"/>
      <c r="U5" s="2"/>
      <c r="V5" s="2"/>
      <c r="W5" s="2" t="s">
        <v>25</v>
      </c>
      <c r="AI5" s="10">
        <f t="shared" si="0"/>
        <v>45821</v>
      </c>
    </row>
    <row r="6" spans="1:35">
      <c r="A6" s="2" t="s">
        <v>101</v>
      </c>
      <c r="B6" s="2">
        <v>0</v>
      </c>
      <c r="C6" s="2" t="s">
        <v>21</v>
      </c>
      <c r="D6" s="3">
        <v>45812</v>
      </c>
      <c r="E6" s="3">
        <v>45810</v>
      </c>
      <c r="F6" s="3">
        <v>45812</v>
      </c>
      <c r="G6" s="2"/>
      <c r="H6" s="2"/>
      <c r="I6" s="2" t="s">
        <v>102</v>
      </c>
      <c r="J6" s="2"/>
      <c r="K6" s="2" t="s">
        <v>22</v>
      </c>
      <c r="L6" s="2">
        <v>-63.56</v>
      </c>
      <c r="M6" s="2">
        <v>-11.44</v>
      </c>
      <c r="N6" s="2">
        <v>-75</v>
      </c>
      <c r="O6" s="2">
        <v>-75</v>
      </c>
      <c r="P6" s="2"/>
      <c r="Q6" s="2" t="s">
        <v>23</v>
      </c>
      <c r="R6" s="2" t="b">
        <v>0</v>
      </c>
      <c r="S6" s="2" t="s">
        <v>26</v>
      </c>
      <c r="T6" s="2"/>
      <c r="U6" s="2"/>
      <c r="V6" s="2"/>
      <c r="W6" s="2" t="s">
        <v>25</v>
      </c>
      <c r="AI6" s="10">
        <f t="shared" si="0"/>
        <v>45812</v>
      </c>
    </row>
    <row r="7" spans="1:35">
      <c r="A7" s="2" t="s">
        <v>103</v>
      </c>
      <c r="B7" s="2">
        <v>0</v>
      </c>
      <c r="C7" s="2" t="s">
        <v>21</v>
      </c>
      <c r="D7" s="3">
        <v>45810</v>
      </c>
      <c r="E7" s="3">
        <v>45808</v>
      </c>
      <c r="F7" s="3">
        <v>45810</v>
      </c>
      <c r="G7" s="2"/>
      <c r="H7" s="2"/>
      <c r="I7" s="2" t="s">
        <v>104</v>
      </c>
      <c r="J7" s="2"/>
      <c r="K7" s="2" t="s">
        <v>22</v>
      </c>
      <c r="L7" s="2">
        <v>-50.85</v>
      </c>
      <c r="M7" s="2">
        <v>-9.15</v>
      </c>
      <c r="N7" s="2">
        <v>-60</v>
      </c>
      <c r="O7" s="2">
        <v>-60</v>
      </c>
      <c r="P7" s="2"/>
      <c r="Q7" s="2" t="s">
        <v>23</v>
      </c>
      <c r="R7" s="2" t="b">
        <v>0</v>
      </c>
      <c r="S7" s="2" t="s">
        <v>26</v>
      </c>
      <c r="T7" s="2"/>
      <c r="U7" s="2"/>
      <c r="V7" s="2"/>
      <c r="W7" s="2" t="s">
        <v>25</v>
      </c>
      <c r="AI7" s="10">
        <f t="shared" si="0"/>
        <v>45810</v>
      </c>
    </row>
    <row r="8" spans="1:35">
      <c r="A8" s="2" t="s">
        <v>105</v>
      </c>
      <c r="B8" s="2">
        <v>0</v>
      </c>
      <c r="C8" s="2" t="s">
        <v>21</v>
      </c>
      <c r="D8" s="3">
        <v>45810</v>
      </c>
      <c r="E8" s="3">
        <v>45808</v>
      </c>
      <c r="F8" s="3">
        <v>45810</v>
      </c>
      <c r="G8" s="2"/>
      <c r="H8" s="2"/>
      <c r="I8" s="2" t="s">
        <v>106</v>
      </c>
      <c r="J8" s="2"/>
      <c r="K8" s="2" t="s">
        <v>22</v>
      </c>
      <c r="L8" s="2">
        <v>-60</v>
      </c>
      <c r="M8" s="2"/>
      <c r="N8" s="2">
        <v>-60</v>
      </c>
      <c r="O8" s="2">
        <v>-60</v>
      </c>
      <c r="P8" s="2">
        <v>-60</v>
      </c>
      <c r="Q8" s="2" t="s">
        <v>23</v>
      </c>
      <c r="R8" s="2" t="b">
        <v>0</v>
      </c>
      <c r="S8" s="2" t="s">
        <v>24</v>
      </c>
      <c r="T8" s="2"/>
      <c r="U8" s="2"/>
      <c r="V8" s="2"/>
      <c r="W8" s="2" t="s">
        <v>25</v>
      </c>
      <c r="AI8" s="10">
        <f t="shared" si="0"/>
        <v>45810</v>
      </c>
    </row>
    <row r="9" spans="1:35">
      <c r="A9" s="2" t="s">
        <v>107</v>
      </c>
      <c r="B9" s="2">
        <v>0</v>
      </c>
      <c r="C9" s="2" t="s">
        <v>97</v>
      </c>
      <c r="D9" s="3">
        <v>45800</v>
      </c>
      <c r="E9" s="3">
        <v>45808</v>
      </c>
      <c r="F9" s="3">
        <v>45800</v>
      </c>
      <c r="G9" s="2"/>
      <c r="H9" s="2"/>
      <c r="I9" s="2"/>
      <c r="J9" s="2"/>
      <c r="K9" s="2" t="s">
        <v>22</v>
      </c>
      <c r="L9" s="2">
        <v>-308.82</v>
      </c>
      <c r="M9" s="2">
        <v>-55.59</v>
      </c>
      <c r="N9" s="2">
        <v>-364.41</v>
      </c>
      <c r="O9" s="2">
        <v>-364.41</v>
      </c>
      <c r="P9" s="2">
        <v>-364.41</v>
      </c>
      <c r="Q9" s="2" t="s">
        <v>23</v>
      </c>
      <c r="R9" s="2" t="b">
        <v>0</v>
      </c>
      <c r="S9" s="2" t="s">
        <v>24</v>
      </c>
      <c r="T9" s="2"/>
      <c r="U9" s="2"/>
      <c r="V9" s="2"/>
      <c r="W9" s="2" t="s">
        <v>25</v>
      </c>
      <c r="AI9" s="10">
        <f t="shared" si="0"/>
        <v>45800</v>
      </c>
    </row>
    <row r="10" spans="1:35">
      <c r="A10" s="2" t="s">
        <v>108</v>
      </c>
      <c r="B10" s="2">
        <v>0</v>
      </c>
      <c r="C10" s="2" t="s">
        <v>109</v>
      </c>
      <c r="D10" s="3">
        <v>45799</v>
      </c>
      <c r="E10" s="3">
        <v>45808</v>
      </c>
      <c r="F10" s="3">
        <v>45799</v>
      </c>
      <c r="G10" s="2"/>
      <c r="H10" s="2"/>
      <c r="I10" s="2"/>
      <c r="J10" s="2"/>
      <c r="K10" s="2" t="s">
        <v>22</v>
      </c>
      <c r="L10" s="2">
        <v>-149.97</v>
      </c>
      <c r="M10" s="2">
        <v>-26.99</v>
      </c>
      <c r="N10" s="2">
        <v>-176.96</v>
      </c>
      <c r="O10" s="2">
        <v>-176.96</v>
      </c>
      <c r="P10" s="2">
        <v>-176.96</v>
      </c>
      <c r="Q10" s="2" t="s">
        <v>23</v>
      </c>
      <c r="R10" s="2" t="b">
        <v>0</v>
      </c>
      <c r="S10" s="2" t="s">
        <v>24</v>
      </c>
      <c r="T10" s="2"/>
      <c r="U10" s="2"/>
      <c r="V10" s="2"/>
      <c r="W10" s="2" t="s">
        <v>25</v>
      </c>
      <c r="AI10" s="10">
        <f t="shared" si="0"/>
        <v>45799</v>
      </c>
    </row>
    <row r="11" spans="1:35">
      <c r="A11" s="2"/>
      <c r="B11" s="2">
        <v>0</v>
      </c>
      <c r="C11" s="2" t="s">
        <v>21</v>
      </c>
      <c r="D11" s="3">
        <v>45810</v>
      </c>
      <c r="E11" s="3">
        <v>45808</v>
      </c>
      <c r="F11" s="3">
        <v>45810</v>
      </c>
      <c r="G11" s="2"/>
      <c r="H11" s="2"/>
      <c r="I11" s="2" t="s">
        <v>104</v>
      </c>
      <c r="J11" s="2"/>
      <c r="K11" s="2" t="s">
        <v>22</v>
      </c>
      <c r="L11" s="2">
        <v>-50.85</v>
      </c>
      <c r="M11" s="2">
        <v>-9.15</v>
      </c>
      <c r="N11" s="2">
        <v>-60</v>
      </c>
      <c r="O11" s="2">
        <v>-60</v>
      </c>
      <c r="P11" s="2">
        <v>-60</v>
      </c>
      <c r="Q11" s="2" t="s">
        <v>23</v>
      </c>
      <c r="R11" s="2" t="b">
        <v>0</v>
      </c>
      <c r="S11" s="2" t="s">
        <v>24</v>
      </c>
      <c r="T11" s="2"/>
      <c r="U11" s="2"/>
      <c r="V11" s="2"/>
      <c r="W11" s="2" t="s">
        <v>25</v>
      </c>
      <c r="AI11" s="10">
        <f t="shared" si="0"/>
        <v>45810</v>
      </c>
    </row>
    <row r="12" spans="1:35">
      <c r="A12" s="2" t="s">
        <v>110</v>
      </c>
      <c r="B12" s="2">
        <v>0</v>
      </c>
      <c r="C12" s="2" t="s">
        <v>21</v>
      </c>
      <c r="D12" s="3">
        <v>45812</v>
      </c>
      <c r="E12" s="3">
        <v>45807</v>
      </c>
      <c r="F12" s="3">
        <v>45812</v>
      </c>
      <c r="G12" s="2"/>
      <c r="H12" s="2"/>
      <c r="I12" s="2" t="s">
        <v>111</v>
      </c>
      <c r="J12" s="2"/>
      <c r="K12" s="2" t="s">
        <v>22</v>
      </c>
      <c r="L12" s="2">
        <v>-1728.82</v>
      </c>
      <c r="M12" s="2">
        <v>-311.18</v>
      </c>
      <c r="N12" s="2">
        <v>-2040</v>
      </c>
      <c r="O12" s="2">
        <v>-2040</v>
      </c>
      <c r="P12" s="2"/>
      <c r="Q12" s="2" t="s">
        <v>23</v>
      </c>
      <c r="R12" s="2" t="b">
        <v>0</v>
      </c>
      <c r="S12" s="2" t="s">
        <v>26</v>
      </c>
      <c r="T12" s="2"/>
      <c r="U12" s="2"/>
      <c r="V12" s="2"/>
      <c r="W12" s="2" t="s">
        <v>25</v>
      </c>
      <c r="AI12" s="10">
        <f t="shared" si="0"/>
        <v>45812</v>
      </c>
    </row>
    <row r="13" spans="1:35">
      <c r="A13" s="2" t="s">
        <v>112</v>
      </c>
      <c r="B13" s="2">
        <v>0</v>
      </c>
      <c r="C13" s="2" t="s">
        <v>113</v>
      </c>
      <c r="D13" s="3">
        <v>45804</v>
      </c>
      <c r="E13" s="3">
        <v>45804</v>
      </c>
      <c r="F13" s="3">
        <v>45804</v>
      </c>
      <c r="G13" s="2"/>
      <c r="H13" s="2"/>
      <c r="I13" s="2"/>
      <c r="J13" s="2"/>
      <c r="K13" s="2" t="s">
        <v>22</v>
      </c>
      <c r="L13" s="2">
        <v>-31.27</v>
      </c>
      <c r="M13" s="2">
        <v>-5.63</v>
      </c>
      <c r="N13" s="2">
        <v>-36.9</v>
      </c>
      <c r="O13" s="2">
        <v>-36.9</v>
      </c>
      <c r="P13" s="2"/>
      <c r="Q13" s="2" t="s">
        <v>23</v>
      </c>
      <c r="R13" s="2" t="b">
        <v>0</v>
      </c>
      <c r="S13" s="2" t="s">
        <v>26</v>
      </c>
      <c r="T13" s="2"/>
      <c r="U13" s="2"/>
      <c r="V13" s="2"/>
      <c r="W13" s="2" t="s">
        <v>25</v>
      </c>
      <c r="AI13" s="10">
        <f t="shared" si="0"/>
        <v>45804</v>
      </c>
    </row>
    <row r="14" spans="1:35">
      <c r="A14" s="2"/>
      <c r="B14" s="2"/>
      <c r="C14" s="2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AI14" s="10">
        <f t="shared" si="0"/>
        <v>0</v>
      </c>
    </row>
    <row r="15" spans="1:35">
      <c r="A15" s="2"/>
      <c r="B15" s="2"/>
      <c r="C15" s="2"/>
      <c r="D15" s="3"/>
      <c r="E15" s="3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AI15" s="10">
        <f t="shared" si="0"/>
        <v>0</v>
      </c>
    </row>
    <row r="16" spans="1:35">
      <c r="A16" s="2"/>
      <c r="B16" s="2"/>
      <c r="C16" s="2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AI16" s="10">
        <f t="shared" si="0"/>
        <v>0</v>
      </c>
    </row>
    <row r="17" spans="1:35">
      <c r="A17" s="2"/>
      <c r="B17" s="2"/>
      <c r="C17" s="2"/>
      <c r="D17" s="3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AI17" s="10">
        <f t="shared" si="0"/>
        <v>0</v>
      </c>
    </row>
    <row r="18" spans="1:35">
      <c r="A18" s="2"/>
      <c r="B18" s="2"/>
      <c r="C18" s="2"/>
      <c r="D18" s="3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AI18" s="10">
        <f t="shared" si="0"/>
        <v>0</v>
      </c>
    </row>
    <row r="19" spans="1:35">
      <c r="A19" s="2"/>
      <c r="B19" s="2"/>
      <c r="C19" s="2"/>
      <c r="D19" s="3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AI19" s="10">
        <f t="shared" si="0"/>
        <v>0</v>
      </c>
    </row>
    <row r="20" spans="1:35">
      <c r="A20" s="2"/>
      <c r="B20" s="2"/>
      <c r="C20" s="2"/>
      <c r="D20" s="3"/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AI20" s="10">
        <f t="shared" si="0"/>
        <v>0</v>
      </c>
    </row>
    <row r="21" spans="1:35">
      <c r="A21" s="2"/>
      <c r="B21" s="2"/>
      <c r="C21" s="2"/>
      <c r="D21" s="3"/>
      <c r="E21" s="3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AI21" s="10">
        <f t="shared" si="0"/>
        <v>0</v>
      </c>
    </row>
    <row r="22" spans="1:35">
      <c r="A22" s="2"/>
      <c r="B22" s="2"/>
      <c r="C22" s="2"/>
      <c r="D22" s="3"/>
      <c r="E22" s="3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AI22" s="10">
        <f t="shared" si="0"/>
        <v>0</v>
      </c>
    </row>
    <row r="23" spans="1:35">
      <c r="A23" s="2"/>
      <c r="B23" s="2"/>
      <c r="C23" s="2"/>
      <c r="D23" s="3"/>
      <c r="E23" s="3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AI23" s="10">
        <f t="shared" si="0"/>
        <v>0</v>
      </c>
    </row>
    <row r="24" spans="1:35">
      <c r="A24" s="2"/>
      <c r="B24" s="2"/>
      <c r="C24" s="2"/>
      <c r="D24" s="3"/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AI24" s="10">
        <f t="shared" si="0"/>
        <v>0</v>
      </c>
    </row>
    <row r="25" spans="1:35">
      <c r="A25" s="2"/>
      <c r="B25" s="2"/>
      <c r="C25" s="2"/>
      <c r="D25" s="3"/>
      <c r="E25" s="3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AI25" s="10">
        <f t="shared" si="0"/>
        <v>0</v>
      </c>
    </row>
    <row r="26" spans="1:35">
      <c r="A26" s="2"/>
      <c r="B26" s="2"/>
      <c r="C26" s="2"/>
      <c r="D26" s="3"/>
      <c r="E26" s="3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AI26" s="10">
        <f t="shared" si="0"/>
        <v>0</v>
      </c>
    </row>
    <row r="27" spans="1:35">
      <c r="A27" s="2"/>
      <c r="B27" s="2"/>
      <c r="C27" s="2"/>
      <c r="D27" s="3"/>
      <c r="E27" s="3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AI27" s="10">
        <f t="shared" si="0"/>
        <v>0</v>
      </c>
    </row>
    <row r="28" spans="1:35">
      <c r="A28" s="2"/>
      <c r="B28" s="2"/>
      <c r="C28" s="2"/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AI28" s="10">
        <f t="shared" si="0"/>
        <v>0</v>
      </c>
    </row>
    <row r="29" spans="1:35">
      <c r="A29" s="2"/>
      <c r="B29" s="2"/>
      <c r="C29" s="2"/>
      <c r="D29" s="3"/>
      <c r="E29" s="3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AI29" s="10">
        <f t="shared" si="0"/>
        <v>0</v>
      </c>
    </row>
    <row r="30" spans="1:35">
      <c r="A30" s="2"/>
      <c r="B30" s="2"/>
      <c r="C30" s="2"/>
      <c r="D30" s="3"/>
      <c r="E30" s="3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AI30" s="10">
        <f t="shared" si="0"/>
        <v>0</v>
      </c>
    </row>
    <row r="31" spans="1:35">
      <c r="A31" s="2"/>
      <c r="B31" s="2"/>
      <c r="C31" s="2"/>
      <c r="D31" s="3"/>
      <c r="E31" s="3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AI31" s="10">
        <f t="shared" si="0"/>
        <v>0</v>
      </c>
    </row>
    <row r="32" spans="1:35">
      <c r="A32" s="2"/>
      <c r="B32" s="2"/>
      <c r="C32" s="2"/>
      <c r="D32" s="3"/>
      <c r="E32" s="3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AI32" s="10">
        <f t="shared" si="0"/>
        <v>0</v>
      </c>
    </row>
    <row r="33" spans="1:35">
      <c r="A33" s="2"/>
      <c r="B33" s="2"/>
      <c r="C33" s="2"/>
      <c r="D33" s="3"/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AI33" s="10">
        <f t="shared" si="0"/>
        <v>0</v>
      </c>
    </row>
    <row r="34" spans="1:35">
      <c r="A34" s="2"/>
      <c r="B34" s="2"/>
      <c r="C34" s="2"/>
      <c r="D34" s="3"/>
      <c r="E34" s="3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AI34" s="10">
        <f t="shared" si="0"/>
        <v>0</v>
      </c>
    </row>
    <row r="35" spans="1:35">
      <c r="A35" s="2"/>
      <c r="B35" s="2"/>
      <c r="C35" s="2"/>
      <c r="D35" s="3"/>
      <c r="E35" s="3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AI35" s="10">
        <f t="shared" si="0"/>
        <v>0</v>
      </c>
    </row>
    <row r="36" spans="1:35">
      <c r="A36" s="2"/>
      <c r="B36" s="2"/>
      <c r="C36" s="2"/>
      <c r="D36" s="3"/>
      <c r="E36" s="3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AI36" s="10">
        <f t="shared" si="0"/>
        <v>0</v>
      </c>
    </row>
    <row r="37" spans="1:35">
      <c r="A37" s="2"/>
      <c r="B37" s="2"/>
      <c r="C37" s="2"/>
      <c r="D37" s="3"/>
      <c r="E37" s="3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AI37" s="10">
        <f t="shared" si="0"/>
        <v>0</v>
      </c>
    </row>
    <row r="38" spans="1:35">
      <c r="A38" s="2"/>
      <c r="B38" s="2"/>
      <c r="C38" s="2"/>
      <c r="D38" s="3"/>
      <c r="E38" s="3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AI38" s="10">
        <f t="shared" si="0"/>
        <v>0</v>
      </c>
    </row>
    <row r="39" spans="1:35">
      <c r="A39" s="2"/>
      <c r="B39" s="2"/>
      <c r="C39" s="2"/>
      <c r="D39" s="3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AI39" s="10">
        <f t="shared" si="0"/>
        <v>0</v>
      </c>
    </row>
    <row r="40" spans="1:35">
      <c r="A40" s="2"/>
      <c r="B40" s="2"/>
      <c r="C40" s="2"/>
      <c r="D40" s="3"/>
      <c r="E40" s="3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AI40" s="10">
        <f t="shared" si="0"/>
        <v>0</v>
      </c>
    </row>
    <row r="41" spans="1:35">
      <c r="A41" s="2"/>
      <c r="B41" s="2"/>
      <c r="C41" s="2"/>
      <c r="D41" s="3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AI41" s="10">
        <f t="shared" si="0"/>
        <v>0</v>
      </c>
    </row>
    <row r="42" spans="1:35">
      <c r="A42" s="2"/>
      <c r="B42" s="2"/>
      <c r="C42" s="2"/>
      <c r="D42" s="3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AI42" s="10">
        <f t="shared" si="0"/>
        <v>0</v>
      </c>
    </row>
    <row r="43" spans="1:35">
      <c r="A43" s="2"/>
      <c r="B43" s="2"/>
      <c r="C43" s="2"/>
      <c r="D43" s="3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AI43" s="10">
        <f t="shared" si="0"/>
        <v>0</v>
      </c>
    </row>
    <row r="44" spans="1:35">
      <c r="A44" s="2"/>
      <c r="B44" s="2"/>
      <c r="C44" s="2"/>
      <c r="D44" s="3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AI44" s="10">
        <f t="shared" si="0"/>
        <v>0</v>
      </c>
    </row>
    <row r="45" spans="1:35">
      <c r="A45" s="2"/>
      <c r="B45" s="2"/>
      <c r="C45" s="2"/>
      <c r="D45" s="3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AI45" s="10">
        <f t="shared" si="0"/>
        <v>0</v>
      </c>
    </row>
    <row r="46" spans="1:35">
      <c r="A46" s="2"/>
      <c r="B46" s="2"/>
      <c r="C46" s="2"/>
      <c r="D46" s="3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AI46" s="10">
        <f t="shared" si="0"/>
        <v>0</v>
      </c>
    </row>
    <row r="47" spans="1:35">
      <c r="A47" s="2"/>
      <c r="B47" s="2"/>
      <c r="C47" s="2"/>
      <c r="D47" s="3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AI47" s="10">
        <f t="shared" si="0"/>
        <v>0</v>
      </c>
    </row>
    <row r="48" spans="1:35">
      <c r="A48" s="2"/>
      <c r="B48" s="2"/>
      <c r="C48" s="2"/>
      <c r="D48" s="3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AI48" s="10">
        <f t="shared" si="0"/>
        <v>0</v>
      </c>
    </row>
    <row r="49" spans="1:35">
      <c r="A49" s="2"/>
      <c r="B49" s="2"/>
      <c r="C49" s="2"/>
      <c r="D49" s="3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AI49" s="10">
        <f t="shared" si="0"/>
        <v>0</v>
      </c>
    </row>
    <row r="50" spans="1:35">
      <c r="A50" s="2"/>
      <c r="B50" s="2"/>
      <c r="C50" s="2"/>
      <c r="D50" s="3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AI50" s="10">
        <f t="shared" si="0"/>
        <v>0</v>
      </c>
    </row>
    <row r="51" spans="1:35">
      <c r="A51" s="2"/>
      <c r="B51" s="2"/>
      <c r="C51" s="2"/>
      <c r="D51" s="3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AI51" s="10">
        <f t="shared" si="0"/>
        <v>0</v>
      </c>
    </row>
    <row r="52" spans="1:35">
      <c r="A52" s="2"/>
      <c r="B52" s="2"/>
      <c r="C52" s="2"/>
      <c r="D52" s="3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AI52" s="10">
        <f t="shared" si="0"/>
        <v>0</v>
      </c>
    </row>
    <row r="53" spans="1:35">
      <c r="A53" s="2"/>
      <c r="B53" s="2"/>
      <c r="C53" s="2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AI53" s="10">
        <f t="shared" si="0"/>
        <v>0</v>
      </c>
    </row>
    <row r="54" spans="1:35">
      <c r="A54" s="2"/>
      <c r="B54" s="2"/>
      <c r="C54" s="2"/>
      <c r="D54" s="3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AI54" s="10">
        <f t="shared" si="0"/>
        <v>0</v>
      </c>
    </row>
    <row r="55" spans="1:35">
      <c r="A55" s="2"/>
      <c r="B55" s="2"/>
      <c r="C55" s="2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AI55" s="10">
        <f t="shared" si="0"/>
        <v>0</v>
      </c>
    </row>
    <row r="56" spans="1:35">
      <c r="A56" s="2"/>
      <c r="B56" s="2"/>
      <c r="C56" s="2"/>
      <c r="D56" s="3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AI56" s="10">
        <f t="shared" si="0"/>
        <v>0</v>
      </c>
    </row>
    <row r="57" spans="1:35">
      <c r="A57" s="2"/>
      <c r="B57" s="2"/>
      <c r="C57" s="2"/>
      <c r="D57" s="3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AI57" s="10">
        <f t="shared" si="0"/>
        <v>0</v>
      </c>
    </row>
    <row r="58" spans="1:35">
      <c r="A58" s="2"/>
      <c r="B58" s="2"/>
      <c r="C58" s="2"/>
      <c r="D58" s="3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AI58" s="10">
        <f t="shared" si="0"/>
        <v>0</v>
      </c>
    </row>
    <row r="59" spans="1:35">
      <c r="A59" s="2"/>
      <c r="B59" s="2"/>
      <c r="C59" s="2"/>
      <c r="D59" s="3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AI59" s="10">
        <f t="shared" si="0"/>
        <v>0</v>
      </c>
    </row>
    <row r="60" spans="1:35">
      <c r="A60" s="2"/>
      <c r="B60" s="2"/>
      <c r="C60" s="2"/>
      <c r="D60" s="3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AI60" s="10">
        <f t="shared" si="0"/>
        <v>0</v>
      </c>
    </row>
    <row r="61" spans="1:35">
      <c r="A61" s="2"/>
      <c r="B61" s="2"/>
      <c r="C61" s="2"/>
      <c r="D61" s="3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AI61" s="10">
        <f t="shared" si="0"/>
        <v>0</v>
      </c>
    </row>
    <row r="62" spans="1:35">
      <c r="A62" s="2"/>
      <c r="B62" s="2"/>
      <c r="C62" s="2"/>
      <c r="D62" s="3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AI62" s="10">
        <f t="shared" si="0"/>
        <v>0</v>
      </c>
    </row>
    <row r="63" spans="1:35">
      <c r="A63" s="2"/>
      <c r="B63" s="2"/>
      <c r="C63" s="2"/>
      <c r="D63" s="3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AI63" s="10">
        <f t="shared" si="0"/>
        <v>0</v>
      </c>
    </row>
    <row r="64" spans="1:35">
      <c r="A64" s="2"/>
      <c r="B64" s="2"/>
      <c r="C64" s="2"/>
      <c r="D64" s="3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AI64" s="10">
        <f t="shared" si="0"/>
        <v>0</v>
      </c>
    </row>
    <row r="65" spans="1:35">
      <c r="A65" s="2"/>
      <c r="B65" s="2"/>
      <c r="C65" s="2"/>
      <c r="D65" s="3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AI65" s="10">
        <f t="shared" si="0"/>
        <v>0</v>
      </c>
    </row>
    <row r="66" spans="1:35">
      <c r="A66" s="2"/>
      <c r="B66" s="2"/>
      <c r="C66" s="2"/>
      <c r="D66" s="3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AI66" s="10">
        <f t="shared" si="0"/>
        <v>0</v>
      </c>
    </row>
    <row r="67" spans="1:35">
      <c r="A67" s="2"/>
      <c r="B67" s="2"/>
      <c r="C67" s="2"/>
      <c r="D67" s="3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AI67" s="10">
        <f t="shared" ref="AI67:AI130" si="1">+IF(AH67&lt;&gt;"",AH67,D67)</f>
        <v>0</v>
      </c>
    </row>
    <row r="68" spans="1:35">
      <c r="A68" s="2"/>
      <c r="B68" s="2"/>
      <c r="C68" s="2"/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AI68" s="10">
        <f t="shared" si="1"/>
        <v>0</v>
      </c>
    </row>
    <row r="69" spans="1:35">
      <c r="A69" s="2"/>
      <c r="B69" s="2"/>
      <c r="C69" s="2"/>
      <c r="D69" s="3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AI69" s="10">
        <f t="shared" si="1"/>
        <v>0</v>
      </c>
    </row>
    <row r="70" spans="1:35">
      <c r="A70" s="2"/>
      <c r="B70" s="2"/>
      <c r="C70" s="2"/>
      <c r="D70" s="3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AI70" s="10">
        <f t="shared" si="1"/>
        <v>0</v>
      </c>
    </row>
    <row r="71" spans="1:35">
      <c r="A71" s="2"/>
      <c r="B71" s="2"/>
      <c r="C71" s="2"/>
      <c r="D71" s="3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AI71" s="10">
        <f t="shared" si="1"/>
        <v>0</v>
      </c>
    </row>
    <row r="72" spans="1:35">
      <c r="A72" s="2"/>
      <c r="B72" s="2"/>
      <c r="C72" s="2"/>
      <c r="D72" s="3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AI72" s="10">
        <f t="shared" si="1"/>
        <v>0</v>
      </c>
    </row>
    <row r="73" spans="1:35">
      <c r="A73" s="2"/>
      <c r="B73" s="2"/>
      <c r="C73" s="2"/>
      <c r="D73" s="3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AI73" s="10">
        <f t="shared" si="1"/>
        <v>0</v>
      </c>
    </row>
    <row r="74" spans="1:35">
      <c r="A74" s="2"/>
      <c r="B74" s="2"/>
      <c r="C74" s="2"/>
      <c r="D74" s="3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AI74" s="10">
        <f t="shared" si="1"/>
        <v>0</v>
      </c>
    </row>
    <row r="75" spans="1:35">
      <c r="A75" s="2"/>
      <c r="B75" s="2"/>
      <c r="C75" s="2"/>
      <c r="D75" s="3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AI75" s="10">
        <f t="shared" si="1"/>
        <v>0</v>
      </c>
    </row>
    <row r="76" spans="1:35">
      <c r="A76" s="2"/>
      <c r="B76" s="2"/>
      <c r="C76" s="2"/>
      <c r="D76" s="3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AI76" s="10">
        <f t="shared" si="1"/>
        <v>0</v>
      </c>
    </row>
    <row r="77" spans="1:35">
      <c r="A77" s="2"/>
      <c r="B77" s="2"/>
      <c r="C77" s="2"/>
      <c r="D77" s="3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AI77" s="10">
        <f t="shared" si="1"/>
        <v>0</v>
      </c>
    </row>
    <row r="78" spans="1:35">
      <c r="A78" s="2"/>
      <c r="B78" s="2"/>
      <c r="C78" s="2"/>
      <c r="D78" s="3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AI78" s="10">
        <f t="shared" si="1"/>
        <v>0</v>
      </c>
    </row>
    <row r="79" spans="1:35">
      <c r="A79" s="2"/>
      <c r="B79" s="2"/>
      <c r="C79" s="2"/>
      <c r="D79" s="3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AI79" s="10">
        <f t="shared" si="1"/>
        <v>0</v>
      </c>
    </row>
    <row r="80" spans="1:35">
      <c r="A80" s="2"/>
      <c r="B80" s="2"/>
      <c r="C80" s="2"/>
      <c r="D80" s="3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AI80" s="10">
        <f t="shared" si="1"/>
        <v>0</v>
      </c>
    </row>
    <row r="81" spans="1:35">
      <c r="A81" s="2"/>
      <c r="B81" s="2"/>
      <c r="C81" s="2"/>
      <c r="D81" s="3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AI81" s="10">
        <f t="shared" si="1"/>
        <v>0</v>
      </c>
    </row>
    <row r="82" spans="1:35">
      <c r="A82" s="2"/>
      <c r="B82" s="2"/>
      <c r="C82" s="2"/>
      <c r="D82" s="3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AI82" s="10">
        <f t="shared" si="1"/>
        <v>0</v>
      </c>
    </row>
    <row r="83" spans="1:35">
      <c r="A83" s="2"/>
      <c r="B83" s="2"/>
      <c r="C83" s="2"/>
      <c r="D83" s="3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AI83" s="10">
        <f t="shared" si="1"/>
        <v>0</v>
      </c>
    </row>
    <row r="84" spans="1:35">
      <c r="A84" s="2"/>
      <c r="B84" s="2"/>
      <c r="C84" s="2"/>
      <c r="D84" s="3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AI84" s="10">
        <f t="shared" si="1"/>
        <v>0</v>
      </c>
    </row>
    <row r="85" spans="1:35">
      <c r="A85" s="2"/>
      <c r="B85" s="2"/>
      <c r="C85" s="2"/>
      <c r="D85" s="3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AI85" s="10">
        <f t="shared" si="1"/>
        <v>0</v>
      </c>
    </row>
    <row r="86" spans="1:35">
      <c r="A86" s="2"/>
      <c r="B86" s="2"/>
      <c r="C86" s="2"/>
      <c r="D86" s="3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AI86" s="10">
        <f t="shared" si="1"/>
        <v>0</v>
      </c>
    </row>
    <row r="87" spans="1:35">
      <c r="A87" s="2"/>
      <c r="B87" s="2"/>
      <c r="C87" s="2"/>
      <c r="D87" s="3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AI87" s="10">
        <f t="shared" si="1"/>
        <v>0</v>
      </c>
    </row>
    <row r="88" spans="1:35">
      <c r="A88" s="2"/>
      <c r="B88" s="2"/>
      <c r="C88" s="2"/>
      <c r="D88" s="3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AI88" s="10">
        <f t="shared" si="1"/>
        <v>0</v>
      </c>
    </row>
    <row r="89" spans="1:35">
      <c r="A89" s="2"/>
      <c r="B89" s="2"/>
      <c r="C89" s="2"/>
      <c r="D89" s="3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AI89" s="10">
        <f t="shared" si="1"/>
        <v>0</v>
      </c>
    </row>
    <row r="90" spans="1:35">
      <c r="A90" s="2"/>
      <c r="B90" s="2"/>
      <c r="C90" s="2"/>
      <c r="D90" s="3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AI90" s="10">
        <f t="shared" si="1"/>
        <v>0</v>
      </c>
    </row>
    <row r="91" spans="1:35">
      <c r="A91" s="2"/>
      <c r="B91" s="2"/>
      <c r="C91" s="2"/>
      <c r="D91" s="3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AI91" s="10">
        <f t="shared" si="1"/>
        <v>0</v>
      </c>
    </row>
    <row r="92" spans="1:35">
      <c r="A92" s="2"/>
      <c r="B92" s="2"/>
      <c r="C92" s="2"/>
      <c r="D92" s="3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AI92" s="10">
        <f t="shared" si="1"/>
        <v>0</v>
      </c>
    </row>
    <row r="93" spans="1:35">
      <c r="A93" s="2"/>
      <c r="B93" s="2"/>
      <c r="C93" s="2"/>
      <c r="D93" s="3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AI93" s="10">
        <f t="shared" si="1"/>
        <v>0</v>
      </c>
    </row>
    <row r="94" spans="1:35">
      <c r="A94" s="2"/>
      <c r="B94" s="2"/>
      <c r="C94" s="2"/>
      <c r="D94" s="3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AI94" s="10">
        <f t="shared" si="1"/>
        <v>0</v>
      </c>
    </row>
    <row r="95" spans="1:35">
      <c r="A95" s="2"/>
      <c r="B95" s="2"/>
      <c r="C95" s="2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AI95" s="10">
        <f t="shared" si="1"/>
        <v>0</v>
      </c>
    </row>
    <row r="96" spans="1:35">
      <c r="A96" s="2"/>
      <c r="B96" s="2"/>
      <c r="C96" s="2"/>
      <c r="D96" s="3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AI96" s="10">
        <f t="shared" si="1"/>
        <v>0</v>
      </c>
    </row>
    <row r="97" spans="1:35">
      <c r="A97" s="2"/>
      <c r="B97" s="2"/>
      <c r="C97" s="2"/>
      <c r="D97" s="3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AI97" s="10">
        <f t="shared" si="1"/>
        <v>0</v>
      </c>
    </row>
    <row r="98" spans="1:35">
      <c r="A98" s="2"/>
      <c r="B98" s="2"/>
      <c r="C98" s="2"/>
      <c r="D98" s="3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AI98" s="10">
        <f t="shared" si="1"/>
        <v>0</v>
      </c>
    </row>
    <row r="99" spans="1:35">
      <c r="A99" s="2"/>
      <c r="B99" s="2"/>
      <c r="C99" s="2"/>
      <c r="D99" s="3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AI99" s="10">
        <f t="shared" si="1"/>
        <v>0</v>
      </c>
    </row>
    <row r="100" spans="1:35">
      <c r="A100" s="2"/>
      <c r="B100" s="2"/>
      <c r="C100" s="2"/>
      <c r="D100" s="3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AI100" s="10">
        <f t="shared" si="1"/>
        <v>0</v>
      </c>
    </row>
    <row r="101" spans="1:35">
      <c r="A101" s="2"/>
      <c r="B101" s="2"/>
      <c r="C101" s="2"/>
      <c r="D101" s="3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AI101" s="10">
        <f t="shared" si="1"/>
        <v>0</v>
      </c>
    </row>
    <row r="102" spans="1:35">
      <c r="A102" s="2"/>
      <c r="B102" s="2"/>
      <c r="C102" s="2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AI102" s="10">
        <f t="shared" si="1"/>
        <v>0</v>
      </c>
    </row>
    <row r="103" spans="1:35">
      <c r="A103" s="2"/>
      <c r="B103" s="2"/>
      <c r="C103" s="2"/>
      <c r="D103" s="3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AI103" s="10">
        <f t="shared" si="1"/>
        <v>0</v>
      </c>
    </row>
    <row r="104" spans="1:35">
      <c r="A104" s="2"/>
      <c r="B104" s="2"/>
      <c r="C104" s="2"/>
      <c r="D104" s="3"/>
      <c r="E104" s="3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AI104" s="10">
        <f t="shared" si="1"/>
        <v>0</v>
      </c>
    </row>
    <row r="105" spans="1:35">
      <c r="A105" s="2"/>
      <c r="B105" s="2"/>
      <c r="C105" s="2"/>
      <c r="D105" s="3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AI105" s="10">
        <f t="shared" si="1"/>
        <v>0</v>
      </c>
    </row>
    <row r="106" spans="1:35">
      <c r="A106" s="2"/>
      <c r="B106" s="2"/>
      <c r="C106" s="2"/>
      <c r="D106" s="3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AI106" s="10">
        <f t="shared" si="1"/>
        <v>0</v>
      </c>
    </row>
    <row r="107" spans="1:35">
      <c r="A107" s="2"/>
      <c r="B107" s="2"/>
      <c r="C107" s="2"/>
      <c r="D107" s="3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AI107" s="10">
        <f t="shared" si="1"/>
        <v>0</v>
      </c>
    </row>
    <row r="108" spans="1:35">
      <c r="A108" s="2"/>
      <c r="B108" s="2"/>
      <c r="C108" s="2"/>
      <c r="D108" s="3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AI108" s="10">
        <f t="shared" si="1"/>
        <v>0</v>
      </c>
    </row>
    <row r="109" spans="1:35">
      <c r="A109" s="2"/>
      <c r="B109" s="2"/>
      <c r="C109" s="2"/>
      <c r="D109" s="3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AI109" s="10">
        <f t="shared" si="1"/>
        <v>0</v>
      </c>
    </row>
    <row r="110" spans="1:35">
      <c r="A110" s="2"/>
      <c r="B110" s="2"/>
      <c r="C110" s="2"/>
      <c r="D110" s="3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AI110" s="10">
        <f t="shared" si="1"/>
        <v>0</v>
      </c>
    </row>
    <row r="111" spans="1:35">
      <c r="A111" s="2"/>
      <c r="B111" s="2"/>
      <c r="C111" s="2"/>
      <c r="D111" s="3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AI111" s="10">
        <f t="shared" si="1"/>
        <v>0</v>
      </c>
    </row>
    <row r="112" spans="1:35">
      <c r="A112" s="2"/>
      <c r="B112" s="2"/>
      <c r="C112" s="2"/>
      <c r="D112" s="3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AI112" s="10">
        <f t="shared" si="1"/>
        <v>0</v>
      </c>
    </row>
    <row r="113" spans="1:35">
      <c r="A113" s="2"/>
      <c r="B113" s="2"/>
      <c r="C113" s="2"/>
      <c r="D113" s="3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AI113" s="10">
        <f t="shared" si="1"/>
        <v>0</v>
      </c>
    </row>
    <row r="114" spans="1:35">
      <c r="A114" s="2"/>
      <c r="B114" s="2"/>
      <c r="C114" s="2"/>
      <c r="D114" s="3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AI114" s="10">
        <f t="shared" si="1"/>
        <v>0</v>
      </c>
    </row>
    <row r="115" spans="1:35">
      <c r="A115" s="2"/>
      <c r="B115" s="2"/>
      <c r="C115" s="2"/>
      <c r="D115" s="3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AI115" s="10">
        <f t="shared" si="1"/>
        <v>0</v>
      </c>
    </row>
    <row r="116" spans="1:35">
      <c r="A116" s="2"/>
      <c r="B116" s="2"/>
      <c r="C116" s="2"/>
      <c r="D116" s="3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AI116" s="10">
        <f t="shared" si="1"/>
        <v>0</v>
      </c>
    </row>
    <row r="117" spans="1:35">
      <c r="A117" s="2"/>
      <c r="B117" s="2"/>
      <c r="C117" s="2"/>
      <c r="D117" s="3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AI117" s="10">
        <f t="shared" si="1"/>
        <v>0</v>
      </c>
    </row>
    <row r="118" spans="1:35">
      <c r="A118" s="2"/>
      <c r="B118" s="2"/>
      <c r="C118" s="2"/>
      <c r="D118" s="3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AI118" s="10">
        <f t="shared" si="1"/>
        <v>0</v>
      </c>
    </row>
    <row r="119" spans="1:35">
      <c r="A119" s="2"/>
      <c r="B119" s="2"/>
      <c r="C119" s="2"/>
      <c r="D119" s="3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AI119" s="10">
        <f t="shared" si="1"/>
        <v>0</v>
      </c>
    </row>
    <row r="120" spans="1:35">
      <c r="A120" s="2"/>
      <c r="B120" s="2"/>
      <c r="C120" s="2"/>
      <c r="D120" s="3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AI120" s="10">
        <f t="shared" si="1"/>
        <v>0</v>
      </c>
    </row>
    <row r="121" spans="1:35">
      <c r="A121" s="2"/>
      <c r="B121" s="2"/>
      <c r="C121" s="2"/>
      <c r="D121" s="3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AI121" s="10">
        <f t="shared" si="1"/>
        <v>0</v>
      </c>
    </row>
    <row r="122" spans="1:35">
      <c r="A122" s="2"/>
      <c r="B122" s="2"/>
      <c r="C122" s="2"/>
      <c r="D122" s="3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AI122" s="10">
        <f t="shared" si="1"/>
        <v>0</v>
      </c>
    </row>
    <row r="123" spans="1:35">
      <c r="A123" s="2"/>
      <c r="B123" s="2"/>
      <c r="C123" s="2"/>
      <c r="D123" s="3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AI123" s="10">
        <f t="shared" si="1"/>
        <v>0</v>
      </c>
    </row>
    <row r="124" spans="1:35">
      <c r="A124" s="2"/>
      <c r="B124" s="2"/>
      <c r="C124" s="2"/>
      <c r="D124" s="3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AI124" s="10">
        <f t="shared" si="1"/>
        <v>0</v>
      </c>
    </row>
    <row r="125" spans="1:35">
      <c r="A125" s="2"/>
      <c r="B125" s="2"/>
      <c r="C125" s="2"/>
      <c r="D125" s="3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AI125" s="10">
        <f t="shared" si="1"/>
        <v>0</v>
      </c>
    </row>
    <row r="126" spans="1:35">
      <c r="A126" s="2"/>
      <c r="B126" s="2"/>
      <c r="C126" s="2"/>
      <c r="D126" s="3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AI126" s="10">
        <f t="shared" si="1"/>
        <v>0</v>
      </c>
    </row>
    <row r="127" spans="1:35">
      <c r="A127" s="2"/>
      <c r="B127" s="2"/>
      <c r="C127" s="2"/>
      <c r="D127" s="3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AI127" s="10">
        <f t="shared" si="1"/>
        <v>0</v>
      </c>
    </row>
    <row r="128" spans="1:35">
      <c r="A128" s="2"/>
      <c r="B128" s="2"/>
      <c r="C128" s="2"/>
      <c r="D128" s="3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AI128" s="10">
        <f t="shared" si="1"/>
        <v>0</v>
      </c>
    </row>
    <row r="129" spans="1:35">
      <c r="A129" s="2"/>
      <c r="B129" s="2"/>
      <c r="C129" s="2"/>
      <c r="D129" s="3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AI129" s="10">
        <f t="shared" si="1"/>
        <v>0</v>
      </c>
    </row>
    <row r="130" spans="1:35">
      <c r="A130" s="2"/>
      <c r="B130" s="2"/>
      <c r="C130" s="2"/>
      <c r="D130" s="3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AI130" s="10">
        <f t="shared" si="1"/>
        <v>0</v>
      </c>
    </row>
    <row r="131" spans="1:35">
      <c r="A131" s="2"/>
      <c r="B131" s="2"/>
      <c r="C131" s="2"/>
      <c r="D131" s="3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AI131" s="10">
        <f t="shared" ref="AI131:AI194" si="2">+IF(AH131&lt;&gt;"",AH131,D131)</f>
        <v>0</v>
      </c>
    </row>
    <row r="132" spans="1:35">
      <c r="A132" s="2"/>
      <c r="B132" s="2"/>
      <c r="C132" s="2"/>
      <c r="D132" s="3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AI132" s="10">
        <f t="shared" si="2"/>
        <v>0</v>
      </c>
    </row>
    <row r="133" spans="1:35">
      <c r="A133" s="2"/>
      <c r="B133" s="2"/>
      <c r="C133" s="2"/>
      <c r="D133" s="3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AI133" s="10">
        <f t="shared" si="2"/>
        <v>0</v>
      </c>
    </row>
    <row r="134" spans="1:35">
      <c r="A134" s="2"/>
      <c r="B134" s="2"/>
      <c r="C134" s="2"/>
      <c r="D134" s="3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AI134" s="10">
        <f t="shared" si="2"/>
        <v>0</v>
      </c>
    </row>
    <row r="135" spans="1:35">
      <c r="A135" s="2"/>
      <c r="B135" s="2"/>
      <c r="C135" s="2"/>
      <c r="D135" s="3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AI135" s="10">
        <f t="shared" si="2"/>
        <v>0</v>
      </c>
    </row>
    <row r="136" spans="1:35">
      <c r="A136" s="2"/>
      <c r="B136" s="2"/>
      <c r="C136" s="2"/>
      <c r="D136" s="3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AI136" s="10">
        <f t="shared" si="2"/>
        <v>0</v>
      </c>
    </row>
    <row r="137" spans="1:35">
      <c r="A137" s="2"/>
      <c r="B137" s="2"/>
      <c r="C137" s="2"/>
      <c r="D137" s="3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AI137" s="10">
        <f t="shared" si="2"/>
        <v>0</v>
      </c>
    </row>
    <row r="138" spans="1:35">
      <c r="A138" s="2"/>
      <c r="B138" s="2"/>
      <c r="C138" s="2"/>
      <c r="D138" s="3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AI138" s="10">
        <f t="shared" si="2"/>
        <v>0</v>
      </c>
    </row>
    <row r="139" spans="1:35">
      <c r="A139" s="2"/>
      <c r="B139" s="2"/>
      <c r="C139" s="2"/>
      <c r="D139" s="3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AI139" s="10">
        <f t="shared" si="2"/>
        <v>0</v>
      </c>
    </row>
    <row r="140" spans="1:35">
      <c r="A140" s="2"/>
      <c r="B140" s="2"/>
      <c r="C140" s="2"/>
      <c r="D140" s="3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AI140" s="10">
        <f t="shared" si="2"/>
        <v>0</v>
      </c>
    </row>
    <row r="141" spans="1:35">
      <c r="A141" s="2"/>
      <c r="B141" s="2"/>
      <c r="C141" s="2"/>
      <c r="D141" s="3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AI141" s="10">
        <f t="shared" si="2"/>
        <v>0</v>
      </c>
    </row>
    <row r="142" spans="1:35">
      <c r="A142" s="2"/>
      <c r="B142" s="2"/>
      <c r="C142" s="2"/>
      <c r="D142" s="3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AI142" s="10">
        <f t="shared" si="2"/>
        <v>0</v>
      </c>
    </row>
    <row r="143" spans="1:35">
      <c r="A143" s="2"/>
      <c r="B143" s="2"/>
      <c r="C143" s="2"/>
      <c r="D143" s="3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AI143" s="10">
        <f t="shared" si="2"/>
        <v>0</v>
      </c>
    </row>
    <row r="144" spans="1:35">
      <c r="A144" s="2"/>
      <c r="B144" s="2"/>
      <c r="C144" s="2"/>
      <c r="D144" s="3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AI144" s="10">
        <f t="shared" si="2"/>
        <v>0</v>
      </c>
    </row>
    <row r="145" spans="1:35">
      <c r="A145" s="2"/>
      <c r="B145" s="2"/>
      <c r="C145" s="2"/>
      <c r="D145" s="3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AI145" s="10">
        <f t="shared" si="2"/>
        <v>0</v>
      </c>
    </row>
    <row r="146" spans="1:35">
      <c r="A146" s="2"/>
      <c r="B146" s="2"/>
      <c r="C146" s="2"/>
      <c r="D146" s="3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AI146" s="10">
        <f t="shared" si="2"/>
        <v>0</v>
      </c>
    </row>
    <row r="147" spans="1:35">
      <c r="A147" s="2"/>
      <c r="B147" s="2"/>
      <c r="C147" s="2"/>
      <c r="D147" s="3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AI147" s="10">
        <f t="shared" si="2"/>
        <v>0</v>
      </c>
    </row>
    <row r="148" spans="1:35">
      <c r="A148" s="2"/>
      <c r="B148" s="2"/>
      <c r="C148" s="2"/>
      <c r="D148" s="3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AI148" s="10">
        <f t="shared" si="2"/>
        <v>0</v>
      </c>
    </row>
    <row r="149" spans="1:35">
      <c r="A149" s="2"/>
      <c r="B149" s="2"/>
      <c r="C149" s="2"/>
      <c r="D149" s="3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AI149" s="10">
        <f t="shared" si="2"/>
        <v>0</v>
      </c>
    </row>
    <row r="150" spans="1:35">
      <c r="A150" s="2"/>
      <c r="B150" s="2"/>
      <c r="C150" s="2"/>
      <c r="D150" s="3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AI150" s="10">
        <f t="shared" si="2"/>
        <v>0</v>
      </c>
    </row>
    <row r="151" spans="1:35">
      <c r="A151" s="2"/>
      <c r="B151" s="2"/>
      <c r="C151" s="2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AI151" s="10">
        <f t="shared" si="2"/>
        <v>0</v>
      </c>
    </row>
    <row r="152" spans="1:35">
      <c r="A152" s="2"/>
      <c r="B152" s="2"/>
      <c r="C152" s="2"/>
      <c r="D152" s="3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AI152" s="10">
        <f t="shared" si="2"/>
        <v>0</v>
      </c>
    </row>
    <row r="153" spans="1:35">
      <c r="A153" s="2"/>
      <c r="B153" s="2"/>
      <c r="C153" s="2"/>
      <c r="D153" s="3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AI153" s="10">
        <f t="shared" si="2"/>
        <v>0</v>
      </c>
    </row>
    <row r="154" spans="1:35">
      <c r="A154" s="2"/>
      <c r="B154" s="2"/>
      <c r="C154" s="2"/>
      <c r="D154" s="3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AI154" s="10">
        <f t="shared" si="2"/>
        <v>0</v>
      </c>
    </row>
    <row r="155" spans="1:35">
      <c r="A155" s="2"/>
      <c r="B155" s="2"/>
      <c r="C155" s="2"/>
      <c r="D155" s="3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AI155" s="10">
        <f t="shared" si="2"/>
        <v>0</v>
      </c>
    </row>
    <row r="156" spans="1:35">
      <c r="A156" s="2"/>
      <c r="B156" s="2"/>
      <c r="C156" s="2"/>
      <c r="D156" s="3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AI156" s="10">
        <f t="shared" si="2"/>
        <v>0</v>
      </c>
    </row>
    <row r="157" spans="1:35">
      <c r="A157" s="2"/>
      <c r="B157" s="2"/>
      <c r="C157" s="2"/>
      <c r="D157" s="3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AI157" s="10">
        <f t="shared" si="2"/>
        <v>0</v>
      </c>
    </row>
    <row r="158" spans="1:35">
      <c r="A158" s="2"/>
      <c r="B158" s="2"/>
      <c r="C158" s="2"/>
      <c r="D158" s="3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AI158" s="10">
        <f t="shared" si="2"/>
        <v>0</v>
      </c>
    </row>
    <row r="159" spans="1:35">
      <c r="A159" s="2"/>
      <c r="B159" s="2"/>
      <c r="C159" s="2"/>
      <c r="D159" s="3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AI159" s="10">
        <f t="shared" si="2"/>
        <v>0</v>
      </c>
    </row>
    <row r="160" spans="1:35">
      <c r="A160" s="2"/>
      <c r="B160" s="2"/>
      <c r="C160" s="2"/>
      <c r="D160" s="3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AI160" s="10">
        <f t="shared" si="2"/>
        <v>0</v>
      </c>
    </row>
    <row r="161" spans="1:35">
      <c r="A161" s="2"/>
      <c r="B161" s="2"/>
      <c r="C161" s="2"/>
      <c r="D161" s="3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AI161" s="10">
        <f t="shared" si="2"/>
        <v>0</v>
      </c>
    </row>
    <row r="162" spans="1:35">
      <c r="A162" s="2"/>
      <c r="B162" s="2"/>
      <c r="C162" s="2"/>
      <c r="D162" s="3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AI162" s="10">
        <f t="shared" si="2"/>
        <v>0</v>
      </c>
    </row>
    <row r="163" spans="1:35">
      <c r="A163" s="2"/>
      <c r="B163" s="2"/>
      <c r="C163" s="2"/>
      <c r="D163" s="3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AI163" s="10">
        <f t="shared" si="2"/>
        <v>0</v>
      </c>
    </row>
    <row r="164" spans="1:35">
      <c r="A164" s="2"/>
      <c r="B164" s="2"/>
      <c r="C164" s="2"/>
      <c r="D164" s="3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AI164" s="10">
        <f t="shared" si="2"/>
        <v>0</v>
      </c>
    </row>
    <row r="165" spans="1:35">
      <c r="A165" s="2"/>
      <c r="B165" s="2"/>
      <c r="C165" s="2"/>
      <c r="D165" s="3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AI165" s="10">
        <f t="shared" si="2"/>
        <v>0</v>
      </c>
    </row>
    <row r="166" spans="1:35">
      <c r="A166" s="2"/>
      <c r="B166" s="2"/>
      <c r="C166" s="2"/>
      <c r="D166" s="3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AI166" s="10">
        <f t="shared" si="2"/>
        <v>0</v>
      </c>
    </row>
    <row r="167" spans="1:35">
      <c r="A167" s="2"/>
      <c r="B167" s="2"/>
      <c r="C167" s="2"/>
      <c r="D167" s="3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AI167" s="10">
        <f t="shared" si="2"/>
        <v>0</v>
      </c>
    </row>
    <row r="168" spans="1:35">
      <c r="A168" s="2"/>
      <c r="B168" s="2"/>
      <c r="C168" s="2"/>
      <c r="D168" s="3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AI168" s="10">
        <f t="shared" si="2"/>
        <v>0</v>
      </c>
    </row>
    <row r="169" spans="1:35">
      <c r="A169" s="2"/>
      <c r="B169" s="2"/>
      <c r="C169" s="2"/>
      <c r="D169" s="3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AI169" s="10">
        <f t="shared" si="2"/>
        <v>0</v>
      </c>
    </row>
    <row r="170" spans="1:35">
      <c r="A170" s="2"/>
      <c r="B170" s="2"/>
      <c r="C170" s="2"/>
      <c r="D170" s="3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AI170" s="10">
        <f t="shared" si="2"/>
        <v>0</v>
      </c>
    </row>
    <row r="171" spans="1:35">
      <c r="A171" s="2"/>
      <c r="B171" s="2"/>
      <c r="C171" s="2"/>
      <c r="D171" s="3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AI171" s="10">
        <f t="shared" si="2"/>
        <v>0</v>
      </c>
    </row>
    <row r="172" spans="1:35">
      <c r="A172" s="2"/>
      <c r="B172" s="2"/>
      <c r="C172" s="2"/>
      <c r="D172" s="3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AI172" s="10">
        <f t="shared" si="2"/>
        <v>0</v>
      </c>
    </row>
    <row r="173" spans="1:35">
      <c r="A173" s="2"/>
      <c r="B173" s="2"/>
      <c r="C173" s="2"/>
      <c r="D173" s="3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AI173" s="10">
        <f t="shared" si="2"/>
        <v>0</v>
      </c>
    </row>
    <row r="174" spans="1:35">
      <c r="A174" s="2"/>
      <c r="B174" s="2"/>
      <c r="C174" s="2"/>
      <c r="D174" s="3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AI174" s="10">
        <f t="shared" si="2"/>
        <v>0</v>
      </c>
    </row>
    <row r="175" spans="1:35">
      <c r="A175" s="2"/>
      <c r="B175" s="2"/>
      <c r="C175" s="2"/>
      <c r="D175" s="3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AI175" s="10">
        <f t="shared" si="2"/>
        <v>0</v>
      </c>
    </row>
    <row r="176" spans="1:35">
      <c r="A176" s="2"/>
      <c r="B176" s="2"/>
      <c r="C176" s="2"/>
      <c r="D176" s="3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AI176" s="10">
        <f t="shared" si="2"/>
        <v>0</v>
      </c>
    </row>
    <row r="177" spans="1:35">
      <c r="A177" s="2"/>
      <c r="B177" s="2"/>
      <c r="C177" s="2"/>
      <c r="D177" s="3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AI177" s="10">
        <f t="shared" si="2"/>
        <v>0</v>
      </c>
    </row>
    <row r="178" spans="1:35">
      <c r="A178" s="2"/>
      <c r="B178" s="2"/>
      <c r="C178" s="2"/>
      <c r="D178" s="3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AI178" s="10">
        <f t="shared" si="2"/>
        <v>0</v>
      </c>
    </row>
    <row r="179" spans="1:35">
      <c r="A179" s="2"/>
      <c r="B179" s="2"/>
      <c r="C179" s="2"/>
      <c r="D179" s="3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AI179" s="10">
        <f t="shared" si="2"/>
        <v>0</v>
      </c>
    </row>
    <row r="180" spans="1:35">
      <c r="A180" s="2"/>
      <c r="B180" s="2"/>
      <c r="C180" s="2"/>
      <c r="D180" s="3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AI180" s="10">
        <f t="shared" si="2"/>
        <v>0</v>
      </c>
    </row>
    <row r="181" spans="1:35">
      <c r="A181" s="2"/>
      <c r="B181" s="2"/>
      <c r="C181" s="2"/>
      <c r="D181" s="3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AI181" s="10">
        <f t="shared" si="2"/>
        <v>0</v>
      </c>
    </row>
    <row r="182" spans="1:35">
      <c r="A182" s="2"/>
      <c r="B182" s="2"/>
      <c r="C182" s="2"/>
      <c r="D182" s="3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AI182" s="10">
        <f t="shared" si="2"/>
        <v>0</v>
      </c>
    </row>
    <row r="183" spans="1:35">
      <c r="A183" s="2"/>
      <c r="B183" s="2"/>
      <c r="C183" s="2"/>
      <c r="D183" s="3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AI183" s="10">
        <f t="shared" si="2"/>
        <v>0</v>
      </c>
    </row>
    <row r="184" spans="1:35">
      <c r="A184" s="2"/>
      <c r="B184" s="2"/>
      <c r="C184" s="2"/>
      <c r="D184" s="3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AI184" s="10">
        <f t="shared" si="2"/>
        <v>0</v>
      </c>
    </row>
    <row r="185" spans="1:35">
      <c r="A185" s="2"/>
      <c r="B185" s="2"/>
      <c r="C185" s="2"/>
      <c r="D185" s="3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AI185" s="10">
        <f t="shared" si="2"/>
        <v>0</v>
      </c>
    </row>
    <row r="186" spans="1:35">
      <c r="A186" s="2"/>
      <c r="B186" s="2"/>
      <c r="C186" s="2"/>
      <c r="D186" s="3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AI186" s="10">
        <f t="shared" si="2"/>
        <v>0</v>
      </c>
    </row>
    <row r="187" spans="1:35">
      <c r="A187" s="2"/>
      <c r="B187" s="2"/>
      <c r="C187" s="2"/>
      <c r="D187" s="3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AI187" s="10">
        <f t="shared" si="2"/>
        <v>0</v>
      </c>
    </row>
    <row r="188" spans="1:35">
      <c r="A188" s="2"/>
      <c r="B188" s="2"/>
      <c r="C188" s="2"/>
      <c r="D188" s="3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AI188" s="10">
        <f t="shared" si="2"/>
        <v>0</v>
      </c>
    </row>
    <row r="189" spans="1:35">
      <c r="A189" s="2"/>
      <c r="B189" s="2"/>
      <c r="C189" s="2"/>
      <c r="D189" s="3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AI189" s="10">
        <f t="shared" si="2"/>
        <v>0</v>
      </c>
    </row>
    <row r="190" spans="1:35">
      <c r="A190" s="2"/>
      <c r="B190" s="2"/>
      <c r="C190" s="2"/>
      <c r="D190" s="3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AI190" s="10">
        <f t="shared" si="2"/>
        <v>0</v>
      </c>
    </row>
    <row r="191" spans="1:35">
      <c r="A191" s="2"/>
      <c r="B191" s="2"/>
      <c r="C191" s="2"/>
      <c r="D191" s="3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AI191" s="10">
        <f t="shared" si="2"/>
        <v>0</v>
      </c>
    </row>
    <row r="192" spans="1:35">
      <c r="A192" s="2"/>
      <c r="B192" s="2"/>
      <c r="C192" s="2"/>
      <c r="D192" s="3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AI192" s="10">
        <f t="shared" si="2"/>
        <v>0</v>
      </c>
    </row>
    <row r="193" spans="1:35">
      <c r="A193" s="2"/>
      <c r="B193" s="2"/>
      <c r="C193" s="2"/>
      <c r="D193" s="3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AI193" s="10">
        <f t="shared" si="2"/>
        <v>0</v>
      </c>
    </row>
    <row r="194" spans="1:35">
      <c r="A194" s="2"/>
      <c r="B194" s="2"/>
      <c r="C194" s="2"/>
      <c r="D194" s="3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AI194" s="10">
        <f t="shared" si="2"/>
        <v>0</v>
      </c>
    </row>
    <row r="195" spans="1:35">
      <c r="A195" s="2"/>
      <c r="B195" s="2"/>
      <c r="C195" s="2"/>
      <c r="D195" s="3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AI195" s="10">
        <f t="shared" ref="AI195:AI258" si="3">+IF(AH195&lt;&gt;"",AH195,D195)</f>
        <v>0</v>
      </c>
    </row>
    <row r="196" spans="1:35">
      <c r="A196" s="2"/>
      <c r="B196" s="2"/>
      <c r="C196" s="2"/>
      <c r="D196" s="3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AI196" s="10">
        <f t="shared" si="3"/>
        <v>0</v>
      </c>
    </row>
    <row r="197" spans="1:35">
      <c r="A197" s="2"/>
      <c r="B197" s="2"/>
      <c r="C197" s="2"/>
      <c r="D197" s="3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AI197" s="10">
        <f t="shared" si="3"/>
        <v>0</v>
      </c>
    </row>
    <row r="198" spans="1:35">
      <c r="A198" s="2"/>
      <c r="B198" s="2"/>
      <c r="C198" s="2"/>
      <c r="D198" s="3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AI198" s="10">
        <f t="shared" si="3"/>
        <v>0</v>
      </c>
    </row>
    <row r="199" spans="1:35">
      <c r="A199" s="2"/>
      <c r="B199" s="2"/>
      <c r="C199" s="2"/>
      <c r="D199" s="3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AI199" s="10">
        <f t="shared" si="3"/>
        <v>0</v>
      </c>
    </row>
    <row r="200" spans="1:35">
      <c r="A200" s="2"/>
      <c r="B200" s="2"/>
      <c r="C200" s="2"/>
      <c r="D200" s="3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AI200" s="10">
        <f t="shared" si="3"/>
        <v>0</v>
      </c>
    </row>
    <row r="201" spans="1:35">
      <c r="A201" s="2"/>
      <c r="B201" s="2"/>
      <c r="C201" s="2"/>
      <c r="D201" s="3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AI201" s="10">
        <f t="shared" si="3"/>
        <v>0</v>
      </c>
    </row>
    <row r="202" spans="1:35">
      <c r="A202" s="2"/>
      <c r="B202" s="2"/>
      <c r="C202" s="2"/>
      <c r="D202" s="3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AI202" s="10">
        <f t="shared" si="3"/>
        <v>0</v>
      </c>
    </row>
    <row r="203" spans="1:35">
      <c r="A203" s="2"/>
      <c r="B203" s="2"/>
      <c r="C203" s="2"/>
      <c r="D203" s="3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AI203" s="10">
        <f t="shared" si="3"/>
        <v>0</v>
      </c>
    </row>
    <row r="204" spans="1:35">
      <c r="A204" s="2"/>
      <c r="B204" s="2"/>
      <c r="C204" s="2"/>
      <c r="D204" s="3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AI204" s="10">
        <f t="shared" si="3"/>
        <v>0</v>
      </c>
    </row>
    <row r="205" spans="1:35">
      <c r="A205" s="2"/>
      <c r="B205" s="2"/>
      <c r="C205" s="2"/>
      <c r="D205" s="3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AI205" s="10">
        <f t="shared" si="3"/>
        <v>0</v>
      </c>
    </row>
    <row r="206" spans="1:35">
      <c r="A206" s="2"/>
      <c r="B206" s="2"/>
      <c r="C206" s="2"/>
      <c r="D206" s="3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AI206" s="10">
        <f t="shared" si="3"/>
        <v>0</v>
      </c>
    </row>
    <row r="207" spans="1:35">
      <c r="A207" s="2"/>
      <c r="B207" s="2"/>
      <c r="C207" s="2"/>
      <c r="D207" s="3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AI207" s="10">
        <f t="shared" si="3"/>
        <v>0</v>
      </c>
    </row>
    <row r="208" spans="1:35">
      <c r="A208" s="2"/>
      <c r="B208" s="2"/>
      <c r="C208" s="2"/>
      <c r="D208" s="3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AI208" s="10">
        <f t="shared" si="3"/>
        <v>0</v>
      </c>
    </row>
    <row r="209" spans="1:35">
      <c r="A209" s="2"/>
      <c r="B209" s="2"/>
      <c r="C209" s="2"/>
      <c r="D209" s="3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AI209" s="10">
        <f t="shared" si="3"/>
        <v>0</v>
      </c>
    </row>
    <row r="210" spans="1:35">
      <c r="A210" s="2"/>
      <c r="B210" s="2"/>
      <c r="C210" s="2"/>
      <c r="D210" s="3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AI210" s="10">
        <f t="shared" si="3"/>
        <v>0</v>
      </c>
    </row>
    <row r="211" spans="1:35">
      <c r="A211" s="2"/>
      <c r="B211" s="2"/>
      <c r="C211" s="2"/>
      <c r="D211" s="3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AI211" s="10">
        <f t="shared" si="3"/>
        <v>0</v>
      </c>
    </row>
    <row r="212" spans="1:35">
      <c r="A212" s="2"/>
      <c r="B212" s="2"/>
      <c r="C212" s="2"/>
      <c r="D212" s="3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AI212" s="10">
        <f t="shared" si="3"/>
        <v>0</v>
      </c>
    </row>
    <row r="213" spans="1:35">
      <c r="A213" s="2"/>
      <c r="B213" s="2"/>
      <c r="C213" s="2"/>
      <c r="D213" s="3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AI213" s="10">
        <f t="shared" si="3"/>
        <v>0</v>
      </c>
    </row>
    <row r="214" spans="1:35">
      <c r="A214" s="2"/>
      <c r="B214" s="2"/>
      <c r="C214" s="2"/>
      <c r="D214" s="3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AI214" s="10">
        <f t="shared" si="3"/>
        <v>0</v>
      </c>
    </row>
    <row r="215" spans="1:35">
      <c r="A215" s="2"/>
      <c r="B215" s="2"/>
      <c r="C215" s="2"/>
      <c r="D215" s="3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AI215" s="10">
        <f t="shared" si="3"/>
        <v>0</v>
      </c>
    </row>
    <row r="216" spans="1:35">
      <c r="A216" s="2"/>
      <c r="B216" s="2"/>
      <c r="C216" s="2"/>
      <c r="D216" s="3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AI216" s="10">
        <f t="shared" si="3"/>
        <v>0</v>
      </c>
    </row>
    <row r="217" spans="1:35">
      <c r="A217" s="2"/>
      <c r="B217" s="2"/>
      <c r="C217" s="2"/>
      <c r="D217" s="3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AI217" s="10">
        <f t="shared" si="3"/>
        <v>0</v>
      </c>
    </row>
    <row r="218" spans="1:35">
      <c r="A218" s="2"/>
      <c r="B218" s="2"/>
      <c r="C218" s="2"/>
      <c r="D218" s="3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AI218" s="10">
        <f t="shared" si="3"/>
        <v>0</v>
      </c>
    </row>
    <row r="219" spans="1:35">
      <c r="A219" s="2"/>
      <c r="B219" s="2"/>
      <c r="C219" s="2"/>
      <c r="D219" s="3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AI219" s="10">
        <f t="shared" si="3"/>
        <v>0</v>
      </c>
    </row>
    <row r="220" spans="1:35">
      <c r="A220" s="2"/>
      <c r="B220" s="2"/>
      <c r="C220" s="2"/>
      <c r="D220" s="3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AI220" s="10">
        <f t="shared" si="3"/>
        <v>0</v>
      </c>
    </row>
    <row r="221" spans="1:35">
      <c r="A221" s="2"/>
      <c r="B221" s="2"/>
      <c r="C221" s="2"/>
      <c r="D221" s="3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AI221" s="10">
        <f t="shared" si="3"/>
        <v>0</v>
      </c>
    </row>
    <row r="222" spans="1:35">
      <c r="A222" s="2"/>
      <c r="B222" s="2"/>
      <c r="C222" s="2"/>
      <c r="D222" s="3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AI222" s="10">
        <f t="shared" si="3"/>
        <v>0</v>
      </c>
    </row>
    <row r="223" spans="1:35">
      <c r="A223" s="2"/>
      <c r="B223" s="2"/>
      <c r="C223" s="2"/>
      <c r="D223" s="3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AI223" s="10">
        <f t="shared" si="3"/>
        <v>0</v>
      </c>
    </row>
    <row r="224" spans="1:35">
      <c r="A224" s="2"/>
      <c r="B224" s="2"/>
      <c r="C224" s="2"/>
      <c r="D224" s="3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AI224" s="10">
        <f t="shared" si="3"/>
        <v>0</v>
      </c>
    </row>
    <row r="225" spans="1:35">
      <c r="A225" s="2"/>
      <c r="B225" s="2"/>
      <c r="C225" s="2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AI225" s="10">
        <f t="shared" si="3"/>
        <v>0</v>
      </c>
    </row>
    <row r="226" spans="1:35">
      <c r="A226" s="2"/>
      <c r="B226" s="2"/>
      <c r="C226" s="2"/>
      <c r="D226" s="3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AI226" s="10">
        <f t="shared" si="3"/>
        <v>0</v>
      </c>
    </row>
    <row r="227" spans="1:35">
      <c r="A227" s="2"/>
      <c r="B227" s="2"/>
      <c r="C227" s="2"/>
      <c r="D227" s="3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AI227" s="10">
        <f t="shared" si="3"/>
        <v>0</v>
      </c>
    </row>
    <row r="228" spans="1:35">
      <c r="A228" s="2"/>
      <c r="B228" s="2"/>
      <c r="C228" s="2"/>
      <c r="D228" s="3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AI228" s="10">
        <f t="shared" si="3"/>
        <v>0</v>
      </c>
    </row>
    <row r="229" spans="1:35">
      <c r="A229" s="2"/>
      <c r="B229" s="2"/>
      <c r="C229" s="2"/>
      <c r="D229" s="3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AI229" s="10">
        <f t="shared" si="3"/>
        <v>0</v>
      </c>
    </row>
    <row r="230" spans="1:35">
      <c r="A230" s="2"/>
      <c r="B230" s="2"/>
      <c r="C230" s="2"/>
      <c r="D230" s="3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AI230" s="10">
        <f t="shared" si="3"/>
        <v>0</v>
      </c>
    </row>
    <row r="231" spans="1:35">
      <c r="A231" s="2"/>
      <c r="B231" s="2"/>
      <c r="C231" s="2"/>
      <c r="D231" s="3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AI231" s="10">
        <f t="shared" si="3"/>
        <v>0</v>
      </c>
    </row>
    <row r="232" spans="1:35">
      <c r="A232" s="2"/>
      <c r="B232" s="2"/>
      <c r="C232" s="2"/>
      <c r="D232" s="3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AI232" s="10">
        <f t="shared" si="3"/>
        <v>0</v>
      </c>
    </row>
    <row r="233" spans="1:35">
      <c r="A233" s="2"/>
      <c r="B233" s="2"/>
      <c r="C233" s="2"/>
      <c r="D233" s="3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AI233" s="10">
        <f t="shared" si="3"/>
        <v>0</v>
      </c>
    </row>
    <row r="234" spans="1:35">
      <c r="A234" s="2"/>
      <c r="B234" s="2"/>
      <c r="C234" s="2"/>
      <c r="D234" s="3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AI234" s="10">
        <f t="shared" si="3"/>
        <v>0</v>
      </c>
    </row>
    <row r="235" spans="1:35">
      <c r="A235" s="2"/>
      <c r="B235" s="2"/>
      <c r="C235" s="2"/>
      <c r="D235" s="3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AI235" s="10">
        <f t="shared" si="3"/>
        <v>0</v>
      </c>
    </row>
    <row r="236" spans="1:35">
      <c r="A236" s="2"/>
      <c r="B236" s="2"/>
      <c r="C236" s="2"/>
      <c r="D236" s="3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AI236" s="10">
        <f t="shared" si="3"/>
        <v>0</v>
      </c>
    </row>
    <row r="237" spans="1:35">
      <c r="A237" s="2"/>
      <c r="B237" s="2"/>
      <c r="C237" s="2"/>
      <c r="D237" s="3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AI237" s="10">
        <f t="shared" si="3"/>
        <v>0</v>
      </c>
    </row>
    <row r="238" spans="1:35">
      <c r="A238" s="2"/>
      <c r="B238" s="2"/>
      <c r="C238" s="2"/>
      <c r="D238" s="3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AI238" s="10">
        <f t="shared" si="3"/>
        <v>0</v>
      </c>
    </row>
    <row r="239" spans="1:35">
      <c r="A239" s="2"/>
      <c r="B239" s="2"/>
      <c r="C239" s="2"/>
      <c r="D239" s="3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AI239" s="10">
        <f t="shared" si="3"/>
        <v>0</v>
      </c>
    </row>
    <row r="240" spans="1:35">
      <c r="A240" s="2"/>
      <c r="B240" s="2"/>
      <c r="C240" s="2"/>
      <c r="D240" s="3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AI240" s="10">
        <f t="shared" si="3"/>
        <v>0</v>
      </c>
    </row>
    <row r="241" spans="1:35">
      <c r="A241" s="2"/>
      <c r="B241" s="2"/>
      <c r="C241" s="2"/>
      <c r="D241" s="3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AI241" s="10">
        <f t="shared" si="3"/>
        <v>0</v>
      </c>
    </row>
    <row r="242" spans="1:35">
      <c r="A242" s="2"/>
      <c r="B242" s="2"/>
      <c r="C242" s="2"/>
      <c r="D242" s="3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AI242" s="10">
        <f t="shared" si="3"/>
        <v>0</v>
      </c>
    </row>
    <row r="243" spans="1:35">
      <c r="A243" s="2"/>
      <c r="B243" s="2"/>
      <c r="C243" s="2"/>
      <c r="D243" s="3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AI243" s="10">
        <f t="shared" si="3"/>
        <v>0</v>
      </c>
    </row>
    <row r="244" spans="1:35">
      <c r="A244" s="2"/>
      <c r="B244" s="2"/>
      <c r="C244" s="2"/>
      <c r="D244" s="3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AI244" s="10">
        <f t="shared" si="3"/>
        <v>0</v>
      </c>
    </row>
    <row r="245" spans="1:35">
      <c r="A245" s="2"/>
      <c r="B245" s="2"/>
      <c r="C245" s="2"/>
      <c r="D245" s="3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AI245" s="10">
        <f t="shared" si="3"/>
        <v>0</v>
      </c>
    </row>
    <row r="246" spans="1:35">
      <c r="A246" s="2"/>
      <c r="B246" s="2"/>
      <c r="C246" s="2"/>
      <c r="D246" s="3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AI246" s="10">
        <f t="shared" si="3"/>
        <v>0</v>
      </c>
    </row>
    <row r="247" spans="1:35">
      <c r="A247" s="2"/>
      <c r="B247" s="2"/>
      <c r="C247" s="2"/>
      <c r="D247" s="3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AI247" s="10">
        <f t="shared" si="3"/>
        <v>0</v>
      </c>
    </row>
    <row r="248" spans="1:35">
      <c r="A248" s="2"/>
      <c r="B248" s="2"/>
      <c r="C248" s="2"/>
      <c r="D248" s="3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AI248" s="10">
        <f t="shared" si="3"/>
        <v>0</v>
      </c>
    </row>
    <row r="249" spans="1:35">
      <c r="A249" s="2"/>
      <c r="B249" s="2"/>
      <c r="C249" s="2"/>
      <c r="D249" s="3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AI249" s="10">
        <f t="shared" si="3"/>
        <v>0</v>
      </c>
    </row>
    <row r="250" spans="1:35">
      <c r="A250" s="2"/>
      <c r="B250" s="2"/>
      <c r="C250" s="2"/>
      <c r="D250" s="3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AI250" s="10">
        <f t="shared" si="3"/>
        <v>0</v>
      </c>
    </row>
    <row r="251" spans="1:35">
      <c r="A251" s="2"/>
      <c r="B251" s="2"/>
      <c r="C251" s="2"/>
      <c r="D251" s="3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AI251" s="10">
        <f t="shared" si="3"/>
        <v>0</v>
      </c>
    </row>
    <row r="252" spans="1:35">
      <c r="A252" s="2"/>
      <c r="B252" s="2"/>
      <c r="C252" s="2"/>
      <c r="D252" s="3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AI252" s="10">
        <f t="shared" si="3"/>
        <v>0</v>
      </c>
    </row>
    <row r="253" spans="1:35">
      <c r="A253" s="2"/>
      <c r="B253" s="2"/>
      <c r="C253" s="2"/>
      <c r="D253" s="3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AI253" s="10">
        <f t="shared" si="3"/>
        <v>0</v>
      </c>
    </row>
    <row r="254" spans="1:35">
      <c r="A254" s="2"/>
      <c r="B254" s="2"/>
      <c r="C254" s="2"/>
      <c r="D254" s="3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AI254" s="10">
        <f t="shared" si="3"/>
        <v>0</v>
      </c>
    </row>
    <row r="255" spans="1:35">
      <c r="A255" s="2"/>
      <c r="B255" s="2"/>
      <c r="C255" s="2"/>
      <c r="D255" s="3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AI255" s="10">
        <f t="shared" si="3"/>
        <v>0</v>
      </c>
    </row>
    <row r="256" spans="1:35">
      <c r="A256" s="2"/>
      <c r="B256" s="2"/>
      <c r="C256" s="2"/>
      <c r="D256" s="3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AI256" s="10">
        <f t="shared" si="3"/>
        <v>0</v>
      </c>
    </row>
    <row r="257" spans="1:35">
      <c r="A257" s="2"/>
      <c r="B257" s="2"/>
      <c r="C257" s="2"/>
      <c r="D257" s="3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AI257" s="10">
        <f t="shared" si="3"/>
        <v>0</v>
      </c>
    </row>
    <row r="258" spans="1:35">
      <c r="A258" s="2"/>
      <c r="B258" s="2"/>
      <c r="C258" s="2"/>
      <c r="D258" s="3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AI258" s="10">
        <f t="shared" si="3"/>
        <v>0</v>
      </c>
    </row>
    <row r="259" spans="1:35">
      <c r="A259" s="2"/>
      <c r="B259" s="2"/>
      <c r="C259" s="2"/>
      <c r="D259" s="3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AI259" s="10">
        <f t="shared" ref="AI259:AI322" si="4">+IF(AH259&lt;&gt;"",AH259,D259)</f>
        <v>0</v>
      </c>
    </row>
    <row r="260" spans="1:35">
      <c r="A260" s="2"/>
      <c r="B260" s="2"/>
      <c r="C260" s="2"/>
      <c r="D260" s="3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AI260" s="10">
        <f t="shared" si="4"/>
        <v>0</v>
      </c>
    </row>
    <row r="261" spans="1:35">
      <c r="A261" s="2"/>
      <c r="B261" s="2"/>
      <c r="C261" s="2"/>
      <c r="D261" s="3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AI261" s="10">
        <f t="shared" si="4"/>
        <v>0</v>
      </c>
    </row>
    <row r="262" spans="1:35">
      <c r="A262" s="2"/>
      <c r="B262" s="2"/>
      <c r="C262" s="2"/>
      <c r="D262" s="3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AI262" s="10">
        <f t="shared" si="4"/>
        <v>0</v>
      </c>
    </row>
    <row r="263" spans="1:35">
      <c r="A263" s="2"/>
      <c r="B263" s="2"/>
      <c r="C263" s="2"/>
      <c r="D263" s="3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AI263" s="10">
        <f t="shared" si="4"/>
        <v>0</v>
      </c>
    </row>
    <row r="264" spans="1:35">
      <c r="A264" s="2"/>
      <c r="B264" s="2"/>
      <c r="C264" s="2"/>
      <c r="D264" s="3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AI264" s="10">
        <f t="shared" si="4"/>
        <v>0</v>
      </c>
    </row>
    <row r="265" spans="1:35">
      <c r="A265" s="2"/>
      <c r="B265" s="2"/>
      <c r="C265" s="2"/>
      <c r="D265" s="3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AI265" s="10">
        <f t="shared" si="4"/>
        <v>0</v>
      </c>
    </row>
    <row r="266" spans="1:35">
      <c r="A266" s="2"/>
      <c r="B266" s="2"/>
      <c r="C266" s="2"/>
      <c r="D266" s="3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AI266" s="10">
        <f t="shared" si="4"/>
        <v>0</v>
      </c>
    </row>
    <row r="267" spans="1:35">
      <c r="A267" s="2"/>
      <c r="B267" s="2"/>
      <c r="C267" s="2"/>
      <c r="D267" s="3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AI267" s="10">
        <f t="shared" si="4"/>
        <v>0</v>
      </c>
    </row>
    <row r="268" spans="1:35">
      <c r="A268" s="2"/>
      <c r="B268" s="2"/>
      <c r="C268" s="2"/>
      <c r="D268" s="3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AI268" s="10">
        <f t="shared" si="4"/>
        <v>0</v>
      </c>
    </row>
    <row r="269" spans="1:35">
      <c r="A269" s="2"/>
      <c r="B269" s="2"/>
      <c r="C269" s="2"/>
      <c r="D269" s="3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AI269" s="10">
        <f t="shared" si="4"/>
        <v>0</v>
      </c>
    </row>
    <row r="270" spans="1:35">
      <c r="A270" s="2"/>
      <c r="B270" s="2"/>
      <c r="C270" s="2"/>
      <c r="D270" s="3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AI270" s="10">
        <f t="shared" si="4"/>
        <v>0</v>
      </c>
    </row>
    <row r="271" spans="1:35">
      <c r="A271" s="2"/>
      <c r="B271" s="2"/>
      <c r="C271" s="2"/>
      <c r="D271" s="3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AI271" s="10">
        <f t="shared" si="4"/>
        <v>0</v>
      </c>
    </row>
    <row r="272" spans="1:35">
      <c r="A272" s="2"/>
      <c r="B272" s="2"/>
      <c r="C272" s="2"/>
      <c r="D272" s="3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AI272" s="10">
        <f t="shared" si="4"/>
        <v>0</v>
      </c>
    </row>
    <row r="273" spans="1:35">
      <c r="A273" s="2"/>
      <c r="B273" s="2"/>
      <c r="C273" s="2"/>
      <c r="D273" s="3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AI273" s="10">
        <f t="shared" si="4"/>
        <v>0</v>
      </c>
    </row>
    <row r="274" spans="1:35">
      <c r="A274" s="2"/>
      <c r="B274" s="2"/>
      <c r="C274" s="2"/>
      <c r="D274" s="3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AI274" s="10">
        <f t="shared" si="4"/>
        <v>0</v>
      </c>
    </row>
    <row r="275" spans="1:35">
      <c r="A275" s="2"/>
      <c r="B275" s="2"/>
      <c r="C275" s="2"/>
      <c r="D275" s="3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AI275" s="10">
        <f t="shared" si="4"/>
        <v>0</v>
      </c>
    </row>
    <row r="276" spans="1:35">
      <c r="A276" s="2"/>
      <c r="B276" s="2"/>
      <c r="C276" s="2"/>
      <c r="D276" s="3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AI276" s="10">
        <f t="shared" si="4"/>
        <v>0</v>
      </c>
    </row>
    <row r="277" spans="1:35">
      <c r="A277" s="2"/>
      <c r="B277" s="2"/>
      <c r="C277" s="2"/>
      <c r="D277" s="3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AI277" s="10">
        <f t="shared" si="4"/>
        <v>0</v>
      </c>
    </row>
    <row r="278" spans="1:35">
      <c r="A278" s="2"/>
      <c r="B278" s="2"/>
      <c r="C278" s="2"/>
      <c r="D278" s="3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AI278" s="10">
        <f t="shared" si="4"/>
        <v>0</v>
      </c>
    </row>
    <row r="279" spans="1:35">
      <c r="A279" s="2"/>
      <c r="B279" s="2"/>
      <c r="C279" s="2"/>
      <c r="D279" s="3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AI279" s="10">
        <f t="shared" si="4"/>
        <v>0</v>
      </c>
    </row>
    <row r="280" spans="1:35">
      <c r="A280" s="2"/>
      <c r="B280" s="2"/>
      <c r="C280" s="2"/>
      <c r="D280" s="3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AI280" s="10">
        <f t="shared" si="4"/>
        <v>0</v>
      </c>
    </row>
    <row r="281" spans="1:35">
      <c r="A281" s="2"/>
      <c r="B281" s="2"/>
      <c r="C281" s="2"/>
      <c r="D281" s="3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AI281" s="10">
        <f t="shared" si="4"/>
        <v>0</v>
      </c>
    </row>
    <row r="282" spans="1:35">
      <c r="A282" s="2"/>
      <c r="B282" s="2"/>
      <c r="C282" s="2"/>
      <c r="D282" s="3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AI282" s="10">
        <f t="shared" si="4"/>
        <v>0</v>
      </c>
    </row>
    <row r="283" spans="1:35">
      <c r="A283" s="2"/>
      <c r="B283" s="2"/>
      <c r="C283" s="2"/>
      <c r="D283" s="3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AI283" s="10">
        <f t="shared" si="4"/>
        <v>0</v>
      </c>
    </row>
    <row r="284" spans="1:35">
      <c r="A284" s="2"/>
      <c r="B284" s="2"/>
      <c r="C284" s="2"/>
      <c r="D284" s="3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AI284" s="10">
        <f t="shared" si="4"/>
        <v>0</v>
      </c>
    </row>
    <row r="285" spans="1:35">
      <c r="A285" s="2"/>
      <c r="B285" s="2"/>
      <c r="C285" s="2"/>
      <c r="D285" s="3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AI285" s="10">
        <f t="shared" si="4"/>
        <v>0</v>
      </c>
    </row>
    <row r="286" spans="1:35">
      <c r="A286" s="2"/>
      <c r="B286" s="2"/>
      <c r="C286" s="2"/>
      <c r="D286" s="3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AI286" s="10">
        <f t="shared" si="4"/>
        <v>0</v>
      </c>
    </row>
    <row r="287" spans="1:35">
      <c r="A287" s="2"/>
      <c r="B287" s="2"/>
      <c r="C287" s="2"/>
      <c r="D287" s="3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AI287" s="10">
        <f t="shared" si="4"/>
        <v>0</v>
      </c>
    </row>
    <row r="288" spans="1:35">
      <c r="A288" s="2"/>
      <c r="B288" s="2"/>
      <c r="C288" s="2"/>
      <c r="D288" s="3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AI288" s="10">
        <f t="shared" si="4"/>
        <v>0</v>
      </c>
    </row>
    <row r="289" spans="1:35">
      <c r="A289" s="2"/>
      <c r="B289" s="2"/>
      <c r="C289" s="2"/>
      <c r="D289" s="3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AI289" s="10">
        <f t="shared" si="4"/>
        <v>0</v>
      </c>
    </row>
    <row r="290" spans="1:35">
      <c r="A290" s="2"/>
      <c r="B290" s="2"/>
      <c r="C290" s="2"/>
      <c r="D290" s="3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AI290" s="10">
        <f t="shared" si="4"/>
        <v>0</v>
      </c>
    </row>
    <row r="291" spans="1:35">
      <c r="A291" s="2"/>
      <c r="B291" s="2"/>
      <c r="C291" s="2"/>
      <c r="D291" s="3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AI291" s="10">
        <f t="shared" si="4"/>
        <v>0</v>
      </c>
    </row>
    <row r="292" spans="1:35">
      <c r="A292" s="2"/>
      <c r="B292" s="2"/>
      <c r="C292" s="2"/>
      <c r="D292" s="3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AI292" s="10">
        <f t="shared" si="4"/>
        <v>0</v>
      </c>
    </row>
    <row r="293" spans="1:35">
      <c r="A293" s="2"/>
      <c r="B293" s="2"/>
      <c r="C293" s="2"/>
      <c r="D293" s="3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AI293" s="10">
        <f t="shared" si="4"/>
        <v>0</v>
      </c>
    </row>
    <row r="294" spans="1:35">
      <c r="A294" s="2"/>
      <c r="B294" s="2"/>
      <c r="C294" s="2"/>
      <c r="D294" s="3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AI294" s="10">
        <f t="shared" si="4"/>
        <v>0</v>
      </c>
    </row>
    <row r="295" spans="1:35">
      <c r="A295" s="2"/>
      <c r="B295" s="2"/>
      <c r="C295" s="2"/>
      <c r="D295" s="3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AI295" s="10">
        <f t="shared" si="4"/>
        <v>0</v>
      </c>
    </row>
    <row r="296" spans="1:35">
      <c r="A296" s="2"/>
      <c r="B296" s="2"/>
      <c r="C296" s="2"/>
      <c r="D296" s="3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AI296" s="10">
        <f t="shared" si="4"/>
        <v>0</v>
      </c>
    </row>
    <row r="297" spans="1:35">
      <c r="A297" s="2"/>
      <c r="B297" s="2"/>
      <c r="C297" s="2"/>
      <c r="D297" s="3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AI297" s="10">
        <f t="shared" si="4"/>
        <v>0</v>
      </c>
    </row>
    <row r="298" spans="1:35">
      <c r="A298" s="2"/>
      <c r="B298" s="2"/>
      <c r="C298" s="2"/>
      <c r="D298" s="3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AI298" s="10">
        <f t="shared" si="4"/>
        <v>0</v>
      </c>
    </row>
    <row r="299" spans="1:35">
      <c r="A299" s="2"/>
      <c r="B299" s="2"/>
      <c r="C299" s="2"/>
      <c r="D299" s="3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AI299" s="10">
        <f t="shared" si="4"/>
        <v>0</v>
      </c>
    </row>
    <row r="300" spans="1:35">
      <c r="A300" s="2"/>
      <c r="B300" s="2"/>
      <c r="C300" s="2"/>
      <c r="D300" s="3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AI300" s="10">
        <f t="shared" si="4"/>
        <v>0</v>
      </c>
    </row>
    <row r="301" spans="1:35">
      <c r="A301" s="2"/>
      <c r="B301" s="2"/>
      <c r="C301" s="2"/>
      <c r="D301" s="3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AI301" s="10">
        <f t="shared" si="4"/>
        <v>0</v>
      </c>
    </row>
    <row r="302" spans="1:35">
      <c r="A302" s="2"/>
      <c r="B302" s="2"/>
      <c r="C302" s="2"/>
      <c r="D302" s="3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AI302" s="10">
        <f t="shared" si="4"/>
        <v>0</v>
      </c>
    </row>
    <row r="303" spans="1:35">
      <c r="A303" s="2"/>
      <c r="B303" s="2"/>
      <c r="C303" s="2"/>
      <c r="D303" s="3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AI303" s="10">
        <f t="shared" si="4"/>
        <v>0</v>
      </c>
    </row>
    <row r="304" spans="1:35">
      <c r="A304" s="2"/>
      <c r="B304" s="2"/>
      <c r="C304" s="2"/>
      <c r="D304" s="3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AI304" s="10">
        <f t="shared" si="4"/>
        <v>0</v>
      </c>
    </row>
    <row r="305" spans="1:35">
      <c r="A305" s="2"/>
      <c r="B305" s="2"/>
      <c r="C305" s="2"/>
      <c r="D305" s="3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AI305" s="10">
        <f t="shared" si="4"/>
        <v>0</v>
      </c>
    </row>
    <row r="306" spans="1:35">
      <c r="A306" s="2"/>
      <c r="B306" s="2"/>
      <c r="C306" s="2"/>
      <c r="D306" s="3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AI306" s="10">
        <f t="shared" si="4"/>
        <v>0</v>
      </c>
    </row>
    <row r="307" spans="1:35">
      <c r="A307" s="2"/>
      <c r="B307" s="2"/>
      <c r="C307" s="2"/>
      <c r="D307" s="3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AI307" s="10">
        <f t="shared" si="4"/>
        <v>0</v>
      </c>
    </row>
    <row r="308" spans="1:35">
      <c r="A308" s="2"/>
      <c r="B308" s="2"/>
      <c r="C308" s="2"/>
      <c r="D308" s="3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AI308" s="10">
        <f t="shared" si="4"/>
        <v>0</v>
      </c>
    </row>
    <row r="309" spans="1:35">
      <c r="A309" s="2"/>
      <c r="B309" s="2"/>
      <c r="C309" s="2"/>
      <c r="D309" s="3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AI309" s="10">
        <f t="shared" si="4"/>
        <v>0</v>
      </c>
    </row>
    <row r="310" spans="1:35">
      <c r="A310" s="2"/>
      <c r="B310" s="2"/>
      <c r="C310" s="2"/>
      <c r="D310" s="3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AI310" s="10">
        <f t="shared" si="4"/>
        <v>0</v>
      </c>
    </row>
    <row r="311" spans="1:35">
      <c r="A311" s="2"/>
      <c r="B311" s="2"/>
      <c r="C311" s="2"/>
      <c r="D311" s="3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AI311" s="10">
        <f t="shared" si="4"/>
        <v>0</v>
      </c>
    </row>
    <row r="312" spans="1:35">
      <c r="A312" s="2"/>
      <c r="B312" s="2"/>
      <c r="C312" s="2"/>
      <c r="D312" s="3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AI312" s="10">
        <f t="shared" si="4"/>
        <v>0</v>
      </c>
    </row>
    <row r="313" spans="1:35">
      <c r="A313" s="2"/>
      <c r="B313" s="2"/>
      <c r="C313" s="2"/>
      <c r="D313" s="3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AI313" s="10">
        <f t="shared" si="4"/>
        <v>0</v>
      </c>
    </row>
    <row r="314" spans="1:35">
      <c r="A314" s="2"/>
      <c r="B314" s="2"/>
      <c r="C314" s="2"/>
      <c r="D314" s="3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AI314" s="10">
        <f t="shared" si="4"/>
        <v>0</v>
      </c>
    </row>
    <row r="315" spans="1:35">
      <c r="A315" s="2"/>
      <c r="B315" s="2"/>
      <c r="C315" s="2"/>
      <c r="D315" s="3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AI315" s="10">
        <f t="shared" si="4"/>
        <v>0</v>
      </c>
    </row>
    <row r="316" spans="1:35">
      <c r="A316" s="2"/>
      <c r="B316" s="2"/>
      <c r="C316" s="2"/>
      <c r="D316" s="3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AI316" s="10">
        <f t="shared" si="4"/>
        <v>0</v>
      </c>
    </row>
    <row r="317" spans="1:35">
      <c r="A317" s="2"/>
      <c r="B317" s="2"/>
      <c r="C317" s="2"/>
      <c r="D317" s="3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AI317" s="10">
        <f t="shared" si="4"/>
        <v>0</v>
      </c>
    </row>
    <row r="318" spans="1:35">
      <c r="A318" s="2"/>
      <c r="B318" s="2"/>
      <c r="C318" s="2"/>
      <c r="D318" s="3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AI318" s="10">
        <f t="shared" si="4"/>
        <v>0</v>
      </c>
    </row>
    <row r="319" spans="1:35">
      <c r="A319" s="2"/>
      <c r="B319" s="2"/>
      <c r="C319" s="2"/>
      <c r="D319" s="3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AI319" s="10">
        <f t="shared" si="4"/>
        <v>0</v>
      </c>
    </row>
    <row r="320" spans="1:35">
      <c r="A320" s="2"/>
      <c r="B320" s="2"/>
      <c r="C320" s="2"/>
      <c r="D320" s="3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AI320" s="10">
        <f t="shared" si="4"/>
        <v>0</v>
      </c>
    </row>
    <row r="321" spans="1:35">
      <c r="A321" s="2"/>
      <c r="B321" s="2"/>
      <c r="C321" s="2"/>
      <c r="D321" s="3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AI321" s="10">
        <f t="shared" si="4"/>
        <v>0</v>
      </c>
    </row>
    <row r="322" spans="1:35">
      <c r="A322" s="2"/>
      <c r="B322" s="2"/>
      <c r="C322" s="2"/>
      <c r="D322" s="3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AI322" s="10">
        <f t="shared" si="4"/>
        <v>0</v>
      </c>
    </row>
    <row r="323" spans="1:35">
      <c r="A323" s="2"/>
      <c r="B323" s="2"/>
      <c r="C323" s="2"/>
      <c r="D323" s="3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AI323" s="10">
        <f t="shared" ref="AI323:AI386" si="5">+IF(AH323&lt;&gt;"",AH323,D323)</f>
        <v>0</v>
      </c>
    </row>
    <row r="324" spans="1:35">
      <c r="A324" s="2"/>
      <c r="B324" s="2"/>
      <c r="C324" s="2"/>
      <c r="D324" s="3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AI324" s="10">
        <f t="shared" si="5"/>
        <v>0</v>
      </c>
    </row>
    <row r="325" spans="1:35">
      <c r="A325" s="2"/>
      <c r="B325" s="2"/>
      <c r="C325" s="2"/>
      <c r="D325" s="3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AI325" s="10">
        <f t="shared" si="5"/>
        <v>0</v>
      </c>
    </row>
    <row r="326" spans="1:35">
      <c r="A326" s="2"/>
      <c r="B326" s="2"/>
      <c r="C326" s="2"/>
      <c r="D326" s="3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AI326" s="10">
        <f t="shared" si="5"/>
        <v>0</v>
      </c>
    </row>
    <row r="327" spans="1:35">
      <c r="A327" s="2"/>
      <c r="B327" s="2"/>
      <c r="C327" s="2"/>
      <c r="D327" s="3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AI327" s="10">
        <f t="shared" si="5"/>
        <v>0</v>
      </c>
    </row>
    <row r="328" spans="1:35">
      <c r="A328" s="2"/>
      <c r="B328" s="2"/>
      <c r="C328" s="2"/>
      <c r="D328" s="3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AI328" s="10">
        <f t="shared" si="5"/>
        <v>0</v>
      </c>
    </row>
    <row r="329" spans="1:35">
      <c r="A329" s="2"/>
      <c r="B329" s="2"/>
      <c r="C329" s="2"/>
      <c r="D329" s="3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AI329" s="10">
        <f t="shared" si="5"/>
        <v>0</v>
      </c>
    </row>
    <row r="330" spans="1:35">
      <c r="A330" s="2"/>
      <c r="B330" s="2"/>
      <c r="C330" s="2"/>
      <c r="D330" s="3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AI330" s="10">
        <f t="shared" si="5"/>
        <v>0</v>
      </c>
    </row>
    <row r="331" spans="1:35">
      <c r="A331" s="2"/>
      <c r="B331" s="2"/>
      <c r="C331" s="2"/>
      <c r="D331" s="3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AI331" s="10">
        <f t="shared" si="5"/>
        <v>0</v>
      </c>
    </row>
    <row r="332" spans="1:35">
      <c r="A332" s="2"/>
      <c r="B332" s="2"/>
      <c r="C332" s="2"/>
      <c r="D332" s="3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AI332" s="10">
        <f t="shared" si="5"/>
        <v>0</v>
      </c>
    </row>
    <row r="333" spans="1:35">
      <c r="A333" s="2"/>
      <c r="B333" s="2"/>
      <c r="C333" s="2"/>
      <c r="D333" s="3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AI333" s="10">
        <f t="shared" si="5"/>
        <v>0</v>
      </c>
    </row>
    <row r="334" spans="1:35">
      <c r="A334" s="2"/>
      <c r="B334" s="2"/>
      <c r="C334" s="2"/>
      <c r="D334" s="3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AI334" s="10">
        <f t="shared" si="5"/>
        <v>0</v>
      </c>
    </row>
    <row r="335" spans="1:35">
      <c r="A335" s="2"/>
      <c r="B335" s="2"/>
      <c r="C335" s="2"/>
      <c r="D335" s="3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AI335" s="10">
        <f t="shared" si="5"/>
        <v>0</v>
      </c>
    </row>
    <row r="336" spans="1:35">
      <c r="A336" s="2"/>
      <c r="B336" s="2"/>
      <c r="C336" s="2"/>
      <c r="D336" s="3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AI336" s="10">
        <f t="shared" si="5"/>
        <v>0</v>
      </c>
    </row>
    <row r="337" spans="1:35">
      <c r="A337" s="2"/>
      <c r="B337" s="2"/>
      <c r="C337" s="2"/>
      <c r="D337" s="3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AI337" s="10">
        <f t="shared" si="5"/>
        <v>0</v>
      </c>
    </row>
    <row r="338" spans="1:35">
      <c r="A338" s="2"/>
      <c r="B338" s="2"/>
      <c r="C338" s="2"/>
      <c r="D338" s="3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AI338" s="10">
        <f t="shared" si="5"/>
        <v>0</v>
      </c>
    </row>
    <row r="339" spans="1:35">
      <c r="A339" s="2"/>
      <c r="B339" s="2"/>
      <c r="C339" s="2"/>
      <c r="D339" s="3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AI339" s="10">
        <f t="shared" si="5"/>
        <v>0</v>
      </c>
    </row>
    <row r="340" spans="1:35">
      <c r="A340" s="2"/>
      <c r="B340" s="2"/>
      <c r="C340" s="2"/>
      <c r="D340" s="3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AI340" s="10">
        <f t="shared" si="5"/>
        <v>0</v>
      </c>
    </row>
    <row r="341" spans="1:35">
      <c r="A341" s="2"/>
      <c r="B341" s="2"/>
      <c r="C341" s="2"/>
      <c r="D341" s="3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AI341" s="10">
        <f t="shared" si="5"/>
        <v>0</v>
      </c>
    </row>
    <row r="342" spans="1:35">
      <c r="A342" s="2"/>
      <c r="B342" s="2"/>
      <c r="C342" s="2"/>
      <c r="D342" s="3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AI342" s="10">
        <f t="shared" si="5"/>
        <v>0</v>
      </c>
    </row>
    <row r="343" spans="1:35">
      <c r="A343" s="2"/>
      <c r="B343" s="2"/>
      <c r="C343" s="2"/>
      <c r="D343" s="3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AI343" s="10">
        <f t="shared" si="5"/>
        <v>0</v>
      </c>
    </row>
    <row r="344" spans="1:35">
      <c r="A344" s="2"/>
      <c r="B344" s="2"/>
      <c r="C344" s="2"/>
      <c r="D344" s="3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AI344" s="10">
        <f t="shared" si="5"/>
        <v>0</v>
      </c>
    </row>
    <row r="345" spans="1:35">
      <c r="A345" s="2"/>
      <c r="B345" s="2"/>
      <c r="C345" s="2"/>
      <c r="D345" s="3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AI345" s="10">
        <f t="shared" si="5"/>
        <v>0</v>
      </c>
    </row>
    <row r="346" spans="1:35">
      <c r="A346" s="2"/>
      <c r="B346" s="2"/>
      <c r="C346" s="2"/>
      <c r="D346" s="3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AI346" s="10">
        <f t="shared" si="5"/>
        <v>0</v>
      </c>
    </row>
    <row r="347" spans="1:35">
      <c r="A347" s="2"/>
      <c r="B347" s="2"/>
      <c r="C347" s="2"/>
      <c r="D347" s="3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AI347" s="10">
        <f t="shared" si="5"/>
        <v>0</v>
      </c>
    </row>
    <row r="348" spans="1:35">
      <c r="A348" s="2"/>
      <c r="B348" s="2"/>
      <c r="C348" s="2"/>
      <c r="D348" s="3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AI348" s="10">
        <f t="shared" si="5"/>
        <v>0</v>
      </c>
    </row>
    <row r="349" spans="1:35">
      <c r="A349" s="2"/>
      <c r="B349" s="2"/>
      <c r="C349" s="2"/>
      <c r="D349" s="3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AI349" s="10">
        <f t="shared" si="5"/>
        <v>0</v>
      </c>
    </row>
    <row r="350" spans="1:35">
      <c r="A350" s="2"/>
      <c r="B350" s="2"/>
      <c r="C350" s="2"/>
      <c r="D350" s="3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AI350" s="10">
        <f t="shared" si="5"/>
        <v>0</v>
      </c>
    </row>
    <row r="351" spans="1:35">
      <c r="A351" s="2"/>
      <c r="B351" s="2"/>
      <c r="C351" s="2"/>
      <c r="D351" s="3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AI351" s="10">
        <f t="shared" si="5"/>
        <v>0</v>
      </c>
    </row>
    <row r="352" spans="1:35">
      <c r="A352" s="2"/>
      <c r="B352" s="2"/>
      <c r="C352" s="2"/>
      <c r="D352" s="3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AI352" s="10">
        <f t="shared" si="5"/>
        <v>0</v>
      </c>
    </row>
    <row r="353" spans="1:35">
      <c r="A353" s="2"/>
      <c r="B353" s="2"/>
      <c r="C353" s="2"/>
      <c r="D353" s="3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AI353" s="10">
        <f t="shared" si="5"/>
        <v>0</v>
      </c>
    </row>
    <row r="354" spans="1:35">
      <c r="A354" s="2"/>
      <c r="B354" s="2"/>
      <c r="C354" s="2"/>
      <c r="D354" s="3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AI354" s="10">
        <f t="shared" si="5"/>
        <v>0</v>
      </c>
    </row>
    <row r="355" spans="1:35">
      <c r="A355" s="2"/>
      <c r="B355" s="2"/>
      <c r="C355" s="2"/>
      <c r="D355" s="3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AI355" s="10">
        <f t="shared" si="5"/>
        <v>0</v>
      </c>
    </row>
    <row r="356" spans="1:35">
      <c r="A356" s="2"/>
      <c r="B356" s="2"/>
      <c r="C356" s="2"/>
      <c r="D356" s="3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AI356" s="10">
        <f t="shared" si="5"/>
        <v>0</v>
      </c>
    </row>
    <row r="357" spans="1:35">
      <c r="A357" s="2"/>
      <c r="B357" s="2"/>
      <c r="C357" s="2"/>
      <c r="D357" s="3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AI357" s="10">
        <f t="shared" si="5"/>
        <v>0</v>
      </c>
    </row>
    <row r="358" spans="1:35">
      <c r="A358" s="2"/>
      <c r="B358" s="2"/>
      <c r="C358" s="2"/>
      <c r="D358" s="3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AI358" s="10">
        <f t="shared" si="5"/>
        <v>0</v>
      </c>
    </row>
    <row r="359" spans="1:35">
      <c r="A359" s="2"/>
      <c r="B359" s="2"/>
      <c r="C359" s="2"/>
      <c r="D359" s="3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AI359" s="10">
        <f t="shared" si="5"/>
        <v>0</v>
      </c>
    </row>
    <row r="360" spans="1:35">
      <c r="A360" s="2"/>
      <c r="B360" s="2"/>
      <c r="C360" s="2"/>
      <c r="D360" s="3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AI360" s="10">
        <f t="shared" si="5"/>
        <v>0</v>
      </c>
    </row>
    <row r="361" spans="1:35">
      <c r="A361" s="2"/>
      <c r="B361" s="2"/>
      <c r="C361" s="2"/>
      <c r="D361" s="3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AI361" s="10">
        <f t="shared" si="5"/>
        <v>0</v>
      </c>
    </row>
    <row r="362" spans="1:35">
      <c r="A362" s="2"/>
      <c r="B362" s="2"/>
      <c r="C362" s="2"/>
      <c r="D362" s="3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AI362" s="10">
        <f t="shared" si="5"/>
        <v>0</v>
      </c>
    </row>
    <row r="363" spans="1:35">
      <c r="A363" s="2"/>
      <c r="B363" s="2"/>
      <c r="C363" s="2"/>
      <c r="D363" s="3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AI363" s="10">
        <f t="shared" si="5"/>
        <v>0</v>
      </c>
    </row>
    <row r="364" spans="1:35">
      <c r="A364" s="2"/>
      <c r="B364" s="2"/>
      <c r="C364" s="2"/>
      <c r="D364" s="3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AI364" s="10">
        <f t="shared" si="5"/>
        <v>0</v>
      </c>
    </row>
    <row r="365" spans="1:35">
      <c r="A365" s="2"/>
      <c r="B365" s="2"/>
      <c r="C365" s="2"/>
      <c r="D365" s="3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AI365" s="10">
        <f t="shared" si="5"/>
        <v>0</v>
      </c>
    </row>
    <row r="366" spans="1:35">
      <c r="A366" s="2"/>
      <c r="B366" s="2"/>
      <c r="C366" s="2"/>
      <c r="D366" s="3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AI366" s="10">
        <f t="shared" si="5"/>
        <v>0</v>
      </c>
    </row>
    <row r="367" spans="1:35">
      <c r="A367" s="2"/>
      <c r="B367" s="2"/>
      <c r="C367" s="2"/>
      <c r="D367" s="3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AI367" s="10">
        <f t="shared" si="5"/>
        <v>0</v>
      </c>
    </row>
    <row r="368" spans="1:35">
      <c r="A368" s="2"/>
      <c r="B368" s="2"/>
      <c r="C368" s="2"/>
      <c r="D368" s="3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AI368" s="10">
        <f t="shared" si="5"/>
        <v>0</v>
      </c>
    </row>
    <row r="369" spans="1:35">
      <c r="A369" s="2"/>
      <c r="B369" s="2"/>
      <c r="C369" s="2"/>
      <c r="D369" s="3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AI369" s="10">
        <f t="shared" si="5"/>
        <v>0</v>
      </c>
    </row>
    <row r="370" spans="1:35">
      <c r="A370" s="2"/>
      <c r="B370" s="2"/>
      <c r="C370" s="2"/>
      <c r="D370" s="3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AI370" s="10">
        <f t="shared" si="5"/>
        <v>0</v>
      </c>
    </row>
    <row r="371" spans="1:35">
      <c r="A371" s="2"/>
      <c r="B371" s="2"/>
      <c r="C371" s="2"/>
      <c r="D371" s="3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AI371" s="10">
        <f t="shared" si="5"/>
        <v>0</v>
      </c>
    </row>
    <row r="372" spans="1:35">
      <c r="A372" s="2"/>
      <c r="B372" s="2"/>
      <c r="C372" s="2"/>
      <c r="D372" s="3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AI372" s="10">
        <f t="shared" si="5"/>
        <v>0</v>
      </c>
    </row>
    <row r="373" spans="1:35">
      <c r="A373" s="2"/>
      <c r="B373" s="2"/>
      <c r="C373" s="2"/>
      <c r="D373" s="3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AI373" s="10">
        <f t="shared" si="5"/>
        <v>0</v>
      </c>
    </row>
    <row r="374" spans="1:35">
      <c r="A374" s="2"/>
      <c r="B374" s="2"/>
      <c r="C374" s="2"/>
      <c r="D374" s="3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AI374" s="10">
        <f t="shared" si="5"/>
        <v>0</v>
      </c>
    </row>
    <row r="375" spans="1:35">
      <c r="A375" s="2"/>
      <c r="B375" s="2"/>
      <c r="C375" s="2"/>
      <c r="D375" s="3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AI375" s="10">
        <f t="shared" si="5"/>
        <v>0</v>
      </c>
    </row>
    <row r="376" spans="1:35">
      <c r="A376" s="2"/>
      <c r="B376" s="2"/>
      <c r="C376" s="2"/>
      <c r="D376" s="3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AI376" s="10">
        <f t="shared" si="5"/>
        <v>0</v>
      </c>
    </row>
    <row r="377" spans="1:35">
      <c r="A377" s="2"/>
      <c r="B377" s="2"/>
      <c r="C377" s="2"/>
      <c r="D377" s="3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AI377" s="10">
        <f t="shared" si="5"/>
        <v>0</v>
      </c>
    </row>
    <row r="378" spans="1:35">
      <c r="A378" s="2"/>
      <c r="B378" s="2"/>
      <c r="C378" s="2"/>
      <c r="D378" s="3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AI378" s="10">
        <f t="shared" si="5"/>
        <v>0</v>
      </c>
    </row>
    <row r="379" spans="1:35">
      <c r="A379" s="2"/>
      <c r="B379" s="2"/>
      <c r="C379" s="2"/>
      <c r="D379" s="3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AI379" s="10">
        <f t="shared" si="5"/>
        <v>0</v>
      </c>
    </row>
    <row r="380" spans="1:35">
      <c r="A380" s="2"/>
      <c r="B380" s="2"/>
      <c r="C380" s="2"/>
      <c r="D380" s="3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AI380" s="10">
        <f t="shared" si="5"/>
        <v>0</v>
      </c>
    </row>
    <row r="381" spans="1:35">
      <c r="A381" s="2"/>
      <c r="B381" s="2"/>
      <c r="C381" s="2"/>
      <c r="D381" s="3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AI381" s="10">
        <f t="shared" si="5"/>
        <v>0</v>
      </c>
    </row>
    <row r="382" spans="1:35">
      <c r="A382" s="2"/>
      <c r="B382" s="2"/>
      <c r="C382" s="2"/>
      <c r="D382" s="3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AI382" s="10">
        <f t="shared" si="5"/>
        <v>0</v>
      </c>
    </row>
    <row r="383" spans="1:35">
      <c r="A383" s="2"/>
      <c r="B383" s="2"/>
      <c r="C383" s="2"/>
      <c r="D383" s="3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AI383" s="10">
        <f t="shared" si="5"/>
        <v>0</v>
      </c>
    </row>
    <row r="384" spans="1:35">
      <c r="A384" s="2"/>
      <c r="B384" s="2"/>
      <c r="C384" s="2"/>
      <c r="D384" s="3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AI384" s="10">
        <f t="shared" si="5"/>
        <v>0</v>
      </c>
    </row>
    <row r="385" spans="1:35">
      <c r="A385" s="2"/>
      <c r="B385" s="2"/>
      <c r="C385" s="2"/>
      <c r="D385" s="3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AI385" s="10">
        <f t="shared" si="5"/>
        <v>0</v>
      </c>
    </row>
    <row r="386" spans="1:35">
      <c r="A386" s="2"/>
      <c r="B386" s="2"/>
      <c r="C386" s="2"/>
      <c r="D386" s="3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AI386" s="10">
        <f t="shared" si="5"/>
        <v>0</v>
      </c>
    </row>
    <row r="387" spans="1:35">
      <c r="A387" s="2"/>
      <c r="B387" s="2"/>
      <c r="C387" s="2"/>
      <c r="D387" s="3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AI387" s="10">
        <f t="shared" ref="AI387:AI450" si="6">+IF(AH387&lt;&gt;"",AH387,D387)</f>
        <v>0</v>
      </c>
    </row>
    <row r="388" spans="1:35">
      <c r="A388" s="2"/>
      <c r="B388" s="2"/>
      <c r="C388" s="2"/>
      <c r="D388" s="3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AI388" s="10">
        <f t="shared" si="6"/>
        <v>0</v>
      </c>
    </row>
    <row r="389" spans="1:35">
      <c r="A389" s="2"/>
      <c r="B389" s="2"/>
      <c r="C389" s="2"/>
      <c r="D389" s="3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AI389" s="10">
        <f t="shared" si="6"/>
        <v>0</v>
      </c>
    </row>
    <row r="390" spans="1:35">
      <c r="A390" s="2"/>
      <c r="B390" s="2"/>
      <c r="C390" s="2"/>
      <c r="D390" s="3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AI390" s="10">
        <f t="shared" si="6"/>
        <v>0</v>
      </c>
    </row>
    <row r="391" spans="1:35">
      <c r="A391" s="2"/>
      <c r="B391" s="2"/>
      <c r="C391" s="2"/>
      <c r="D391" s="3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AI391" s="10">
        <f t="shared" si="6"/>
        <v>0</v>
      </c>
    </row>
    <row r="392" spans="1:35">
      <c r="A392" s="2"/>
      <c r="B392" s="2"/>
      <c r="C392" s="2"/>
      <c r="D392" s="3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AI392" s="10">
        <f t="shared" si="6"/>
        <v>0</v>
      </c>
    </row>
    <row r="393" spans="1:35">
      <c r="A393" s="2"/>
      <c r="B393" s="2"/>
      <c r="C393" s="2"/>
      <c r="D393" s="3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AI393" s="10">
        <f t="shared" si="6"/>
        <v>0</v>
      </c>
    </row>
    <row r="394" spans="1:35">
      <c r="A394" s="2"/>
      <c r="B394" s="2"/>
      <c r="C394" s="2"/>
      <c r="D394" s="3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AI394" s="10">
        <f t="shared" si="6"/>
        <v>0</v>
      </c>
    </row>
    <row r="395" spans="1:35">
      <c r="A395" s="2"/>
      <c r="B395" s="2"/>
      <c r="C395" s="2"/>
      <c r="D395" s="3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AI395" s="10">
        <f t="shared" si="6"/>
        <v>0</v>
      </c>
    </row>
    <row r="396" spans="1:35">
      <c r="A396" s="2"/>
      <c r="B396" s="2"/>
      <c r="C396" s="2"/>
      <c r="D396" s="3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AI396" s="10">
        <f t="shared" si="6"/>
        <v>0</v>
      </c>
    </row>
    <row r="397" spans="1:35">
      <c r="A397" s="2"/>
      <c r="B397" s="2"/>
      <c r="C397" s="2"/>
      <c r="D397" s="3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AI397" s="10">
        <f t="shared" si="6"/>
        <v>0</v>
      </c>
    </row>
    <row r="398" spans="1:35">
      <c r="A398" s="2"/>
      <c r="B398" s="2"/>
      <c r="C398" s="2"/>
      <c r="D398" s="3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AI398" s="10">
        <f t="shared" si="6"/>
        <v>0</v>
      </c>
    </row>
    <row r="399" spans="1:35">
      <c r="A399" s="2"/>
      <c r="B399" s="2"/>
      <c r="C399" s="2"/>
      <c r="D399" s="3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AI399" s="10">
        <f t="shared" si="6"/>
        <v>0</v>
      </c>
    </row>
    <row r="400" spans="1:35">
      <c r="A400" s="2"/>
      <c r="B400" s="2"/>
      <c r="C400" s="2"/>
      <c r="D400" s="3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AI400" s="10">
        <f t="shared" si="6"/>
        <v>0</v>
      </c>
    </row>
    <row r="401" spans="1:35">
      <c r="A401" s="2"/>
      <c r="B401" s="2"/>
      <c r="C401" s="2"/>
      <c r="D401" s="3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AI401" s="10">
        <f t="shared" si="6"/>
        <v>0</v>
      </c>
    </row>
    <row r="402" spans="1:35">
      <c r="A402" s="2"/>
      <c r="B402" s="2"/>
      <c r="C402" s="2"/>
      <c r="D402" s="3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AI402" s="10">
        <f t="shared" si="6"/>
        <v>0</v>
      </c>
    </row>
    <row r="403" spans="1:35">
      <c r="A403" s="2"/>
      <c r="B403" s="2"/>
      <c r="C403" s="2"/>
      <c r="D403" s="3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AI403" s="10">
        <f t="shared" si="6"/>
        <v>0</v>
      </c>
    </row>
    <row r="404" spans="1:35">
      <c r="A404" s="2"/>
      <c r="B404" s="2"/>
      <c r="C404" s="2"/>
      <c r="D404" s="3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AI404" s="10">
        <f t="shared" si="6"/>
        <v>0</v>
      </c>
    </row>
    <row r="405" spans="1:35">
      <c r="A405" s="2"/>
      <c r="B405" s="2"/>
      <c r="C405" s="2"/>
      <c r="D405" s="3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AI405" s="10">
        <f t="shared" si="6"/>
        <v>0</v>
      </c>
    </row>
    <row r="406" spans="1:35">
      <c r="A406" s="2"/>
      <c r="B406" s="2"/>
      <c r="C406" s="2"/>
      <c r="D406" s="3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AI406" s="10">
        <f t="shared" si="6"/>
        <v>0</v>
      </c>
    </row>
    <row r="407" spans="1:35">
      <c r="A407" s="2"/>
      <c r="B407" s="2"/>
      <c r="C407" s="2"/>
      <c r="D407" s="3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AI407" s="10">
        <f t="shared" si="6"/>
        <v>0</v>
      </c>
    </row>
    <row r="408" spans="1:35">
      <c r="A408" s="2"/>
      <c r="B408" s="2"/>
      <c r="C408" s="2"/>
      <c r="D408" s="3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AI408" s="10">
        <f t="shared" si="6"/>
        <v>0</v>
      </c>
    </row>
    <row r="409" spans="1:35">
      <c r="A409" s="2"/>
      <c r="B409" s="2"/>
      <c r="C409" s="2"/>
      <c r="D409" s="3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AI409" s="10">
        <f t="shared" si="6"/>
        <v>0</v>
      </c>
    </row>
    <row r="410" spans="1:35">
      <c r="A410" s="2"/>
      <c r="B410" s="2"/>
      <c r="C410" s="2"/>
      <c r="D410" s="3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AI410" s="10">
        <f t="shared" si="6"/>
        <v>0</v>
      </c>
    </row>
    <row r="411" spans="1:35">
      <c r="A411" s="2"/>
      <c r="B411" s="2"/>
      <c r="C411" s="2"/>
      <c r="D411" s="3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AI411" s="10">
        <f t="shared" si="6"/>
        <v>0</v>
      </c>
    </row>
    <row r="412" spans="1:35">
      <c r="A412" s="2"/>
      <c r="B412" s="2"/>
      <c r="C412" s="2"/>
      <c r="D412" s="3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AI412" s="10">
        <f t="shared" si="6"/>
        <v>0</v>
      </c>
    </row>
    <row r="413" spans="1:35">
      <c r="A413" s="2"/>
      <c r="B413" s="2"/>
      <c r="C413" s="2"/>
      <c r="D413" s="3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AI413" s="10">
        <f t="shared" si="6"/>
        <v>0</v>
      </c>
    </row>
    <row r="414" spans="1:35">
      <c r="A414" s="2"/>
      <c r="B414" s="2"/>
      <c r="C414" s="2"/>
      <c r="D414" s="3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AI414" s="10">
        <f t="shared" si="6"/>
        <v>0</v>
      </c>
    </row>
    <row r="415" spans="1:35">
      <c r="A415" s="2"/>
      <c r="B415" s="2"/>
      <c r="C415" s="2"/>
      <c r="D415" s="3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AI415" s="10">
        <f t="shared" si="6"/>
        <v>0</v>
      </c>
    </row>
    <row r="416" spans="1:35">
      <c r="A416" s="2"/>
      <c r="B416" s="2"/>
      <c r="C416" s="2"/>
      <c r="D416" s="3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AI416" s="10">
        <f t="shared" si="6"/>
        <v>0</v>
      </c>
    </row>
    <row r="417" spans="1:35">
      <c r="A417" s="2"/>
      <c r="B417" s="2"/>
      <c r="C417" s="2"/>
      <c r="D417" s="3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AI417" s="10">
        <f t="shared" si="6"/>
        <v>0</v>
      </c>
    </row>
    <row r="418" spans="1:35">
      <c r="A418" s="2"/>
      <c r="B418" s="2"/>
      <c r="C418" s="2"/>
      <c r="D418" s="3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AI418" s="10">
        <f t="shared" si="6"/>
        <v>0</v>
      </c>
    </row>
    <row r="419" spans="1:35">
      <c r="A419" s="2"/>
      <c r="B419" s="2"/>
      <c r="C419" s="2"/>
      <c r="D419" s="3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AI419" s="10">
        <f t="shared" si="6"/>
        <v>0</v>
      </c>
    </row>
    <row r="420" spans="1:35">
      <c r="A420" s="2"/>
      <c r="B420" s="2"/>
      <c r="C420" s="2"/>
      <c r="D420" s="3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AI420" s="10">
        <f t="shared" si="6"/>
        <v>0</v>
      </c>
    </row>
    <row r="421" spans="1:35">
      <c r="A421" s="2"/>
      <c r="B421" s="2"/>
      <c r="C421" s="2"/>
      <c r="D421" s="3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AI421" s="10">
        <f t="shared" si="6"/>
        <v>0</v>
      </c>
    </row>
    <row r="422" spans="1:35">
      <c r="A422" s="2"/>
      <c r="B422" s="2"/>
      <c r="C422" s="2"/>
      <c r="D422" s="3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AI422" s="10">
        <f t="shared" si="6"/>
        <v>0</v>
      </c>
    </row>
    <row r="423" spans="1:35">
      <c r="A423" s="2"/>
      <c r="B423" s="2"/>
      <c r="C423" s="2"/>
      <c r="D423" s="3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AI423" s="10">
        <f t="shared" si="6"/>
        <v>0</v>
      </c>
    </row>
    <row r="424" spans="1:35">
      <c r="A424" s="2"/>
      <c r="B424" s="2"/>
      <c r="C424" s="2"/>
      <c r="D424" s="3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AI424" s="10">
        <f t="shared" si="6"/>
        <v>0</v>
      </c>
    </row>
    <row r="425" spans="1:35">
      <c r="A425" s="2"/>
      <c r="B425" s="2"/>
      <c r="C425" s="2"/>
      <c r="D425" s="3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AI425" s="10">
        <f t="shared" si="6"/>
        <v>0</v>
      </c>
    </row>
    <row r="426" spans="1:35">
      <c r="A426" s="2"/>
      <c r="B426" s="2"/>
      <c r="C426" s="2"/>
      <c r="D426" s="3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AI426" s="10">
        <f t="shared" si="6"/>
        <v>0</v>
      </c>
    </row>
    <row r="427" spans="1:35">
      <c r="A427" s="2"/>
      <c r="B427" s="2"/>
      <c r="C427" s="2"/>
      <c r="D427" s="3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AI427" s="10">
        <f t="shared" si="6"/>
        <v>0</v>
      </c>
    </row>
    <row r="428" spans="1:35">
      <c r="A428" s="2"/>
      <c r="B428" s="2"/>
      <c r="C428" s="2"/>
      <c r="D428" s="3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AI428" s="10">
        <f t="shared" si="6"/>
        <v>0</v>
      </c>
    </row>
    <row r="429" spans="1:35">
      <c r="A429" s="2"/>
      <c r="B429" s="2"/>
      <c r="C429" s="2"/>
      <c r="D429" s="3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AI429" s="10">
        <f t="shared" si="6"/>
        <v>0</v>
      </c>
    </row>
    <row r="430" spans="1:35">
      <c r="A430" s="2"/>
      <c r="B430" s="2"/>
      <c r="C430" s="2"/>
      <c r="D430" s="3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AI430" s="10">
        <f t="shared" si="6"/>
        <v>0</v>
      </c>
    </row>
    <row r="431" spans="1:35">
      <c r="A431" s="2"/>
      <c r="B431" s="2"/>
      <c r="C431" s="2"/>
      <c r="D431" s="3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AI431" s="10">
        <f t="shared" si="6"/>
        <v>0</v>
      </c>
    </row>
    <row r="432" spans="1:35">
      <c r="A432" s="2"/>
      <c r="B432" s="2"/>
      <c r="C432" s="2"/>
      <c r="D432" s="3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AI432" s="10">
        <f t="shared" si="6"/>
        <v>0</v>
      </c>
    </row>
    <row r="433" spans="1:35">
      <c r="A433" s="2"/>
      <c r="B433" s="2"/>
      <c r="C433" s="2"/>
      <c r="D433" s="3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AI433" s="10">
        <f t="shared" si="6"/>
        <v>0</v>
      </c>
    </row>
    <row r="434" spans="1:35">
      <c r="A434" s="2"/>
      <c r="B434" s="2"/>
      <c r="C434" s="2"/>
      <c r="D434" s="3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AI434" s="10">
        <f t="shared" si="6"/>
        <v>0</v>
      </c>
    </row>
    <row r="435" spans="1:35">
      <c r="A435" s="2"/>
      <c r="B435" s="2"/>
      <c r="C435" s="2"/>
      <c r="D435" s="3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AI435" s="10">
        <f t="shared" si="6"/>
        <v>0</v>
      </c>
    </row>
    <row r="436" spans="1:35">
      <c r="A436" s="2"/>
      <c r="B436" s="2"/>
      <c r="C436" s="2"/>
      <c r="D436" s="3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AI436" s="10">
        <f t="shared" si="6"/>
        <v>0</v>
      </c>
    </row>
    <row r="437" spans="1:35">
      <c r="A437" s="2"/>
      <c r="B437" s="2"/>
      <c r="C437" s="2"/>
      <c r="D437" s="3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AI437" s="10">
        <f t="shared" si="6"/>
        <v>0</v>
      </c>
    </row>
    <row r="438" spans="1:35">
      <c r="A438" s="2"/>
      <c r="B438" s="2"/>
      <c r="C438" s="2"/>
      <c r="D438" s="3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AI438" s="10">
        <f t="shared" si="6"/>
        <v>0</v>
      </c>
    </row>
    <row r="439" spans="1:35">
      <c r="A439" s="2"/>
      <c r="B439" s="2"/>
      <c r="C439" s="2"/>
      <c r="D439" s="3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AI439" s="10">
        <f t="shared" si="6"/>
        <v>0</v>
      </c>
    </row>
    <row r="440" spans="1:35">
      <c r="A440" s="2"/>
      <c r="B440" s="2"/>
      <c r="C440" s="2"/>
      <c r="D440" s="3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AI440" s="10">
        <f t="shared" si="6"/>
        <v>0</v>
      </c>
    </row>
    <row r="441" spans="1:35">
      <c r="A441" s="2"/>
      <c r="B441" s="2"/>
      <c r="C441" s="2"/>
      <c r="D441" s="3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AI441" s="10">
        <f t="shared" si="6"/>
        <v>0</v>
      </c>
    </row>
    <row r="442" spans="1:35">
      <c r="A442" s="2"/>
      <c r="B442" s="2"/>
      <c r="C442" s="2"/>
      <c r="D442" s="3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AI442" s="10">
        <f t="shared" si="6"/>
        <v>0</v>
      </c>
    </row>
    <row r="443" spans="1:35">
      <c r="A443" s="2"/>
      <c r="B443" s="2"/>
      <c r="C443" s="2"/>
      <c r="D443" s="3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AI443" s="10">
        <f t="shared" si="6"/>
        <v>0</v>
      </c>
    </row>
    <row r="444" spans="1:35">
      <c r="A444" s="2"/>
      <c r="B444" s="2"/>
      <c r="C444" s="2"/>
      <c r="D444" s="3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AI444" s="10">
        <f t="shared" si="6"/>
        <v>0</v>
      </c>
    </row>
    <row r="445" spans="1:35">
      <c r="A445" s="2"/>
      <c r="B445" s="2"/>
      <c r="C445" s="2"/>
      <c r="D445" s="3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AI445" s="10">
        <f t="shared" si="6"/>
        <v>0</v>
      </c>
    </row>
    <row r="446" spans="1:35">
      <c r="A446" s="2"/>
      <c r="B446" s="2"/>
      <c r="C446" s="2"/>
      <c r="D446" s="3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AI446" s="10">
        <f t="shared" si="6"/>
        <v>0</v>
      </c>
    </row>
    <row r="447" spans="1:35">
      <c r="A447" s="2"/>
      <c r="B447" s="2"/>
      <c r="C447" s="2"/>
      <c r="D447" s="3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AI447" s="10">
        <f t="shared" si="6"/>
        <v>0</v>
      </c>
    </row>
    <row r="448" spans="1:35">
      <c r="A448" s="2"/>
      <c r="B448" s="2"/>
      <c r="C448" s="2"/>
      <c r="D448" s="3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AI448" s="10">
        <f t="shared" si="6"/>
        <v>0</v>
      </c>
    </row>
    <row r="449" spans="1:35">
      <c r="A449" s="2"/>
      <c r="B449" s="2"/>
      <c r="C449" s="2"/>
      <c r="D449" s="3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AI449" s="10">
        <f t="shared" si="6"/>
        <v>0</v>
      </c>
    </row>
    <row r="450" spans="1:35">
      <c r="A450" s="2"/>
      <c r="B450" s="2"/>
      <c r="C450" s="2"/>
      <c r="D450" s="3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AI450" s="10">
        <f t="shared" si="6"/>
        <v>0</v>
      </c>
    </row>
    <row r="451" spans="1:35">
      <c r="A451" s="2"/>
      <c r="B451" s="2"/>
      <c r="C451" s="2"/>
      <c r="D451" s="3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AI451" s="10">
        <f t="shared" ref="AI451:AI514" si="7">+IF(AH451&lt;&gt;"",AH451,D451)</f>
        <v>0</v>
      </c>
    </row>
    <row r="452" spans="1:35">
      <c r="A452" s="2"/>
      <c r="B452" s="2"/>
      <c r="C452" s="2"/>
      <c r="D452" s="3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AI452" s="10">
        <f t="shared" si="7"/>
        <v>0</v>
      </c>
    </row>
    <row r="453" spans="1:35">
      <c r="A453" s="2"/>
      <c r="B453" s="2"/>
      <c r="C453" s="2"/>
      <c r="D453" s="3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AI453" s="10">
        <f t="shared" si="7"/>
        <v>0</v>
      </c>
    </row>
    <row r="454" spans="1:35">
      <c r="A454" s="2"/>
      <c r="B454" s="2"/>
      <c r="C454" s="2"/>
      <c r="D454" s="3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AI454" s="10">
        <f t="shared" si="7"/>
        <v>0</v>
      </c>
    </row>
    <row r="455" spans="1:35">
      <c r="A455" s="2"/>
      <c r="B455" s="2"/>
      <c r="C455" s="2"/>
      <c r="D455" s="3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AI455" s="10">
        <f t="shared" si="7"/>
        <v>0</v>
      </c>
    </row>
    <row r="456" spans="1:35">
      <c r="A456" s="2"/>
      <c r="B456" s="2"/>
      <c r="C456" s="2"/>
      <c r="D456" s="3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AI456" s="10">
        <f t="shared" si="7"/>
        <v>0</v>
      </c>
    </row>
    <row r="457" spans="1:35">
      <c r="A457" s="2"/>
      <c r="B457" s="2"/>
      <c r="C457" s="2"/>
      <c r="D457" s="3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AI457" s="10">
        <f t="shared" si="7"/>
        <v>0</v>
      </c>
    </row>
    <row r="458" spans="1:35">
      <c r="A458" s="2"/>
      <c r="B458" s="2"/>
      <c r="C458" s="2"/>
      <c r="D458" s="3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AI458" s="10">
        <f t="shared" si="7"/>
        <v>0</v>
      </c>
    </row>
    <row r="459" spans="1:35">
      <c r="A459" s="2"/>
      <c r="B459" s="2"/>
      <c r="C459" s="2"/>
      <c r="D459" s="3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AI459" s="10">
        <f t="shared" si="7"/>
        <v>0</v>
      </c>
    </row>
    <row r="460" spans="1:35">
      <c r="A460" s="2"/>
      <c r="B460" s="2"/>
      <c r="C460" s="2"/>
      <c r="D460" s="3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AI460" s="10">
        <f t="shared" si="7"/>
        <v>0</v>
      </c>
    </row>
    <row r="461" spans="1:35">
      <c r="A461" s="2"/>
      <c r="B461" s="2"/>
      <c r="C461" s="2"/>
      <c r="D461" s="3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AI461" s="10">
        <f t="shared" si="7"/>
        <v>0</v>
      </c>
    </row>
    <row r="462" spans="1:35">
      <c r="A462" s="2"/>
      <c r="B462" s="2"/>
      <c r="C462" s="2"/>
      <c r="D462" s="3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AI462" s="10">
        <f t="shared" si="7"/>
        <v>0</v>
      </c>
    </row>
    <row r="463" spans="1:35">
      <c r="A463" s="2"/>
      <c r="B463" s="2"/>
      <c r="C463" s="2"/>
      <c r="D463" s="3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AI463" s="10">
        <f t="shared" si="7"/>
        <v>0</v>
      </c>
    </row>
    <row r="464" spans="1:35">
      <c r="A464" s="2"/>
      <c r="B464" s="2"/>
      <c r="C464" s="2"/>
      <c r="D464" s="3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AI464" s="10">
        <f t="shared" si="7"/>
        <v>0</v>
      </c>
    </row>
    <row r="465" spans="1:35">
      <c r="A465" s="2"/>
      <c r="B465" s="2"/>
      <c r="C465" s="2"/>
      <c r="D465" s="3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AI465" s="10">
        <f t="shared" si="7"/>
        <v>0</v>
      </c>
    </row>
    <row r="466" spans="1:35">
      <c r="A466" s="2"/>
      <c r="B466" s="2"/>
      <c r="C466" s="2"/>
      <c r="D466" s="3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AI466" s="10">
        <f t="shared" si="7"/>
        <v>0</v>
      </c>
    </row>
    <row r="467" spans="1:35">
      <c r="A467" s="2"/>
      <c r="B467" s="2"/>
      <c r="C467" s="2"/>
      <c r="D467" s="3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AI467" s="10">
        <f t="shared" si="7"/>
        <v>0</v>
      </c>
    </row>
    <row r="468" spans="1:35">
      <c r="A468" s="2"/>
      <c r="B468" s="2"/>
      <c r="C468" s="2"/>
      <c r="D468" s="3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AI468" s="10">
        <f t="shared" si="7"/>
        <v>0</v>
      </c>
    </row>
    <row r="469" spans="1:35">
      <c r="A469" s="2"/>
      <c r="B469" s="2"/>
      <c r="C469" s="2"/>
      <c r="D469" s="3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AI469" s="10">
        <f t="shared" si="7"/>
        <v>0</v>
      </c>
    </row>
    <row r="470" spans="1:35">
      <c r="A470" s="2"/>
      <c r="B470" s="2"/>
      <c r="C470" s="2"/>
      <c r="D470" s="3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AI470" s="10">
        <f t="shared" si="7"/>
        <v>0</v>
      </c>
    </row>
    <row r="471" spans="1:35">
      <c r="A471" s="2"/>
      <c r="B471" s="2"/>
      <c r="C471" s="2"/>
      <c r="D471" s="3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AI471" s="10">
        <f t="shared" si="7"/>
        <v>0</v>
      </c>
    </row>
    <row r="472" spans="1:35">
      <c r="A472" s="2"/>
      <c r="B472" s="2"/>
      <c r="C472" s="2"/>
      <c r="D472" s="3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AI472" s="10">
        <f t="shared" si="7"/>
        <v>0</v>
      </c>
    </row>
    <row r="473" spans="1:35">
      <c r="A473" s="2"/>
      <c r="B473" s="2"/>
      <c r="C473" s="2"/>
      <c r="D473" s="3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AI473" s="10">
        <f t="shared" si="7"/>
        <v>0</v>
      </c>
    </row>
    <row r="474" spans="1:35">
      <c r="A474" s="2"/>
      <c r="B474" s="2"/>
      <c r="C474" s="2"/>
      <c r="D474" s="3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AI474" s="10">
        <f t="shared" si="7"/>
        <v>0</v>
      </c>
    </row>
    <row r="475" spans="1:35">
      <c r="A475" s="2"/>
      <c r="B475" s="2"/>
      <c r="C475" s="2"/>
      <c r="D475" s="3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AI475" s="10">
        <f t="shared" si="7"/>
        <v>0</v>
      </c>
    </row>
    <row r="476" spans="1:35">
      <c r="A476" s="2"/>
      <c r="B476" s="2"/>
      <c r="C476" s="2"/>
      <c r="D476" s="3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AI476" s="10">
        <f t="shared" si="7"/>
        <v>0</v>
      </c>
    </row>
    <row r="477" spans="1:35">
      <c r="A477" s="2"/>
      <c r="B477" s="2"/>
      <c r="C477" s="2"/>
      <c r="D477" s="3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AI477" s="10">
        <f t="shared" si="7"/>
        <v>0</v>
      </c>
    </row>
    <row r="478" spans="1:35">
      <c r="A478" s="2"/>
      <c r="B478" s="2"/>
      <c r="C478" s="2"/>
      <c r="D478" s="3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AI478" s="10">
        <f t="shared" si="7"/>
        <v>0</v>
      </c>
    </row>
    <row r="479" spans="1:35">
      <c r="A479" s="2"/>
      <c r="B479" s="2"/>
      <c r="C479" s="2"/>
      <c r="D479" s="3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AI479" s="10">
        <f t="shared" si="7"/>
        <v>0</v>
      </c>
    </row>
    <row r="480" spans="1:35">
      <c r="A480" s="2"/>
      <c r="B480" s="2"/>
      <c r="C480" s="2"/>
      <c r="D480" s="3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AI480" s="10">
        <f t="shared" si="7"/>
        <v>0</v>
      </c>
    </row>
    <row r="481" spans="1:35">
      <c r="A481" s="2"/>
      <c r="B481" s="2"/>
      <c r="C481" s="2"/>
      <c r="D481" s="3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AI481" s="10">
        <f t="shared" si="7"/>
        <v>0</v>
      </c>
    </row>
    <row r="482" spans="1:35">
      <c r="A482" s="2"/>
      <c r="B482" s="2"/>
      <c r="C482" s="2"/>
      <c r="D482" s="3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AI482" s="10">
        <f t="shared" si="7"/>
        <v>0</v>
      </c>
    </row>
    <row r="483" spans="1:35">
      <c r="A483" s="2"/>
      <c r="B483" s="2"/>
      <c r="C483" s="2"/>
      <c r="D483" s="3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AI483" s="10">
        <f t="shared" si="7"/>
        <v>0</v>
      </c>
    </row>
    <row r="484" spans="1:35">
      <c r="A484" s="2"/>
      <c r="B484" s="2"/>
      <c r="C484" s="2"/>
      <c r="D484" s="3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AI484" s="10">
        <f t="shared" si="7"/>
        <v>0</v>
      </c>
    </row>
    <row r="485" spans="1:35">
      <c r="A485" s="2"/>
      <c r="B485" s="2"/>
      <c r="C485" s="2"/>
      <c r="D485" s="3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AI485" s="10">
        <f t="shared" si="7"/>
        <v>0</v>
      </c>
    </row>
    <row r="486" spans="1:35">
      <c r="A486" s="2"/>
      <c r="B486" s="2"/>
      <c r="C486" s="2"/>
      <c r="D486" s="3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AI486" s="10">
        <f t="shared" si="7"/>
        <v>0</v>
      </c>
    </row>
    <row r="487" spans="1:35">
      <c r="A487" s="2"/>
      <c r="B487" s="2"/>
      <c r="C487" s="2"/>
      <c r="D487" s="3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AI487" s="10">
        <f t="shared" si="7"/>
        <v>0</v>
      </c>
    </row>
    <row r="488" spans="1:35">
      <c r="A488" s="2"/>
      <c r="B488" s="2"/>
      <c r="C488" s="2"/>
      <c r="D488" s="3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AI488" s="10">
        <f t="shared" si="7"/>
        <v>0</v>
      </c>
    </row>
    <row r="489" spans="1:35">
      <c r="A489" s="2"/>
      <c r="B489" s="2"/>
      <c r="C489" s="2"/>
      <c r="D489" s="3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AI489" s="10">
        <f t="shared" si="7"/>
        <v>0</v>
      </c>
    </row>
    <row r="490" spans="1:35">
      <c r="A490" s="2"/>
      <c r="B490" s="2"/>
      <c r="C490" s="2"/>
      <c r="D490" s="3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AI490" s="10">
        <f t="shared" si="7"/>
        <v>0</v>
      </c>
    </row>
    <row r="491" spans="1:35">
      <c r="A491" s="2"/>
      <c r="B491" s="2"/>
      <c r="C491" s="2"/>
      <c r="D491" s="3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AI491" s="10">
        <f t="shared" si="7"/>
        <v>0</v>
      </c>
    </row>
    <row r="492" spans="1:35">
      <c r="A492" s="2"/>
      <c r="B492" s="2"/>
      <c r="C492" s="2"/>
      <c r="D492" s="3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AI492" s="10">
        <f t="shared" si="7"/>
        <v>0</v>
      </c>
    </row>
    <row r="493" spans="1:35">
      <c r="A493" s="2"/>
      <c r="B493" s="2"/>
      <c r="C493" s="2"/>
      <c r="D493" s="3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AI493" s="10">
        <f t="shared" si="7"/>
        <v>0</v>
      </c>
    </row>
    <row r="494" spans="1:35">
      <c r="A494" s="2"/>
      <c r="B494" s="2"/>
      <c r="C494" s="2"/>
      <c r="D494" s="3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AI494" s="10">
        <f t="shared" si="7"/>
        <v>0</v>
      </c>
    </row>
    <row r="495" spans="1:35">
      <c r="A495" s="2"/>
      <c r="B495" s="2"/>
      <c r="C495" s="2"/>
      <c r="D495" s="3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AI495" s="10">
        <f t="shared" si="7"/>
        <v>0</v>
      </c>
    </row>
    <row r="496" spans="1:35">
      <c r="A496" s="2"/>
      <c r="B496" s="2"/>
      <c r="C496" s="2"/>
      <c r="D496" s="3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AI496" s="10">
        <f t="shared" si="7"/>
        <v>0</v>
      </c>
    </row>
    <row r="497" spans="1:35">
      <c r="A497" s="2"/>
      <c r="B497" s="2"/>
      <c r="C497" s="2"/>
      <c r="D497" s="3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AI497" s="10">
        <f t="shared" si="7"/>
        <v>0</v>
      </c>
    </row>
    <row r="498" spans="1:35">
      <c r="A498" s="2"/>
      <c r="B498" s="2"/>
      <c r="C498" s="2"/>
      <c r="D498" s="3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AI498" s="10">
        <f t="shared" si="7"/>
        <v>0</v>
      </c>
    </row>
    <row r="499" spans="1:35">
      <c r="A499" s="2"/>
      <c r="B499" s="2"/>
      <c r="C499" s="2"/>
      <c r="D499" s="3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AI499" s="10">
        <f t="shared" si="7"/>
        <v>0</v>
      </c>
    </row>
    <row r="500" spans="1:35">
      <c r="A500" s="2"/>
      <c r="B500" s="2"/>
      <c r="C500" s="2"/>
      <c r="D500" s="3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AI500" s="10">
        <f t="shared" si="7"/>
        <v>0</v>
      </c>
    </row>
    <row r="501" spans="1:35">
      <c r="A501" s="2"/>
      <c r="B501" s="2"/>
      <c r="C501" s="2"/>
      <c r="D501" s="3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AI501" s="10">
        <f t="shared" si="7"/>
        <v>0</v>
      </c>
    </row>
    <row r="502" spans="1:35">
      <c r="A502" s="2"/>
      <c r="B502" s="2"/>
      <c r="C502" s="2"/>
      <c r="D502" s="3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AI502" s="10">
        <f t="shared" si="7"/>
        <v>0</v>
      </c>
    </row>
    <row r="503" spans="1:35">
      <c r="A503" s="2"/>
      <c r="B503" s="2"/>
      <c r="C503" s="2"/>
      <c r="D503" s="3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AI503" s="10">
        <f t="shared" si="7"/>
        <v>0</v>
      </c>
    </row>
    <row r="504" spans="1:35">
      <c r="A504" s="2"/>
      <c r="B504" s="2"/>
      <c r="C504" s="2"/>
      <c r="D504" s="3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AI504" s="10">
        <f t="shared" si="7"/>
        <v>0</v>
      </c>
    </row>
    <row r="505" spans="1:35">
      <c r="A505" s="2"/>
      <c r="B505" s="2"/>
      <c r="C505" s="2"/>
      <c r="D505" s="3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AI505" s="10">
        <f t="shared" si="7"/>
        <v>0</v>
      </c>
    </row>
    <row r="506" spans="1:35">
      <c r="A506" s="2"/>
      <c r="B506" s="2"/>
      <c r="C506" s="2"/>
      <c r="D506" s="3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AI506" s="10">
        <f t="shared" si="7"/>
        <v>0</v>
      </c>
    </row>
    <row r="507" spans="1:35">
      <c r="A507" s="2"/>
      <c r="B507" s="2"/>
      <c r="C507" s="2"/>
      <c r="D507" s="3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AI507" s="10">
        <f t="shared" si="7"/>
        <v>0</v>
      </c>
    </row>
    <row r="508" spans="1:35">
      <c r="A508" s="2"/>
      <c r="B508" s="2"/>
      <c r="C508" s="2"/>
      <c r="D508" s="3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AI508" s="10">
        <f t="shared" si="7"/>
        <v>0</v>
      </c>
    </row>
    <row r="509" spans="1:35">
      <c r="A509" s="2"/>
      <c r="B509" s="2"/>
      <c r="C509" s="2"/>
      <c r="D509" s="3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AI509" s="10">
        <f t="shared" si="7"/>
        <v>0</v>
      </c>
    </row>
    <row r="510" spans="1:35">
      <c r="A510" s="2"/>
      <c r="B510" s="2"/>
      <c r="C510" s="2"/>
      <c r="D510" s="3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AI510" s="10">
        <f t="shared" si="7"/>
        <v>0</v>
      </c>
    </row>
    <row r="511" spans="1:35">
      <c r="A511" s="2"/>
      <c r="B511" s="2"/>
      <c r="C511" s="2"/>
      <c r="D511" s="3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AI511" s="10">
        <f t="shared" si="7"/>
        <v>0</v>
      </c>
    </row>
    <row r="512" spans="1:35">
      <c r="A512" s="2"/>
      <c r="B512" s="2"/>
      <c r="C512" s="2"/>
      <c r="D512" s="3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AI512" s="10">
        <f t="shared" si="7"/>
        <v>0</v>
      </c>
    </row>
    <row r="513" spans="1:35">
      <c r="A513" s="2"/>
      <c r="B513" s="2"/>
      <c r="C513" s="2"/>
      <c r="D513" s="3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AI513" s="10">
        <f t="shared" si="7"/>
        <v>0</v>
      </c>
    </row>
    <row r="514" spans="1:35">
      <c r="A514" s="2"/>
      <c r="B514" s="2"/>
      <c r="C514" s="2"/>
      <c r="D514" s="3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AI514" s="10">
        <f t="shared" si="7"/>
        <v>0</v>
      </c>
    </row>
    <row r="515" spans="1:35">
      <c r="A515" s="2"/>
      <c r="B515" s="2"/>
      <c r="C515" s="2"/>
      <c r="D515" s="3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AI515" s="10">
        <f t="shared" ref="AI515:AI578" si="8">+IF(AH515&lt;&gt;"",AH515,D515)</f>
        <v>0</v>
      </c>
    </row>
    <row r="516" spans="1:35">
      <c r="A516" s="2"/>
      <c r="B516" s="2"/>
      <c r="C516" s="2"/>
      <c r="D516" s="3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AI516" s="10">
        <f t="shared" si="8"/>
        <v>0</v>
      </c>
    </row>
    <row r="517" spans="1:35">
      <c r="A517" s="2"/>
      <c r="B517" s="2"/>
      <c r="C517" s="2"/>
      <c r="D517" s="3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AI517" s="10">
        <f t="shared" si="8"/>
        <v>0</v>
      </c>
    </row>
    <row r="518" spans="1:35">
      <c r="A518" s="2"/>
      <c r="B518" s="2"/>
      <c r="C518" s="2"/>
      <c r="D518" s="3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AI518" s="10">
        <f t="shared" si="8"/>
        <v>0</v>
      </c>
    </row>
    <row r="519" spans="1:35">
      <c r="A519" s="2"/>
      <c r="B519" s="2"/>
      <c r="C519" s="2"/>
      <c r="D519" s="3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AI519" s="10">
        <f t="shared" si="8"/>
        <v>0</v>
      </c>
    </row>
    <row r="520" spans="1:35">
      <c r="A520" s="2"/>
      <c r="B520" s="2"/>
      <c r="C520" s="2"/>
      <c r="D520" s="3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AI520" s="10">
        <f t="shared" si="8"/>
        <v>0</v>
      </c>
    </row>
    <row r="521" spans="1:35">
      <c r="A521" s="2"/>
      <c r="B521" s="2"/>
      <c r="C521" s="2"/>
      <c r="D521" s="3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AI521" s="10">
        <f t="shared" si="8"/>
        <v>0</v>
      </c>
    </row>
    <row r="522" spans="1:35">
      <c r="A522" s="2"/>
      <c r="B522" s="2"/>
      <c r="C522" s="2"/>
      <c r="D522" s="3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AI522" s="10">
        <f t="shared" si="8"/>
        <v>0</v>
      </c>
    </row>
    <row r="523" spans="1:35">
      <c r="A523" s="2"/>
      <c r="B523" s="2"/>
      <c r="C523" s="2"/>
      <c r="D523" s="3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AI523" s="10">
        <f t="shared" si="8"/>
        <v>0</v>
      </c>
    </row>
    <row r="524" spans="1:35">
      <c r="A524" s="2"/>
      <c r="B524" s="2"/>
      <c r="C524" s="2"/>
      <c r="D524" s="3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AI524" s="10">
        <f t="shared" si="8"/>
        <v>0</v>
      </c>
    </row>
    <row r="525" spans="1:35">
      <c r="A525" s="2"/>
      <c r="B525" s="2"/>
      <c r="C525" s="2"/>
      <c r="D525" s="3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AI525" s="10">
        <f t="shared" si="8"/>
        <v>0</v>
      </c>
    </row>
    <row r="526" spans="1:35">
      <c r="A526" s="2"/>
      <c r="B526" s="2"/>
      <c r="C526" s="2"/>
      <c r="D526" s="3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AI526" s="10">
        <f t="shared" si="8"/>
        <v>0</v>
      </c>
    </row>
    <row r="527" spans="1:35">
      <c r="A527" s="2"/>
      <c r="B527" s="2"/>
      <c r="C527" s="2"/>
      <c r="D527" s="3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AI527" s="10">
        <f t="shared" si="8"/>
        <v>0</v>
      </c>
    </row>
    <row r="528" spans="1:35">
      <c r="A528" s="2"/>
      <c r="B528" s="2"/>
      <c r="C528" s="2"/>
      <c r="D528" s="3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AI528" s="10">
        <f t="shared" si="8"/>
        <v>0</v>
      </c>
    </row>
    <row r="529" spans="1:35">
      <c r="A529" s="2"/>
      <c r="B529" s="2"/>
      <c r="C529" s="2"/>
      <c r="D529" s="3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AI529" s="10">
        <f t="shared" si="8"/>
        <v>0</v>
      </c>
    </row>
    <row r="530" spans="1:35">
      <c r="A530" s="2"/>
      <c r="B530" s="2"/>
      <c r="C530" s="2"/>
      <c r="D530" s="3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AI530" s="10">
        <f t="shared" si="8"/>
        <v>0</v>
      </c>
    </row>
    <row r="531" spans="1:35">
      <c r="A531" s="2"/>
      <c r="B531" s="2"/>
      <c r="C531" s="2"/>
      <c r="D531" s="3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AI531" s="10">
        <f t="shared" si="8"/>
        <v>0</v>
      </c>
    </row>
    <row r="532" spans="1:35">
      <c r="A532" s="2"/>
      <c r="B532" s="2"/>
      <c r="C532" s="2"/>
      <c r="D532" s="3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AI532" s="10">
        <f t="shared" si="8"/>
        <v>0</v>
      </c>
    </row>
    <row r="533" spans="1:35">
      <c r="A533" s="2"/>
      <c r="B533" s="2"/>
      <c r="C533" s="2"/>
      <c r="D533" s="3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AI533" s="10">
        <f t="shared" si="8"/>
        <v>0</v>
      </c>
    </row>
    <row r="534" spans="1:35">
      <c r="A534" s="2"/>
      <c r="B534" s="2"/>
      <c r="C534" s="2"/>
      <c r="D534" s="3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AI534" s="10">
        <f t="shared" si="8"/>
        <v>0</v>
      </c>
    </row>
    <row r="535" spans="1:35">
      <c r="A535" s="2"/>
      <c r="B535" s="2"/>
      <c r="C535" s="2"/>
      <c r="D535" s="3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AI535" s="10">
        <f t="shared" si="8"/>
        <v>0</v>
      </c>
    </row>
    <row r="536" spans="1:35">
      <c r="A536" s="2"/>
      <c r="B536" s="2"/>
      <c r="C536" s="2"/>
      <c r="D536" s="3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AI536" s="10">
        <f t="shared" si="8"/>
        <v>0</v>
      </c>
    </row>
    <row r="537" spans="1:35">
      <c r="A537" s="2"/>
      <c r="B537" s="2"/>
      <c r="C537" s="2"/>
      <c r="D537" s="3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AI537" s="10">
        <f t="shared" si="8"/>
        <v>0</v>
      </c>
    </row>
    <row r="538" spans="1:35">
      <c r="A538" s="2"/>
      <c r="B538" s="2"/>
      <c r="C538" s="2"/>
      <c r="D538" s="3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AI538" s="10">
        <f t="shared" si="8"/>
        <v>0</v>
      </c>
    </row>
    <row r="539" spans="1:35">
      <c r="A539" s="2"/>
      <c r="B539" s="2"/>
      <c r="C539" s="2"/>
      <c r="D539" s="3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AI539" s="10">
        <f t="shared" si="8"/>
        <v>0</v>
      </c>
    </row>
    <row r="540" spans="1:35">
      <c r="A540" s="2"/>
      <c r="B540" s="2"/>
      <c r="C540" s="2"/>
      <c r="D540" s="3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AI540" s="10">
        <f t="shared" si="8"/>
        <v>0</v>
      </c>
    </row>
    <row r="541" spans="1:35">
      <c r="A541" s="2"/>
      <c r="B541" s="2"/>
      <c r="C541" s="2"/>
      <c r="D541" s="3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AI541" s="10">
        <f t="shared" si="8"/>
        <v>0</v>
      </c>
    </row>
    <row r="542" spans="1:35">
      <c r="A542" s="2"/>
      <c r="B542" s="2"/>
      <c r="C542" s="2"/>
      <c r="D542" s="3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AI542" s="10">
        <f t="shared" si="8"/>
        <v>0</v>
      </c>
    </row>
    <row r="543" spans="1:35">
      <c r="A543" s="2"/>
      <c r="B543" s="2"/>
      <c r="C543" s="2"/>
      <c r="D543" s="3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AI543" s="10">
        <f t="shared" si="8"/>
        <v>0</v>
      </c>
    </row>
    <row r="544" spans="1:35">
      <c r="A544" s="2"/>
      <c r="B544" s="2"/>
      <c r="C544" s="2"/>
      <c r="D544" s="3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AI544" s="10">
        <f t="shared" si="8"/>
        <v>0</v>
      </c>
    </row>
    <row r="545" spans="1:35">
      <c r="A545" s="2"/>
      <c r="B545" s="2"/>
      <c r="C545" s="2"/>
      <c r="D545" s="3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AI545" s="10">
        <f t="shared" si="8"/>
        <v>0</v>
      </c>
    </row>
    <row r="546" spans="1:35">
      <c r="A546" s="2"/>
      <c r="B546" s="2"/>
      <c r="C546" s="2"/>
      <c r="D546" s="3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AI546" s="10">
        <f t="shared" si="8"/>
        <v>0</v>
      </c>
    </row>
    <row r="547" spans="1:35">
      <c r="A547" s="2"/>
      <c r="B547" s="2"/>
      <c r="C547" s="2"/>
      <c r="D547" s="3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AI547" s="10">
        <f t="shared" si="8"/>
        <v>0</v>
      </c>
    </row>
    <row r="548" spans="1:35">
      <c r="A548" s="2"/>
      <c r="B548" s="2"/>
      <c r="C548" s="2"/>
      <c r="D548" s="3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AI548" s="10">
        <f t="shared" si="8"/>
        <v>0</v>
      </c>
    </row>
    <row r="549" spans="1:35">
      <c r="A549" s="2"/>
      <c r="B549" s="2"/>
      <c r="C549" s="2"/>
      <c r="D549" s="3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AI549" s="10">
        <f t="shared" si="8"/>
        <v>0</v>
      </c>
    </row>
    <row r="550" spans="1:35">
      <c r="A550" s="2"/>
      <c r="B550" s="2"/>
      <c r="C550" s="2"/>
      <c r="D550" s="3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AI550" s="10">
        <f t="shared" si="8"/>
        <v>0</v>
      </c>
    </row>
    <row r="551" spans="1:35">
      <c r="A551" s="2"/>
      <c r="B551" s="2"/>
      <c r="C551" s="2"/>
      <c r="D551" s="3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AI551" s="10">
        <f t="shared" si="8"/>
        <v>0</v>
      </c>
    </row>
    <row r="552" spans="1:35">
      <c r="A552" s="2"/>
      <c r="B552" s="2"/>
      <c r="C552" s="2"/>
      <c r="D552" s="3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AI552" s="10">
        <f t="shared" si="8"/>
        <v>0</v>
      </c>
    </row>
    <row r="553" spans="1:35">
      <c r="A553" s="2"/>
      <c r="B553" s="2"/>
      <c r="C553" s="2"/>
      <c r="D553" s="3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AI553" s="10">
        <f t="shared" si="8"/>
        <v>0</v>
      </c>
    </row>
    <row r="554" spans="1:35">
      <c r="A554" s="2"/>
      <c r="B554" s="2"/>
      <c r="C554" s="2"/>
      <c r="D554" s="3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AI554" s="10">
        <f t="shared" si="8"/>
        <v>0</v>
      </c>
    </row>
    <row r="555" spans="1:35">
      <c r="A555" s="2"/>
      <c r="B555" s="2"/>
      <c r="C555" s="2"/>
      <c r="D555" s="3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AI555" s="10">
        <f t="shared" si="8"/>
        <v>0</v>
      </c>
    </row>
    <row r="556" spans="1:35">
      <c r="A556" s="2"/>
      <c r="B556" s="2"/>
      <c r="C556" s="2"/>
      <c r="D556" s="3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AI556" s="10">
        <f t="shared" si="8"/>
        <v>0</v>
      </c>
    </row>
    <row r="557" spans="1:35">
      <c r="A557" s="2"/>
      <c r="B557" s="2"/>
      <c r="C557" s="2"/>
      <c r="D557" s="3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AI557" s="10">
        <f t="shared" si="8"/>
        <v>0</v>
      </c>
    </row>
    <row r="558" spans="1:35">
      <c r="A558" s="2"/>
      <c r="B558" s="2"/>
      <c r="C558" s="2"/>
      <c r="D558" s="3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AI558" s="10">
        <f t="shared" si="8"/>
        <v>0</v>
      </c>
    </row>
    <row r="559" spans="1:35">
      <c r="A559" s="2"/>
      <c r="B559" s="2"/>
      <c r="C559" s="2"/>
      <c r="D559" s="3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AI559" s="10">
        <f t="shared" si="8"/>
        <v>0</v>
      </c>
    </row>
    <row r="560" spans="1:35">
      <c r="A560" s="2"/>
      <c r="B560" s="2"/>
      <c r="C560" s="2"/>
      <c r="D560" s="3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AI560" s="10">
        <f t="shared" si="8"/>
        <v>0</v>
      </c>
    </row>
    <row r="561" spans="1:35">
      <c r="A561" s="2"/>
      <c r="B561" s="2"/>
      <c r="C561" s="2"/>
      <c r="D561" s="3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AI561" s="10">
        <f t="shared" si="8"/>
        <v>0</v>
      </c>
    </row>
    <row r="562" spans="1:35">
      <c r="A562" s="2"/>
      <c r="B562" s="2"/>
      <c r="C562" s="2"/>
      <c r="D562" s="3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AI562" s="10">
        <f t="shared" si="8"/>
        <v>0</v>
      </c>
    </row>
    <row r="563" spans="1:35">
      <c r="A563" s="2"/>
      <c r="B563" s="2"/>
      <c r="C563" s="2"/>
      <c r="D563" s="3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AI563" s="10">
        <f t="shared" si="8"/>
        <v>0</v>
      </c>
    </row>
    <row r="564" spans="1:35">
      <c r="A564" s="2"/>
      <c r="B564" s="2"/>
      <c r="C564" s="2"/>
      <c r="D564" s="3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AI564" s="10">
        <f t="shared" si="8"/>
        <v>0</v>
      </c>
    </row>
    <row r="565" spans="1:35">
      <c r="A565" s="2"/>
      <c r="B565" s="2"/>
      <c r="C565" s="2"/>
      <c r="D565" s="3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AI565" s="10">
        <f t="shared" si="8"/>
        <v>0</v>
      </c>
    </row>
    <row r="566" spans="1:35">
      <c r="A566" s="2"/>
      <c r="B566" s="2"/>
      <c r="C566" s="2"/>
      <c r="D566" s="3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AI566" s="10">
        <f t="shared" si="8"/>
        <v>0</v>
      </c>
    </row>
    <row r="567" spans="1:35">
      <c r="A567" s="2"/>
      <c r="B567" s="2"/>
      <c r="C567" s="2"/>
      <c r="D567" s="3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AI567" s="10">
        <f t="shared" si="8"/>
        <v>0</v>
      </c>
    </row>
    <row r="568" spans="1:35">
      <c r="A568" s="2"/>
      <c r="B568" s="2"/>
      <c r="C568" s="2"/>
      <c r="D568" s="3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AI568" s="10">
        <f t="shared" si="8"/>
        <v>0</v>
      </c>
    </row>
    <row r="569" spans="1:35">
      <c r="A569" s="2"/>
      <c r="B569" s="2"/>
      <c r="C569" s="2"/>
      <c r="D569" s="3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AI569" s="10">
        <f t="shared" si="8"/>
        <v>0</v>
      </c>
    </row>
    <row r="570" spans="1:35">
      <c r="A570" s="2"/>
      <c r="B570" s="2"/>
      <c r="C570" s="2"/>
      <c r="D570" s="3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AI570" s="10">
        <f t="shared" si="8"/>
        <v>0</v>
      </c>
    </row>
    <row r="571" spans="1:35">
      <c r="A571" s="2"/>
      <c r="B571" s="2"/>
      <c r="C571" s="2"/>
      <c r="D571" s="3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AI571" s="10">
        <f t="shared" si="8"/>
        <v>0</v>
      </c>
    </row>
    <row r="572" spans="1:35">
      <c r="A572" s="2"/>
      <c r="B572" s="2"/>
      <c r="C572" s="2"/>
      <c r="D572" s="3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AI572" s="10">
        <f t="shared" si="8"/>
        <v>0</v>
      </c>
    </row>
    <row r="573" spans="1:35">
      <c r="A573" s="2"/>
      <c r="B573" s="2"/>
      <c r="C573" s="2"/>
      <c r="D573" s="3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AI573" s="10">
        <f t="shared" si="8"/>
        <v>0</v>
      </c>
    </row>
    <row r="574" spans="1:35">
      <c r="A574" s="2"/>
      <c r="B574" s="2"/>
      <c r="C574" s="2"/>
      <c r="D574" s="3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AI574" s="10">
        <f t="shared" si="8"/>
        <v>0</v>
      </c>
    </row>
    <row r="575" spans="1:35">
      <c r="A575" s="2"/>
      <c r="B575" s="2"/>
      <c r="C575" s="2"/>
      <c r="D575" s="3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AI575" s="10">
        <f t="shared" si="8"/>
        <v>0</v>
      </c>
    </row>
    <row r="576" spans="1:35">
      <c r="A576" s="2"/>
      <c r="B576" s="2"/>
      <c r="C576" s="2"/>
      <c r="D576" s="3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AI576" s="10">
        <f t="shared" si="8"/>
        <v>0</v>
      </c>
    </row>
    <row r="577" spans="1:35">
      <c r="A577" s="2"/>
      <c r="B577" s="2"/>
      <c r="C577" s="2"/>
      <c r="D577" s="3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AI577" s="10">
        <f t="shared" si="8"/>
        <v>0</v>
      </c>
    </row>
    <row r="578" spans="1:35">
      <c r="A578" s="2"/>
      <c r="B578" s="2"/>
      <c r="C578" s="2"/>
      <c r="D578" s="3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AI578" s="10">
        <f t="shared" si="8"/>
        <v>0</v>
      </c>
    </row>
    <row r="579" spans="1:35">
      <c r="A579" s="2"/>
      <c r="B579" s="2"/>
      <c r="C579" s="2"/>
      <c r="D579" s="3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AI579" s="10">
        <f t="shared" ref="AI579:AI642" si="9">+IF(AH579&lt;&gt;"",AH579,D579)</f>
        <v>0</v>
      </c>
    </row>
    <row r="580" spans="1:35">
      <c r="A580" s="2"/>
      <c r="B580" s="2"/>
      <c r="C580" s="2"/>
      <c r="D580" s="3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AI580" s="10">
        <f t="shared" si="9"/>
        <v>0</v>
      </c>
    </row>
    <row r="581" spans="1:35">
      <c r="A581" s="2"/>
      <c r="B581" s="2"/>
      <c r="C581" s="2"/>
      <c r="D581" s="3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AI581" s="10">
        <f t="shared" si="9"/>
        <v>0</v>
      </c>
    </row>
    <row r="582" spans="1:35">
      <c r="A582" s="2"/>
      <c r="B582" s="2"/>
      <c r="C582" s="2"/>
      <c r="D582" s="3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AI582" s="10">
        <f t="shared" si="9"/>
        <v>0</v>
      </c>
    </row>
    <row r="583" spans="1:35">
      <c r="A583" s="2"/>
      <c r="B583" s="2"/>
      <c r="C583" s="2"/>
      <c r="D583" s="3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AI583" s="10">
        <f t="shared" si="9"/>
        <v>0</v>
      </c>
    </row>
    <row r="584" spans="1:35">
      <c r="A584" s="2"/>
      <c r="B584" s="2"/>
      <c r="C584" s="2"/>
      <c r="D584" s="3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AI584" s="10">
        <f t="shared" si="9"/>
        <v>0</v>
      </c>
    </row>
    <row r="585" spans="1:35">
      <c r="A585" s="2"/>
      <c r="B585" s="2"/>
      <c r="C585" s="2"/>
      <c r="D585" s="3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AI585" s="10">
        <f t="shared" si="9"/>
        <v>0</v>
      </c>
    </row>
    <row r="586" spans="1:35">
      <c r="A586" s="2"/>
      <c r="B586" s="2"/>
      <c r="C586" s="2"/>
      <c r="D586" s="3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AI586" s="10">
        <f t="shared" si="9"/>
        <v>0</v>
      </c>
    </row>
    <row r="587" spans="1:35">
      <c r="A587" s="2"/>
      <c r="B587" s="2"/>
      <c r="C587" s="2"/>
      <c r="D587" s="3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AI587" s="10">
        <f t="shared" si="9"/>
        <v>0</v>
      </c>
    </row>
    <row r="588" spans="1:35">
      <c r="A588" s="2"/>
      <c r="B588" s="2"/>
      <c r="C588" s="2"/>
      <c r="D588" s="3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AI588" s="10">
        <f t="shared" si="9"/>
        <v>0</v>
      </c>
    </row>
    <row r="589" spans="1:35">
      <c r="A589" s="2"/>
      <c r="B589" s="2"/>
      <c r="C589" s="2"/>
      <c r="D589" s="3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AI589" s="10">
        <f t="shared" si="9"/>
        <v>0</v>
      </c>
    </row>
    <row r="590" spans="1:35">
      <c r="A590" s="2"/>
      <c r="B590" s="2"/>
      <c r="C590" s="2"/>
      <c r="D590" s="3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AI590" s="10">
        <f t="shared" si="9"/>
        <v>0</v>
      </c>
    </row>
    <row r="591" spans="1:35">
      <c r="A591" s="2"/>
      <c r="B591" s="2"/>
      <c r="C591" s="2"/>
      <c r="D591" s="3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AI591" s="10">
        <f t="shared" si="9"/>
        <v>0</v>
      </c>
    </row>
    <row r="592" spans="1:35">
      <c r="A592" s="2"/>
      <c r="B592" s="2"/>
      <c r="C592" s="2"/>
      <c r="D592" s="3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AI592" s="10">
        <f t="shared" si="9"/>
        <v>0</v>
      </c>
    </row>
    <row r="593" spans="1:35">
      <c r="A593" s="2"/>
      <c r="B593" s="2"/>
      <c r="C593" s="2"/>
      <c r="D593" s="3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AI593" s="10">
        <f t="shared" si="9"/>
        <v>0</v>
      </c>
    </row>
    <row r="594" spans="1:35">
      <c r="A594" s="2"/>
      <c r="B594" s="2"/>
      <c r="C594" s="2"/>
      <c r="D594" s="3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AI594" s="10">
        <f t="shared" si="9"/>
        <v>0</v>
      </c>
    </row>
    <row r="595" spans="1:35">
      <c r="A595" s="2"/>
      <c r="B595" s="2"/>
      <c r="C595" s="2"/>
      <c r="D595" s="3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AI595" s="10">
        <f t="shared" si="9"/>
        <v>0</v>
      </c>
    </row>
    <row r="596" spans="1:35">
      <c r="A596" s="2"/>
      <c r="B596" s="2"/>
      <c r="C596" s="2"/>
      <c r="D596" s="3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AI596" s="10">
        <f t="shared" si="9"/>
        <v>0</v>
      </c>
    </row>
    <row r="597" spans="1:35">
      <c r="A597" s="2"/>
      <c r="B597" s="2"/>
      <c r="C597" s="2"/>
      <c r="D597" s="3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AI597" s="10">
        <f t="shared" si="9"/>
        <v>0</v>
      </c>
    </row>
    <row r="598" spans="1:35">
      <c r="A598" s="2"/>
      <c r="B598" s="2"/>
      <c r="C598" s="2"/>
      <c r="D598" s="3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AI598" s="10">
        <f t="shared" si="9"/>
        <v>0</v>
      </c>
    </row>
    <row r="599" spans="1:35">
      <c r="A599" s="2"/>
      <c r="B599" s="2"/>
      <c r="C599" s="2"/>
      <c r="D599" s="3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AI599" s="10">
        <f t="shared" si="9"/>
        <v>0</v>
      </c>
    </row>
    <row r="600" spans="1:35">
      <c r="A600" s="2"/>
      <c r="B600" s="2"/>
      <c r="C600" s="2"/>
      <c r="D600" s="3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AI600" s="10">
        <f t="shared" si="9"/>
        <v>0</v>
      </c>
    </row>
    <row r="601" spans="1:35">
      <c r="A601" s="2"/>
      <c r="B601" s="2"/>
      <c r="C601" s="2"/>
      <c r="D601" s="3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AI601" s="10">
        <f t="shared" si="9"/>
        <v>0</v>
      </c>
    </row>
    <row r="602" spans="1:35">
      <c r="A602" s="2"/>
      <c r="B602" s="2"/>
      <c r="C602" s="2"/>
      <c r="D602" s="3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AI602" s="10">
        <f t="shared" si="9"/>
        <v>0</v>
      </c>
    </row>
    <row r="603" spans="1:35">
      <c r="A603" s="2"/>
      <c r="B603" s="2"/>
      <c r="C603" s="2"/>
      <c r="D603" s="3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AI603" s="10">
        <f t="shared" si="9"/>
        <v>0</v>
      </c>
    </row>
    <row r="604" spans="1:35">
      <c r="A604" s="2"/>
      <c r="B604" s="2"/>
      <c r="C604" s="2"/>
      <c r="D604" s="3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AI604" s="10">
        <f t="shared" si="9"/>
        <v>0</v>
      </c>
    </row>
    <row r="605" spans="1:35">
      <c r="A605" s="2"/>
      <c r="B605" s="2"/>
      <c r="C605" s="2"/>
      <c r="D605" s="3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AI605" s="10">
        <f t="shared" si="9"/>
        <v>0</v>
      </c>
    </row>
    <row r="606" spans="1:35">
      <c r="A606" s="2"/>
      <c r="B606" s="2"/>
      <c r="C606" s="2"/>
      <c r="D606" s="3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AI606" s="10">
        <f t="shared" si="9"/>
        <v>0</v>
      </c>
    </row>
    <row r="607" spans="1:35">
      <c r="A607" s="2"/>
      <c r="B607" s="2"/>
      <c r="C607" s="2"/>
      <c r="D607" s="3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AI607" s="10">
        <f t="shared" si="9"/>
        <v>0</v>
      </c>
    </row>
    <row r="608" spans="1:35">
      <c r="A608" s="2"/>
      <c r="B608" s="2"/>
      <c r="C608" s="2"/>
      <c r="D608" s="3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AI608" s="10">
        <f t="shared" si="9"/>
        <v>0</v>
      </c>
    </row>
    <row r="609" spans="1:35">
      <c r="A609" s="2"/>
      <c r="B609" s="2"/>
      <c r="C609" s="2"/>
      <c r="D609" s="3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AI609" s="10">
        <f t="shared" si="9"/>
        <v>0</v>
      </c>
    </row>
    <row r="610" spans="1:35">
      <c r="A610" s="2"/>
      <c r="B610" s="2"/>
      <c r="C610" s="2"/>
      <c r="D610" s="3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AI610" s="10">
        <f t="shared" si="9"/>
        <v>0</v>
      </c>
    </row>
    <row r="611" spans="1:35">
      <c r="A611" s="2"/>
      <c r="B611" s="2"/>
      <c r="C611" s="2"/>
      <c r="D611" s="3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AI611" s="10">
        <f t="shared" si="9"/>
        <v>0</v>
      </c>
    </row>
    <row r="612" spans="1:35">
      <c r="A612" s="2"/>
      <c r="B612" s="2"/>
      <c r="C612" s="2"/>
      <c r="D612" s="3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AI612" s="10">
        <f t="shared" si="9"/>
        <v>0</v>
      </c>
    </row>
    <row r="613" spans="1:35">
      <c r="A613" s="2"/>
      <c r="B613" s="2"/>
      <c r="C613" s="2"/>
      <c r="D613" s="3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AI613" s="10">
        <f t="shared" si="9"/>
        <v>0</v>
      </c>
    </row>
    <row r="614" spans="1:35">
      <c r="A614" s="2"/>
      <c r="B614" s="2"/>
      <c r="C614" s="2"/>
      <c r="D614" s="3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AI614" s="10">
        <f t="shared" si="9"/>
        <v>0</v>
      </c>
    </row>
    <row r="615" spans="1:35">
      <c r="A615" s="2"/>
      <c r="B615" s="2"/>
      <c r="C615" s="2"/>
      <c r="D615" s="3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AI615" s="10">
        <f t="shared" si="9"/>
        <v>0</v>
      </c>
    </row>
    <row r="616" spans="1:35">
      <c r="A616" s="2"/>
      <c r="B616" s="2"/>
      <c r="C616" s="2"/>
      <c r="D616" s="3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AI616" s="10">
        <f t="shared" si="9"/>
        <v>0</v>
      </c>
    </row>
    <row r="617" spans="1:35">
      <c r="A617" s="2"/>
      <c r="B617" s="2"/>
      <c r="C617" s="2"/>
      <c r="D617" s="3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AI617" s="10">
        <f t="shared" si="9"/>
        <v>0</v>
      </c>
    </row>
    <row r="618" spans="1:35">
      <c r="A618" s="2"/>
      <c r="B618" s="2"/>
      <c r="C618" s="2"/>
      <c r="D618" s="3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AI618" s="10">
        <f t="shared" si="9"/>
        <v>0</v>
      </c>
    </row>
    <row r="619" spans="1:35">
      <c r="A619" s="2"/>
      <c r="B619" s="2"/>
      <c r="C619" s="2"/>
      <c r="D619" s="3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AI619" s="10">
        <f t="shared" si="9"/>
        <v>0</v>
      </c>
    </row>
    <row r="620" spans="1:35">
      <c r="A620" s="2"/>
      <c r="B620" s="2"/>
      <c r="C620" s="2"/>
      <c r="D620" s="3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AI620" s="10">
        <f t="shared" si="9"/>
        <v>0</v>
      </c>
    </row>
    <row r="621" spans="1:35">
      <c r="A621" s="2"/>
      <c r="B621" s="2"/>
      <c r="C621" s="2"/>
      <c r="D621" s="3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AI621" s="10">
        <f t="shared" si="9"/>
        <v>0</v>
      </c>
    </row>
    <row r="622" spans="1:35">
      <c r="A622" s="2"/>
      <c r="B622" s="2"/>
      <c r="C622" s="2"/>
      <c r="D622" s="3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AI622" s="10">
        <f t="shared" si="9"/>
        <v>0</v>
      </c>
    </row>
    <row r="623" spans="1:35">
      <c r="A623" s="2"/>
      <c r="B623" s="2"/>
      <c r="C623" s="2"/>
      <c r="D623" s="3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AI623" s="10">
        <f t="shared" si="9"/>
        <v>0</v>
      </c>
    </row>
    <row r="624" spans="1:35">
      <c r="A624" s="2"/>
      <c r="B624" s="2"/>
      <c r="C624" s="2"/>
      <c r="D624" s="3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AI624" s="10">
        <f t="shared" si="9"/>
        <v>0</v>
      </c>
    </row>
    <row r="625" spans="1:35">
      <c r="A625" s="2"/>
      <c r="B625" s="2"/>
      <c r="C625" s="2"/>
      <c r="D625" s="3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AI625" s="10">
        <f t="shared" si="9"/>
        <v>0</v>
      </c>
    </row>
    <row r="626" spans="1:35">
      <c r="A626" s="2"/>
      <c r="B626" s="2"/>
      <c r="C626" s="2"/>
      <c r="D626" s="3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AI626" s="10">
        <f t="shared" si="9"/>
        <v>0</v>
      </c>
    </row>
    <row r="627" spans="1:35">
      <c r="A627" s="2"/>
      <c r="B627" s="2"/>
      <c r="C627" s="2"/>
      <c r="D627" s="3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AI627" s="10">
        <f t="shared" si="9"/>
        <v>0</v>
      </c>
    </row>
    <row r="628" spans="1:35">
      <c r="A628" s="2"/>
      <c r="B628" s="2"/>
      <c r="C628" s="2"/>
      <c r="D628" s="3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AI628" s="10">
        <f t="shared" si="9"/>
        <v>0</v>
      </c>
    </row>
    <row r="629" spans="1:35">
      <c r="A629" s="2"/>
      <c r="B629" s="2"/>
      <c r="C629" s="2"/>
      <c r="D629" s="3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AI629" s="10">
        <f t="shared" si="9"/>
        <v>0</v>
      </c>
    </row>
    <row r="630" spans="1:35">
      <c r="A630" s="2"/>
      <c r="B630" s="2"/>
      <c r="C630" s="2"/>
      <c r="D630" s="3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AI630" s="10">
        <f t="shared" si="9"/>
        <v>0</v>
      </c>
    </row>
    <row r="631" spans="1:35">
      <c r="A631" s="2"/>
      <c r="B631" s="2"/>
      <c r="C631" s="2"/>
      <c r="D631" s="3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AI631" s="10">
        <f t="shared" si="9"/>
        <v>0</v>
      </c>
    </row>
    <row r="632" spans="1:35">
      <c r="A632" s="2"/>
      <c r="B632" s="2"/>
      <c r="C632" s="2"/>
      <c r="D632" s="3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AI632" s="10">
        <f t="shared" si="9"/>
        <v>0</v>
      </c>
    </row>
    <row r="633" spans="1:35">
      <c r="A633" s="2"/>
      <c r="B633" s="2"/>
      <c r="C633" s="2"/>
      <c r="D633" s="3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AI633" s="10">
        <f t="shared" si="9"/>
        <v>0</v>
      </c>
    </row>
    <row r="634" spans="1:35">
      <c r="A634" s="2"/>
      <c r="B634" s="2"/>
      <c r="C634" s="2"/>
      <c r="D634" s="3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AI634" s="10">
        <f t="shared" si="9"/>
        <v>0</v>
      </c>
    </row>
    <row r="635" spans="1:35">
      <c r="A635" s="2"/>
      <c r="B635" s="2"/>
      <c r="C635" s="2"/>
      <c r="D635" s="3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AI635" s="10">
        <f t="shared" si="9"/>
        <v>0</v>
      </c>
    </row>
    <row r="636" spans="1:35">
      <c r="A636" s="2"/>
      <c r="B636" s="2"/>
      <c r="C636" s="2"/>
      <c r="D636" s="3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AI636" s="10">
        <f t="shared" si="9"/>
        <v>0</v>
      </c>
    </row>
    <row r="637" spans="1:35">
      <c r="A637" s="2"/>
      <c r="B637" s="2"/>
      <c r="C637" s="2"/>
      <c r="D637" s="3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AI637" s="10">
        <f t="shared" si="9"/>
        <v>0</v>
      </c>
    </row>
    <row r="638" spans="1:35">
      <c r="A638" s="2"/>
      <c r="B638" s="2"/>
      <c r="C638" s="2"/>
      <c r="D638" s="3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AI638" s="10">
        <f t="shared" si="9"/>
        <v>0</v>
      </c>
    </row>
    <row r="639" spans="1:35">
      <c r="A639" s="2"/>
      <c r="B639" s="2"/>
      <c r="C639" s="2"/>
      <c r="D639" s="3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AI639" s="10">
        <f t="shared" si="9"/>
        <v>0</v>
      </c>
    </row>
    <row r="640" spans="1:35">
      <c r="A640" s="2"/>
      <c r="B640" s="2"/>
      <c r="C640" s="2"/>
      <c r="D640" s="3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AI640" s="10">
        <f t="shared" si="9"/>
        <v>0</v>
      </c>
    </row>
    <row r="641" spans="1:35">
      <c r="A641" s="2"/>
      <c r="B641" s="2"/>
      <c r="C641" s="2"/>
      <c r="D641" s="3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AI641" s="10">
        <f t="shared" si="9"/>
        <v>0</v>
      </c>
    </row>
    <row r="642" spans="1:35">
      <c r="A642" s="2"/>
      <c r="B642" s="2"/>
      <c r="C642" s="2"/>
      <c r="D642" s="3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AI642" s="10">
        <f t="shared" si="9"/>
        <v>0</v>
      </c>
    </row>
    <row r="643" spans="1:35">
      <c r="A643" s="2"/>
      <c r="B643" s="2"/>
      <c r="C643" s="2"/>
      <c r="D643" s="3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AI643" s="10">
        <f t="shared" ref="AI643:AI706" si="10">+IF(AH643&lt;&gt;"",AH643,D643)</f>
        <v>0</v>
      </c>
    </row>
    <row r="644" spans="1:35">
      <c r="A644" s="2"/>
      <c r="B644" s="2"/>
      <c r="C644" s="2"/>
      <c r="D644" s="3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AI644" s="10">
        <f t="shared" si="10"/>
        <v>0</v>
      </c>
    </row>
    <row r="645" spans="1:35">
      <c r="A645" s="2"/>
      <c r="B645" s="2"/>
      <c r="C645" s="2"/>
      <c r="D645" s="3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AI645" s="10">
        <f t="shared" si="10"/>
        <v>0</v>
      </c>
    </row>
    <row r="646" spans="1:35">
      <c r="A646" s="2"/>
      <c r="B646" s="2"/>
      <c r="C646" s="2"/>
      <c r="D646" s="3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AI646" s="10">
        <f t="shared" si="10"/>
        <v>0</v>
      </c>
    </row>
    <row r="647" spans="1:35">
      <c r="A647" s="2"/>
      <c r="B647" s="2"/>
      <c r="C647" s="2"/>
      <c r="D647" s="3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AI647" s="10">
        <f t="shared" si="10"/>
        <v>0</v>
      </c>
    </row>
    <row r="648" spans="1:35">
      <c r="A648" s="2"/>
      <c r="B648" s="2"/>
      <c r="C648" s="2"/>
      <c r="D648" s="3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AI648" s="10">
        <f t="shared" si="10"/>
        <v>0</v>
      </c>
    </row>
    <row r="649" spans="1:35">
      <c r="A649" s="2"/>
      <c r="B649" s="2"/>
      <c r="C649" s="2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AI649" s="10">
        <f t="shared" si="10"/>
        <v>0</v>
      </c>
    </row>
    <row r="650" spans="1:35">
      <c r="A650" s="2"/>
      <c r="B650" s="2"/>
      <c r="C650" s="2"/>
      <c r="D650" s="3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AI650" s="10">
        <f t="shared" si="10"/>
        <v>0</v>
      </c>
    </row>
    <row r="651" spans="1:35">
      <c r="A651" s="2"/>
      <c r="B651" s="2"/>
      <c r="C651" s="2"/>
      <c r="D651" s="3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AI651" s="10">
        <f t="shared" si="10"/>
        <v>0</v>
      </c>
    </row>
    <row r="652" spans="1:35">
      <c r="A652" s="2"/>
      <c r="B652" s="2"/>
      <c r="C652" s="2"/>
      <c r="D652" s="3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AI652" s="10">
        <f t="shared" si="10"/>
        <v>0</v>
      </c>
    </row>
    <row r="653" spans="1:35">
      <c r="A653" s="2"/>
      <c r="B653" s="2"/>
      <c r="C653" s="2"/>
      <c r="D653" s="3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AI653" s="10">
        <f t="shared" si="10"/>
        <v>0</v>
      </c>
    </row>
    <row r="654" spans="1:35">
      <c r="A654" s="2"/>
      <c r="B654" s="2"/>
      <c r="C654" s="2"/>
      <c r="D654" s="3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AI654" s="10">
        <f t="shared" si="10"/>
        <v>0</v>
      </c>
    </row>
    <row r="655" spans="1:35">
      <c r="A655" s="2"/>
      <c r="B655" s="2"/>
      <c r="C655" s="2"/>
      <c r="D655" s="3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AI655" s="10">
        <f t="shared" si="10"/>
        <v>0</v>
      </c>
    </row>
    <row r="656" spans="1:35">
      <c r="A656" s="2"/>
      <c r="B656" s="2"/>
      <c r="C656" s="2"/>
      <c r="D656" s="3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AI656" s="10">
        <f t="shared" si="10"/>
        <v>0</v>
      </c>
    </row>
    <row r="657" spans="1:35">
      <c r="A657" s="2"/>
      <c r="B657" s="2"/>
      <c r="C657" s="2"/>
      <c r="D657" s="3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AI657" s="10">
        <f t="shared" si="10"/>
        <v>0</v>
      </c>
    </row>
    <row r="658" spans="1:35">
      <c r="A658" s="2"/>
      <c r="B658" s="2"/>
      <c r="C658" s="2"/>
      <c r="D658" s="3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AI658" s="10">
        <f t="shared" si="10"/>
        <v>0</v>
      </c>
    </row>
    <row r="659" spans="1:35">
      <c r="A659" s="2"/>
      <c r="B659" s="2"/>
      <c r="C659" s="2"/>
      <c r="D659" s="3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AI659" s="10">
        <f t="shared" si="10"/>
        <v>0</v>
      </c>
    </row>
    <row r="660" spans="1:35">
      <c r="A660" s="2"/>
      <c r="B660" s="2"/>
      <c r="C660" s="2"/>
      <c r="D660" s="3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AI660" s="10">
        <f t="shared" si="10"/>
        <v>0</v>
      </c>
    </row>
    <row r="661" spans="1:35">
      <c r="A661" s="2"/>
      <c r="B661" s="2"/>
      <c r="C661" s="2"/>
      <c r="D661" s="3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AI661" s="10">
        <f t="shared" si="10"/>
        <v>0</v>
      </c>
    </row>
    <row r="662" spans="1:35">
      <c r="A662" s="2"/>
      <c r="B662" s="2"/>
      <c r="C662" s="2"/>
      <c r="D662" s="3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AI662" s="10">
        <f t="shared" si="10"/>
        <v>0</v>
      </c>
    </row>
    <row r="663" spans="1:35">
      <c r="A663" s="2"/>
      <c r="B663" s="2"/>
      <c r="C663" s="2"/>
      <c r="D663" s="3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AI663" s="10">
        <f t="shared" si="10"/>
        <v>0</v>
      </c>
    </row>
    <row r="664" spans="1:35">
      <c r="A664" s="2"/>
      <c r="B664" s="2"/>
      <c r="C664" s="2"/>
      <c r="D664" s="3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AI664" s="10">
        <f t="shared" si="10"/>
        <v>0</v>
      </c>
    </row>
    <row r="665" spans="1:35">
      <c r="A665" s="2"/>
      <c r="B665" s="2"/>
      <c r="C665" s="2"/>
      <c r="D665" s="3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AI665" s="10">
        <f t="shared" si="10"/>
        <v>0</v>
      </c>
    </row>
    <row r="666" spans="1:35">
      <c r="A666" s="2"/>
      <c r="B666" s="2"/>
      <c r="C666" s="2"/>
      <c r="D666" s="3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AI666" s="10">
        <f t="shared" si="10"/>
        <v>0</v>
      </c>
    </row>
    <row r="667" spans="1:35">
      <c r="A667" s="2"/>
      <c r="B667" s="2"/>
      <c r="C667" s="2"/>
      <c r="D667" s="3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AI667" s="10">
        <f t="shared" si="10"/>
        <v>0</v>
      </c>
    </row>
    <row r="668" spans="1:35">
      <c r="A668" s="2"/>
      <c r="B668" s="2"/>
      <c r="C668" s="2"/>
      <c r="D668" s="3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AI668" s="10">
        <f t="shared" si="10"/>
        <v>0</v>
      </c>
    </row>
    <row r="669" spans="1:35">
      <c r="A669" s="2"/>
      <c r="B669" s="2"/>
      <c r="C669" s="2"/>
      <c r="D669" s="3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AI669" s="10">
        <f t="shared" si="10"/>
        <v>0</v>
      </c>
    </row>
    <row r="670" spans="1:35">
      <c r="A670" s="2"/>
      <c r="B670" s="2"/>
      <c r="C670" s="2"/>
      <c r="D670" s="3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AI670" s="10">
        <f t="shared" si="10"/>
        <v>0</v>
      </c>
    </row>
    <row r="671" spans="1:35">
      <c r="A671" s="2"/>
      <c r="B671" s="2"/>
      <c r="C671" s="2"/>
      <c r="D671" s="3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AI671" s="10">
        <f t="shared" si="10"/>
        <v>0</v>
      </c>
    </row>
    <row r="672" spans="1:35">
      <c r="A672" s="2"/>
      <c r="B672" s="2"/>
      <c r="C672" s="2"/>
      <c r="D672" s="3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AI672" s="10">
        <f t="shared" si="10"/>
        <v>0</v>
      </c>
    </row>
    <row r="673" spans="1:35">
      <c r="A673" s="2"/>
      <c r="B673" s="2"/>
      <c r="C673" s="2"/>
      <c r="D673" s="3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AI673" s="10">
        <f t="shared" si="10"/>
        <v>0</v>
      </c>
    </row>
    <row r="674" spans="1:35">
      <c r="A674" s="2"/>
      <c r="B674" s="2"/>
      <c r="C674" s="2"/>
      <c r="D674" s="3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AI674" s="10">
        <f t="shared" si="10"/>
        <v>0</v>
      </c>
    </row>
    <row r="675" spans="1:35">
      <c r="A675" s="2"/>
      <c r="B675" s="2"/>
      <c r="C675" s="2"/>
      <c r="D675" s="3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AI675" s="10">
        <f t="shared" si="10"/>
        <v>0</v>
      </c>
    </row>
    <row r="676" spans="1:35">
      <c r="A676" s="2"/>
      <c r="B676" s="2"/>
      <c r="C676" s="2"/>
      <c r="D676" s="3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AI676" s="10">
        <f t="shared" si="10"/>
        <v>0</v>
      </c>
    </row>
    <row r="677" spans="1:35">
      <c r="A677" s="2"/>
      <c r="B677" s="2"/>
      <c r="C677" s="2"/>
      <c r="D677" s="3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AI677" s="10">
        <f t="shared" si="10"/>
        <v>0</v>
      </c>
    </row>
    <row r="678" spans="1:35">
      <c r="A678" s="2"/>
      <c r="B678" s="2"/>
      <c r="C678" s="2"/>
      <c r="D678" s="3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AI678" s="10">
        <f t="shared" si="10"/>
        <v>0</v>
      </c>
    </row>
    <row r="679" spans="1:35">
      <c r="A679" s="2"/>
      <c r="B679" s="2"/>
      <c r="C679" s="2"/>
      <c r="D679" s="3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AI679" s="10">
        <f t="shared" si="10"/>
        <v>0</v>
      </c>
    </row>
    <row r="680" spans="1:35">
      <c r="A680" s="2"/>
      <c r="B680" s="2"/>
      <c r="C680" s="2"/>
      <c r="D680" s="3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AI680" s="10">
        <f t="shared" si="10"/>
        <v>0</v>
      </c>
    </row>
    <row r="681" spans="1:35">
      <c r="A681" s="2"/>
      <c r="B681" s="2"/>
      <c r="C681" s="2"/>
      <c r="D681" s="3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AI681" s="10">
        <f t="shared" si="10"/>
        <v>0</v>
      </c>
    </row>
    <row r="682" spans="1:35">
      <c r="A682" s="2"/>
      <c r="B682" s="2"/>
      <c r="C682" s="2"/>
      <c r="D682" s="3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AI682" s="10">
        <f t="shared" si="10"/>
        <v>0</v>
      </c>
    </row>
    <row r="683" spans="1:35">
      <c r="A683" s="2"/>
      <c r="B683" s="2"/>
      <c r="C683" s="2"/>
      <c r="D683" s="3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AI683" s="10">
        <f t="shared" si="10"/>
        <v>0</v>
      </c>
    </row>
    <row r="684" spans="1:35">
      <c r="A684" s="2"/>
      <c r="B684" s="2"/>
      <c r="C684" s="2"/>
      <c r="D684" s="3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AI684" s="10">
        <f t="shared" si="10"/>
        <v>0</v>
      </c>
    </row>
    <row r="685" spans="1:35">
      <c r="A685" s="2"/>
      <c r="B685" s="2"/>
      <c r="C685" s="2"/>
      <c r="D685" s="3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AI685" s="10">
        <f t="shared" si="10"/>
        <v>0</v>
      </c>
    </row>
    <row r="686" spans="1:35">
      <c r="A686" s="2"/>
      <c r="B686" s="2"/>
      <c r="C686" s="2"/>
      <c r="D686" s="3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AI686" s="10">
        <f t="shared" si="10"/>
        <v>0</v>
      </c>
    </row>
    <row r="687" spans="1:35">
      <c r="A687" s="2"/>
      <c r="B687" s="2"/>
      <c r="C687" s="2"/>
      <c r="D687" s="3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AI687" s="10">
        <f t="shared" si="10"/>
        <v>0</v>
      </c>
    </row>
    <row r="688" spans="1:35">
      <c r="A688" s="2"/>
      <c r="B688" s="2"/>
      <c r="C688" s="2"/>
      <c r="D688" s="3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AI688" s="10">
        <f t="shared" si="10"/>
        <v>0</v>
      </c>
    </row>
    <row r="689" spans="1:35">
      <c r="A689" s="2"/>
      <c r="B689" s="2"/>
      <c r="C689" s="2"/>
      <c r="D689" s="3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AI689" s="10">
        <f t="shared" si="10"/>
        <v>0</v>
      </c>
    </row>
    <row r="690" spans="1:35">
      <c r="A690" s="2"/>
      <c r="B690" s="2"/>
      <c r="C690" s="2"/>
      <c r="D690" s="3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AI690" s="10">
        <f t="shared" si="10"/>
        <v>0</v>
      </c>
    </row>
    <row r="691" spans="1:35">
      <c r="A691" s="2"/>
      <c r="B691" s="2"/>
      <c r="C691" s="2"/>
      <c r="D691" s="3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AI691" s="10">
        <f t="shared" si="10"/>
        <v>0</v>
      </c>
    </row>
    <row r="692" spans="1:35">
      <c r="A692" s="2"/>
      <c r="B692" s="2"/>
      <c r="C692" s="2"/>
      <c r="D692" s="3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AI692" s="10">
        <f t="shared" si="10"/>
        <v>0</v>
      </c>
    </row>
    <row r="693" spans="1:35">
      <c r="A693" s="2"/>
      <c r="B693" s="2"/>
      <c r="C693" s="2"/>
      <c r="D693" s="3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AI693" s="10">
        <f t="shared" si="10"/>
        <v>0</v>
      </c>
    </row>
    <row r="694" spans="1:35">
      <c r="A694" s="2"/>
      <c r="B694" s="2"/>
      <c r="C694" s="2"/>
      <c r="D694" s="3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AI694" s="10">
        <f t="shared" si="10"/>
        <v>0</v>
      </c>
    </row>
    <row r="695" spans="1:35">
      <c r="A695" s="2"/>
      <c r="B695" s="2"/>
      <c r="C695" s="2"/>
      <c r="D695" s="3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AI695" s="10">
        <f t="shared" si="10"/>
        <v>0</v>
      </c>
    </row>
    <row r="696" spans="1:35">
      <c r="A696" s="2"/>
      <c r="B696" s="2"/>
      <c r="C696" s="2"/>
      <c r="D696" s="3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AI696" s="10">
        <f t="shared" si="10"/>
        <v>0</v>
      </c>
    </row>
    <row r="697" spans="1:35">
      <c r="A697" s="2"/>
      <c r="B697" s="2"/>
      <c r="C697" s="2"/>
      <c r="D697" s="3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AI697" s="10">
        <f t="shared" si="10"/>
        <v>0</v>
      </c>
    </row>
    <row r="698" spans="1:35">
      <c r="A698" s="2"/>
      <c r="B698" s="2"/>
      <c r="C698" s="2"/>
      <c r="D698" s="3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AI698" s="10">
        <f t="shared" si="10"/>
        <v>0</v>
      </c>
    </row>
    <row r="699" spans="1:35">
      <c r="A699" s="2"/>
      <c r="B699" s="2"/>
      <c r="C699" s="2"/>
      <c r="D699" s="3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AI699" s="10">
        <f t="shared" si="10"/>
        <v>0</v>
      </c>
    </row>
    <row r="700" spans="1:35">
      <c r="A700" s="2"/>
      <c r="B700" s="2"/>
      <c r="C700" s="2"/>
      <c r="D700" s="3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AI700" s="10">
        <f t="shared" si="10"/>
        <v>0</v>
      </c>
    </row>
    <row r="701" spans="1:35">
      <c r="A701" s="2"/>
      <c r="B701" s="2"/>
      <c r="C701" s="2"/>
      <c r="D701" s="3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AI701" s="10">
        <f t="shared" si="10"/>
        <v>0</v>
      </c>
    </row>
    <row r="702" spans="1:35">
      <c r="A702" s="2"/>
      <c r="B702" s="2"/>
      <c r="C702" s="2"/>
      <c r="D702" s="3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AI702" s="10">
        <f t="shared" si="10"/>
        <v>0</v>
      </c>
    </row>
    <row r="703" spans="1:35">
      <c r="A703" s="2"/>
      <c r="B703" s="2"/>
      <c r="C703" s="2"/>
      <c r="D703" s="3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AI703" s="10">
        <f t="shared" si="10"/>
        <v>0</v>
      </c>
    </row>
    <row r="704" spans="1:35">
      <c r="A704" s="2"/>
      <c r="B704" s="2"/>
      <c r="C704" s="2"/>
      <c r="D704" s="3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AI704" s="10">
        <f t="shared" si="10"/>
        <v>0</v>
      </c>
    </row>
    <row r="705" spans="1:35">
      <c r="A705" s="2"/>
      <c r="B705" s="2"/>
      <c r="C705" s="2"/>
      <c r="D705" s="3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AI705" s="10">
        <f t="shared" si="10"/>
        <v>0</v>
      </c>
    </row>
    <row r="706" spans="1:35">
      <c r="A706" s="2"/>
      <c r="B706" s="2"/>
      <c r="C706" s="2"/>
      <c r="D706" s="3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AI706" s="10">
        <f t="shared" si="10"/>
        <v>0</v>
      </c>
    </row>
    <row r="707" spans="1:35">
      <c r="A707" s="2"/>
      <c r="B707" s="2"/>
      <c r="C707" s="2"/>
      <c r="D707" s="3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AI707" s="10">
        <f t="shared" ref="AI707:AI723" si="11">+IF(AH707&lt;&gt;"",AH707,D707)</f>
        <v>0</v>
      </c>
    </row>
    <row r="708" spans="1:35">
      <c r="A708" s="2"/>
      <c r="B708" s="2"/>
      <c r="C708" s="2"/>
      <c r="D708" s="3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AI708" s="10">
        <f t="shared" si="11"/>
        <v>0</v>
      </c>
    </row>
    <row r="709" spans="1:35">
      <c r="A709" s="2"/>
      <c r="B709" s="2"/>
      <c r="C709" s="2"/>
      <c r="D709" s="3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AI709" s="10">
        <f t="shared" si="11"/>
        <v>0</v>
      </c>
    </row>
    <row r="710" spans="1:35">
      <c r="A710" s="2"/>
      <c r="B710" s="2"/>
      <c r="C710" s="2"/>
      <c r="D710" s="3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AI710" s="10">
        <f t="shared" si="11"/>
        <v>0</v>
      </c>
    </row>
    <row r="711" spans="1:35">
      <c r="A711" s="2"/>
      <c r="B711" s="2"/>
      <c r="C711" s="2"/>
      <c r="D711" s="3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AI711" s="10">
        <f t="shared" si="11"/>
        <v>0</v>
      </c>
    </row>
    <row r="712" spans="1:35">
      <c r="A712" s="2"/>
      <c r="B712" s="2"/>
      <c r="C712" s="2"/>
      <c r="D712" s="3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AI712" s="10">
        <f t="shared" si="11"/>
        <v>0</v>
      </c>
    </row>
    <row r="713" spans="1:35">
      <c r="A713" s="2"/>
      <c r="B713" s="2"/>
      <c r="C713" s="2"/>
      <c r="D713" s="3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AI713" s="10">
        <f t="shared" si="11"/>
        <v>0</v>
      </c>
    </row>
    <row r="714" spans="1:35">
      <c r="A714" s="2"/>
      <c r="B714" s="2"/>
      <c r="C714" s="2"/>
      <c r="D714" s="3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AI714" s="10">
        <f t="shared" si="11"/>
        <v>0</v>
      </c>
    </row>
    <row r="715" spans="1:35">
      <c r="A715" s="2"/>
      <c r="B715" s="2"/>
      <c r="C715" s="2"/>
      <c r="D715" s="3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AI715" s="10">
        <f t="shared" si="11"/>
        <v>0</v>
      </c>
    </row>
    <row r="716" spans="1:35">
      <c r="A716" s="2"/>
      <c r="B716" s="2"/>
      <c r="C716" s="2"/>
      <c r="D716" s="3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AI716" s="10">
        <f t="shared" si="11"/>
        <v>0</v>
      </c>
    </row>
    <row r="717" spans="1:35">
      <c r="A717" s="2"/>
      <c r="B717" s="2"/>
      <c r="C717" s="2"/>
      <c r="D717" s="3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AI717" s="10">
        <f t="shared" si="11"/>
        <v>0</v>
      </c>
    </row>
    <row r="718" spans="1:35">
      <c r="A718" s="2"/>
      <c r="B718" s="2"/>
      <c r="C718" s="2"/>
      <c r="D718" s="3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AI718" s="10">
        <f t="shared" si="11"/>
        <v>0</v>
      </c>
    </row>
    <row r="719" spans="1:35">
      <c r="A719" s="2"/>
      <c r="B719" s="2"/>
      <c r="C719" s="2"/>
      <c r="D719" s="3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AI719" s="10">
        <f t="shared" si="11"/>
        <v>0</v>
      </c>
    </row>
    <row r="720" spans="1:35">
      <c r="A720" s="2"/>
      <c r="B720" s="2"/>
      <c r="C720" s="2"/>
      <c r="D720" s="3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AI720" s="10">
        <f t="shared" si="11"/>
        <v>0</v>
      </c>
    </row>
    <row r="721" spans="1:35">
      <c r="A721" s="2"/>
      <c r="B721" s="2"/>
      <c r="C721" s="2"/>
      <c r="D721" s="3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AI721" s="10">
        <f t="shared" si="11"/>
        <v>0</v>
      </c>
    </row>
    <row r="722" spans="1:35">
      <c r="A722" s="2"/>
      <c r="B722" s="2"/>
      <c r="C722" s="2"/>
      <c r="D722" s="3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AI722" s="10">
        <f t="shared" si="11"/>
        <v>0</v>
      </c>
    </row>
    <row r="723" spans="1:35">
      <c r="A723" s="2"/>
      <c r="B723" s="2"/>
      <c r="C723" s="2"/>
      <c r="D723" s="3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AI723" s="10">
        <f t="shared" si="11"/>
        <v>0</v>
      </c>
    </row>
  </sheetData>
  <autoFilter ref="A1:AI72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D28"/>
  <sheetViews>
    <sheetView topLeftCell="R1" workbookViewId="0">
      <selection activeCell="AB27" sqref="AB27"/>
    </sheetView>
  </sheetViews>
  <sheetFormatPr baseColWidth="10" defaultRowHeight="15"/>
  <cols>
    <col min="1" max="1" width="4.7109375" customWidth="1"/>
    <col min="2" max="2" width="17.5703125" bestFit="1" customWidth="1"/>
    <col min="3" max="3" width="25.140625" bestFit="1" customWidth="1"/>
    <col min="4" max="4" width="5.85546875" customWidth="1"/>
    <col min="5" max="5" width="17.5703125" bestFit="1" customWidth="1"/>
    <col min="6" max="6" width="21" bestFit="1" customWidth="1"/>
    <col min="7" max="7" width="5.28515625" customWidth="1"/>
    <col min="8" max="8" width="17.5703125" bestFit="1" customWidth="1"/>
    <col min="9" max="9" width="29.140625" bestFit="1" customWidth="1"/>
    <col min="10" max="10" width="6.140625" customWidth="1"/>
    <col min="11" max="11" width="28.5703125" bestFit="1" customWidth="1"/>
    <col min="12" max="12" width="25.140625" bestFit="1" customWidth="1"/>
    <col min="13" max="13" width="29.140625" bestFit="1" customWidth="1"/>
    <col min="14" max="14" width="25.140625" bestFit="1" customWidth="1"/>
    <col min="15" max="15" width="21" bestFit="1" customWidth="1"/>
    <col min="16" max="16" width="6.28515625" customWidth="1"/>
    <col min="17" max="17" width="17.5703125" bestFit="1" customWidth="1"/>
    <col min="18" max="18" width="29.140625" bestFit="1" customWidth="1"/>
    <col min="19" max="19" width="6.28515625" customWidth="1"/>
    <col min="20" max="20" width="17.5703125" bestFit="1" customWidth="1"/>
    <col min="21" max="21" width="25.140625" bestFit="1" customWidth="1"/>
    <col min="22" max="22" width="29.140625" bestFit="1" customWidth="1"/>
    <col min="23" max="23" width="25.140625" bestFit="1" customWidth="1"/>
    <col min="24" max="24" width="21" bestFit="1" customWidth="1"/>
    <col min="26" max="26" width="17.5703125" bestFit="1" customWidth="1"/>
    <col min="27" max="27" width="25.140625" bestFit="1" customWidth="1"/>
    <col min="28" max="28" width="29.140625" bestFit="1" customWidth="1"/>
    <col min="29" max="29" width="25.140625" bestFit="1" customWidth="1"/>
    <col min="30" max="30" width="21" bestFit="1" customWidth="1"/>
  </cols>
  <sheetData>
    <row r="6" spans="2:30">
      <c r="B6" s="1" t="s">
        <v>47</v>
      </c>
      <c r="C6" s="1"/>
      <c r="D6" s="1"/>
      <c r="E6" s="1" t="s">
        <v>48</v>
      </c>
      <c r="H6" s="1" t="s">
        <v>49</v>
      </c>
      <c r="K6" s="1" t="s">
        <v>50</v>
      </c>
      <c r="Q6" s="1" t="s">
        <v>51</v>
      </c>
      <c r="T6" s="1" t="s">
        <v>52</v>
      </c>
      <c r="Z6" s="1" t="s">
        <v>52</v>
      </c>
    </row>
    <row r="8" spans="2:30">
      <c r="B8" s="7" t="s">
        <v>42</v>
      </c>
      <c r="C8" t="s">
        <v>219</v>
      </c>
      <c r="E8" s="7" t="s">
        <v>42</v>
      </c>
      <c r="F8" t="s">
        <v>45</v>
      </c>
      <c r="H8" s="7" t="s">
        <v>42</v>
      </c>
      <c r="I8" t="s">
        <v>45</v>
      </c>
      <c r="K8" s="7" t="s">
        <v>42</v>
      </c>
      <c r="L8" t="s">
        <v>219</v>
      </c>
      <c r="M8" t="s">
        <v>45</v>
      </c>
      <c r="N8" t="s">
        <v>220</v>
      </c>
      <c r="O8" t="s">
        <v>221</v>
      </c>
      <c r="Q8" s="7" t="s">
        <v>42</v>
      </c>
      <c r="R8" t="s">
        <v>45</v>
      </c>
      <c r="T8" s="7" t="s">
        <v>42</v>
      </c>
      <c r="U8" t="s">
        <v>219</v>
      </c>
      <c r="V8" t="s">
        <v>45</v>
      </c>
      <c r="W8" t="s">
        <v>220</v>
      </c>
      <c r="X8" t="s">
        <v>221</v>
      </c>
      <c r="Z8" s="7" t="s">
        <v>42</v>
      </c>
      <c r="AA8" t="s">
        <v>219</v>
      </c>
      <c r="AB8" t="s">
        <v>45</v>
      </c>
      <c r="AC8" t="s">
        <v>220</v>
      </c>
      <c r="AD8" t="s">
        <v>221</v>
      </c>
    </row>
    <row r="9" spans="2:30">
      <c r="B9" s="8" t="s">
        <v>25</v>
      </c>
      <c r="C9">
        <v>12</v>
      </c>
      <c r="E9" s="8" t="s">
        <v>25</v>
      </c>
      <c r="F9">
        <v>-2579.14</v>
      </c>
      <c r="H9" s="8" t="s">
        <v>44</v>
      </c>
      <c r="I9">
        <v>-2579.14</v>
      </c>
      <c r="K9" s="8" t="s">
        <v>27</v>
      </c>
      <c r="L9">
        <v>1</v>
      </c>
      <c r="M9">
        <v>-30</v>
      </c>
      <c r="O9">
        <v>-30</v>
      </c>
      <c r="Q9" s="8" t="s">
        <v>44</v>
      </c>
      <c r="R9">
        <v>295872.79000000004</v>
      </c>
      <c r="T9" s="20">
        <v>45799</v>
      </c>
      <c r="U9">
        <v>1</v>
      </c>
      <c r="V9">
        <v>-149.97</v>
      </c>
      <c r="W9">
        <v>-26.99</v>
      </c>
      <c r="X9">
        <v>-176.96</v>
      </c>
      <c r="Z9" s="8" t="s">
        <v>112</v>
      </c>
      <c r="AA9">
        <v>1</v>
      </c>
      <c r="AB9">
        <v>-31.27</v>
      </c>
      <c r="AC9">
        <v>-5.63</v>
      </c>
      <c r="AD9">
        <v>-36.9</v>
      </c>
    </row>
    <row r="10" spans="2:30">
      <c r="B10" s="8" t="s">
        <v>44</v>
      </c>
      <c r="E10" s="8" t="s">
        <v>44</v>
      </c>
      <c r="H10" s="8" t="s">
        <v>43</v>
      </c>
      <c r="I10">
        <v>-2579.14</v>
      </c>
      <c r="K10" s="8" t="s">
        <v>97</v>
      </c>
      <c r="L10">
        <v>2</v>
      </c>
      <c r="M10">
        <v>-358.82</v>
      </c>
      <c r="N10">
        <v>-64.59</v>
      </c>
      <c r="O10">
        <v>-423.41</v>
      </c>
      <c r="Q10" s="8" t="s">
        <v>43</v>
      </c>
      <c r="R10">
        <v>295872.79000000004</v>
      </c>
      <c r="T10" s="20">
        <v>45800</v>
      </c>
      <c r="U10">
        <v>1</v>
      </c>
      <c r="V10">
        <v>-308.82</v>
      </c>
      <c r="W10">
        <v>-55.59</v>
      </c>
      <c r="X10">
        <v>-364.41</v>
      </c>
      <c r="Z10" s="8" t="s">
        <v>108</v>
      </c>
      <c r="AA10">
        <v>1</v>
      </c>
      <c r="AB10">
        <v>-149.97</v>
      </c>
      <c r="AC10">
        <v>-26.99</v>
      </c>
      <c r="AD10">
        <v>-176.96</v>
      </c>
    </row>
    <row r="11" spans="2:30">
      <c r="B11" s="8" t="s">
        <v>43</v>
      </c>
      <c r="C11">
        <v>12</v>
      </c>
      <c r="E11" s="8" t="s">
        <v>43</v>
      </c>
      <c r="F11">
        <v>-2579.14</v>
      </c>
      <c r="K11" s="8" t="s">
        <v>21</v>
      </c>
      <c r="L11">
        <v>7</v>
      </c>
      <c r="M11">
        <v>-2009.08</v>
      </c>
      <c r="N11">
        <v>-340.92</v>
      </c>
      <c r="O11">
        <v>-2350</v>
      </c>
      <c r="T11" s="20">
        <v>45804</v>
      </c>
      <c r="U11">
        <v>1</v>
      </c>
      <c r="V11">
        <v>-31.27</v>
      </c>
      <c r="W11">
        <v>-5.63</v>
      </c>
      <c r="X11">
        <v>-36.9</v>
      </c>
      <c r="Z11" s="8" t="s">
        <v>107</v>
      </c>
      <c r="AA11">
        <v>1</v>
      </c>
      <c r="AB11">
        <v>-308.82</v>
      </c>
      <c r="AC11">
        <v>-55.59</v>
      </c>
      <c r="AD11">
        <v>-364.41</v>
      </c>
    </row>
    <row r="12" spans="2:30">
      <c r="K12" s="8" t="s">
        <v>109</v>
      </c>
      <c r="L12">
        <v>1</v>
      </c>
      <c r="M12">
        <v>-149.97</v>
      </c>
      <c r="N12">
        <v>-26.99</v>
      </c>
      <c r="O12">
        <v>-176.96</v>
      </c>
      <c r="T12" s="20">
        <v>45810</v>
      </c>
      <c r="U12">
        <v>3</v>
      </c>
      <c r="V12">
        <v>-161.69999999999999</v>
      </c>
      <c r="W12">
        <v>-18.3</v>
      </c>
      <c r="X12">
        <v>-180</v>
      </c>
      <c r="Z12" s="8" t="s">
        <v>105</v>
      </c>
      <c r="AA12">
        <v>1</v>
      </c>
      <c r="AB12">
        <v>-60</v>
      </c>
      <c r="AD12">
        <v>-60</v>
      </c>
    </row>
    <row r="13" spans="2:30">
      <c r="K13" s="8" t="s">
        <v>113</v>
      </c>
      <c r="L13">
        <v>1</v>
      </c>
      <c r="M13">
        <v>-31.27</v>
      </c>
      <c r="N13">
        <v>-5.63</v>
      </c>
      <c r="O13">
        <v>-36.9</v>
      </c>
      <c r="T13" s="20">
        <v>45812</v>
      </c>
      <c r="U13">
        <v>2</v>
      </c>
      <c r="V13">
        <v>-1792.3799999999999</v>
      </c>
      <c r="W13">
        <v>-322.62</v>
      </c>
      <c r="X13">
        <v>-2115</v>
      </c>
      <c r="Z13" s="8" t="s">
        <v>103</v>
      </c>
      <c r="AA13">
        <v>1</v>
      </c>
      <c r="AB13">
        <v>-50.85</v>
      </c>
      <c r="AC13">
        <v>-9.15</v>
      </c>
      <c r="AD13">
        <v>-60</v>
      </c>
    </row>
    <row r="14" spans="2:30">
      <c r="K14" s="8" t="s">
        <v>44</v>
      </c>
      <c r="T14" s="20">
        <v>45821</v>
      </c>
      <c r="U14">
        <v>3</v>
      </c>
      <c r="V14">
        <v>-105</v>
      </c>
      <c r="W14">
        <v>-9</v>
      </c>
      <c r="X14">
        <v>-114</v>
      </c>
      <c r="Z14" s="8" t="s">
        <v>101</v>
      </c>
      <c r="AA14">
        <v>1</v>
      </c>
      <c r="AB14">
        <v>-63.56</v>
      </c>
      <c r="AC14">
        <v>-11.44</v>
      </c>
      <c r="AD14">
        <v>-75</v>
      </c>
    </row>
    <row r="15" spans="2:30">
      <c r="E15" s="1" t="s">
        <v>48</v>
      </c>
      <c r="K15" s="8" t="s">
        <v>43</v>
      </c>
      <c r="L15">
        <v>12</v>
      </c>
      <c r="M15">
        <v>-2579.14</v>
      </c>
      <c r="N15">
        <v>-438.13</v>
      </c>
      <c r="O15">
        <v>-3017.27</v>
      </c>
      <c r="T15" s="20">
        <v>45831</v>
      </c>
      <c r="U15">
        <v>1</v>
      </c>
      <c r="V15">
        <v>-30</v>
      </c>
      <c r="X15">
        <v>-30</v>
      </c>
      <c r="Z15" s="8" t="s">
        <v>110</v>
      </c>
      <c r="AA15">
        <v>1</v>
      </c>
      <c r="AB15">
        <v>-1728.82</v>
      </c>
      <c r="AC15">
        <v>-311.18</v>
      </c>
      <c r="AD15">
        <v>-2040</v>
      </c>
    </row>
    <row r="16" spans="2:30">
      <c r="T16" s="8" t="s">
        <v>43</v>
      </c>
      <c r="U16">
        <v>12</v>
      </c>
      <c r="V16">
        <v>-2579.14</v>
      </c>
      <c r="W16">
        <v>-438.13</v>
      </c>
      <c r="X16">
        <v>-3017.27</v>
      </c>
      <c r="Z16" s="8" t="s">
        <v>99</v>
      </c>
      <c r="AA16">
        <v>1</v>
      </c>
      <c r="AB16">
        <v>-25</v>
      </c>
      <c r="AD16">
        <v>-25</v>
      </c>
    </row>
    <row r="17" spans="5:30">
      <c r="E17" s="7" t="s">
        <v>42</v>
      </c>
      <c r="F17" t="s">
        <v>220</v>
      </c>
      <c r="Z17" s="8" t="s">
        <v>98</v>
      </c>
      <c r="AA17">
        <v>1</v>
      </c>
      <c r="AB17">
        <v>-30</v>
      </c>
      <c r="AD17">
        <v>-30</v>
      </c>
    </row>
    <row r="18" spans="5:30">
      <c r="E18" s="8" t="s">
        <v>25</v>
      </c>
      <c r="F18">
        <v>-438.13</v>
      </c>
      <c r="Z18" s="8" t="s">
        <v>96</v>
      </c>
      <c r="AA18">
        <v>1</v>
      </c>
      <c r="AB18">
        <v>-50</v>
      </c>
      <c r="AC18">
        <v>-9</v>
      </c>
      <c r="AD18">
        <v>-59</v>
      </c>
    </row>
    <row r="19" spans="5:30">
      <c r="E19" s="8" t="s">
        <v>44</v>
      </c>
      <c r="Z19" s="8" t="s">
        <v>94</v>
      </c>
      <c r="AA19">
        <v>1</v>
      </c>
      <c r="AB19">
        <v>-30</v>
      </c>
      <c r="AD19">
        <v>-30</v>
      </c>
    </row>
    <row r="20" spans="5:30">
      <c r="E20" s="8" t="s">
        <v>43</v>
      </c>
      <c r="F20">
        <v>-438.13</v>
      </c>
      <c r="Z20" s="8" t="s">
        <v>44</v>
      </c>
      <c r="AA20">
        <v>1</v>
      </c>
      <c r="AB20">
        <v>-50.85</v>
      </c>
      <c r="AC20">
        <v>-9.15</v>
      </c>
      <c r="AD20">
        <v>-60</v>
      </c>
    </row>
    <row r="21" spans="5:30">
      <c r="Z21" s="8" t="s">
        <v>43</v>
      </c>
      <c r="AA21">
        <v>12</v>
      </c>
      <c r="AB21">
        <v>-2579.14</v>
      </c>
      <c r="AC21">
        <v>-438.13</v>
      </c>
      <c r="AD21">
        <v>-3017.27</v>
      </c>
    </row>
    <row r="23" spans="5:30">
      <c r="E23" s="1" t="s">
        <v>48</v>
      </c>
    </row>
    <row r="25" spans="5:30">
      <c r="E25" s="7" t="s">
        <v>42</v>
      </c>
      <c r="F25" t="s">
        <v>221</v>
      </c>
    </row>
    <row r="26" spans="5:30">
      <c r="E26" s="8" t="s">
        <v>25</v>
      </c>
      <c r="F26">
        <v>-3017.27</v>
      </c>
    </row>
    <row r="27" spans="5:30">
      <c r="E27" s="8" t="s">
        <v>44</v>
      </c>
    </row>
    <row r="28" spans="5:30">
      <c r="E28" s="8" t="s">
        <v>43</v>
      </c>
      <c r="F28">
        <v>-3017.27</v>
      </c>
    </row>
  </sheetData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9ED-4637-4213-9D2C-DEF1EEAF3A26}">
  <dimension ref="A1:AT14"/>
  <sheetViews>
    <sheetView topLeftCell="L1" workbookViewId="0">
      <selection activeCell="X6" sqref="X6:X14"/>
    </sheetView>
  </sheetViews>
  <sheetFormatPr baseColWidth="10" defaultRowHeight="15"/>
  <sheetData>
    <row r="1" spans="1:46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  <c r="AA1" t="s">
        <v>143</v>
      </c>
      <c r="AB1" t="s">
        <v>144</v>
      </c>
      <c r="AC1" t="s">
        <v>145</v>
      </c>
      <c r="AD1" t="s">
        <v>146</v>
      </c>
      <c r="AE1" t="s">
        <v>147</v>
      </c>
      <c r="AF1" t="s">
        <v>148</v>
      </c>
      <c r="AG1" t="s">
        <v>149</v>
      </c>
      <c r="AH1" t="s">
        <v>150</v>
      </c>
      <c r="AI1" t="s">
        <v>151</v>
      </c>
      <c r="AJ1" t="s">
        <v>152</v>
      </c>
      <c r="AK1" t="s">
        <v>153</v>
      </c>
      <c r="AL1" t="s">
        <v>154</v>
      </c>
      <c r="AM1" t="s">
        <v>155</v>
      </c>
      <c r="AN1" t="s">
        <v>156</v>
      </c>
      <c r="AO1" t="s">
        <v>157</v>
      </c>
      <c r="AP1" t="s">
        <v>158</v>
      </c>
      <c r="AQ1" t="s">
        <v>159</v>
      </c>
      <c r="AR1" t="s">
        <v>160</v>
      </c>
      <c r="AS1" t="s">
        <v>251</v>
      </c>
      <c r="AT1" t="s">
        <v>224</v>
      </c>
    </row>
    <row r="2" spans="1:46">
      <c r="A2" t="s">
        <v>161</v>
      </c>
      <c r="B2" s="17" t="s">
        <v>162</v>
      </c>
      <c r="C2" t="s">
        <v>22</v>
      </c>
      <c r="D2" s="10">
        <v>45831</v>
      </c>
      <c r="E2" s="18">
        <v>45940.522222222222</v>
      </c>
      <c r="F2" t="s">
        <v>27</v>
      </c>
      <c r="H2" t="s">
        <v>163</v>
      </c>
      <c r="I2">
        <v>20609168961</v>
      </c>
      <c r="J2" t="s">
        <v>164</v>
      </c>
      <c r="K2" s="10">
        <v>45831</v>
      </c>
      <c r="Q2">
        <v>100</v>
      </c>
      <c r="R2">
        <v>1</v>
      </c>
      <c r="S2">
        <v>30</v>
      </c>
      <c r="T2">
        <v>30</v>
      </c>
      <c r="V2">
        <v>30</v>
      </c>
      <c r="W2">
        <v>0</v>
      </c>
      <c r="X2">
        <v>0</v>
      </c>
      <c r="Y2">
        <v>30</v>
      </c>
      <c r="Z2">
        <v>1</v>
      </c>
      <c r="AC2" t="s">
        <v>165</v>
      </c>
      <c r="AD2">
        <v>1113</v>
      </c>
      <c r="AE2">
        <v>1780</v>
      </c>
      <c r="AF2" t="s">
        <v>166</v>
      </c>
      <c r="AG2" t="s">
        <v>167</v>
      </c>
      <c r="AH2" t="s">
        <v>168</v>
      </c>
      <c r="AI2" t="s">
        <v>24</v>
      </c>
      <c r="AJ2">
        <v>6726</v>
      </c>
      <c r="AK2" t="s">
        <v>169</v>
      </c>
      <c r="AL2" t="s">
        <v>170</v>
      </c>
      <c r="AT2" t="str">
        <f>+CONCATENATE(A2,B2)</f>
        <v>F00100025478</v>
      </c>
    </row>
    <row r="3" spans="1:46" ht="45">
      <c r="A3" t="s">
        <v>171</v>
      </c>
      <c r="B3" s="17" t="s">
        <v>172</v>
      </c>
      <c r="C3" t="s">
        <v>22</v>
      </c>
      <c r="D3" s="10">
        <v>45821</v>
      </c>
      <c r="E3" s="18">
        <v>45940.416666666664</v>
      </c>
      <c r="F3" s="19" t="s">
        <v>173</v>
      </c>
      <c r="H3" t="s">
        <v>163</v>
      </c>
      <c r="I3">
        <v>20421530107</v>
      </c>
      <c r="J3" t="s">
        <v>174</v>
      </c>
      <c r="K3" s="10">
        <v>45821</v>
      </c>
      <c r="Q3">
        <v>100</v>
      </c>
      <c r="R3">
        <v>1</v>
      </c>
      <c r="S3">
        <v>50</v>
      </c>
      <c r="T3">
        <v>59</v>
      </c>
      <c r="V3">
        <v>50</v>
      </c>
      <c r="W3">
        <v>18</v>
      </c>
      <c r="X3">
        <v>9</v>
      </c>
      <c r="Y3">
        <v>59</v>
      </c>
      <c r="Z3">
        <v>1</v>
      </c>
      <c r="AC3" t="s">
        <v>165</v>
      </c>
      <c r="AD3">
        <v>1555</v>
      </c>
      <c r="AE3">
        <v>1789</v>
      </c>
      <c r="AF3" t="s">
        <v>95</v>
      </c>
      <c r="AG3" t="s">
        <v>167</v>
      </c>
      <c r="AH3" t="s">
        <v>175</v>
      </c>
      <c r="AI3" t="s">
        <v>26</v>
      </c>
      <c r="AJ3">
        <v>6974</v>
      </c>
      <c r="AK3" t="s">
        <v>176</v>
      </c>
      <c r="AL3" t="s">
        <v>170</v>
      </c>
      <c r="AT3" t="str">
        <f t="shared" ref="AT3:AT14" si="0">+CONCATENATE(A3,B3)</f>
        <v>E00100000020</v>
      </c>
    </row>
    <row r="4" spans="1:46">
      <c r="A4" t="s">
        <v>177</v>
      </c>
      <c r="B4" s="17" t="s">
        <v>178</v>
      </c>
      <c r="C4" t="s">
        <v>22</v>
      </c>
      <c r="D4" s="10">
        <v>45821</v>
      </c>
      <c r="E4" s="18">
        <v>45940.456250000003</v>
      </c>
      <c r="F4" t="s">
        <v>21</v>
      </c>
      <c r="H4" t="s">
        <v>179</v>
      </c>
      <c r="I4">
        <v>43680546</v>
      </c>
      <c r="J4" t="s">
        <v>180</v>
      </c>
      <c r="K4" s="10">
        <v>45821</v>
      </c>
      <c r="Q4">
        <v>100</v>
      </c>
      <c r="R4">
        <v>1</v>
      </c>
      <c r="S4">
        <v>30</v>
      </c>
      <c r="T4">
        <v>30</v>
      </c>
      <c r="V4">
        <v>30</v>
      </c>
      <c r="W4">
        <v>0</v>
      </c>
      <c r="X4">
        <v>0</v>
      </c>
      <c r="Y4">
        <v>30</v>
      </c>
      <c r="Z4">
        <v>1</v>
      </c>
      <c r="AC4" t="s">
        <v>165</v>
      </c>
      <c r="AD4">
        <v>3</v>
      </c>
      <c r="AE4">
        <v>1780</v>
      </c>
      <c r="AF4" t="s">
        <v>166</v>
      </c>
      <c r="AG4" t="s">
        <v>167</v>
      </c>
      <c r="AH4" t="s">
        <v>175</v>
      </c>
      <c r="AI4" t="s">
        <v>26</v>
      </c>
      <c r="AJ4">
        <v>6726</v>
      </c>
      <c r="AK4" t="s">
        <v>169</v>
      </c>
      <c r="AL4" t="s">
        <v>170</v>
      </c>
      <c r="AT4" t="str">
        <f t="shared" si="0"/>
        <v>FXG00006</v>
      </c>
    </row>
    <row r="5" spans="1:46">
      <c r="A5" t="s">
        <v>177</v>
      </c>
      <c r="B5" s="17" t="s">
        <v>181</v>
      </c>
      <c r="C5" t="s">
        <v>22</v>
      </c>
      <c r="D5" s="10">
        <v>45821</v>
      </c>
      <c r="E5" s="18">
        <v>45940.451388888891</v>
      </c>
      <c r="F5" t="s">
        <v>21</v>
      </c>
      <c r="H5" t="s">
        <v>179</v>
      </c>
      <c r="I5">
        <v>43680546</v>
      </c>
      <c r="J5" t="s">
        <v>182</v>
      </c>
      <c r="K5" s="10">
        <v>45821</v>
      </c>
      <c r="Q5">
        <v>100</v>
      </c>
      <c r="R5">
        <v>1</v>
      </c>
      <c r="S5">
        <v>25</v>
      </c>
      <c r="T5">
        <v>25</v>
      </c>
      <c r="V5">
        <v>25</v>
      </c>
      <c r="W5">
        <v>0</v>
      </c>
      <c r="X5">
        <v>0</v>
      </c>
      <c r="Y5">
        <v>25</v>
      </c>
      <c r="Z5">
        <v>1</v>
      </c>
      <c r="AC5" t="s">
        <v>165</v>
      </c>
      <c r="AD5">
        <v>3</v>
      </c>
      <c r="AE5">
        <v>1780</v>
      </c>
      <c r="AF5" t="s">
        <v>183</v>
      </c>
      <c r="AG5" t="s">
        <v>167</v>
      </c>
      <c r="AH5" t="s">
        <v>175</v>
      </c>
      <c r="AI5" t="s">
        <v>26</v>
      </c>
      <c r="AJ5">
        <v>6726</v>
      </c>
      <c r="AK5" t="s">
        <v>169</v>
      </c>
      <c r="AL5" t="s">
        <v>184</v>
      </c>
      <c r="AT5" t="str">
        <f t="shared" si="0"/>
        <v>FXG00005</v>
      </c>
    </row>
    <row r="6" spans="1:46">
      <c r="A6" t="s">
        <v>177</v>
      </c>
      <c r="B6" s="17" t="s">
        <v>185</v>
      </c>
      <c r="C6" t="s">
        <v>22</v>
      </c>
      <c r="D6" s="10">
        <v>45812</v>
      </c>
      <c r="E6" s="18">
        <v>45940.726388888892</v>
      </c>
      <c r="F6" t="s">
        <v>21</v>
      </c>
      <c r="H6" t="s">
        <v>179</v>
      </c>
      <c r="I6">
        <v>43680546</v>
      </c>
      <c r="J6" t="s">
        <v>186</v>
      </c>
      <c r="K6" s="10">
        <v>45812</v>
      </c>
      <c r="Q6">
        <v>100</v>
      </c>
      <c r="R6">
        <v>1</v>
      </c>
      <c r="S6">
        <v>33.9</v>
      </c>
      <c r="T6">
        <v>40</v>
      </c>
      <c r="V6">
        <v>33.9</v>
      </c>
      <c r="W6">
        <v>17.989999999999998</v>
      </c>
      <c r="X6" s="29">
        <v>6.1</v>
      </c>
      <c r="Y6">
        <v>40</v>
      </c>
      <c r="Z6">
        <v>1</v>
      </c>
      <c r="AC6" t="s">
        <v>165</v>
      </c>
      <c r="AD6">
        <v>3</v>
      </c>
      <c r="AE6">
        <v>1785</v>
      </c>
      <c r="AF6" t="s">
        <v>187</v>
      </c>
      <c r="AG6" t="s">
        <v>188</v>
      </c>
      <c r="AH6" t="s">
        <v>175</v>
      </c>
      <c r="AI6" t="s">
        <v>26</v>
      </c>
      <c r="AJ6">
        <v>877</v>
      </c>
      <c r="AK6" t="s">
        <v>189</v>
      </c>
      <c r="AL6" t="s">
        <v>190</v>
      </c>
      <c r="AT6" t="str">
        <f t="shared" si="0"/>
        <v>FXG00004</v>
      </c>
    </row>
    <row r="7" spans="1:46">
      <c r="A7" t="s">
        <v>177</v>
      </c>
      <c r="B7" s="17" t="s">
        <v>185</v>
      </c>
      <c r="C7" t="s">
        <v>22</v>
      </c>
      <c r="D7" s="10">
        <v>45812</v>
      </c>
      <c r="E7" s="18">
        <v>45940.726388888892</v>
      </c>
      <c r="F7" t="s">
        <v>21</v>
      </c>
      <c r="H7" t="s">
        <v>179</v>
      </c>
      <c r="I7">
        <v>43680546</v>
      </c>
      <c r="J7" t="s">
        <v>186</v>
      </c>
      <c r="K7" s="10">
        <v>45812</v>
      </c>
      <c r="Q7">
        <v>100</v>
      </c>
      <c r="R7">
        <v>1</v>
      </c>
      <c r="S7">
        <v>1694.92</v>
      </c>
      <c r="T7">
        <v>2000</v>
      </c>
      <c r="V7">
        <v>1694.92</v>
      </c>
      <c r="W7">
        <v>18</v>
      </c>
      <c r="X7" s="29">
        <v>305.07999999999902</v>
      </c>
      <c r="Y7">
        <v>2000</v>
      </c>
      <c r="Z7">
        <v>1</v>
      </c>
      <c r="AC7" t="s">
        <v>165</v>
      </c>
      <c r="AD7">
        <v>3</v>
      </c>
      <c r="AE7">
        <v>1780</v>
      </c>
      <c r="AF7" t="s">
        <v>191</v>
      </c>
      <c r="AG7" t="s">
        <v>167</v>
      </c>
      <c r="AH7" t="s">
        <v>175</v>
      </c>
      <c r="AI7" t="s">
        <v>26</v>
      </c>
      <c r="AJ7">
        <v>6726</v>
      </c>
      <c r="AK7" t="s">
        <v>169</v>
      </c>
      <c r="AL7" t="s">
        <v>192</v>
      </c>
      <c r="AT7" t="str">
        <f t="shared" si="0"/>
        <v>FXG00004</v>
      </c>
    </row>
    <row r="8" spans="1:46">
      <c r="A8" t="s">
        <v>177</v>
      </c>
      <c r="B8" s="17" t="s">
        <v>193</v>
      </c>
      <c r="C8" t="s">
        <v>22</v>
      </c>
      <c r="D8" s="10">
        <v>45812</v>
      </c>
      <c r="E8" s="18">
        <v>45940.720833333333</v>
      </c>
      <c r="F8" t="s">
        <v>21</v>
      </c>
      <c r="H8" t="s">
        <v>179</v>
      </c>
      <c r="I8">
        <v>43680546</v>
      </c>
      <c r="J8" t="s">
        <v>194</v>
      </c>
      <c r="K8" s="10">
        <v>45812</v>
      </c>
      <c r="Q8">
        <v>100</v>
      </c>
      <c r="R8">
        <v>1</v>
      </c>
      <c r="S8">
        <v>63.56</v>
      </c>
      <c r="T8">
        <v>75</v>
      </c>
      <c r="V8">
        <v>63.56</v>
      </c>
      <c r="W8">
        <v>18</v>
      </c>
      <c r="X8" s="29">
        <v>11.4399999999999</v>
      </c>
      <c r="Y8">
        <v>75</v>
      </c>
      <c r="Z8">
        <v>1</v>
      </c>
      <c r="AC8" t="s">
        <v>165</v>
      </c>
      <c r="AD8">
        <v>3</v>
      </c>
      <c r="AE8">
        <v>1780</v>
      </c>
      <c r="AF8" t="s">
        <v>195</v>
      </c>
      <c r="AG8" t="s">
        <v>167</v>
      </c>
      <c r="AH8" t="s">
        <v>175</v>
      </c>
      <c r="AI8" t="s">
        <v>26</v>
      </c>
      <c r="AJ8">
        <v>877</v>
      </c>
      <c r="AK8" t="s">
        <v>189</v>
      </c>
      <c r="AL8" t="s">
        <v>192</v>
      </c>
      <c r="AT8" t="str">
        <f t="shared" si="0"/>
        <v>FXG00003</v>
      </c>
    </row>
    <row r="9" spans="1:46">
      <c r="A9" t="s">
        <v>177</v>
      </c>
      <c r="B9" s="17" t="s">
        <v>196</v>
      </c>
      <c r="C9" t="s">
        <v>22</v>
      </c>
      <c r="D9" s="10">
        <v>45810</v>
      </c>
      <c r="E9" s="18">
        <v>45940.839583333334</v>
      </c>
      <c r="F9" t="s">
        <v>21</v>
      </c>
      <c r="H9" t="s">
        <v>179</v>
      </c>
      <c r="I9">
        <v>43680546</v>
      </c>
      <c r="J9" t="s">
        <v>197</v>
      </c>
      <c r="K9" s="10">
        <v>45810</v>
      </c>
      <c r="Q9">
        <v>100</v>
      </c>
      <c r="R9">
        <v>1</v>
      </c>
      <c r="S9">
        <v>50.85</v>
      </c>
      <c r="T9">
        <v>60</v>
      </c>
      <c r="V9">
        <v>50.85</v>
      </c>
      <c r="W9">
        <v>17.989999999999998</v>
      </c>
      <c r="X9" s="29">
        <v>9.1499999999999897</v>
      </c>
      <c r="Y9">
        <v>60</v>
      </c>
      <c r="Z9">
        <v>1</v>
      </c>
      <c r="AC9" t="s">
        <v>165</v>
      </c>
      <c r="AD9">
        <v>3</v>
      </c>
      <c r="AE9">
        <v>1780</v>
      </c>
      <c r="AF9" t="s">
        <v>198</v>
      </c>
      <c r="AG9" t="s">
        <v>167</v>
      </c>
      <c r="AH9" t="s">
        <v>175</v>
      </c>
      <c r="AI9" t="s">
        <v>26</v>
      </c>
      <c r="AJ9">
        <v>6726</v>
      </c>
      <c r="AK9" t="s">
        <v>169</v>
      </c>
      <c r="AL9" t="s">
        <v>199</v>
      </c>
      <c r="AT9" t="str">
        <f t="shared" si="0"/>
        <v>FXG00002</v>
      </c>
    </row>
    <row r="10" spans="1:46">
      <c r="C10" t="s">
        <v>22</v>
      </c>
      <c r="D10" s="10">
        <v>45810</v>
      </c>
      <c r="E10" s="18">
        <v>45940.834722222222</v>
      </c>
      <c r="F10" t="s">
        <v>21</v>
      </c>
      <c r="H10" t="s">
        <v>179</v>
      </c>
      <c r="I10">
        <v>43680546</v>
      </c>
      <c r="J10" t="s">
        <v>200</v>
      </c>
      <c r="K10" s="10">
        <v>45810</v>
      </c>
      <c r="Q10">
        <v>100</v>
      </c>
      <c r="R10">
        <v>1</v>
      </c>
      <c r="S10">
        <v>50.85</v>
      </c>
      <c r="T10">
        <v>60</v>
      </c>
      <c r="V10">
        <v>50.85</v>
      </c>
      <c r="W10">
        <v>17.989999999999998</v>
      </c>
      <c r="X10" s="29">
        <v>9.1499999999999897</v>
      </c>
      <c r="Y10">
        <v>60</v>
      </c>
      <c r="Z10">
        <v>1</v>
      </c>
      <c r="AC10" t="s">
        <v>165</v>
      </c>
      <c r="AD10">
        <v>3</v>
      </c>
      <c r="AE10">
        <v>1780</v>
      </c>
      <c r="AF10" t="s">
        <v>198</v>
      </c>
      <c r="AG10" t="s">
        <v>167</v>
      </c>
      <c r="AH10" t="s">
        <v>168</v>
      </c>
      <c r="AI10" t="s">
        <v>24</v>
      </c>
      <c r="AJ10">
        <v>6726</v>
      </c>
      <c r="AK10" t="s">
        <v>169</v>
      </c>
      <c r="AL10" t="s">
        <v>199</v>
      </c>
      <c r="AT10" t="str">
        <f t="shared" si="0"/>
        <v/>
      </c>
    </row>
    <row r="11" spans="1:46">
      <c r="A11" t="s">
        <v>177</v>
      </c>
      <c r="B11" s="17" t="s">
        <v>201</v>
      </c>
      <c r="C11" t="s">
        <v>22</v>
      </c>
      <c r="D11" s="10">
        <v>45810</v>
      </c>
      <c r="E11" s="18">
        <v>45940.827777777777</v>
      </c>
      <c r="F11" t="s">
        <v>21</v>
      </c>
      <c r="H11" t="s">
        <v>179</v>
      </c>
      <c r="I11">
        <v>43680546</v>
      </c>
      <c r="J11" t="s">
        <v>202</v>
      </c>
      <c r="K11" s="10">
        <v>45810</v>
      </c>
      <c r="Q11">
        <v>100</v>
      </c>
      <c r="R11">
        <v>1</v>
      </c>
      <c r="S11">
        <v>60</v>
      </c>
      <c r="T11">
        <v>60</v>
      </c>
      <c r="V11">
        <v>60</v>
      </c>
      <c r="W11">
        <v>0</v>
      </c>
      <c r="X11">
        <v>0</v>
      </c>
      <c r="Y11">
        <v>60</v>
      </c>
      <c r="Z11">
        <v>1</v>
      </c>
      <c r="AC11" t="s">
        <v>165</v>
      </c>
      <c r="AD11">
        <v>3</v>
      </c>
      <c r="AE11">
        <v>1780</v>
      </c>
      <c r="AF11" t="s">
        <v>198</v>
      </c>
      <c r="AG11" t="s">
        <v>167</v>
      </c>
      <c r="AH11" t="s">
        <v>168</v>
      </c>
      <c r="AI11" t="s">
        <v>24</v>
      </c>
      <c r="AJ11">
        <v>6576</v>
      </c>
      <c r="AK11" t="s">
        <v>203</v>
      </c>
      <c r="AL11" t="s">
        <v>199</v>
      </c>
      <c r="AT11" t="str">
        <f t="shared" si="0"/>
        <v>FXG00001</v>
      </c>
    </row>
    <row r="12" spans="1:46">
      <c r="A12" t="s">
        <v>161</v>
      </c>
      <c r="B12" s="17" t="s">
        <v>204</v>
      </c>
      <c r="C12" t="s">
        <v>22</v>
      </c>
      <c r="D12" s="10">
        <v>45810</v>
      </c>
      <c r="E12" s="18">
        <v>45940.587500000001</v>
      </c>
      <c r="F12" t="s">
        <v>113</v>
      </c>
      <c r="H12" t="s">
        <v>163</v>
      </c>
      <c r="I12">
        <v>20267269565</v>
      </c>
      <c r="J12" t="s">
        <v>205</v>
      </c>
      <c r="K12" s="10">
        <v>45810</v>
      </c>
      <c r="Q12">
        <v>100</v>
      </c>
      <c r="R12">
        <v>1</v>
      </c>
      <c r="S12">
        <v>31.27</v>
      </c>
      <c r="T12">
        <v>36.9</v>
      </c>
      <c r="V12">
        <v>31.27</v>
      </c>
      <c r="W12">
        <v>18</v>
      </c>
      <c r="X12" s="29">
        <v>5.6299999999999901</v>
      </c>
      <c r="Y12">
        <v>36.9</v>
      </c>
      <c r="Z12">
        <v>1</v>
      </c>
      <c r="AC12" t="s">
        <v>165</v>
      </c>
      <c r="AD12">
        <v>1586</v>
      </c>
      <c r="AE12">
        <v>1766</v>
      </c>
      <c r="AF12" t="s">
        <v>206</v>
      </c>
      <c r="AG12" t="s">
        <v>167</v>
      </c>
      <c r="AH12" t="s">
        <v>175</v>
      </c>
      <c r="AI12" t="s">
        <v>26</v>
      </c>
      <c r="AJ12">
        <v>6727</v>
      </c>
      <c r="AK12" t="s">
        <v>207</v>
      </c>
      <c r="AL12" t="s">
        <v>208</v>
      </c>
      <c r="AT12" t="str">
        <f t="shared" si="0"/>
        <v>F00100002222</v>
      </c>
    </row>
    <row r="13" spans="1:46" ht="45">
      <c r="A13" t="s">
        <v>161</v>
      </c>
      <c r="B13" s="17" t="s">
        <v>209</v>
      </c>
      <c r="C13" t="s">
        <v>22</v>
      </c>
      <c r="D13" s="10">
        <v>45810</v>
      </c>
      <c r="E13" s="18">
        <v>45940.588888888888</v>
      </c>
      <c r="F13" s="19" t="s">
        <v>173</v>
      </c>
      <c r="H13" t="s">
        <v>163</v>
      </c>
      <c r="I13">
        <v>20421530107</v>
      </c>
      <c r="J13" t="s">
        <v>210</v>
      </c>
      <c r="K13" s="10">
        <v>45810</v>
      </c>
      <c r="Q13">
        <v>100</v>
      </c>
      <c r="R13">
        <v>1</v>
      </c>
      <c r="S13">
        <v>308.82</v>
      </c>
      <c r="T13">
        <v>364.41</v>
      </c>
      <c r="V13">
        <v>308.82</v>
      </c>
      <c r="W13">
        <v>18</v>
      </c>
      <c r="X13" s="29">
        <v>55.59</v>
      </c>
      <c r="Y13">
        <v>364.41</v>
      </c>
      <c r="Z13">
        <v>1</v>
      </c>
      <c r="AC13" t="s">
        <v>165</v>
      </c>
      <c r="AD13">
        <v>1555</v>
      </c>
      <c r="AE13">
        <v>1654</v>
      </c>
      <c r="AF13" t="s">
        <v>211</v>
      </c>
      <c r="AG13" t="s">
        <v>167</v>
      </c>
      <c r="AH13" t="s">
        <v>168</v>
      </c>
      <c r="AI13" t="s">
        <v>24</v>
      </c>
      <c r="AJ13">
        <v>6962</v>
      </c>
      <c r="AK13" t="s">
        <v>212</v>
      </c>
      <c r="AL13" t="s">
        <v>213</v>
      </c>
      <c r="AT13" t="str">
        <f t="shared" si="0"/>
        <v>F00100002224</v>
      </c>
    </row>
    <row r="14" spans="1:46">
      <c r="A14" t="s">
        <v>161</v>
      </c>
      <c r="B14" s="17" t="s">
        <v>214</v>
      </c>
      <c r="C14" t="s">
        <v>22</v>
      </c>
      <c r="D14" s="10">
        <v>45810</v>
      </c>
      <c r="E14" s="18">
        <v>45940.588194444441</v>
      </c>
      <c r="F14" t="s">
        <v>109</v>
      </c>
      <c r="H14" t="s">
        <v>163</v>
      </c>
      <c r="I14">
        <v>20536557858</v>
      </c>
      <c r="J14" t="s">
        <v>215</v>
      </c>
      <c r="K14" s="10">
        <v>45810</v>
      </c>
      <c r="Q14">
        <v>100</v>
      </c>
      <c r="R14">
        <v>1</v>
      </c>
      <c r="S14">
        <v>149.97</v>
      </c>
      <c r="T14">
        <v>176.96</v>
      </c>
      <c r="V14">
        <v>149.97</v>
      </c>
      <c r="W14">
        <v>18</v>
      </c>
      <c r="X14" s="29">
        <v>26.99</v>
      </c>
      <c r="Y14">
        <v>176.96</v>
      </c>
      <c r="Z14">
        <v>1</v>
      </c>
      <c r="AC14" t="s">
        <v>165</v>
      </c>
      <c r="AD14">
        <v>1392</v>
      </c>
      <c r="AE14">
        <v>1745</v>
      </c>
      <c r="AF14" t="s">
        <v>216</v>
      </c>
      <c r="AG14" t="s">
        <v>167</v>
      </c>
      <c r="AH14" t="s">
        <v>168</v>
      </c>
      <c r="AI14" t="s">
        <v>24</v>
      </c>
      <c r="AJ14">
        <v>6733</v>
      </c>
      <c r="AK14" t="s">
        <v>217</v>
      </c>
      <c r="AL14" t="s">
        <v>218</v>
      </c>
      <c r="AT14" t="str">
        <f t="shared" si="0"/>
        <v>F00100002223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9AC-EC3B-45AD-AFE4-9D527925F13B}">
  <dimension ref="A1:AT5"/>
  <sheetViews>
    <sheetView topLeftCell="AH1" workbookViewId="0">
      <selection activeCell="AL22" sqref="AL22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6" width="19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23" bestFit="1" customWidth="1"/>
    <col min="18" max="18" width="15.5703125" bestFit="1" customWidth="1"/>
    <col min="19" max="19" width="20.5703125" bestFit="1" customWidth="1"/>
    <col min="20" max="20" width="21.7109375" bestFit="1" customWidth="1"/>
    <col min="21" max="21" width="17.28515625" bestFit="1" customWidth="1"/>
    <col min="22" max="22" width="15.28515625" bestFit="1" customWidth="1"/>
    <col min="23" max="23" width="24.7109375" bestFit="1" customWidth="1"/>
    <col min="24" max="24" width="11.5703125" bestFit="1" customWidth="1"/>
    <col min="25" max="25" width="12.140625" bestFit="1" customWidth="1"/>
    <col min="26" max="26" width="15.28515625" bestFit="1" customWidth="1"/>
    <col min="27" max="27" width="22.42578125" bestFit="1" customWidth="1"/>
    <col min="28" max="28" width="20.140625" bestFit="1" customWidth="1"/>
    <col min="29" max="29" width="22.42578125" bestFit="1" customWidth="1"/>
    <col min="30" max="30" width="20.140625" bestFit="1" customWidth="1"/>
    <col min="31" max="31" width="18.85546875" bestFit="1" customWidth="1"/>
    <col min="32" max="32" width="43.7109375" bestFit="1" customWidth="1"/>
    <col min="33" max="33" width="25.42578125" bestFit="1" customWidth="1"/>
    <col min="34" max="34" width="16.7109375" bestFit="1" customWidth="1"/>
    <col min="35" max="35" width="22.42578125" bestFit="1" customWidth="1"/>
    <col min="36" max="36" width="16.7109375" bestFit="1" customWidth="1"/>
    <col min="37" max="37" width="37.7109375" bestFit="1" customWidth="1"/>
    <col min="38" max="38" width="94.7109375" bestFit="1" customWidth="1"/>
    <col min="39" max="39" width="24.140625" bestFit="1" customWidth="1"/>
    <col min="40" max="40" width="26.42578125" bestFit="1" customWidth="1"/>
    <col min="41" max="41" width="35" bestFit="1" customWidth="1"/>
    <col min="42" max="42" width="35.140625" bestFit="1" customWidth="1"/>
    <col min="43" max="43" width="28.28515625" bestFit="1" customWidth="1"/>
    <col min="44" max="44" width="30.7109375" bestFit="1" customWidth="1"/>
    <col min="45" max="45" width="30.28515625" bestFit="1" customWidth="1"/>
    <col min="46" max="46" width="13.42578125" bestFit="1" customWidth="1"/>
  </cols>
  <sheetData>
    <row r="1" spans="1:46">
      <c r="A1" s="1" t="s">
        <v>250</v>
      </c>
    </row>
    <row r="3" spans="1:46">
      <c r="A3" t="s">
        <v>117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  <c r="P3" t="s">
        <v>132</v>
      </c>
      <c r="Q3" t="s">
        <v>133</v>
      </c>
      <c r="R3" t="s">
        <v>134</v>
      </c>
      <c r="S3" t="s">
        <v>135</v>
      </c>
      <c r="T3" t="s">
        <v>136</v>
      </c>
      <c r="U3" t="s">
        <v>137</v>
      </c>
      <c r="V3" t="s">
        <v>138</v>
      </c>
      <c r="W3" t="s">
        <v>139</v>
      </c>
      <c r="X3" t="s">
        <v>140</v>
      </c>
      <c r="Y3" t="s">
        <v>141</v>
      </c>
      <c r="Z3" t="s">
        <v>142</v>
      </c>
      <c r="AA3" t="s">
        <v>143</v>
      </c>
      <c r="AB3" t="s">
        <v>144</v>
      </c>
      <c r="AC3" t="s">
        <v>145</v>
      </c>
      <c r="AD3" t="s">
        <v>146</v>
      </c>
      <c r="AE3" t="s">
        <v>147</v>
      </c>
      <c r="AF3" t="s">
        <v>148</v>
      </c>
      <c r="AG3" t="s">
        <v>149</v>
      </c>
      <c r="AH3" t="s">
        <v>150</v>
      </c>
      <c r="AI3" t="s">
        <v>151</v>
      </c>
      <c r="AJ3" t="s">
        <v>152</v>
      </c>
      <c r="AK3" t="s">
        <v>153</v>
      </c>
      <c r="AL3" t="s">
        <v>154</v>
      </c>
      <c r="AM3" t="s">
        <v>155</v>
      </c>
      <c r="AN3" t="s">
        <v>156</v>
      </c>
      <c r="AO3" t="s">
        <v>157</v>
      </c>
      <c r="AP3" t="s">
        <v>158</v>
      </c>
      <c r="AQ3" t="s">
        <v>159</v>
      </c>
      <c r="AR3" t="s">
        <v>160</v>
      </c>
      <c r="AS3" t="s">
        <v>251</v>
      </c>
      <c r="AT3" t="s">
        <v>224</v>
      </c>
    </row>
    <row r="4" spans="1:46">
      <c r="A4" t="s">
        <v>177</v>
      </c>
      <c r="B4" t="s">
        <v>185</v>
      </c>
      <c r="C4" t="s">
        <v>22</v>
      </c>
      <c r="D4" s="10">
        <v>45812</v>
      </c>
      <c r="E4" s="18">
        <v>45940.726388888892</v>
      </c>
      <c r="F4" t="s">
        <v>21</v>
      </c>
      <c r="H4" t="s">
        <v>179</v>
      </c>
      <c r="I4">
        <v>43680546</v>
      </c>
      <c r="J4" t="s">
        <v>186</v>
      </c>
      <c r="K4" s="10">
        <v>45812</v>
      </c>
      <c r="Q4">
        <v>100</v>
      </c>
      <c r="R4">
        <v>1</v>
      </c>
      <c r="S4">
        <v>1694.92</v>
      </c>
      <c r="T4">
        <v>2000</v>
      </c>
      <c r="V4">
        <v>1694.92</v>
      </c>
      <c r="W4">
        <v>18</v>
      </c>
      <c r="X4">
        <v>305.07999999999902</v>
      </c>
      <c r="Y4">
        <v>2000</v>
      </c>
      <c r="Z4">
        <v>1</v>
      </c>
      <c r="AC4" t="s">
        <v>165</v>
      </c>
      <c r="AD4">
        <v>3</v>
      </c>
      <c r="AE4">
        <v>1780</v>
      </c>
      <c r="AF4" t="s">
        <v>191</v>
      </c>
      <c r="AG4" t="s">
        <v>167</v>
      </c>
      <c r="AH4" t="s">
        <v>175</v>
      </c>
      <c r="AI4" t="s">
        <v>26</v>
      </c>
      <c r="AJ4">
        <v>6726</v>
      </c>
      <c r="AK4" t="s">
        <v>169</v>
      </c>
      <c r="AL4" t="s">
        <v>192</v>
      </c>
      <c r="AT4" t="s">
        <v>243</v>
      </c>
    </row>
    <row r="5" spans="1:46">
      <c r="A5" t="s">
        <v>177</v>
      </c>
      <c r="B5" t="s">
        <v>185</v>
      </c>
      <c r="C5" t="s">
        <v>22</v>
      </c>
      <c r="D5" s="10">
        <v>45812</v>
      </c>
      <c r="E5" s="18">
        <v>45940.726388888892</v>
      </c>
      <c r="F5" t="s">
        <v>21</v>
      </c>
      <c r="H5" t="s">
        <v>179</v>
      </c>
      <c r="I5">
        <v>43680546</v>
      </c>
      <c r="J5" t="s">
        <v>186</v>
      </c>
      <c r="K5" s="10">
        <v>45812</v>
      </c>
      <c r="Q5">
        <v>100</v>
      </c>
      <c r="R5">
        <v>1</v>
      </c>
      <c r="S5">
        <v>33.9</v>
      </c>
      <c r="T5">
        <v>40</v>
      </c>
      <c r="V5">
        <v>33.9</v>
      </c>
      <c r="W5">
        <v>17.989999999999998</v>
      </c>
      <c r="X5">
        <v>6.1</v>
      </c>
      <c r="Y5">
        <v>40</v>
      </c>
      <c r="Z5">
        <v>1</v>
      </c>
      <c r="AC5" t="s">
        <v>165</v>
      </c>
      <c r="AD5">
        <v>3</v>
      </c>
      <c r="AE5">
        <v>1785</v>
      </c>
      <c r="AF5" t="s">
        <v>187</v>
      </c>
      <c r="AG5" t="s">
        <v>188</v>
      </c>
      <c r="AH5" t="s">
        <v>175</v>
      </c>
      <c r="AI5" t="s">
        <v>26</v>
      </c>
      <c r="AJ5">
        <v>877</v>
      </c>
      <c r="AK5" t="s">
        <v>189</v>
      </c>
      <c r="AL5" t="s">
        <v>190</v>
      </c>
      <c r="AT5" t="s">
        <v>243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05B-6881-46C5-9D6B-69A6A44B0246}">
  <dimension ref="A1:AS199"/>
  <sheetViews>
    <sheetView tabSelected="1" topLeftCell="AB1" zoomScaleNormal="100" workbookViewId="0">
      <selection activeCell="AE13" sqref="AE13"/>
    </sheetView>
  </sheetViews>
  <sheetFormatPr baseColWidth="10" defaultRowHeight="12.75"/>
  <cols>
    <col min="1" max="1" width="15.7109375" style="21" bestFit="1" customWidth="1"/>
    <col min="2" max="2" width="23.7109375" style="21" bestFit="1" customWidth="1"/>
    <col min="3" max="3" width="11.42578125" style="21"/>
    <col min="4" max="4" width="15.7109375" style="21" bestFit="1" customWidth="1"/>
    <col min="5" max="5" width="18.85546875" style="21" bestFit="1" customWidth="1"/>
    <col min="6" max="6" width="10.7109375" style="21" customWidth="1"/>
    <col min="7" max="7" width="38.85546875" style="21" bestFit="1" customWidth="1"/>
    <col min="8" max="8" width="18.85546875" style="21" bestFit="1" customWidth="1"/>
    <col min="9" max="9" width="6.42578125" style="21" customWidth="1"/>
    <col min="10" max="10" width="24.5703125" style="21" bestFit="1" customWidth="1"/>
    <col min="11" max="11" width="7.85546875" style="21" bestFit="1" customWidth="1"/>
    <col min="12" max="12" width="18.85546875" style="21" bestFit="1" customWidth="1"/>
    <col min="13" max="13" width="14.42578125" style="21" bestFit="1" customWidth="1"/>
    <col min="14" max="14" width="16.140625" style="21" bestFit="1" customWidth="1"/>
    <col min="15" max="15" width="5.85546875" style="21" customWidth="1"/>
    <col min="16" max="16" width="18.85546875" style="21" bestFit="1" customWidth="1"/>
    <col min="17" max="17" width="5.5703125" style="21" customWidth="1"/>
    <col min="18" max="18" width="15.7109375" style="21" bestFit="1" customWidth="1"/>
    <col min="19" max="19" width="7.85546875" style="21" bestFit="1" customWidth="1"/>
    <col min="20" max="20" width="18.85546875" style="21" bestFit="1" customWidth="1"/>
    <col min="21" max="21" width="14.42578125" style="21" bestFit="1" customWidth="1"/>
    <col min="22" max="22" width="16.140625" style="21" bestFit="1" customWidth="1"/>
    <col min="23" max="23" width="4.5703125" style="21" customWidth="1"/>
    <col min="24" max="24" width="15.7109375" style="21" bestFit="1" customWidth="1"/>
    <col min="25" max="25" width="7.85546875" style="21" bestFit="1" customWidth="1"/>
    <col min="26" max="26" width="25.85546875" style="21" bestFit="1" customWidth="1"/>
    <col min="27" max="27" width="22.42578125" style="21" bestFit="1" customWidth="1"/>
    <col min="28" max="28" width="18.7109375" style="21" bestFit="1" customWidth="1"/>
    <col min="29" max="29" width="6.28515625" style="21" customWidth="1"/>
    <col min="30" max="30" width="15.7109375" style="21" bestFit="1" customWidth="1"/>
    <col min="31" max="31" width="7.85546875" style="21" bestFit="1" customWidth="1"/>
    <col min="32" max="32" width="18.85546875" style="21" bestFit="1" customWidth="1"/>
    <col min="33" max="33" width="14.42578125" style="21" bestFit="1" customWidth="1"/>
    <col min="34" max="34" width="16.140625" style="21" bestFit="1" customWidth="1"/>
    <col min="35" max="35" width="6.28515625" style="21" customWidth="1"/>
    <col min="36" max="36" width="15.7109375" style="21" bestFit="1" customWidth="1"/>
    <col min="37" max="37" width="7.85546875" style="21" bestFit="1" customWidth="1"/>
    <col min="38" max="38" width="25.85546875" style="21" bestFit="1" customWidth="1"/>
    <col min="39" max="39" width="22.42578125" style="21" bestFit="1" customWidth="1"/>
    <col min="40" max="40" width="18.7109375" style="21" bestFit="1" customWidth="1"/>
    <col min="41" max="42" width="11.42578125" style="21"/>
    <col min="43" max="43" width="23.7109375" style="21" bestFit="1" customWidth="1"/>
    <col min="44" max="44" width="32" style="21" bestFit="1" customWidth="1"/>
    <col min="45" max="45" width="70.5703125" style="21" bestFit="1" customWidth="1"/>
    <col min="46" max="16384" width="11.42578125" style="21"/>
  </cols>
  <sheetData>
    <row r="1" spans="1:45">
      <c r="R1" s="22" t="s">
        <v>225</v>
      </c>
      <c r="X1" s="22" t="s">
        <v>226</v>
      </c>
      <c r="AD1" s="22" t="s">
        <v>227</v>
      </c>
      <c r="AE1" s="22"/>
      <c r="AF1" s="22"/>
      <c r="AG1" s="22"/>
      <c r="AH1" s="22"/>
      <c r="AI1" s="22"/>
      <c r="AJ1" s="22" t="s">
        <v>228</v>
      </c>
      <c r="AQ1" s="23" t="s">
        <v>229</v>
      </c>
      <c r="AR1" s="23" t="s">
        <v>230</v>
      </c>
      <c r="AS1" s="23" t="s">
        <v>231</v>
      </c>
    </row>
    <row r="2" spans="1:45">
      <c r="AQ2" s="23"/>
      <c r="AR2" s="23"/>
      <c r="AS2" s="23"/>
    </row>
    <row r="3" spans="1:45" ht="15">
      <c r="A3" s="27" t="s">
        <v>42</v>
      </c>
      <c r="B3" s="21" t="s">
        <v>233</v>
      </c>
      <c r="D3" s="27" t="s">
        <v>42</v>
      </c>
      <c r="E3" s="21" t="s">
        <v>234</v>
      </c>
      <c r="G3" s="27" t="s">
        <v>42</v>
      </c>
      <c r="H3" s="21" t="s">
        <v>234</v>
      </c>
      <c r="J3" s="27" t="s">
        <v>42</v>
      </c>
      <c r="K3" s="21" t="s">
        <v>232</v>
      </c>
      <c r="L3" s="21" t="s">
        <v>234</v>
      </c>
      <c r="M3" s="21" t="s">
        <v>235</v>
      </c>
      <c r="N3" s="21" t="s">
        <v>236</v>
      </c>
      <c r="P3" s="21" t="s">
        <v>234</v>
      </c>
      <c r="R3" s="27" t="s">
        <v>42</v>
      </c>
      <c r="S3" s="21" t="s">
        <v>232</v>
      </c>
      <c r="T3" s="21" t="s">
        <v>234</v>
      </c>
      <c r="U3" s="21" t="s">
        <v>235</v>
      </c>
      <c r="V3" s="21" t="s">
        <v>236</v>
      </c>
      <c r="X3" s="27" t="s">
        <v>42</v>
      </c>
      <c r="Y3" s="21" t="s">
        <v>232</v>
      </c>
      <c r="Z3" s="21" t="s">
        <v>45</v>
      </c>
      <c r="AA3" s="21" t="s">
        <v>220</v>
      </c>
      <c r="AB3" s="21" t="s">
        <v>221</v>
      </c>
      <c r="AD3" s="27" t="s">
        <v>42</v>
      </c>
      <c r="AE3" s="21" t="s">
        <v>232</v>
      </c>
      <c r="AF3" s="21" t="s">
        <v>234</v>
      </c>
      <c r="AG3" s="21" t="s">
        <v>235</v>
      </c>
      <c r="AH3" s="21" t="s">
        <v>236</v>
      </c>
      <c r="AI3"/>
      <c r="AJ3" s="27" t="s">
        <v>42</v>
      </c>
      <c r="AK3" s="21" t="s">
        <v>232</v>
      </c>
      <c r="AL3" s="21" t="s">
        <v>45</v>
      </c>
      <c r="AM3" s="21" t="s">
        <v>220</v>
      </c>
      <c r="AN3" s="21" t="s">
        <v>221</v>
      </c>
      <c r="AQ3" s="23"/>
      <c r="AR3" s="23"/>
      <c r="AS3" s="23"/>
    </row>
    <row r="4" spans="1:45" ht="15">
      <c r="A4" s="24" t="s">
        <v>24</v>
      </c>
      <c r="B4" s="28">
        <v>5</v>
      </c>
      <c r="D4" s="24" t="s">
        <v>24</v>
      </c>
      <c r="E4" s="28">
        <v>599.64</v>
      </c>
      <c r="G4" s="24" t="s">
        <v>166</v>
      </c>
      <c r="H4" s="28">
        <v>123.56</v>
      </c>
      <c r="J4" s="24" t="s">
        <v>27</v>
      </c>
      <c r="K4" s="28">
        <v>1</v>
      </c>
      <c r="L4" s="28">
        <v>30</v>
      </c>
      <c r="M4" s="28">
        <v>0</v>
      </c>
      <c r="N4" s="28">
        <v>30</v>
      </c>
      <c r="P4" s="28">
        <v>2579.14</v>
      </c>
      <c r="R4" s="24" t="s">
        <v>223</v>
      </c>
      <c r="S4" s="28">
        <v>13</v>
      </c>
      <c r="T4" s="28">
        <v>2579.14</v>
      </c>
      <c r="U4" s="28">
        <v>438.12999999999886</v>
      </c>
      <c r="V4" s="28">
        <v>3017.27</v>
      </c>
      <c r="X4" s="24" t="s">
        <v>222</v>
      </c>
      <c r="Y4" s="21">
        <v>3</v>
      </c>
      <c r="Z4" s="21">
        <v>-490.05999999999995</v>
      </c>
      <c r="AA4" s="21">
        <v>-88.21</v>
      </c>
      <c r="AB4" s="21">
        <v>-578.27</v>
      </c>
      <c r="AD4" s="24"/>
      <c r="AE4" s="28">
        <v>1</v>
      </c>
      <c r="AF4" s="28">
        <v>50.85</v>
      </c>
      <c r="AG4" s="28">
        <v>9.1499999999999897</v>
      </c>
      <c r="AH4" s="28">
        <v>60</v>
      </c>
      <c r="AI4"/>
      <c r="AJ4" s="24" t="s">
        <v>112</v>
      </c>
      <c r="AK4" s="28">
        <v>1</v>
      </c>
      <c r="AL4" s="28">
        <v>-31.27</v>
      </c>
      <c r="AM4" s="28">
        <v>-5.63</v>
      </c>
      <c r="AN4" s="28">
        <v>-36.9</v>
      </c>
      <c r="AQ4" s="23"/>
      <c r="AR4" s="23"/>
      <c r="AS4" s="23"/>
    </row>
    <row r="5" spans="1:45" ht="15">
      <c r="A5" s="24" t="s">
        <v>26</v>
      </c>
      <c r="B5" s="28">
        <v>8</v>
      </c>
      <c r="D5" s="24" t="s">
        <v>26</v>
      </c>
      <c r="E5" s="28">
        <v>1979.5</v>
      </c>
      <c r="G5" s="24" t="s">
        <v>95</v>
      </c>
      <c r="H5" s="28">
        <v>50</v>
      </c>
      <c r="J5" s="24" t="s">
        <v>173</v>
      </c>
      <c r="K5" s="28">
        <v>2</v>
      </c>
      <c r="L5" s="28">
        <v>358.82</v>
      </c>
      <c r="M5" s="28">
        <v>64.59</v>
      </c>
      <c r="N5" s="28">
        <v>423.41</v>
      </c>
      <c r="R5" s="25">
        <v>45810</v>
      </c>
      <c r="S5" s="28">
        <v>6</v>
      </c>
      <c r="T5" s="28">
        <v>651.76</v>
      </c>
      <c r="U5" s="28">
        <v>106.50999999999998</v>
      </c>
      <c r="V5" s="28">
        <v>758.2700000000001</v>
      </c>
      <c r="X5" s="25">
        <v>45799</v>
      </c>
      <c r="Y5" s="21">
        <v>1</v>
      </c>
      <c r="Z5" s="21">
        <v>-149.97</v>
      </c>
      <c r="AA5" s="21">
        <v>-26.99</v>
      </c>
      <c r="AB5" s="21">
        <v>-176.96</v>
      </c>
      <c r="AD5" s="24" t="s">
        <v>240</v>
      </c>
      <c r="AE5" s="28">
        <v>1</v>
      </c>
      <c r="AF5" s="28">
        <v>50</v>
      </c>
      <c r="AG5" s="28">
        <v>9</v>
      </c>
      <c r="AH5" s="28">
        <v>59</v>
      </c>
      <c r="AI5"/>
      <c r="AJ5" s="24" t="s">
        <v>108</v>
      </c>
      <c r="AK5" s="28">
        <v>1</v>
      </c>
      <c r="AL5" s="28">
        <v>-149.97</v>
      </c>
      <c r="AM5" s="28">
        <v>-26.99</v>
      </c>
      <c r="AN5" s="28">
        <v>-176.96</v>
      </c>
      <c r="AQ5" s="23"/>
      <c r="AR5" s="23"/>
      <c r="AS5" s="23"/>
    </row>
    <row r="6" spans="1:45" ht="15">
      <c r="A6" s="24" t="s">
        <v>43</v>
      </c>
      <c r="B6" s="28">
        <v>13</v>
      </c>
      <c r="D6" s="24" t="s">
        <v>43</v>
      </c>
      <c r="E6" s="28">
        <v>2579.14</v>
      </c>
      <c r="G6" s="24" t="s">
        <v>183</v>
      </c>
      <c r="H6" s="28">
        <v>25</v>
      </c>
      <c r="J6" s="24" t="s">
        <v>21</v>
      </c>
      <c r="K6" s="28">
        <v>8</v>
      </c>
      <c r="L6" s="28">
        <v>2009.08</v>
      </c>
      <c r="M6" s="28">
        <v>340.91999999999888</v>
      </c>
      <c r="N6" s="28">
        <v>2350</v>
      </c>
      <c r="R6" s="25">
        <v>45812</v>
      </c>
      <c r="S6" s="28">
        <v>3</v>
      </c>
      <c r="T6" s="28">
        <v>1792.38</v>
      </c>
      <c r="U6" s="28">
        <v>322.61999999999892</v>
      </c>
      <c r="V6" s="28">
        <v>2115</v>
      </c>
      <c r="X6" s="25">
        <v>45800</v>
      </c>
      <c r="Y6" s="21">
        <v>1</v>
      </c>
      <c r="Z6" s="21">
        <v>-308.82</v>
      </c>
      <c r="AA6" s="21">
        <v>-55.59</v>
      </c>
      <c r="AB6" s="21">
        <v>-364.41</v>
      </c>
      <c r="AD6" s="24" t="s">
        <v>247</v>
      </c>
      <c r="AE6" s="28">
        <v>1</v>
      </c>
      <c r="AF6" s="28">
        <v>31.27</v>
      </c>
      <c r="AG6" s="28">
        <v>5.6299999999999901</v>
      </c>
      <c r="AH6" s="28">
        <v>36.9</v>
      </c>
      <c r="AI6"/>
      <c r="AJ6" s="24" t="s">
        <v>107</v>
      </c>
      <c r="AK6" s="28">
        <v>1</v>
      </c>
      <c r="AL6" s="28">
        <v>-308.82</v>
      </c>
      <c r="AM6" s="28">
        <v>-55.59</v>
      </c>
      <c r="AN6" s="28">
        <v>-364.41</v>
      </c>
      <c r="AQ6" s="23"/>
      <c r="AR6" s="23"/>
      <c r="AS6" s="23"/>
    </row>
    <row r="7" spans="1:45" ht="15">
      <c r="G7" s="24" t="s">
        <v>187</v>
      </c>
      <c r="H7" s="28">
        <v>33.9</v>
      </c>
      <c r="J7" s="24" t="s">
        <v>113</v>
      </c>
      <c r="K7" s="28">
        <v>1</v>
      </c>
      <c r="L7" s="28">
        <v>31.27</v>
      </c>
      <c r="M7" s="28">
        <v>5.6299999999999901</v>
      </c>
      <c r="N7" s="28">
        <v>36.9</v>
      </c>
      <c r="R7" s="25">
        <v>45821</v>
      </c>
      <c r="S7" s="28">
        <v>3</v>
      </c>
      <c r="T7" s="28">
        <v>105</v>
      </c>
      <c r="U7" s="28">
        <v>9</v>
      </c>
      <c r="V7" s="28">
        <v>114</v>
      </c>
      <c r="X7" s="25">
        <v>45804</v>
      </c>
      <c r="Y7" s="21">
        <v>1</v>
      </c>
      <c r="Z7" s="21">
        <v>-31.27</v>
      </c>
      <c r="AA7" s="21">
        <v>-5.63</v>
      </c>
      <c r="AB7" s="21">
        <v>-36.9</v>
      </c>
      <c r="AD7" s="24" t="s">
        <v>249</v>
      </c>
      <c r="AE7" s="28">
        <v>1</v>
      </c>
      <c r="AF7" s="28">
        <v>149.97</v>
      </c>
      <c r="AG7" s="28">
        <v>26.99</v>
      </c>
      <c r="AH7" s="28">
        <v>176.96</v>
      </c>
      <c r="AI7"/>
      <c r="AJ7" s="24" t="s">
        <v>105</v>
      </c>
      <c r="AK7" s="28">
        <v>1</v>
      </c>
      <c r="AL7" s="28">
        <v>-60</v>
      </c>
      <c r="AM7" s="28"/>
      <c r="AN7" s="28">
        <v>-60</v>
      </c>
      <c r="AQ7" s="23"/>
      <c r="AR7" s="23"/>
      <c r="AS7" s="23"/>
    </row>
    <row r="8" spans="1:45" ht="15">
      <c r="G8" s="24" t="s">
        <v>191</v>
      </c>
      <c r="H8" s="28">
        <v>1694.92</v>
      </c>
      <c r="J8" s="24" t="s">
        <v>109</v>
      </c>
      <c r="K8" s="28">
        <v>1</v>
      </c>
      <c r="L8" s="28">
        <v>149.97</v>
      </c>
      <c r="M8" s="28">
        <v>26.99</v>
      </c>
      <c r="N8" s="28">
        <v>176.96</v>
      </c>
      <c r="R8" s="25">
        <v>45831</v>
      </c>
      <c r="S8" s="28">
        <v>1</v>
      </c>
      <c r="T8" s="28">
        <v>30</v>
      </c>
      <c r="U8" s="28">
        <v>0</v>
      </c>
      <c r="V8" s="28">
        <v>30</v>
      </c>
      <c r="X8" s="24" t="s">
        <v>223</v>
      </c>
      <c r="Y8" s="21">
        <v>9</v>
      </c>
      <c r="Z8" s="21">
        <v>-2089.08</v>
      </c>
      <c r="AA8" s="21">
        <v>-349.92</v>
      </c>
      <c r="AB8" s="21">
        <v>-2439</v>
      </c>
      <c r="AD8" s="24" t="s">
        <v>248</v>
      </c>
      <c r="AE8" s="28">
        <v>1</v>
      </c>
      <c r="AF8" s="28">
        <v>308.82</v>
      </c>
      <c r="AG8" s="28">
        <v>55.59</v>
      </c>
      <c r="AH8" s="28">
        <v>364.41</v>
      </c>
      <c r="AI8"/>
      <c r="AJ8" s="24" t="s">
        <v>103</v>
      </c>
      <c r="AK8" s="28">
        <v>1</v>
      </c>
      <c r="AL8" s="28">
        <v>-50.85</v>
      </c>
      <c r="AM8" s="28">
        <v>-9.15</v>
      </c>
      <c r="AN8" s="28">
        <v>-60</v>
      </c>
      <c r="AQ8" s="23"/>
      <c r="AR8" s="23"/>
      <c r="AS8" s="23"/>
    </row>
    <row r="9" spans="1:45" ht="15">
      <c r="G9" s="24" t="s">
        <v>198</v>
      </c>
      <c r="H9" s="28">
        <v>161.69999999999999</v>
      </c>
      <c r="J9" s="24" t="s">
        <v>43</v>
      </c>
      <c r="K9" s="28">
        <v>13</v>
      </c>
      <c r="L9" s="28">
        <v>2579.1399999999994</v>
      </c>
      <c r="M9" s="28">
        <v>438.12999999999886</v>
      </c>
      <c r="N9" s="28">
        <v>3017.27</v>
      </c>
      <c r="R9" s="24" t="s">
        <v>43</v>
      </c>
      <c r="S9" s="28">
        <v>13</v>
      </c>
      <c r="T9" s="28">
        <v>2579.14</v>
      </c>
      <c r="U9" s="28">
        <v>438.12999999999886</v>
      </c>
      <c r="V9" s="28">
        <v>3017.27</v>
      </c>
      <c r="X9" s="25">
        <v>45810</v>
      </c>
      <c r="Y9" s="21">
        <v>3</v>
      </c>
      <c r="Z9" s="21">
        <v>-161.69999999999999</v>
      </c>
      <c r="AA9" s="21">
        <v>-18.3</v>
      </c>
      <c r="AB9" s="21">
        <v>-180</v>
      </c>
      <c r="AD9" s="24" t="s">
        <v>239</v>
      </c>
      <c r="AE9" s="28">
        <v>1</v>
      </c>
      <c r="AF9" s="28">
        <v>30</v>
      </c>
      <c r="AG9" s="28">
        <v>0</v>
      </c>
      <c r="AH9" s="28">
        <v>30</v>
      </c>
      <c r="AI9"/>
      <c r="AJ9" s="24" t="s">
        <v>101</v>
      </c>
      <c r="AK9" s="28">
        <v>1</v>
      </c>
      <c r="AL9" s="28">
        <v>-63.56</v>
      </c>
      <c r="AM9" s="28">
        <v>-11.44</v>
      </c>
      <c r="AN9" s="28">
        <v>-75</v>
      </c>
      <c r="AQ9" s="23"/>
      <c r="AR9" s="23"/>
      <c r="AS9" s="23"/>
    </row>
    <row r="10" spans="1:45" ht="15">
      <c r="D10" s="27" t="s">
        <v>42</v>
      </c>
      <c r="E10" s="21" t="s">
        <v>235</v>
      </c>
      <c r="G10" s="24" t="s">
        <v>206</v>
      </c>
      <c r="H10" s="28">
        <v>31.27</v>
      </c>
      <c r="J10"/>
      <c r="K10"/>
      <c r="L10"/>
      <c r="M10"/>
      <c r="N10"/>
      <c r="R10"/>
      <c r="S10"/>
      <c r="T10"/>
      <c r="U10"/>
      <c r="V10"/>
      <c r="X10" s="25">
        <v>45812</v>
      </c>
      <c r="Y10" s="21">
        <v>2</v>
      </c>
      <c r="Z10" s="21">
        <v>-1792.3799999999999</v>
      </c>
      <c r="AA10" s="21">
        <v>-322.62</v>
      </c>
      <c r="AB10" s="21">
        <v>-2115</v>
      </c>
      <c r="AD10" s="24" t="s">
        <v>246</v>
      </c>
      <c r="AE10" s="28">
        <v>1</v>
      </c>
      <c r="AF10" s="28">
        <v>60</v>
      </c>
      <c r="AG10" s="28">
        <v>0</v>
      </c>
      <c r="AH10" s="28">
        <v>60</v>
      </c>
      <c r="AI10"/>
      <c r="AJ10" s="24" t="s">
        <v>110</v>
      </c>
      <c r="AK10" s="28">
        <v>1</v>
      </c>
      <c r="AL10" s="28">
        <v>-1728.82</v>
      </c>
      <c r="AM10" s="28">
        <v>-311.18</v>
      </c>
      <c r="AN10" s="28">
        <v>-2040</v>
      </c>
      <c r="AQ10" s="23"/>
      <c r="AR10" s="23"/>
      <c r="AS10" s="23"/>
    </row>
    <row r="11" spans="1:45" ht="15">
      <c r="D11" s="24" t="s">
        <v>24</v>
      </c>
      <c r="E11" s="28">
        <v>91.72999999999999</v>
      </c>
      <c r="G11" s="24" t="s">
        <v>211</v>
      </c>
      <c r="H11" s="28">
        <v>308.82</v>
      </c>
      <c r="J11"/>
      <c r="K11"/>
      <c r="L11"/>
      <c r="M11"/>
      <c r="N11"/>
      <c r="R11"/>
      <c r="S11"/>
      <c r="T11"/>
      <c r="U11"/>
      <c r="V11"/>
      <c r="X11" s="25">
        <v>45821</v>
      </c>
      <c r="Y11" s="21">
        <v>3</v>
      </c>
      <c r="Z11" s="21">
        <v>-105</v>
      </c>
      <c r="AA11" s="21">
        <v>-9</v>
      </c>
      <c r="AB11" s="21">
        <v>-114</v>
      </c>
      <c r="AD11" s="24" t="s">
        <v>245</v>
      </c>
      <c r="AE11" s="28">
        <v>1</v>
      </c>
      <c r="AF11" s="28">
        <v>50.85</v>
      </c>
      <c r="AG11" s="28">
        <v>9.1499999999999897</v>
      </c>
      <c r="AH11" s="28">
        <v>60</v>
      </c>
      <c r="AI11"/>
      <c r="AJ11" s="24" t="s">
        <v>99</v>
      </c>
      <c r="AK11" s="28">
        <v>1</v>
      </c>
      <c r="AL11" s="28">
        <v>-25</v>
      </c>
      <c r="AM11" s="28"/>
      <c r="AN11" s="28">
        <v>-25</v>
      </c>
    </row>
    <row r="12" spans="1:45" ht="15">
      <c r="D12" s="24" t="s">
        <v>26</v>
      </c>
      <c r="E12" s="28">
        <v>346.3999999999989</v>
      </c>
      <c r="G12" s="24" t="s">
        <v>216</v>
      </c>
      <c r="H12" s="28">
        <v>149.97</v>
      </c>
      <c r="J12"/>
      <c r="K12"/>
      <c r="L12"/>
      <c r="M12"/>
      <c r="N12"/>
      <c r="R12"/>
      <c r="S12"/>
      <c r="T12"/>
      <c r="U12"/>
      <c r="V12"/>
      <c r="X12" s="25">
        <v>45831</v>
      </c>
      <c r="Y12" s="21">
        <v>1</v>
      </c>
      <c r="Z12" s="21">
        <v>-30</v>
      </c>
      <c r="AB12" s="21">
        <v>-30</v>
      </c>
      <c r="AD12" s="24" t="s">
        <v>244</v>
      </c>
      <c r="AE12" s="28">
        <v>1</v>
      </c>
      <c r="AF12" s="28">
        <v>63.56</v>
      </c>
      <c r="AG12" s="28">
        <v>11.4399999999999</v>
      </c>
      <c r="AH12" s="28">
        <v>75</v>
      </c>
      <c r="AI12"/>
      <c r="AJ12" s="24" t="s">
        <v>98</v>
      </c>
      <c r="AK12" s="28">
        <v>1</v>
      </c>
      <c r="AL12" s="28">
        <v>-30</v>
      </c>
      <c r="AM12" s="28"/>
      <c r="AN12" s="28">
        <v>-30</v>
      </c>
    </row>
    <row r="13" spans="1:45" ht="15">
      <c r="D13" s="24" t="s">
        <v>43</v>
      </c>
      <c r="E13" s="28">
        <v>438.12999999999886</v>
      </c>
      <c r="G13" s="24" t="s">
        <v>43</v>
      </c>
      <c r="H13" s="28">
        <v>2579.14</v>
      </c>
      <c r="J13"/>
      <c r="K13"/>
      <c r="L13"/>
      <c r="M13"/>
      <c r="N13"/>
      <c r="R13"/>
      <c r="S13"/>
      <c r="T13"/>
      <c r="U13"/>
      <c r="V13"/>
      <c r="X13" s="24" t="s">
        <v>43</v>
      </c>
      <c r="Y13" s="21">
        <v>12</v>
      </c>
      <c r="Z13" s="21">
        <v>-2579.14</v>
      </c>
      <c r="AA13" s="21">
        <v>-438.13</v>
      </c>
      <c r="AB13" s="21">
        <v>-3017.27</v>
      </c>
      <c r="AD13" s="24" t="s">
        <v>243</v>
      </c>
      <c r="AE13" s="28">
        <v>2</v>
      </c>
      <c r="AF13" s="28">
        <v>1728.8200000000002</v>
      </c>
      <c r="AG13" s="28">
        <v>311.17999999999904</v>
      </c>
      <c r="AH13" s="28">
        <v>2040</v>
      </c>
      <c r="AI13"/>
      <c r="AJ13" s="24" t="s">
        <v>96</v>
      </c>
      <c r="AK13" s="28">
        <v>1</v>
      </c>
      <c r="AL13" s="28">
        <v>-50</v>
      </c>
      <c r="AM13" s="28">
        <v>-9</v>
      </c>
      <c r="AN13" s="28">
        <v>-59</v>
      </c>
    </row>
    <row r="14" spans="1:45" ht="15">
      <c r="G14"/>
      <c r="H14"/>
      <c r="R14"/>
      <c r="S14"/>
      <c r="T14"/>
      <c r="U14"/>
      <c r="V14"/>
      <c r="X14"/>
      <c r="Y14"/>
      <c r="Z14"/>
      <c r="AA14"/>
      <c r="AB14"/>
      <c r="AD14" s="24" t="s">
        <v>242</v>
      </c>
      <c r="AE14" s="28">
        <v>1</v>
      </c>
      <c r="AF14" s="28">
        <v>25</v>
      </c>
      <c r="AG14" s="28">
        <v>0</v>
      </c>
      <c r="AH14" s="28">
        <v>25</v>
      </c>
      <c r="AI14"/>
      <c r="AJ14" s="24" t="s">
        <v>94</v>
      </c>
      <c r="AK14" s="28">
        <v>1</v>
      </c>
      <c r="AL14" s="28">
        <v>-30</v>
      </c>
      <c r="AM14" s="28"/>
      <c r="AN14" s="28">
        <v>-30</v>
      </c>
    </row>
    <row r="15" spans="1:45" ht="15">
      <c r="G15"/>
      <c r="H15"/>
      <c r="R15"/>
      <c r="S15"/>
      <c r="T15"/>
      <c r="U15"/>
      <c r="V15"/>
      <c r="X15"/>
      <c r="Y15"/>
      <c r="Z15"/>
      <c r="AA15"/>
      <c r="AB15"/>
      <c r="AD15" s="24" t="s">
        <v>241</v>
      </c>
      <c r="AE15" s="28">
        <v>1</v>
      </c>
      <c r="AF15" s="28">
        <v>30</v>
      </c>
      <c r="AG15" s="28">
        <v>0</v>
      </c>
      <c r="AH15" s="28">
        <v>30</v>
      </c>
      <c r="AI15"/>
      <c r="AJ15" s="24" t="s">
        <v>44</v>
      </c>
      <c r="AK15" s="28">
        <v>1</v>
      </c>
      <c r="AL15" s="28">
        <v>-50.85</v>
      </c>
      <c r="AM15" s="28">
        <v>-9.15</v>
      </c>
      <c r="AN15" s="28">
        <v>-60</v>
      </c>
    </row>
    <row r="16" spans="1:45" ht="15">
      <c r="G16"/>
      <c r="H16"/>
      <c r="R16"/>
      <c r="S16"/>
      <c r="T16"/>
      <c r="U16"/>
      <c r="V16"/>
      <c r="X16"/>
      <c r="Y16"/>
      <c r="Z16"/>
      <c r="AA16"/>
      <c r="AB16"/>
      <c r="AD16" s="24" t="s">
        <v>43</v>
      </c>
      <c r="AE16" s="28">
        <v>13</v>
      </c>
      <c r="AF16" s="28">
        <v>2579.1400000000003</v>
      </c>
      <c r="AG16" s="28">
        <v>438.12999999999886</v>
      </c>
      <c r="AH16" s="28">
        <v>3017.27</v>
      </c>
      <c r="AI16"/>
      <c r="AJ16" s="24" t="s">
        <v>43</v>
      </c>
      <c r="AK16" s="28">
        <v>12</v>
      </c>
      <c r="AL16" s="28">
        <v>-2579.14</v>
      </c>
      <c r="AM16" s="28">
        <v>-438.13</v>
      </c>
      <c r="AN16" s="28">
        <v>-3017.27</v>
      </c>
    </row>
    <row r="17" spans="4:40" ht="15">
      <c r="D17" s="27" t="s">
        <v>42</v>
      </c>
      <c r="E17" s="21" t="s">
        <v>236</v>
      </c>
      <c r="G17"/>
      <c r="H17"/>
      <c r="R17"/>
      <c r="S17"/>
      <c r="T17"/>
      <c r="U17"/>
      <c r="V17"/>
      <c r="X17"/>
      <c r="Y17"/>
      <c r="Z17"/>
      <c r="AA17"/>
      <c r="AB17"/>
      <c r="AD17"/>
      <c r="AE17"/>
      <c r="AF17"/>
      <c r="AG17"/>
      <c r="AH17"/>
      <c r="AI17"/>
      <c r="AJ17"/>
      <c r="AK17"/>
      <c r="AL17"/>
      <c r="AM17"/>
      <c r="AN17"/>
    </row>
    <row r="18" spans="4:40" ht="15">
      <c r="D18" s="24" t="s">
        <v>24</v>
      </c>
      <c r="E18" s="28">
        <v>691.37000000000012</v>
      </c>
      <c r="G18"/>
      <c r="H18"/>
      <c r="R18"/>
      <c r="S18"/>
      <c r="T18"/>
      <c r="U18"/>
      <c r="V18"/>
      <c r="X18"/>
      <c r="Y18"/>
      <c r="Z18"/>
      <c r="AA18"/>
      <c r="AB18"/>
      <c r="AD18"/>
      <c r="AE18"/>
      <c r="AF18"/>
      <c r="AG18"/>
      <c r="AH18"/>
      <c r="AI18"/>
      <c r="AJ18"/>
      <c r="AK18"/>
      <c r="AL18"/>
      <c r="AM18"/>
      <c r="AN18"/>
    </row>
    <row r="19" spans="4:40" ht="15">
      <c r="D19" s="24" t="s">
        <v>26</v>
      </c>
      <c r="E19" s="28">
        <v>2325.9</v>
      </c>
      <c r="G19"/>
      <c r="H19"/>
      <c r="R19"/>
      <c r="S19"/>
      <c r="T19"/>
      <c r="U19"/>
      <c r="V19"/>
      <c r="X19"/>
      <c r="Y19"/>
      <c r="Z19"/>
      <c r="AA19"/>
      <c r="AB19"/>
      <c r="AD19"/>
      <c r="AE19"/>
      <c r="AF19"/>
      <c r="AG19"/>
      <c r="AH19"/>
      <c r="AI19"/>
      <c r="AJ19"/>
      <c r="AK19"/>
      <c r="AL19"/>
      <c r="AM19"/>
      <c r="AN19"/>
    </row>
    <row r="20" spans="4:40" ht="15">
      <c r="D20" s="24" t="s">
        <v>43</v>
      </c>
      <c r="E20" s="28">
        <v>3017.2700000000004</v>
      </c>
      <c r="G20"/>
      <c r="H20"/>
      <c r="R20"/>
      <c r="S20"/>
      <c r="T20"/>
      <c r="U20"/>
      <c r="V20"/>
      <c r="X20"/>
      <c r="Y20"/>
      <c r="Z20"/>
      <c r="AA20"/>
      <c r="AB20"/>
      <c r="AD20"/>
      <c r="AE20"/>
      <c r="AF20"/>
      <c r="AG20"/>
      <c r="AH20"/>
      <c r="AI20"/>
      <c r="AJ20"/>
      <c r="AK20"/>
      <c r="AL20"/>
      <c r="AM20"/>
      <c r="AN20"/>
    </row>
    <row r="21" spans="4:40" ht="15">
      <c r="R21"/>
      <c r="S21"/>
      <c r="T21"/>
      <c r="U21"/>
      <c r="V21"/>
      <c r="X21"/>
      <c r="Y21"/>
      <c r="Z21"/>
      <c r="AA21"/>
      <c r="AB21"/>
      <c r="AD21"/>
      <c r="AE21"/>
      <c r="AF21"/>
      <c r="AG21"/>
      <c r="AH21"/>
      <c r="AI21"/>
      <c r="AJ21"/>
      <c r="AK21"/>
      <c r="AL21"/>
      <c r="AM21"/>
      <c r="AN21"/>
    </row>
    <row r="22" spans="4:40" ht="15">
      <c r="R22"/>
      <c r="S22"/>
      <c r="T22"/>
      <c r="U22"/>
      <c r="V22"/>
      <c r="X22"/>
      <c r="Y22"/>
      <c r="Z22"/>
      <c r="AA22"/>
      <c r="AB22"/>
      <c r="AD22"/>
      <c r="AE22"/>
      <c r="AF22"/>
      <c r="AG22"/>
      <c r="AH22"/>
      <c r="AI22"/>
      <c r="AJ22"/>
      <c r="AK22"/>
      <c r="AL22"/>
      <c r="AM22"/>
      <c r="AN22"/>
    </row>
    <row r="23" spans="4:40" ht="15">
      <c r="R23"/>
      <c r="S23"/>
      <c r="T23"/>
      <c r="U23"/>
      <c r="V23"/>
      <c r="X23"/>
      <c r="Y23"/>
      <c r="Z23"/>
      <c r="AA23"/>
      <c r="AB23"/>
      <c r="AD23"/>
      <c r="AE23"/>
      <c r="AF23"/>
      <c r="AG23"/>
      <c r="AH23"/>
      <c r="AI23"/>
      <c r="AJ23"/>
      <c r="AK23"/>
      <c r="AL23"/>
      <c r="AM23"/>
      <c r="AN23"/>
    </row>
    <row r="24" spans="4:40" ht="15">
      <c r="R24"/>
      <c r="S24"/>
      <c r="T24"/>
      <c r="U24"/>
      <c r="V24"/>
      <c r="X24"/>
      <c r="Y24"/>
      <c r="Z24"/>
      <c r="AA24"/>
      <c r="AB24"/>
      <c r="AD24"/>
      <c r="AE24"/>
      <c r="AF24"/>
      <c r="AG24"/>
      <c r="AH24"/>
      <c r="AI24"/>
      <c r="AJ24"/>
      <c r="AK24"/>
      <c r="AL24"/>
      <c r="AM24"/>
      <c r="AN24"/>
    </row>
    <row r="25" spans="4:40" ht="15">
      <c r="R25"/>
      <c r="S25"/>
      <c r="T25"/>
      <c r="U25"/>
      <c r="V25"/>
      <c r="X25"/>
      <c r="Y25"/>
      <c r="Z25"/>
      <c r="AA25"/>
      <c r="AB25"/>
      <c r="AD25"/>
      <c r="AE25"/>
      <c r="AF25"/>
      <c r="AG25"/>
      <c r="AH25"/>
      <c r="AI25"/>
      <c r="AJ25"/>
      <c r="AK25"/>
      <c r="AL25"/>
      <c r="AM25"/>
      <c r="AN25"/>
    </row>
    <row r="26" spans="4:40" ht="15">
      <c r="D26" s="26" t="s">
        <v>237</v>
      </c>
      <c r="R26"/>
      <c r="S26"/>
      <c r="T26"/>
      <c r="U26"/>
      <c r="V26"/>
      <c r="X26"/>
      <c r="Y26"/>
      <c r="Z26"/>
      <c r="AA26"/>
      <c r="AB26"/>
      <c r="AD26"/>
      <c r="AE26"/>
      <c r="AF26"/>
      <c r="AG26"/>
      <c r="AH26"/>
      <c r="AI26"/>
      <c r="AJ26"/>
      <c r="AK26"/>
      <c r="AL26"/>
      <c r="AM26"/>
      <c r="AN26"/>
    </row>
    <row r="27" spans="4:40" ht="15">
      <c r="R27"/>
      <c r="S27"/>
      <c r="T27"/>
      <c r="U27"/>
      <c r="V27"/>
      <c r="X27"/>
      <c r="Y27"/>
      <c r="Z27"/>
      <c r="AA27"/>
      <c r="AB27"/>
      <c r="AD27"/>
      <c r="AE27"/>
      <c r="AF27"/>
      <c r="AG27"/>
      <c r="AH27"/>
      <c r="AI27"/>
      <c r="AJ27"/>
      <c r="AK27"/>
      <c r="AL27"/>
      <c r="AM27"/>
      <c r="AN27"/>
    </row>
    <row r="28" spans="4:40" ht="15">
      <c r="D28" s="27" t="s">
        <v>42</v>
      </c>
      <c r="E28" s="21" t="s">
        <v>238</v>
      </c>
      <c r="R28"/>
      <c r="S28"/>
      <c r="T28"/>
      <c r="U28"/>
      <c r="V28"/>
      <c r="X28"/>
      <c r="Y28"/>
      <c r="Z28"/>
      <c r="AA28"/>
      <c r="AB28"/>
      <c r="AD28"/>
      <c r="AE28"/>
      <c r="AF28"/>
      <c r="AG28"/>
      <c r="AH28"/>
      <c r="AI28"/>
      <c r="AJ28"/>
      <c r="AK28"/>
      <c r="AL28"/>
      <c r="AM28"/>
      <c r="AN28"/>
    </row>
    <row r="29" spans="4:40" ht="15">
      <c r="D29" s="24" t="s">
        <v>239</v>
      </c>
      <c r="E29" s="28">
        <v>1</v>
      </c>
      <c r="R29"/>
      <c r="S29"/>
      <c r="T29"/>
      <c r="U29"/>
      <c r="V29"/>
      <c r="X29"/>
      <c r="Y29"/>
      <c r="Z29"/>
      <c r="AA29"/>
      <c r="AB29"/>
      <c r="AD29"/>
      <c r="AE29"/>
      <c r="AF29"/>
      <c r="AG29"/>
      <c r="AH29"/>
      <c r="AI29"/>
      <c r="AJ29"/>
      <c r="AK29"/>
      <c r="AL29"/>
      <c r="AM29"/>
      <c r="AN29"/>
    </row>
    <row r="30" spans="4:40" ht="15">
      <c r="D30" s="24" t="s">
        <v>240</v>
      </c>
      <c r="E30" s="28">
        <v>1</v>
      </c>
      <c r="R30"/>
      <c r="S30"/>
      <c r="T30"/>
      <c r="U30"/>
      <c r="V30"/>
      <c r="X30"/>
      <c r="Y30"/>
      <c r="Z30"/>
      <c r="AA30"/>
      <c r="AB30"/>
      <c r="AD30"/>
      <c r="AE30"/>
      <c r="AF30"/>
      <c r="AG30"/>
      <c r="AH30"/>
      <c r="AI30"/>
      <c r="AJ30"/>
      <c r="AK30"/>
      <c r="AL30"/>
      <c r="AM30"/>
      <c r="AN30"/>
    </row>
    <row r="31" spans="4:40" ht="15">
      <c r="D31" s="24" t="s">
        <v>241</v>
      </c>
      <c r="E31" s="28">
        <v>1</v>
      </c>
      <c r="R31"/>
      <c r="S31"/>
      <c r="T31"/>
      <c r="U31"/>
      <c r="V31"/>
      <c r="X31"/>
      <c r="Y31"/>
      <c r="Z31"/>
      <c r="AA31"/>
      <c r="AB31"/>
      <c r="AD31"/>
      <c r="AE31"/>
      <c r="AF31"/>
      <c r="AG31"/>
      <c r="AH31"/>
      <c r="AI31"/>
      <c r="AJ31"/>
      <c r="AK31"/>
      <c r="AL31"/>
      <c r="AM31"/>
      <c r="AN31"/>
    </row>
    <row r="32" spans="4:40" ht="15">
      <c r="D32" s="24" t="s">
        <v>242</v>
      </c>
      <c r="E32" s="28">
        <v>1</v>
      </c>
      <c r="R32"/>
      <c r="S32"/>
      <c r="T32"/>
      <c r="U32"/>
      <c r="V32"/>
      <c r="X32"/>
      <c r="Y32"/>
      <c r="Z32"/>
      <c r="AA32"/>
      <c r="AB32"/>
      <c r="AD32"/>
      <c r="AE32"/>
      <c r="AF32"/>
      <c r="AG32"/>
      <c r="AH32"/>
      <c r="AI32"/>
      <c r="AJ32"/>
      <c r="AK32"/>
      <c r="AL32"/>
      <c r="AM32"/>
      <c r="AN32"/>
    </row>
    <row r="33" spans="4:40" ht="15">
      <c r="D33" s="24" t="s">
        <v>243</v>
      </c>
      <c r="E33" s="28">
        <v>2</v>
      </c>
      <c r="R33"/>
      <c r="S33"/>
      <c r="T33"/>
      <c r="U33"/>
      <c r="V33"/>
      <c r="X33"/>
      <c r="Y33"/>
      <c r="Z33"/>
      <c r="AA33"/>
      <c r="AB33"/>
      <c r="AD33"/>
      <c r="AE33"/>
      <c r="AF33"/>
      <c r="AG33"/>
      <c r="AH33"/>
      <c r="AI33"/>
      <c r="AJ33"/>
      <c r="AK33"/>
      <c r="AL33"/>
      <c r="AM33"/>
      <c r="AN33"/>
    </row>
    <row r="34" spans="4:40" ht="15">
      <c r="D34" s="24" t="s">
        <v>244</v>
      </c>
      <c r="E34" s="28">
        <v>1</v>
      </c>
      <c r="R34"/>
      <c r="S34"/>
      <c r="T34"/>
      <c r="U34"/>
      <c r="V34"/>
      <c r="X34"/>
      <c r="Y34"/>
      <c r="Z34"/>
      <c r="AA34"/>
      <c r="AB34"/>
      <c r="AD34"/>
      <c r="AE34"/>
      <c r="AF34"/>
      <c r="AG34"/>
      <c r="AH34"/>
      <c r="AI34"/>
      <c r="AJ34"/>
      <c r="AK34"/>
      <c r="AL34"/>
      <c r="AM34"/>
      <c r="AN34"/>
    </row>
    <row r="35" spans="4:40" ht="15">
      <c r="D35" s="24" t="s">
        <v>245</v>
      </c>
      <c r="E35" s="28">
        <v>1</v>
      </c>
      <c r="R35"/>
      <c r="S35"/>
      <c r="T35"/>
      <c r="U35"/>
      <c r="V35"/>
      <c r="X35"/>
      <c r="Y35"/>
      <c r="Z35"/>
      <c r="AA35"/>
      <c r="AB35"/>
      <c r="AD35"/>
      <c r="AE35"/>
      <c r="AF35"/>
      <c r="AG35"/>
      <c r="AH35"/>
      <c r="AI35"/>
      <c r="AJ35"/>
      <c r="AK35"/>
      <c r="AL35"/>
      <c r="AM35"/>
      <c r="AN35"/>
    </row>
    <row r="36" spans="4:40" ht="15">
      <c r="D36" s="24"/>
      <c r="E36" s="28">
        <v>1</v>
      </c>
      <c r="R36"/>
      <c r="S36"/>
      <c r="T36"/>
      <c r="U36"/>
      <c r="V36"/>
      <c r="X36"/>
      <c r="Y36"/>
      <c r="Z36"/>
      <c r="AA36"/>
      <c r="AB36"/>
      <c r="AD36"/>
      <c r="AE36"/>
      <c r="AF36"/>
      <c r="AG36"/>
      <c r="AH36"/>
      <c r="AI36"/>
      <c r="AJ36"/>
      <c r="AK36"/>
      <c r="AL36"/>
      <c r="AM36"/>
      <c r="AN36"/>
    </row>
    <row r="37" spans="4:40" ht="15">
      <c r="D37" s="24" t="s">
        <v>246</v>
      </c>
      <c r="E37" s="28">
        <v>1</v>
      </c>
      <c r="R37"/>
      <c r="S37"/>
      <c r="T37"/>
      <c r="U37"/>
      <c r="V37"/>
      <c r="X37"/>
      <c r="Y37"/>
      <c r="Z37"/>
      <c r="AA37"/>
      <c r="AB37"/>
      <c r="AD37"/>
      <c r="AE37"/>
      <c r="AF37"/>
      <c r="AG37"/>
      <c r="AH37"/>
      <c r="AI37"/>
      <c r="AJ37"/>
      <c r="AK37"/>
      <c r="AL37"/>
      <c r="AM37"/>
      <c r="AN37"/>
    </row>
    <row r="38" spans="4:40" ht="15">
      <c r="D38" s="24" t="s">
        <v>247</v>
      </c>
      <c r="E38" s="28">
        <v>1</v>
      </c>
      <c r="R38"/>
      <c r="S38"/>
      <c r="T38"/>
      <c r="U38"/>
      <c r="V38"/>
      <c r="X38"/>
      <c r="Y38"/>
      <c r="Z38"/>
      <c r="AA38"/>
      <c r="AB38"/>
      <c r="AD38"/>
      <c r="AE38"/>
      <c r="AF38"/>
      <c r="AG38"/>
      <c r="AH38"/>
      <c r="AI38"/>
      <c r="AJ38"/>
      <c r="AK38"/>
      <c r="AL38"/>
      <c r="AM38"/>
      <c r="AN38"/>
    </row>
    <row r="39" spans="4:40" ht="15">
      <c r="D39" s="24" t="s">
        <v>248</v>
      </c>
      <c r="E39" s="28">
        <v>1</v>
      </c>
      <c r="R39"/>
      <c r="S39"/>
      <c r="T39"/>
      <c r="U39"/>
      <c r="V39"/>
      <c r="X39"/>
      <c r="Y39"/>
      <c r="Z39"/>
      <c r="AA39"/>
      <c r="AB39"/>
      <c r="AD39"/>
      <c r="AE39"/>
      <c r="AF39"/>
      <c r="AG39"/>
      <c r="AH39"/>
      <c r="AI39"/>
      <c r="AJ39"/>
      <c r="AK39"/>
      <c r="AL39"/>
      <c r="AM39"/>
      <c r="AN39"/>
    </row>
    <row r="40" spans="4:40" ht="15">
      <c r="D40" s="24" t="s">
        <v>249</v>
      </c>
      <c r="E40" s="28">
        <v>1</v>
      </c>
      <c r="R40"/>
      <c r="S40"/>
      <c r="T40"/>
      <c r="U40"/>
      <c r="V40"/>
      <c r="X40"/>
      <c r="Y40"/>
      <c r="Z40"/>
      <c r="AA40"/>
      <c r="AB40"/>
      <c r="AD40"/>
      <c r="AE40"/>
      <c r="AF40"/>
      <c r="AG40"/>
      <c r="AH40"/>
      <c r="AI40"/>
      <c r="AJ40"/>
      <c r="AK40"/>
      <c r="AL40"/>
      <c r="AM40"/>
      <c r="AN40"/>
    </row>
    <row r="41" spans="4:40" ht="15">
      <c r="D41" s="24" t="s">
        <v>43</v>
      </c>
      <c r="E41" s="28">
        <v>13</v>
      </c>
      <c r="R41"/>
      <c r="S41"/>
      <c r="T41"/>
      <c r="U41"/>
      <c r="V41"/>
      <c r="X41"/>
      <c r="Y41"/>
      <c r="Z41"/>
      <c r="AA41"/>
      <c r="AB41"/>
      <c r="AD41"/>
      <c r="AE41"/>
      <c r="AF41"/>
      <c r="AG41"/>
      <c r="AH41"/>
      <c r="AI41"/>
      <c r="AJ41"/>
      <c r="AK41"/>
      <c r="AL41"/>
      <c r="AM41"/>
      <c r="AN41"/>
    </row>
    <row r="42" spans="4:40" ht="15">
      <c r="D42"/>
      <c r="E42"/>
      <c r="R42"/>
      <c r="S42"/>
      <c r="T42"/>
      <c r="U42"/>
      <c r="V42"/>
      <c r="X42"/>
      <c r="Y42"/>
      <c r="Z42"/>
      <c r="AA42"/>
      <c r="AB42"/>
      <c r="AD42"/>
      <c r="AE42"/>
      <c r="AF42"/>
      <c r="AG42"/>
      <c r="AH42"/>
      <c r="AI42"/>
      <c r="AJ42"/>
      <c r="AK42"/>
      <c r="AL42"/>
      <c r="AM42"/>
      <c r="AN42"/>
    </row>
    <row r="43" spans="4:40" ht="15">
      <c r="D43"/>
      <c r="E43"/>
      <c r="R43"/>
      <c r="S43"/>
      <c r="T43"/>
      <c r="U43"/>
      <c r="V43"/>
      <c r="X43"/>
      <c r="Y43"/>
      <c r="Z43"/>
      <c r="AA43"/>
      <c r="AB43"/>
      <c r="AD43"/>
      <c r="AE43"/>
      <c r="AF43"/>
      <c r="AG43"/>
      <c r="AH43"/>
      <c r="AI43"/>
      <c r="AJ43"/>
      <c r="AK43"/>
      <c r="AL43"/>
      <c r="AM43"/>
      <c r="AN43"/>
    </row>
    <row r="44" spans="4:40" ht="15">
      <c r="D44"/>
      <c r="E44"/>
      <c r="R44"/>
      <c r="S44"/>
      <c r="T44"/>
      <c r="U44"/>
      <c r="V44"/>
      <c r="X44"/>
      <c r="Y44"/>
      <c r="Z44"/>
      <c r="AA44"/>
      <c r="AB44"/>
      <c r="AD44"/>
      <c r="AE44"/>
      <c r="AF44"/>
      <c r="AG44"/>
      <c r="AH44"/>
      <c r="AI44"/>
      <c r="AJ44"/>
      <c r="AK44"/>
      <c r="AL44"/>
      <c r="AM44"/>
      <c r="AN44"/>
    </row>
    <row r="45" spans="4:40" ht="15">
      <c r="D45"/>
      <c r="E45"/>
      <c r="R45"/>
      <c r="S45"/>
      <c r="T45"/>
      <c r="U45"/>
      <c r="V45"/>
      <c r="X45"/>
      <c r="Y45"/>
      <c r="Z45"/>
      <c r="AA45"/>
      <c r="AB45"/>
      <c r="AD45"/>
      <c r="AE45"/>
      <c r="AF45"/>
      <c r="AG45"/>
      <c r="AH45"/>
      <c r="AI45"/>
      <c r="AJ45"/>
      <c r="AK45"/>
      <c r="AL45"/>
      <c r="AM45"/>
      <c r="AN45"/>
    </row>
    <row r="46" spans="4:40" ht="15">
      <c r="D46"/>
      <c r="E46"/>
      <c r="R46"/>
      <c r="S46"/>
      <c r="T46"/>
      <c r="U46"/>
      <c r="V46"/>
      <c r="X46"/>
      <c r="Y46"/>
      <c r="Z46"/>
      <c r="AA46"/>
      <c r="AB46"/>
      <c r="AD46"/>
      <c r="AE46"/>
      <c r="AF46"/>
      <c r="AG46"/>
      <c r="AH46"/>
      <c r="AI46"/>
      <c r="AJ46"/>
      <c r="AK46"/>
      <c r="AL46"/>
      <c r="AM46"/>
      <c r="AN46"/>
    </row>
    <row r="47" spans="4:40" ht="15">
      <c r="D47"/>
      <c r="E47"/>
      <c r="R47"/>
      <c r="S47"/>
      <c r="T47"/>
      <c r="U47"/>
      <c r="V47"/>
      <c r="X47"/>
      <c r="Y47"/>
      <c r="Z47"/>
      <c r="AA47"/>
      <c r="AB47"/>
      <c r="AD47"/>
      <c r="AE47"/>
      <c r="AF47"/>
      <c r="AG47"/>
      <c r="AH47"/>
      <c r="AI47"/>
      <c r="AJ47"/>
      <c r="AK47"/>
      <c r="AL47"/>
      <c r="AM47"/>
      <c r="AN47"/>
    </row>
    <row r="48" spans="4:40" ht="15">
      <c r="D48"/>
      <c r="E48"/>
      <c r="R48"/>
      <c r="S48"/>
      <c r="T48"/>
      <c r="U48"/>
      <c r="V48"/>
      <c r="X48"/>
      <c r="Y48"/>
      <c r="Z48"/>
      <c r="AA48"/>
      <c r="AB48"/>
      <c r="AD48"/>
      <c r="AE48"/>
      <c r="AF48"/>
      <c r="AG48"/>
      <c r="AH48"/>
      <c r="AI48"/>
      <c r="AJ48"/>
      <c r="AK48"/>
      <c r="AL48"/>
      <c r="AM48"/>
      <c r="AN48"/>
    </row>
    <row r="49" spans="4:40" ht="15">
      <c r="D49"/>
      <c r="E49"/>
      <c r="R49"/>
      <c r="S49"/>
      <c r="T49"/>
      <c r="U49"/>
      <c r="V49"/>
      <c r="X49"/>
      <c r="Y49"/>
      <c r="Z49"/>
      <c r="AA49"/>
      <c r="AB49"/>
      <c r="AD49"/>
      <c r="AE49"/>
      <c r="AF49"/>
      <c r="AG49"/>
      <c r="AH49"/>
      <c r="AI49"/>
      <c r="AJ49"/>
      <c r="AK49"/>
      <c r="AL49"/>
      <c r="AM49"/>
      <c r="AN49"/>
    </row>
    <row r="50" spans="4:40" ht="15">
      <c r="D50"/>
      <c r="E50"/>
      <c r="R50"/>
      <c r="S50"/>
      <c r="T50"/>
      <c r="U50"/>
      <c r="V50"/>
      <c r="X50"/>
      <c r="Y50"/>
      <c r="Z50"/>
      <c r="AA50"/>
      <c r="AB50"/>
      <c r="AD50"/>
      <c r="AE50"/>
      <c r="AF50"/>
      <c r="AG50"/>
      <c r="AH50"/>
      <c r="AI50"/>
      <c r="AJ50"/>
      <c r="AK50"/>
      <c r="AL50"/>
      <c r="AM50"/>
      <c r="AN50"/>
    </row>
    <row r="51" spans="4:40" ht="15">
      <c r="D51"/>
      <c r="E51"/>
      <c r="R51"/>
      <c r="S51"/>
      <c r="T51"/>
      <c r="U51"/>
      <c r="V51"/>
      <c r="X51"/>
      <c r="Y51"/>
      <c r="Z51"/>
      <c r="AA51"/>
      <c r="AB51"/>
      <c r="AD51"/>
      <c r="AE51"/>
      <c r="AF51"/>
      <c r="AG51"/>
      <c r="AH51"/>
      <c r="AI51"/>
      <c r="AJ51"/>
      <c r="AK51"/>
      <c r="AL51"/>
      <c r="AM51"/>
      <c r="AN51"/>
    </row>
    <row r="52" spans="4:40" ht="15">
      <c r="D52"/>
      <c r="E52"/>
      <c r="R52"/>
      <c r="S52"/>
      <c r="T52"/>
      <c r="U52"/>
      <c r="V52"/>
      <c r="X52"/>
      <c r="Y52"/>
      <c r="Z52"/>
      <c r="AA52"/>
      <c r="AB52"/>
      <c r="AD52"/>
      <c r="AE52"/>
      <c r="AF52"/>
      <c r="AG52"/>
      <c r="AH52"/>
      <c r="AI52"/>
      <c r="AJ52"/>
      <c r="AK52"/>
      <c r="AL52"/>
      <c r="AM52"/>
      <c r="AN52"/>
    </row>
    <row r="53" spans="4:40" ht="15">
      <c r="D53"/>
      <c r="E53"/>
      <c r="R53"/>
      <c r="S53"/>
      <c r="T53"/>
      <c r="U53"/>
      <c r="V53"/>
      <c r="X53"/>
      <c r="Y53"/>
      <c r="Z53"/>
      <c r="AA53"/>
      <c r="AB53"/>
      <c r="AD53"/>
      <c r="AE53"/>
      <c r="AF53"/>
      <c r="AG53"/>
      <c r="AH53"/>
      <c r="AI53"/>
      <c r="AJ53"/>
      <c r="AK53"/>
      <c r="AL53"/>
      <c r="AM53"/>
      <c r="AN53"/>
    </row>
    <row r="54" spans="4:40" ht="15">
      <c r="D54"/>
      <c r="E54"/>
      <c r="R54"/>
      <c r="S54"/>
      <c r="T54"/>
      <c r="U54"/>
      <c r="V54"/>
      <c r="X54"/>
      <c r="Y54"/>
      <c r="Z54"/>
      <c r="AA54"/>
      <c r="AB54"/>
      <c r="AD54"/>
      <c r="AE54"/>
      <c r="AF54"/>
      <c r="AG54"/>
      <c r="AH54"/>
      <c r="AI54"/>
      <c r="AJ54"/>
      <c r="AK54"/>
      <c r="AL54"/>
      <c r="AM54"/>
      <c r="AN54"/>
    </row>
    <row r="55" spans="4:40" ht="15">
      <c r="D55"/>
      <c r="E55"/>
      <c r="R55"/>
      <c r="S55"/>
      <c r="T55"/>
      <c r="U55"/>
      <c r="V55"/>
      <c r="X55"/>
      <c r="Y55"/>
      <c r="Z55"/>
      <c r="AA55"/>
      <c r="AB55"/>
      <c r="AD55"/>
      <c r="AE55"/>
      <c r="AF55"/>
      <c r="AG55"/>
      <c r="AH55"/>
      <c r="AI55"/>
      <c r="AJ55"/>
      <c r="AK55"/>
      <c r="AL55"/>
      <c r="AM55"/>
      <c r="AN55"/>
    </row>
    <row r="56" spans="4:40" ht="15">
      <c r="D56"/>
      <c r="E56"/>
      <c r="R56"/>
      <c r="S56"/>
      <c r="T56"/>
      <c r="U56"/>
      <c r="V56"/>
      <c r="X56"/>
      <c r="Y56"/>
      <c r="Z56"/>
      <c r="AA56"/>
      <c r="AB56"/>
      <c r="AD56"/>
      <c r="AE56"/>
      <c r="AF56"/>
      <c r="AG56"/>
      <c r="AH56"/>
      <c r="AI56"/>
      <c r="AJ56"/>
      <c r="AK56"/>
      <c r="AL56"/>
      <c r="AM56"/>
      <c r="AN56"/>
    </row>
    <row r="57" spans="4:40" ht="15">
      <c r="D57"/>
      <c r="E57"/>
      <c r="R57"/>
      <c r="S57"/>
      <c r="T57"/>
      <c r="U57"/>
      <c r="V57"/>
      <c r="X57"/>
      <c r="Y57"/>
      <c r="Z57"/>
      <c r="AA57"/>
      <c r="AB57"/>
      <c r="AD57"/>
      <c r="AE57"/>
      <c r="AF57"/>
      <c r="AG57"/>
      <c r="AH57"/>
      <c r="AI57"/>
      <c r="AJ57"/>
      <c r="AK57"/>
      <c r="AL57"/>
      <c r="AM57"/>
      <c r="AN57"/>
    </row>
    <row r="58" spans="4:40" ht="15">
      <c r="D58"/>
      <c r="E58"/>
      <c r="R58"/>
      <c r="S58"/>
      <c r="T58"/>
      <c r="U58"/>
      <c r="V58"/>
      <c r="X58"/>
      <c r="Y58"/>
      <c r="Z58"/>
      <c r="AA58"/>
      <c r="AB58"/>
      <c r="AD58"/>
      <c r="AE58"/>
      <c r="AF58"/>
      <c r="AG58"/>
      <c r="AH58"/>
      <c r="AI58"/>
      <c r="AJ58"/>
      <c r="AK58"/>
      <c r="AL58"/>
      <c r="AM58"/>
      <c r="AN58"/>
    </row>
    <row r="59" spans="4:40" ht="15">
      <c r="D59"/>
      <c r="E59"/>
      <c r="R59"/>
      <c r="S59"/>
      <c r="T59"/>
      <c r="U59"/>
      <c r="V59"/>
      <c r="X59"/>
      <c r="Y59"/>
      <c r="Z59"/>
      <c r="AA59"/>
      <c r="AB59"/>
      <c r="AD59"/>
      <c r="AE59"/>
      <c r="AF59"/>
      <c r="AG59"/>
      <c r="AH59"/>
      <c r="AI59"/>
      <c r="AJ59"/>
      <c r="AK59"/>
      <c r="AL59"/>
      <c r="AM59"/>
      <c r="AN59"/>
    </row>
    <row r="60" spans="4:40" ht="15">
      <c r="D60"/>
      <c r="E60"/>
      <c r="R60"/>
      <c r="S60"/>
      <c r="T60"/>
      <c r="U60"/>
      <c r="V60"/>
      <c r="X60"/>
      <c r="Y60"/>
      <c r="Z60"/>
      <c r="AA60"/>
      <c r="AB60"/>
      <c r="AD60"/>
      <c r="AE60"/>
      <c r="AF60"/>
      <c r="AG60"/>
      <c r="AH60"/>
      <c r="AI60"/>
      <c r="AJ60"/>
      <c r="AK60"/>
      <c r="AL60"/>
      <c r="AM60"/>
      <c r="AN60"/>
    </row>
    <row r="61" spans="4:40" ht="15">
      <c r="D61"/>
      <c r="E61"/>
      <c r="R61"/>
      <c r="S61"/>
      <c r="T61"/>
      <c r="U61"/>
      <c r="V61"/>
      <c r="X61"/>
      <c r="Y61"/>
      <c r="Z61"/>
      <c r="AA61"/>
      <c r="AB61"/>
      <c r="AD61"/>
      <c r="AE61"/>
      <c r="AF61"/>
      <c r="AG61"/>
      <c r="AH61"/>
      <c r="AI61"/>
      <c r="AJ61"/>
      <c r="AK61"/>
      <c r="AL61"/>
      <c r="AM61"/>
      <c r="AN61"/>
    </row>
    <row r="62" spans="4:40" ht="15">
      <c r="D62"/>
      <c r="E62"/>
      <c r="R62"/>
      <c r="S62"/>
      <c r="T62"/>
      <c r="U62"/>
      <c r="V62"/>
      <c r="X62"/>
      <c r="Y62"/>
      <c r="Z62"/>
      <c r="AA62"/>
      <c r="AB62"/>
      <c r="AD62"/>
      <c r="AE62"/>
      <c r="AF62"/>
      <c r="AG62"/>
      <c r="AH62"/>
      <c r="AI62"/>
      <c r="AJ62"/>
      <c r="AK62"/>
      <c r="AL62"/>
      <c r="AM62"/>
      <c r="AN62"/>
    </row>
    <row r="63" spans="4:40" ht="15">
      <c r="D63"/>
      <c r="E63"/>
      <c r="R63"/>
      <c r="S63"/>
      <c r="T63"/>
      <c r="U63"/>
      <c r="V63"/>
      <c r="X63"/>
      <c r="Y63"/>
      <c r="Z63"/>
      <c r="AA63"/>
      <c r="AB63"/>
      <c r="AD63"/>
      <c r="AE63"/>
      <c r="AF63"/>
      <c r="AG63"/>
      <c r="AH63"/>
      <c r="AI63"/>
      <c r="AJ63"/>
      <c r="AK63"/>
      <c r="AL63"/>
      <c r="AM63"/>
      <c r="AN63"/>
    </row>
    <row r="64" spans="4:40" ht="15">
      <c r="D64"/>
      <c r="E64"/>
      <c r="R64"/>
      <c r="S64"/>
      <c r="T64"/>
      <c r="U64"/>
      <c r="V64"/>
      <c r="X64"/>
      <c r="Y64"/>
      <c r="Z64"/>
      <c r="AA64"/>
      <c r="AB64"/>
      <c r="AD64"/>
      <c r="AE64"/>
      <c r="AF64"/>
      <c r="AG64"/>
      <c r="AH64"/>
      <c r="AI64"/>
      <c r="AJ64"/>
      <c r="AK64"/>
      <c r="AL64"/>
      <c r="AM64"/>
      <c r="AN64"/>
    </row>
    <row r="65" spans="4:40" ht="15">
      <c r="D65"/>
      <c r="E65"/>
      <c r="R65"/>
      <c r="S65"/>
      <c r="T65"/>
      <c r="U65"/>
      <c r="V65"/>
      <c r="X65"/>
      <c r="Y65"/>
      <c r="Z65"/>
      <c r="AA65"/>
      <c r="AB65"/>
      <c r="AD65"/>
      <c r="AE65"/>
      <c r="AF65"/>
      <c r="AG65"/>
      <c r="AH65"/>
      <c r="AI65"/>
      <c r="AJ65"/>
      <c r="AK65"/>
      <c r="AL65"/>
      <c r="AM65"/>
      <c r="AN65"/>
    </row>
    <row r="66" spans="4:40" ht="15">
      <c r="D66"/>
      <c r="E66"/>
      <c r="R66"/>
      <c r="S66"/>
      <c r="T66"/>
      <c r="U66"/>
      <c r="V66"/>
      <c r="X66"/>
      <c r="Y66"/>
      <c r="Z66"/>
      <c r="AA66"/>
      <c r="AB66"/>
      <c r="AD66"/>
      <c r="AE66"/>
      <c r="AF66"/>
      <c r="AG66"/>
      <c r="AH66"/>
      <c r="AI66"/>
      <c r="AJ66"/>
      <c r="AK66"/>
      <c r="AL66"/>
      <c r="AM66"/>
      <c r="AN66"/>
    </row>
    <row r="67" spans="4:40" ht="15">
      <c r="D67"/>
      <c r="E67"/>
      <c r="R67"/>
      <c r="S67"/>
      <c r="T67"/>
      <c r="U67"/>
      <c r="V67"/>
      <c r="X67"/>
      <c r="Y67"/>
      <c r="Z67"/>
      <c r="AA67"/>
      <c r="AB67"/>
      <c r="AD67"/>
      <c r="AE67"/>
      <c r="AF67"/>
      <c r="AG67"/>
      <c r="AH67"/>
      <c r="AI67"/>
      <c r="AJ67"/>
      <c r="AK67"/>
      <c r="AL67"/>
      <c r="AM67"/>
      <c r="AN67"/>
    </row>
    <row r="68" spans="4:40" ht="15">
      <c r="D68"/>
      <c r="E68"/>
      <c r="R68"/>
      <c r="S68"/>
      <c r="T68"/>
      <c r="U68"/>
      <c r="V68"/>
      <c r="X68"/>
      <c r="Y68"/>
      <c r="Z68"/>
      <c r="AA68"/>
      <c r="AB68"/>
      <c r="AD68"/>
      <c r="AE68"/>
      <c r="AF68"/>
      <c r="AG68"/>
      <c r="AH68"/>
      <c r="AI68"/>
      <c r="AJ68"/>
      <c r="AK68"/>
      <c r="AL68"/>
      <c r="AM68"/>
      <c r="AN68"/>
    </row>
    <row r="69" spans="4:40" ht="15">
      <c r="D69"/>
      <c r="E69"/>
      <c r="R69"/>
      <c r="S69"/>
      <c r="T69"/>
      <c r="U69"/>
      <c r="V69"/>
      <c r="X69"/>
      <c r="Y69"/>
      <c r="Z69"/>
      <c r="AA69"/>
      <c r="AB69"/>
      <c r="AD69"/>
      <c r="AE69"/>
      <c r="AF69"/>
      <c r="AG69"/>
      <c r="AH69"/>
      <c r="AI69"/>
      <c r="AJ69"/>
      <c r="AK69"/>
      <c r="AL69"/>
      <c r="AM69"/>
      <c r="AN69"/>
    </row>
    <row r="70" spans="4:40" ht="15">
      <c r="D70"/>
      <c r="E70"/>
      <c r="R70"/>
      <c r="S70"/>
      <c r="T70"/>
      <c r="U70"/>
      <c r="V70"/>
      <c r="X70"/>
      <c r="Y70"/>
      <c r="Z70"/>
      <c r="AA70"/>
      <c r="AB70"/>
      <c r="AD70"/>
      <c r="AE70"/>
      <c r="AF70"/>
      <c r="AG70"/>
      <c r="AH70"/>
      <c r="AI70"/>
      <c r="AJ70"/>
      <c r="AK70"/>
      <c r="AL70"/>
      <c r="AM70"/>
      <c r="AN70"/>
    </row>
    <row r="71" spans="4:40" ht="15">
      <c r="D71"/>
      <c r="E71"/>
      <c r="R71"/>
      <c r="S71"/>
      <c r="T71"/>
      <c r="U71"/>
      <c r="V71"/>
      <c r="X71"/>
      <c r="Y71"/>
      <c r="Z71"/>
      <c r="AA71"/>
      <c r="AB71"/>
      <c r="AD71"/>
      <c r="AE71"/>
      <c r="AF71"/>
      <c r="AG71"/>
      <c r="AH71"/>
      <c r="AI71"/>
      <c r="AJ71"/>
      <c r="AK71"/>
      <c r="AL71"/>
      <c r="AM71"/>
      <c r="AN71"/>
    </row>
    <row r="72" spans="4:40" ht="15">
      <c r="D72"/>
      <c r="E72"/>
      <c r="R72"/>
      <c r="S72"/>
      <c r="T72"/>
      <c r="U72"/>
      <c r="V72"/>
      <c r="X72"/>
      <c r="Y72"/>
      <c r="Z72"/>
      <c r="AA72"/>
      <c r="AB72"/>
      <c r="AD72"/>
      <c r="AE72"/>
      <c r="AF72"/>
      <c r="AG72"/>
      <c r="AH72"/>
      <c r="AI72"/>
      <c r="AJ72"/>
      <c r="AK72"/>
      <c r="AL72"/>
      <c r="AM72"/>
      <c r="AN72"/>
    </row>
    <row r="73" spans="4:40" ht="15">
      <c r="D73"/>
      <c r="E73"/>
      <c r="R73"/>
      <c r="S73"/>
      <c r="T73"/>
      <c r="U73"/>
      <c r="V73"/>
      <c r="X73"/>
      <c r="Y73"/>
      <c r="Z73"/>
      <c r="AA73"/>
      <c r="AB73"/>
      <c r="AD73"/>
      <c r="AE73"/>
      <c r="AF73"/>
      <c r="AG73"/>
      <c r="AH73"/>
      <c r="AI73"/>
      <c r="AJ73"/>
      <c r="AK73"/>
      <c r="AL73"/>
      <c r="AM73"/>
      <c r="AN73"/>
    </row>
    <row r="74" spans="4:40" ht="15">
      <c r="D74"/>
      <c r="E74"/>
      <c r="R74"/>
      <c r="S74"/>
      <c r="T74"/>
      <c r="U74"/>
      <c r="V74"/>
      <c r="X74"/>
      <c r="Y74"/>
      <c r="Z74"/>
      <c r="AA74"/>
      <c r="AB74"/>
      <c r="AD74"/>
      <c r="AE74"/>
      <c r="AF74"/>
      <c r="AG74"/>
      <c r="AH74"/>
      <c r="AI74"/>
      <c r="AJ74"/>
      <c r="AK74"/>
      <c r="AL74"/>
      <c r="AM74"/>
      <c r="AN74"/>
    </row>
    <row r="75" spans="4:40" ht="15">
      <c r="D75"/>
      <c r="E75"/>
      <c r="R75"/>
      <c r="S75"/>
      <c r="T75"/>
      <c r="U75"/>
      <c r="V75"/>
      <c r="X75"/>
      <c r="Y75"/>
      <c r="Z75"/>
      <c r="AA75"/>
      <c r="AB75"/>
      <c r="AD75"/>
      <c r="AE75"/>
      <c r="AF75"/>
      <c r="AG75"/>
      <c r="AH75"/>
      <c r="AI75"/>
      <c r="AJ75"/>
      <c r="AK75"/>
      <c r="AL75"/>
      <c r="AM75"/>
      <c r="AN75"/>
    </row>
    <row r="76" spans="4:40" ht="15">
      <c r="D76"/>
      <c r="E76"/>
      <c r="R76"/>
      <c r="S76"/>
      <c r="T76"/>
      <c r="U76"/>
      <c r="V76"/>
      <c r="X76"/>
      <c r="Y76"/>
      <c r="Z76"/>
      <c r="AA76"/>
      <c r="AB76"/>
      <c r="AD76"/>
      <c r="AE76"/>
      <c r="AF76"/>
      <c r="AG76"/>
      <c r="AH76"/>
      <c r="AI76"/>
      <c r="AJ76"/>
      <c r="AK76"/>
      <c r="AL76"/>
      <c r="AM76"/>
      <c r="AN76"/>
    </row>
    <row r="77" spans="4:40" ht="15">
      <c r="D77"/>
      <c r="E77"/>
      <c r="R77"/>
      <c r="S77"/>
      <c r="T77"/>
      <c r="U77"/>
      <c r="V77"/>
      <c r="X77"/>
      <c r="Y77"/>
      <c r="Z77"/>
      <c r="AA77"/>
      <c r="AB77"/>
      <c r="AD77"/>
      <c r="AE77"/>
      <c r="AF77"/>
      <c r="AG77"/>
      <c r="AH77"/>
      <c r="AI77"/>
      <c r="AJ77"/>
      <c r="AK77"/>
      <c r="AL77"/>
      <c r="AM77"/>
      <c r="AN77"/>
    </row>
    <row r="78" spans="4:40" ht="15">
      <c r="D78"/>
      <c r="E78"/>
      <c r="R78"/>
      <c r="S78"/>
      <c r="T78"/>
      <c r="U78"/>
      <c r="V78"/>
      <c r="X78"/>
      <c r="Y78"/>
      <c r="Z78"/>
      <c r="AA78"/>
      <c r="AB78"/>
      <c r="AD78"/>
      <c r="AE78"/>
      <c r="AF78"/>
      <c r="AG78"/>
      <c r="AH78"/>
      <c r="AI78"/>
      <c r="AJ78"/>
      <c r="AK78"/>
      <c r="AL78"/>
      <c r="AM78"/>
      <c r="AN78"/>
    </row>
    <row r="79" spans="4:40" ht="15">
      <c r="D79"/>
      <c r="E79"/>
      <c r="R79"/>
      <c r="S79"/>
      <c r="T79"/>
      <c r="U79"/>
      <c r="V79"/>
      <c r="X79"/>
      <c r="Y79"/>
      <c r="Z79"/>
      <c r="AA79"/>
      <c r="AB79"/>
      <c r="AD79"/>
      <c r="AE79"/>
      <c r="AF79"/>
      <c r="AG79"/>
      <c r="AH79"/>
      <c r="AI79"/>
      <c r="AJ79"/>
      <c r="AK79"/>
      <c r="AL79"/>
      <c r="AM79"/>
      <c r="AN79"/>
    </row>
    <row r="80" spans="4:40" ht="15">
      <c r="D80"/>
      <c r="E80"/>
      <c r="R80"/>
      <c r="S80"/>
      <c r="T80"/>
      <c r="U80"/>
      <c r="V80"/>
      <c r="X80"/>
      <c r="Y80"/>
      <c r="Z80"/>
      <c r="AA80"/>
      <c r="AB80"/>
      <c r="AD80"/>
      <c r="AE80"/>
      <c r="AF80"/>
      <c r="AG80"/>
      <c r="AH80"/>
      <c r="AI80"/>
      <c r="AJ80"/>
      <c r="AK80"/>
      <c r="AL80"/>
      <c r="AM80"/>
      <c r="AN80"/>
    </row>
    <row r="81" spans="4:40" ht="15">
      <c r="D81"/>
      <c r="E81"/>
      <c r="R81"/>
      <c r="S81"/>
      <c r="T81"/>
      <c r="U81"/>
      <c r="V81"/>
      <c r="X81"/>
      <c r="Y81"/>
      <c r="Z81"/>
      <c r="AA81"/>
      <c r="AB81"/>
      <c r="AD81"/>
      <c r="AE81"/>
      <c r="AF81"/>
      <c r="AG81"/>
      <c r="AH81"/>
      <c r="AI81"/>
      <c r="AJ81"/>
      <c r="AK81"/>
      <c r="AL81"/>
      <c r="AM81"/>
      <c r="AN81"/>
    </row>
    <row r="82" spans="4:40" ht="15">
      <c r="D82"/>
      <c r="E82"/>
      <c r="R82"/>
      <c r="S82"/>
      <c r="T82"/>
      <c r="U82"/>
      <c r="V82"/>
      <c r="X82"/>
      <c r="Y82"/>
      <c r="Z82"/>
      <c r="AA82"/>
      <c r="AB82"/>
      <c r="AD82"/>
      <c r="AE82"/>
      <c r="AF82"/>
      <c r="AG82"/>
      <c r="AH82"/>
      <c r="AI82"/>
      <c r="AJ82"/>
      <c r="AK82"/>
      <c r="AL82"/>
      <c r="AM82"/>
      <c r="AN82"/>
    </row>
    <row r="83" spans="4:40" ht="15">
      <c r="D83"/>
      <c r="E83"/>
      <c r="R83"/>
      <c r="S83"/>
      <c r="T83"/>
      <c r="U83"/>
      <c r="V83"/>
      <c r="X83"/>
      <c r="Y83"/>
      <c r="Z83"/>
      <c r="AA83"/>
      <c r="AB83"/>
      <c r="AD83"/>
      <c r="AE83"/>
      <c r="AF83"/>
      <c r="AG83"/>
      <c r="AH83"/>
      <c r="AI83"/>
      <c r="AJ83"/>
      <c r="AK83"/>
      <c r="AL83"/>
      <c r="AM83"/>
      <c r="AN83"/>
    </row>
    <row r="84" spans="4:40" ht="15">
      <c r="D84"/>
      <c r="E84"/>
      <c r="R84"/>
      <c r="S84"/>
      <c r="T84"/>
      <c r="U84"/>
      <c r="V84"/>
      <c r="X84"/>
      <c r="Y84"/>
      <c r="Z84"/>
      <c r="AA84"/>
      <c r="AB84"/>
      <c r="AD84"/>
      <c r="AE84"/>
      <c r="AF84"/>
      <c r="AG84"/>
      <c r="AH84"/>
      <c r="AI84"/>
      <c r="AJ84"/>
      <c r="AK84"/>
      <c r="AL84"/>
      <c r="AM84"/>
      <c r="AN84"/>
    </row>
    <row r="85" spans="4:40" ht="15">
      <c r="D85"/>
      <c r="E85"/>
      <c r="R85"/>
      <c r="S85"/>
      <c r="T85"/>
      <c r="U85"/>
      <c r="V85"/>
      <c r="X85"/>
      <c r="Y85"/>
      <c r="Z85"/>
      <c r="AA85"/>
      <c r="AB85"/>
      <c r="AD85"/>
      <c r="AE85"/>
      <c r="AF85"/>
      <c r="AG85"/>
      <c r="AH85"/>
      <c r="AI85"/>
      <c r="AJ85"/>
      <c r="AK85"/>
      <c r="AL85"/>
      <c r="AM85"/>
      <c r="AN85"/>
    </row>
    <row r="86" spans="4:40" ht="15">
      <c r="D86"/>
      <c r="E86"/>
      <c r="R86"/>
      <c r="S86"/>
      <c r="T86"/>
      <c r="U86"/>
      <c r="V86"/>
      <c r="X86"/>
      <c r="Y86"/>
      <c r="Z86"/>
      <c r="AA86"/>
      <c r="AB86"/>
      <c r="AD86"/>
      <c r="AE86"/>
      <c r="AF86"/>
      <c r="AG86"/>
      <c r="AH86"/>
      <c r="AI86"/>
      <c r="AJ86"/>
      <c r="AK86"/>
      <c r="AL86"/>
      <c r="AM86"/>
      <c r="AN86"/>
    </row>
    <row r="87" spans="4:40" ht="15">
      <c r="D87"/>
      <c r="E87"/>
      <c r="R87"/>
      <c r="S87"/>
      <c r="T87"/>
      <c r="U87"/>
      <c r="V87"/>
      <c r="X87"/>
      <c r="Y87"/>
      <c r="Z87"/>
      <c r="AA87"/>
      <c r="AB87"/>
      <c r="AD87"/>
      <c r="AE87"/>
      <c r="AF87"/>
      <c r="AG87"/>
      <c r="AH87"/>
      <c r="AI87"/>
    </row>
    <row r="88" spans="4:40" ht="15">
      <c r="D88"/>
      <c r="E88"/>
      <c r="R88"/>
      <c r="S88"/>
      <c r="T88"/>
      <c r="U88"/>
      <c r="V88"/>
      <c r="X88"/>
      <c r="Y88"/>
      <c r="Z88"/>
      <c r="AA88"/>
      <c r="AB88"/>
      <c r="AD88"/>
      <c r="AE88"/>
      <c r="AF88"/>
      <c r="AG88"/>
      <c r="AH88"/>
      <c r="AI88"/>
    </row>
    <row r="89" spans="4:40" ht="15">
      <c r="D89"/>
      <c r="E89"/>
      <c r="R89"/>
      <c r="S89"/>
      <c r="T89"/>
      <c r="U89"/>
      <c r="V89"/>
      <c r="X89"/>
      <c r="Y89"/>
      <c r="Z89"/>
      <c r="AA89"/>
      <c r="AB89"/>
      <c r="AD89"/>
      <c r="AE89"/>
      <c r="AF89"/>
      <c r="AG89"/>
      <c r="AH89"/>
      <c r="AI89"/>
    </row>
    <row r="90" spans="4:40" ht="15">
      <c r="D90"/>
      <c r="E90"/>
      <c r="R90"/>
      <c r="S90"/>
      <c r="T90"/>
      <c r="U90"/>
      <c r="V90"/>
      <c r="X90"/>
      <c r="Y90"/>
      <c r="Z90"/>
      <c r="AA90"/>
      <c r="AB90"/>
      <c r="AD90"/>
      <c r="AE90"/>
      <c r="AF90"/>
      <c r="AG90"/>
      <c r="AH90"/>
      <c r="AI90"/>
    </row>
    <row r="91" spans="4:40" ht="15">
      <c r="D91"/>
      <c r="E91"/>
      <c r="R91"/>
      <c r="S91"/>
      <c r="T91"/>
      <c r="U91"/>
      <c r="V91"/>
      <c r="X91"/>
      <c r="Y91"/>
      <c r="Z91"/>
      <c r="AA91"/>
      <c r="AB91"/>
    </row>
    <row r="92" spans="4:40" ht="15">
      <c r="D92"/>
      <c r="E92"/>
      <c r="R92"/>
      <c r="S92"/>
      <c r="T92"/>
      <c r="U92"/>
      <c r="V92"/>
      <c r="X92"/>
      <c r="Y92"/>
      <c r="Z92"/>
      <c r="AA92"/>
      <c r="AB92"/>
    </row>
    <row r="93" spans="4:40" ht="15">
      <c r="D93"/>
      <c r="E93"/>
      <c r="R93"/>
      <c r="S93"/>
      <c r="T93"/>
      <c r="U93"/>
      <c r="V93"/>
      <c r="X93"/>
      <c r="Y93"/>
      <c r="Z93"/>
      <c r="AA93"/>
      <c r="AB93"/>
    </row>
    <row r="94" spans="4:40" ht="15">
      <c r="D94"/>
      <c r="E94"/>
      <c r="R94"/>
      <c r="S94"/>
      <c r="T94"/>
      <c r="U94"/>
      <c r="V94"/>
      <c r="X94"/>
      <c r="Y94"/>
      <c r="Z94"/>
      <c r="AA94"/>
      <c r="AB94"/>
    </row>
    <row r="95" spans="4:40" ht="15">
      <c r="D95"/>
      <c r="E95"/>
      <c r="R95"/>
      <c r="S95"/>
      <c r="T95"/>
      <c r="U95"/>
      <c r="V95"/>
      <c r="X95"/>
      <c r="Y95"/>
      <c r="Z95"/>
      <c r="AA95"/>
      <c r="AB95"/>
    </row>
    <row r="96" spans="4:40" ht="15">
      <c r="D96"/>
      <c r="E96"/>
      <c r="R96"/>
      <c r="S96"/>
      <c r="T96"/>
      <c r="U96"/>
      <c r="V96"/>
      <c r="X96"/>
      <c r="Y96"/>
      <c r="Z96"/>
      <c r="AA96"/>
      <c r="AB96"/>
    </row>
    <row r="97" spans="4:28" ht="15">
      <c r="D97"/>
      <c r="E97"/>
      <c r="R97"/>
      <c r="S97"/>
      <c r="T97"/>
      <c r="U97"/>
      <c r="V97"/>
      <c r="X97"/>
      <c r="Y97"/>
      <c r="Z97"/>
      <c r="AA97"/>
      <c r="AB97"/>
    </row>
    <row r="98" spans="4:28" ht="15">
      <c r="D98"/>
      <c r="E98"/>
      <c r="R98"/>
      <c r="S98"/>
      <c r="T98"/>
      <c r="U98"/>
      <c r="V98"/>
      <c r="X98"/>
      <c r="Y98"/>
      <c r="Z98"/>
      <c r="AA98"/>
      <c r="AB98"/>
    </row>
    <row r="99" spans="4:28" ht="15">
      <c r="D99"/>
      <c r="E99"/>
      <c r="R99"/>
      <c r="S99"/>
      <c r="T99"/>
      <c r="U99"/>
      <c r="V99"/>
      <c r="X99"/>
      <c r="Y99"/>
      <c r="Z99"/>
      <c r="AA99"/>
      <c r="AB99"/>
    </row>
    <row r="100" spans="4:28" ht="15">
      <c r="D100"/>
      <c r="E100"/>
      <c r="R100"/>
      <c r="S100"/>
      <c r="T100"/>
      <c r="U100"/>
      <c r="V100"/>
      <c r="X100"/>
      <c r="Y100"/>
      <c r="Z100"/>
      <c r="AA100"/>
      <c r="AB100"/>
    </row>
    <row r="101" spans="4:28" ht="15">
      <c r="D101"/>
      <c r="E101"/>
      <c r="R101"/>
      <c r="S101"/>
      <c r="T101"/>
      <c r="U101"/>
      <c r="V101"/>
      <c r="X101"/>
      <c r="Y101"/>
      <c r="Z101"/>
      <c r="AA101"/>
      <c r="AB101"/>
    </row>
    <row r="102" spans="4:28" ht="15">
      <c r="D102"/>
      <c r="E102"/>
      <c r="R102"/>
      <c r="S102"/>
      <c r="T102"/>
      <c r="U102"/>
      <c r="V102"/>
      <c r="X102"/>
      <c r="Y102"/>
      <c r="Z102"/>
      <c r="AA102"/>
      <c r="AB102"/>
    </row>
    <row r="103" spans="4:28" ht="15">
      <c r="D103"/>
      <c r="E103"/>
      <c r="R103"/>
      <c r="S103"/>
      <c r="T103"/>
      <c r="U103"/>
      <c r="V103"/>
      <c r="X103"/>
      <c r="Y103"/>
      <c r="Z103"/>
      <c r="AA103"/>
      <c r="AB103"/>
    </row>
    <row r="104" spans="4:28" ht="15">
      <c r="D104"/>
      <c r="E104"/>
      <c r="R104"/>
      <c r="S104"/>
      <c r="T104"/>
      <c r="U104"/>
      <c r="V104"/>
      <c r="X104"/>
      <c r="Y104"/>
      <c r="Z104"/>
      <c r="AA104"/>
      <c r="AB104"/>
    </row>
    <row r="105" spans="4:28" ht="15">
      <c r="D105"/>
      <c r="E105"/>
      <c r="R105"/>
      <c r="S105"/>
      <c r="T105"/>
      <c r="U105"/>
      <c r="V105"/>
      <c r="X105"/>
      <c r="Y105"/>
      <c r="Z105"/>
      <c r="AA105"/>
      <c r="AB105"/>
    </row>
    <row r="106" spans="4:28" ht="15">
      <c r="D106"/>
      <c r="E106"/>
      <c r="R106"/>
      <c r="S106"/>
      <c r="T106"/>
      <c r="U106"/>
      <c r="V106"/>
      <c r="X106"/>
      <c r="Y106"/>
      <c r="Z106"/>
      <c r="AA106"/>
      <c r="AB106"/>
    </row>
    <row r="107" spans="4:28" ht="15">
      <c r="D107"/>
      <c r="E107"/>
      <c r="R107"/>
      <c r="S107"/>
      <c r="T107"/>
      <c r="U107"/>
      <c r="V107"/>
      <c r="X107"/>
      <c r="Y107"/>
      <c r="Z107"/>
      <c r="AA107"/>
      <c r="AB107"/>
    </row>
    <row r="108" spans="4:28" ht="15">
      <c r="D108"/>
      <c r="E108"/>
      <c r="R108"/>
      <c r="S108"/>
      <c r="T108"/>
      <c r="U108"/>
      <c r="V108"/>
      <c r="X108"/>
      <c r="Y108"/>
      <c r="Z108"/>
      <c r="AA108"/>
      <c r="AB108"/>
    </row>
    <row r="109" spans="4:28" ht="15">
      <c r="D109"/>
      <c r="E109"/>
      <c r="R109"/>
      <c r="S109"/>
      <c r="T109"/>
      <c r="U109"/>
      <c r="V109"/>
      <c r="X109"/>
      <c r="Y109"/>
      <c r="Z109"/>
      <c r="AA109"/>
      <c r="AB109"/>
    </row>
    <row r="110" spans="4:28" ht="15">
      <c r="D110"/>
      <c r="E110"/>
      <c r="R110"/>
      <c r="S110"/>
      <c r="T110"/>
      <c r="U110"/>
      <c r="V110"/>
      <c r="X110"/>
      <c r="Y110"/>
      <c r="Z110"/>
      <c r="AA110"/>
      <c r="AB110"/>
    </row>
    <row r="111" spans="4:28" ht="15">
      <c r="D111"/>
      <c r="E111"/>
      <c r="R111"/>
      <c r="S111"/>
      <c r="T111"/>
      <c r="U111"/>
      <c r="V111"/>
    </row>
    <row r="112" spans="4:28" ht="15">
      <c r="D112"/>
      <c r="E112"/>
    </row>
    <row r="113" spans="4:5" ht="15">
      <c r="D113"/>
      <c r="E113"/>
    </row>
    <row r="114" spans="4:5" ht="15">
      <c r="D114"/>
      <c r="E114"/>
    </row>
    <row r="115" spans="4:5" ht="15">
      <c r="D115"/>
      <c r="E115"/>
    </row>
    <row r="116" spans="4:5" ht="15">
      <c r="D116"/>
      <c r="E116"/>
    </row>
    <row r="117" spans="4:5" ht="15">
      <c r="D117"/>
      <c r="E117"/>
    </row>
    <row r="118" spans="4:5" ht="15">
      <c r="D118"/>
      <c r="E118"/>
    </row>
    <row r="119" spans="4:5" ht="15">
      <c r="D119"/>
      <c r="E119"/>
    </row>
    <row r="120" spans="4:5" ht="15">
      <c r="D120"/>
      <c r="E120"/>
    </row>
    <row r="121" spans="4:5" ht="15">
      <c r="D121"/>
      <c r="E121"/>
    </row>
    <row r="122" spans="4:5" ht="15">
      <c r="D122"/>
      <c r="E122"/>
    </row>
    <row r="123" spans="4:5" ht="15">
      <c r="D123"/>
      <c r="E123"/>
    </row>
    <row r="124" spans="4:5" ht="15">
      <c r="D124"/>
      <c r="E124"/>
    </row>
    <row r="125" spans="4:5" ht="15">
      <c r="D125"/>
      <c r="E125"/>
    </row>
    <row r="126" spans="4:5" ht="15">
      <c r="D126"/>
      <c r="E126"/>
    </row>
    <row r="127" spans="4:5" ht="15">
      <c r="D127"/>
      <c r="E127"/>
    </row>
    <row r="128" spans="4:5" ht="15">
      <c r="D128"/>
      <c r="E128"/>
    </row>
    <row r="129" spans="4:5" ht="15">
      <c r="D129"/>
      <c r="E129"/>
    </row>
    <row r="130" spans="4:5" ht="15">
      <c r="D130"/>
      <c r="E130"/>
    </row>
    <row r="131" spans="4:5" ht="15">
      <c r="D131"/>
      <c r="E131"/>
    </row>
    <row r="132" spans="4:5" ht="15">
      <c r="D132"/>
      <c r="E132"/>
    </row>
    <row r="133" spans="4:5" ht="15">
      <c r="D133"/>
      <c r="E133"/>
    </row>
    <row r="134" spans="4:5" ht="15">
      <c r="D134"/>
      <c r="E134"/>
    </row>
    <row r="135" spans="4:5" ht="15">
      <c r="D135"/>
      <c r="E135"/>
    </row>
    <row r="136" spans="4:5" ht="15">
      <c r="D136"/>
      <c r="E136"/>
    </row>
    <row r="137" spans="4:5" ht="15">
      <c r="D137"/>
      <c r="E137"/>
    </row>
    <row r="138" spans="4:5" ht="15">
      <c r="D138"/>
      <c r="E138"/>
    </row>
    <row r="139" spans="4:5" ht="15">
      <c r="D139"/>
      <c r="E139"/>
    </row>
    <row r="140" spans="4:5" ht="15">
      <c r="D140"/>
      <c r="E140"/>
    </row>
    <row r="141" spans="4:5" ht="15">
      <c r="D141"/>
      <c r="E141"/>
    </row>
    <row r="142" spans="4:5" ht="15">
      <c r="D142"/>
      <c r="E142"/>
    </row>
    <row r="143" spans="4:5" ht="15">
      <c r="D143"/>
      <c r="E143"/>
    </row>
    <row r="144" spans="4:5" ht="15">
      <c r="D144"/>
      <c r="E144"/>
    </row>
    <row r="145" spans="4:5" ht="15">
      <c r="D145"/>
      <c r="E145"/>
    </row>
    <row r="146" spans="4:5" ht="15">
      <c r="D146"/>
      <c r="E146"/>
    </row>
    <row r="147" spans="4:5" ht="15">
      <c r="D147"/>
      <c r="E147"/>
    </row>
    <row r="148" spans="4:5" ht="15">
      <c r="D148"/>
      <c r="E148"/>
    </row>
    <row r="149" spans="4:5" ht="15">
      <c r="D149"/>
      <c r="E149"/>
    </row>
    <row r="150" spans="4:5" ht="15">
      <c r="D150"/>
      <c r="E150"/>
    </row>
    <row r="151" spans="4:5" ht="15">
      <c r="D151"/>
      <c r="E151"/>
    </row>
    <row r="152" spans="4:5" ht="15">
      <c r="D152"/>
      <c r="E152"/>
    </row>
    <row r="153" spans="4:5" ht="15">
      <c r="D153"/>
      <c r="E153"/>
    </row>
    <row r="154" spans="4:5" ht="15">
      <c r="D154"/>
      <c r="E154"/>
    </row>
    <row r="155" spans="4:5" ht="15">
      <c r="D155"/>
      <c r="E155"/>
    </row>
    <row r="156" spans="4:5" ht="15">
      <c r="D156"/>
      <c r="E156"/>
    </row>
    <row r="157" spans="4:5" ht="15">
      <c r="D157"/>
      <c r="E157"/>
    </row>
    <row r="158" spans="4:5" ht="15">
      <c r="D158"/>
      <c r="E158"/>
    </row>
    <row r="159" spans="4:5" ht="15">
      <c r="D159"/>
      <c r="E159"/>
    </row>
    <row r="160" spans="4:5" ht="15">
      <c r="D160"/>
      <c r="E160"/>
    </row>
    <row r="161" spans="4:5" ht="15">
      <c r="D161"/>
      <c r="E161"/>
    </row>
    <row r="162" spans="4:5" ht="15">
      <c r="D162"/>
      <c r="E162"/>
    </row>
    <row r="163" spans="4:5" ht="15">
      <c r="D163"/>
      <c r="E163"/>
    </row>
    <row r="164" spans="4:5" ht="15">
      <c r="D164"/>
      <c r="E164"/>
    </row>
    <row r="165" spans="4:5" ht="15">
      <c r="D165"/>
      <c r="E165"/>
    </row>
    <row r="166" spans="4:5" ht="15">
      <c r="D166"/>
      <c r="E166"/>
    </row>
    <row r="167" spans="4:5" ht="15">
      <c r="D167"/>
      <c r="E167"/>
    </row>
    <row r="168" spans="4:5" ht="15">
      <c r="D168"/>
      <c r="E168"/>
    </row>
    <row r="169" spans="4:5" ht="15">
      <c r="D169"/>
      <c r="E169"/>
    </row>
    <row r="170" spans="4:5" ht="15">
      <c r="D170"/>
      <c r="E170"/>
    </row>
    <row r="171" spans="4:5" ht="15">
      <c r="D171"/>
      <c r="E171"/>
    </row>
    <row r="172" spans="4:5" ht="15">
      <c r="D172"/>
      <c r="E172"/>
    </row>
    <row r="173" spans="4:5" ht="15">
      <c r="D173"/>
      <c r="E173"/>
    </row>
    <row r="174" spans="4:5" ht="15">
      <c r="D174"/>
      <c r="E174"/>
    </row>
    <row r="175" spans="4:5" ht="15">
      <c r="D175"/>
      <c r="E175"/>
    </row>
    <row r="176" spans="4:5" ht="15">
      <c r="D176"/>
      <c r="E176"/>
    </row>
    <row r="177" spans="4:5" ht="15">
      <c r="D177"/>
      <c r="E177"/>
    </row>
    <row r="178" spans="4:5" ht="15">
      <c r="D178"/>
      <c r="E178"/>
    </row>
    <row r="179" spans="4:5" ht="15">
      <c r="D179"/>
      <c r="E179"/>
    </row>
    <row r="180" spans="4:5" ht="15">
      <c r="D180"/>
      <c r="E180"/>
    </row>
    <row r="181" spans="4:5" ht="15">
      <c r="D181"/>
      <c r="E181"/>
    </row>
    <row r="182" spans="4:5" ht="15">
      <c r="D182"/>
      <c r="E182"/>
    </row>
    <row r="183" spans="4:5" ht="15">
      <c r="D183"/>
      <c r="E183"/>
    </row>
    <row r="184" spans="4:5" ht="15">
      <c r="D184"/>
      <c r="E184"/>
    </row>
    <row r="185" spans="4:5" ht="15">
      <c r="D185"/>
      <c r="E185"/>
    </row>
    <row r="186" spans="4:5" ht="15">
      <c r="D186"/>
      <c r="E186"/>
    </row>
    <row r="187" spans="4:5" ht="15">
      <c r="D187"/>
      <c r="E187"/>
    </row>
    <row r="188" spans="4:5" ht="15">
      <c r="D188"/>
      <c r="E188"/>
    </row>
    <row r="189" spans="4:5" ht="15">
      <c r="D189"/>
      <c r="E189"/>
    </row>
    <row r="190" spans="4:5" ht="15">
      <c r="D190"/>
      <c r="E190"/>
    </row>
    <row r="191" spans="4:5" ht="15">
      <c r="D191"/>
      <c r="E191"/>
    </row>
    <row r="192" spans="4:5" ht="15">
      <c r="D192"/>
      <c r="E192"/>
    </row>
    <row r="193" spans="4:5" ht="15">
      <c r="D193"/>
      <c r="E193"/>
    </row>
    <row r="194" spans="4:5" ht="15">
      <c r="D194"/>
      <c r="E194"/>
    </row>
    <row r="195" spans="4:5" ht="15">
      <c r="D195"/>
      <c r="E195"/>
    </row>
    <row r="196" spans="4:5" ht="15">
      <c r="D196"/>
      <c r="E196"/>
    </row>
    <row r="197" spans="4:5" ht="15">
      <c r="D197"/>
      <c r="E197"/>
    </row>
    <row r="198" spans="4:5" ht="15">
      <c r="D198"/>
      <c r="E198"/>
    </row>
    <row r="199" spans="4:5" ht="15">
      <c r="D199"/>
      <c r="E199"/>
    </row>
  </sheetData>
  <pageMargins left="0.7" right="0.7" top="0.75" bottom="0.75" header="0.3" footer="0.3"/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I18"/>
  <sheetViews>
    <sheetView workbookViewId="0">
      <selection activeCell="F31" sqref="F31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9">
      <c r="A1" s="6" t="s">
        <v>38</v>
      </c>
      <c r="B1" s="6" t="s">
        <v>39</v>
      </c>
    </row>
    <row r="2" spans="1:9">
      <c r="A2" s="6" t="s">
        <v>40</v>
      </c>
      <c r="B2" s="6">
        <v>11</v>
      </c>
    </row>
    <row r="3" spans="1:9">
      <c r="A3" s="6" t="s">
        <v>41</v>
      </c>
      <c r="B3" s="6">
        <v>11</v>
      </c>
      <c r="E3" s="11" t="s">
        <v>5</v>
      </c>
      <c r="F3" s="11" t="s">
        <v>53</v>
      </c>
      <c r="G3" s="11" t="s">
        <v>54</v>
      </c>
      <c r="H3" s="11" t="s">
        <v>55</v>
      </c>
      <c r="I3" s="11" t="s">
        <v>56</v>
      </c>
    </row>
    <row r="4" spans="1:9">
      <c r="E4" s="12" t="s">
        <v>57</v>
      </c>
      <c r="F4" s="12" t="s">
        <v>58</v>
      </c>
      <c r="G4" s="12" t="s">
        <v>59</v>
      </c>
      <c r="H4" s="12" t="s">
        <v>60</v>
      </c>
      <c r="I4" s="12" t="s">
        <v>88</v>
      </c>
    </row>
    <row r="5" spans="1:9">
      <c r="E5" s="12" t="s">
        <v>57</v>
      </c>
      <c r="F5" s="12" t="s">
        <v>61</v>
      </c>
      <c r="G5" s="12" t="s">
        <v>62</v>
      </c>
      <c r="H5" s="12" t="s">
        <v>60</v>
      </c>
      <c r="I5" s="12" t="s">
        <v>88</v>
      </c>
    </row>
    <row r="6" spans="1:9">
      <c r="E6" s="12" t="s">
        <v>57</v>
      </c>
      <c r="F6" s="12" t="s">
        <v>63</v>
      </c>
      <c r="G6" s="12" t="s">
        <v>93</v>
      </c>
      <c r="H6" s="12" t="s">
        <v>60</v>
      </c>
      <c r="I6" s="12" t="s">
        <v>88</v>
      </c>
    </row>
    <row r="7" spans="1:9">
      <c r="E7" s="12" t="s">
        <v>57</v>
      </c>
      <c r="F7" s="12" t="s">
        <v>64</v>
      </c>
      <c r="G7" s="13" t="s">
        <v>65</v>
      </c>
      <c r="H7" s="12" t="s">
        <v>60</v>
      </c>
      <c r="I7" s="12" t="s">
        <v>88</v>
      </c>
    </row>
    <row r="8" spans="1:9">
      <c r="E8" s="12" t="s">
        <v>66</v>
      </c>
      <c r="F8" s="12" t="s">
        <v>58</v>
      </c>
      <c r="G8" s="12" t="s">
        <v>67</v>
      </c>
      <c r="H8" s="12" t="s">
        <v>60</v>
      </c>
      <c r="I8" s="12" t="s">
        <v>88</v>
      </c>
    </row>
    <row r="9" spans="1:9">
      <c r="E9" s="12" t="s">
        <v>66</v>
      </c>
      <c r="F9" s="12" t="s">
        <v>61</v>
      </c>
      <c r="G9" s="12" t="s">
        <v>68</v>
      </c>
      <c r="H9" s="12" t="s">
        <v>60</v>
      </c>
      <c r="I9" s="12" t="s">
        <v>88</v>
      </c>
    </row>
    <row r="10" spans="1:9">
      <c r="E10" s="14" t="s">
        <v>69</v>
      </c>
      <c r="F10" s="14" t="s">
        <v>70</v>
      </c>
      <c r="G10" s="14" t="s">
        <v>71</v>
      </c>
      <c r="H10" s="14" t="s">
        <v>72</v>
      </c>
      <c r="I10" s="14" t="s">
        <v>88</v>
      </c>
    </row>
    <row r="11" spans="1:9">
      <c r="E11" s="14" t="s">
        <v>69</v>
      </c>
      <c r="F11" s="14" t="s">
        <v>73</v>
      </c>
      <c r="G11" s="14" t="s">
        <v>74</v>
      </c>
      <c r="H11" s="14" t="s">
        <v>72</v>
      </c>
      <c r="I11" s="14" t="s">
        <v>88</v>
      </c>
    </row>
    <row r="12" spans="1:9">
      <c r="E12" s="14" t="s">
        <v>69</v>
      </c>
      <c r="F12" s="14" t="s">
        <v>75</v>
      </c>
      <c r="G12" s="14" t="s">
        <v>76</v>
      </c>
      <c r="H12" s="14" t="s">
        <v>72</v>
      </c>
      <c r="I12" s="14" t="s">
        <v>88</v>
      </c>
    </row>
    <row r="13" spans="1:9">
      <c r="E13" s="14" t="s">
        <v>69</v>
      </c>
      <c r="F13" s="14" t="s">
        <v>77</v>
      </c>
      <c r="G13" s="14" t="s">
        <v>78</v>
      </c>
      <c r="H13" s="14" t="s">
        <v>72</v>
      </c>
      <c r="I13" s="14" t="s">
        <v>88</v>
      </c>
    </row>
    <row r="14" spans="1:9">
      <c r="E14" s="15" t="s">
        <v>79</v>
      </c>
      <c r="F14" s="15" t="s">
        <v>75</v>
      </c>
      <c r="G14" s="15" t="s">
        <v>80</v>
      </c>
      <c r="H14" s="15" t="s">
        <v>81</v>
      </c>
      <c r="I14" s="15" t="s">
        <v>88</v>
      </c>
    </row>
    <row r="15" spans="1:9">
      <c r="E15" s="15" t="s">
        <v>79</v>
      </c>
      <c r="F15" s="15" t="s">
        <v>82</v>
      </c>
      <c r="G15" s="15" t="s">
        <v>83</v>
      </c>
      <c r="H15" s="15" t="s">
        <v>81</v>
      </c>
      <c r="I15" s="15" t="s">
        <v>88</v>
      </c>
    </row>
    <row r="16" spans="1:9">
      <c r="E16" s="16" t="s">
        <v>84</v>
      </c>
      <c r="F16" s="16" t="s">
        <v>85</v>
      </c>
      <c r="G16" s="16" t="s">
        <v>86</v>
      </c>
      <c r="H16" s="16" t="s">
        <v>87</v>
      </c>
      <c r="I16" s="16" t="s">
        <v>88</v>
      </c>
    </row>
    <row r="17" spans="5:9">
      <c r="E17" s="16" t="s">
        <v>84</v>
      </c>
      <c r="F17" s="16" t="s">
        <v>89</v>
      </c>
      <c r="G17" s="16" t="s">
        <v>90</v>
      </c>
      <c r="H17" s="16" t="s">
        <v>87</v>
      </c>
      <c r="I17" s="16" t="s">
        <v>88</v>
      </c>
    </row>
    <row r="18" spans="5:9">
      <c r="E18" s="16" t="s">
        <v>84</v>
      </c>
      <c r="F18" s="16" t="s">
        <v>91</v>
      </c>
      <c r="G18" s="16" t="s">
        <v>92</v>
      </c>
      <c r="H18" s="16" t="s">
        <v>87</v>
      </c>
      <c r="I18" s="1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Ventas_odoo Interface</vt:lpstr>
      <vt:lpstr>Validaciones_odooInterface</vt:lpstr>
      <vt:lpstr>facturas_con_items_json</vt:lpstr>
      <vt:lpstr>Detalle1</vt:lpstr>
      <vt:lpstr>validaciones_json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2025-10-13T13:52:26Z</dcterms:modified>
</cp:coreProperties>
</file>