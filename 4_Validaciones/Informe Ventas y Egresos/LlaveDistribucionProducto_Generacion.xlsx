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HAN\Desktop\vaope-bi\4_Validaciones\Informe Ventas y Egresos\"/>
    </mc:Choice>
  </mc:AlternateContent>
  <xr:revisionPtr revIDLastSave="0" documentId="13_ncr:1_{9FA5BA8A-D1B2-4AA1-8984-B28573CA22DD}" xr6:coauthVersionLast="47" xr6:coauthVersionMax="47" xr10:uidLastSave="{00000000-0000-0000-0000-000000000000}"/>
  <bookViews>
    <workbookView xWindow="-108" yWindow="-108" windowWidth="23256" windowHeight="13896" firstSheet="3" activeTab="4" xr2:uid="{3E741502-5B47-475C-B55B-34E3C597980C}"/>
  </bookViews>
  <sheets>
    <sheet name="Hoja1" sheetId="1" r:id="rId1"/>
    <sheet name="Hoja2" sheetId="2" r:id="rId2"/>
    <sheet name="Distribanalit-subcategoria-Prod" sheetId="3" r:id="rId3"/>
    <sheet name="Agrupaciones_llaves" sheetId="5" r:id="rId4"/>
    <sheet name="LlaveDistribucionVentas" sheetId="4" r:id="rId5"/>
  </sheets>
  <definedNames>
    <definedName name="_xlnm._FilterDatabase" localSheetId="2" hidden="1">'Distribanalit-subcategoria-Prod'!$B$2:$J$95</definedName>
    <definedName name="_xlnm._FilterDatabase" localSheetId="1" hidden="1">Hoja2!$B$2:$F$14</definedName>
    <definedName name="_xlnm._FilterDatabase" localSheetId="4" hidden="1">LlaveDistribucionVentas!$B$2:$L$193</definedName>
  </definedNames>
  <calcPr calcId="191029"/>
  <pivotCaches>
    <pivotCache cacheId="1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4" i="4" l="1"/>
  <c r="G135" i="4"/>
  <c r="G169" i="4"/>
  <c r="G152" i="4"/>
  <c r="G136" i="4"/>
  <c r="G153" i="4"/>
  <c r="G170" i="4"/>
  <c r="G137" i="4"/>
  <c r="G171" i="4"/>
  <c r="G32" i="4"/>
  <c r="G187" i="4"/>
  <c r="G117" i="4"/>
  <c r="G190" i="4"/>
  <c r="G192" i="4"/>
  <c r="G133" i="4"/>
  <c r="G132" i="4"/>
  <c r="G118" i="4"/>
  <c r="G119" i="4"/>
  <c r="G120" i="4"/>
  <c r="G121" i="4"/>
  <c r="G122" i="4"/>
  <c r="G123" i="4"/>
  <c r="G124" i="4"/>
  <c r="G125" i="4"/>
  <c r="G126" i="4"/>
  <c r="G127" i="4"/>
  <c r="G128" i="4"/>
  <c r="G172" i="4"/>
  <c r="G129" i="4"/>
  <c r="G14" i="4"/>
  <c r="G33" i="4"/>
  <c r="G98" i="4"/>
  <c r="G34" i="4"/>
  <c r="G15" i="4"/>
  <c r="G130" i="4"/>
  <c r="G99" i="4"/>
  <c r="G188" i="4"/>
  <c r="G35" i="4"/>
  <c r="G173" i="4"/>
  <c r="G154" i="4"/>
  <c r="G18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95" i="4"/>
  <c r="G93" i="4"/>
  <c r="G40" i="4"/>
  <c r="G36" i="4"/>
  <c r="G24" i="4"/>
  <c r="G22" i="4"/>
  <c r="G19" i="4"/>
  <c r="G41" i="4"/>
  <c r="G90" i="4"/>
  <c r="G91" i="4"/>
  <c r="G92" i="4"/>
  <c r="G25" i="4"/>
  <c r="G88" i="4"/>
  <c r="G79" i="4"/>
  <c r="G80" i="4"/>
  <c r="G81" i="4"/>
  <c r="G82" i="4"/>
  <c r="G83" i="4"/>
  <c r="G84" i="4"/>
  <c r="G85" i="4"/>
  <c r="G86" i="4"/>
  <c r="G87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29" i="4"/>
  <c r="G30" i="4"/>
  <c r="G31" i="4"/>
  <c r="G28" i="4"/>
  <c r="G89" i="4"/>
  <c r="G96" i="4"/>
  <c r="G94" i="4"/>
  <c r="G77" i="4"/>
  <c r="G37" i="4"/>
  <c r="G26" i="4"/>
  <c r="G23" i="4"/>
  <c r="G20" i="4"/>
  <c r="G16" i="4"/>
  <c r="G12" i="4"/>
  <c r="G1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3" i="4"/>
  <c r="G10" i="4"/>
  <c r="G4" i="4"/>
  <c r="G11" i="4"/>
  <c r="G5" i="4"/>
  <c r="G6" i="4"/>
  <c r="G7" i="4"/>
  <c r="G8" i="4"/>
  <c r="G9" i="4"/>
  <c r="G97" i="4"/>
  <c r="G17" i="4"/>
  <c r="G131" i="4"/>
  <c r="G193" i="4"/>
  <c r="G191" i="4"/>
  <c r="G113" i="4"/>
  <c r="G189" i="4"/>
  <c r="G78" i="4"/>
  <c r="G114" i="4"/>
  <c r="G38" i="4"/>
  <c r="G39" i="4"/>
  <c r="G186" i="4"/>
  <c r="G115" i="4"/>
  <c r="G168" i="4"/>
  <c r="G150" i="4"/>
  <c r="G151" i="4"/>
  <c r="G27" i="4"/>
  <c r="G21" i="4"/>
  <c r="G116" i="4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</calcChain>
</file>

<file path=xl/sharedStrings.xml><?xml version="1.0" encoding="utf-8"?>
<sst xmlns="http://schemas.openxmlformats.org/spreadsheetml/2006/main" count="2021" uniqueCount="352">
  <si>
    <t>Validadores</t>
  </si>
  <si>
    <t>[TRANS &amp; ACC] Viaje y alojamiento</t>
  </si>
  <si>
    <t>ALMUERZO</t>
  </si>
  <si>
    <t>Apoyo Logistico</t>
  </si>
  <si>
    <t>CHALECOS</t>
  </si>
  <si>
    <t>CINTA DE EMBALAJE</t>
  </si>
  <si>
    <t>EQUIPAJE</t>
  </si>
  <si>
    <t>Equipos Zebra</t>
  </si>
  <si>
    <t>GASTOS COMPLEMENTARIOS</t>
  </si>
  <si>
    <t>SERV VALIDADORES</t>
  </si>
  <si>
    <t>servicio</t>
  </si>
  <si>
    <t>SERVICIO DE SUPERVISIÓN</t>
  </si>
  <si>
    <t>Servicio de Validación</t>
  </si>
  <si>
    <t>SERVICIOS DE APOYO LOGÍSTICO</t>
  </si>
  <si>
    <t>SERVICIOS DE VALIDACIÓN</t>
  </si>
  <si>
    <t>SERVICO DE HOSPEDAJE</t>
  </si>
  <si>
    <t>Venta del evento de agua marina y corazón serrano  mes de marzo 2025 Local Complejo Santa Rosa</t>
  </si>
  <si>
    <t>TI</t>
  </si>
  <si>
    <t>Antivirus</t>
  </si>
  <si>
    <t>Aplicaciones informáticas</t>
  </si>
  <si>
    <t>CABLE RED</t>
  </si>
  <si>
    <t>COMISIÓN</t>
  </si>
  <si>
    <t>CONECTOR</t>
  </si>
  <si>
    <t>CRIMPEADOR</t>
  </si>
  <si>
    <t>DELIVERY</t>
  </si>
  <si>
    <t>DESARROLLO WEB</t>
  </si>
  <si>
    <t>EQUIPO DE CELULAR</t>
  </si>
  <si>
    <t>ESTABILIZADOR</t>
  </si>
  <si>
    <t>KIT DE INTERNET SATELITAL STARLINK MINI</t>
  </si>
  <si>
    <t>KIT DE TECLADO Y MOUSE</t>
  </si>
  <si>
    <t>LAN TESTER</t>
  </si>
  <si>
    <t>LOGITECH MOUSE CABLEADO USB M90  DARK DPI DE 1000 NEGRO (910-</t>
  </si>
  <si>
    <t>MONITOR</t>
  </si>
  <si>
    <t>SERVICIO DE DESARROLLO WEB</t>
  </si>
  <si>
    <t>SERVICIO DE DISEÑO UXUI</t>
  </si>
  <si>
    <t>Servicio de Instalación</t>
  </si>
  <si>
    <t>SERVICIO PRESTADO</t>
  </si>
  <si>
    <t>RR.HH</t>
  </si>
  <si>
    <t>AGUA</t>
  </si>
  <si>
    <t>ALCOHOL</t>
  </si>
  <si>
    <t>ALGODÓN</t>
  </si>
  <si>
    <t>ALQUILER</t>
  </si>
  <si>
    <t>Archivador</t>
  </si>
  <si>
    <t>Capacitación en Liderazgo</t>
  </si>
  <si>
    <t>Capacitaciones</t>
  </si>
  <si>
    <t>CAT SALUD UNO RIESGO</t>
  </si>
  <si>
    <t>CONJUNTO DEPORTIVO</t>
  </si>
  <si>
    <t>CURITAS</t>
  </si>
  <si>
    <t>FOTOCHECK</t>
  </si>
  <si>
    <t>HIRUDOID</t>
  </si>
  <si>
    <t>LANYARDS</t>
  </si>
  <si>
    <t>LIBRO</t>
  </si>
  <si>
    <t>MASCARILLA</t>
  </si>
  <si>
    <t>PANADOL</t>
  </si>
  <si>
    <t>PARACETAMOL</t>
  </si>
  <si>
    <t>Plan Individual Odoo</t>
  </si>
  <si>
    <t>PRODUCCION</t>
  </si>
  <si>
    <t>SCTR</t>
  </si>
  <si>
    <t>SERVICIO DE CAPACITACIÓN</t>
  </si>
  <si>
    <t>SERVICIOS</t>
  </si>
  <si>
    <t>TORTA</t>
  </si>
  <si>
    <t>Tumblers</t>
  </si>
  <si>
    <t>VASO</t>
  </si>
  <si>
    <t>Operaciones</t>
  </si>
  <si>
    <t>SERVICIO DE COMUNICACIONES</t>
  </si>
  <si>
    <t>Marketing</t>
  </si>
  <si>
    <t>SERVICIO DE CONTENIDO</t>
  </si>
  <si>
    <t>Impresos</t>
  </si>
  <si>
    <t>[14] BRAZALETE CON QR</t>
  </si>
  <si>
    <t>[15] BOLETO FULL COLOR CON QR</t>
  </si>
  <si>
    <t>[18] BOLETO PREMIUN CON QR</t>
  </si>
  <si>
    <t>APOYO LOGÍSTICO</t>
  </si>
  <si>
    <t>Boleto Full Color</t>
  </si>
  <si>
    <t>BOLETO PREMIUM COSTESIA GENERAL</t>
  </si>
  <si>
    <t>BOLETO PREMIUM COSTESIA VIP</t>
  </si>
  <si>
    <t>BRAZALETE ZONA FAMILIA HU</t>
  </si>
  <si>
    <t>BRAZALETE ZONA FUNDADORES</t>
  </si>
  <si>
    <t>BRAZALETES FULL ACCESS</t>
  </si>
  <si>
    <t>BRAZALETES VIP</t>
  </si>
  <si>
    <t>BRAZALETES ZONA HALLOBOX</t>
  </si>
  <si>
    <t>Cajas - Full Color</t>
  </si>
  <si>
    <t>CAJAS DE BRAZALETES</t>
  </si>
  <si>
    <t>Cinta</t>
  </si>
  <si>
    <t>CINTA DE RESINA NEGRA</t>
  </si>
  <si>
    <t>Cintillos</t>
  </si>
  <si>
    <t>CONTOMETRO TÉRMICO</t>
  </si>
  <si>
    <t>ETIQUETA</t>
  </si>
  <si>
    <t>Etiquetas de seguridad</t>
  </si>
  <si>
    <t>HP LAPTOP VICTUS GAMING 15FA0021LA 15.6" FHD IPS CORE I512450H 8GB 512GB SSD RTX 3050  4GB W11 (A14L</t>
  </si>
  <si>
    <t>IMPRESORA STICKERS VERTICALES</t>
  </si>
  <si>
    <t>KINGSTON MEMORIA RAM SODIMM  16GB DDR4 3200MHZ</t>
  </si>
  <si>
    <t>LAPTOP</t>
  </si>
  <si>
    <t>LG MONITOR LED 21.5"  22MR410  1920X1080 HDMI VGA 5MS/100HZ</t>
  </si>
  <si>
    <t>LOGITECH AURICULAR ESTEREO CON  MICROFONO H390 USB (981-000014)</t>
  </si>
  <si>
    <t>Memoria</t>
  </si>
  <si>
    <t>MESA DE COMEDOR</t>
  </si>
  <si>
    <t>MOUSE</t>
  </si>
  <si>
    <t>MOVILIDAD</t>
  </si>
  <si>
    <t>RIBBON</t>
  </si>
  <si>
    <t>Rollos de stickers</t>
  </si>
  <si>
    <t>SERVICIOS GENERALES</t>
  </si>
  <si>
    <t>STRETCH</t>
  </si>
  <si>
    <t>STRETCH FILM</t>
  </si>
  <si>
    <t>Diseño</t>
  </si>
  <si>
    <t>Contenido</t>
  </si>
  <si>
    <t>COORDINACIÓN DE MARKETING</t>
  </si>
  <si>
    <t>CREACION DE CONTENIDO</t>
  </si>
  <si>
    <t>DISEÑO Y EDICIÓN</t>
  </si>
  <si>
    <t>ELABORACION DE VIDEOS</t>
  </si>
  <si>
    <t>GESTIÓN DE PLATAFORMAS DIGITALES</t>
  </si>
  <si>
    <t>LENOVO NB V15 G4 IRU 15.6 FHD  INTEL I5-13420H 8GB 512GB INTEL  IRIS XE FREEDOS (83A100GJLM)</t>
  </si>
  <si>
    <t>LOGITECH MOUSE M170 WIRELESS  BLACK/ GRAY (910-004940)</t>
  </si>
  <si>
    <t>PRODUCCION Y TRANSMISION DE VIDEO EN VIVO</t>
  </si>
  <si>
    <t>REALIZACION DE EVENTO</t>
  </si>
  <si>
    <t>REGISTRO AGIL DE CONTENIDO EN EXTERIORES</t>
  </si>
  <si>
    <t>SERVICIO DE MARKETING</t>
  </si>
  <si>
    <t>Comercial</t>
  </si>
  <si>
    <t>[FOOD] Comidas</t>
  </si>
  <si>
    <t>AUDITORIA</t>
  </si>
  <si>
    <t>GASOLINA</t>
  </si>
  <si>
    <t>PASAJE</t>
  </si>
  <si>
    <t>SERVICIO DE HOSPEDAJE</t>
  </si>
  <si>
    <t>SUSCRIPCIÓN</t>
  </si>
  <si>
    <t>ATC</t>
  </si>
  <si>
    <t>Administrativo</t>
  </si>
  <si>
    <t>ALCOHOL ISOPROPILICO</t>
  </si>
  <si>
    <t>AMBIENTADOR</t>
  </si>
  <si>
    <t>APOYO EN LIMPIEZA</t>
  </si>
  <si>
    <t>ARCHIVADORES</t>
  </si>
  <si>
    <t>Asesoría legal</t>
  </si>
  <si>
    <t>AUDIFONO CON MICROFONO LOGITECH ZONE 300</t>
  </si>
  <si>
    <t>Azúcar</t>
  </si>
  <si>
    <t>Bandera</t>
  </si>
  <si>
    <t>BEBIDAS</t>
  </si>
  <si>
    <t>BIDONES</t>
  </si>
  <si>
    <t>BOLSAS PARA BASURA</t>
  </si>
  <si>
    <t>Bomba de condensado</t>
  </si>
  <si>
    <t>Café</t>
  </si>
  <si>
    <t>CAFETERA</t>
  </si>
  <si>
    <t>CARPINTERIA</t>
  </si>
  <si>
    <t>CERA</t>
  </si>
  <si>
    <t>CINTA DE AGUA</t>
  </si>
  <si>
    <t>CLIPS</t>
  </si>
  <si>
    <t>CONFIGURACIÓN</t>
  </si>
  <si>
    <t>CONSUMO DE ENERGÍA</t>
  </si>
  <si>
    <t>DESARROLLO DE INTEGRACION</t>
  </si>
  <si>
    <t>DESAYUNO</t>
  </si>
  <si>
    <t>DETERGENTE LIQUIDO</t>
  </si>
  <si>
    <t>ELABORACION DE ESCRITOS</t>
  </si>
  <si>
    <t>ENGRAPADOR</t>
  </si>
  <si>
    <t>ENVIO</t>
  </si>
  <si>
    <t>Equipo LENNOX INVERTER S/F 12,000btu Split Pared  220/01/60hz R-410</t>
  </si>
  <si>
    <t>ESPONJA</t>
  </si>
  <si>
    <t>FOLDER</t>
  </si>
  <si>
    <t>FOLDER MANILA</t>
  </si>
  <si>
    <t>GLOBOS</t>
  </si>
  <si>
    <t>GUANTES</t>
  </si>
  <si>
    <t>HOJA BOND</t>
  </si>
  <si>
    <t>HORNO MICROONDAS</t>
  </si>
  <si>
    <t>Implementación Facturación Electrónica: Mejoras personalizadas</t>
  </si>
  <si>
    <t>Infusiones</t>
  </si>
  <si>
    <t>INSECTICIDA</t>
  </si>
  <si>
    <t>JABON LIQUIDO</t>
  </si>
  <si>
    <t>Lapicero</t>
  </si>
  <si>
    <t>LAVAVAJILLA</t>
  </si>
  <si>
    <t>LEJIA</t>
  </si>
  <si>
    <t>LIMPIA TIPO</t>
  </si>
  <si>
    <t>LIMPIATODO</t>
  </si>
  <si>
    <t>MANTENIMIENTO DE LAS ÁREAS COMUNES</t>
  </si>
  <si>
    <t>Menaje</t>
  </si>
  <si>
    <t>Micas</t>
  </si>
  <si>
    <t>PAÑO</t>
  </si>
  <si>
    <t>PAPEL HIGIENICO</t>
  </si>
  <si>
    <t>PAPEL TOALLA</t>
  </si>
  <si>
    <t>PAPELERA</t>
  </si>
  <si>
    <t>Planes postpago</t>
  </si>
  <si>
    <t>PLUMÓN</t>
  </si>
  <si>
    <t>Polo</t>
  </si>
  <si>
    <t>POST IT</t>
  </si>
  <si>
    <t>REGLA</t>
  </si>
  <si>
    <t>REMODELACIÓN DE OFICINAS</t>
  </si>
  <si>
    <t>RESALTADOR</t>
  </si>
  <si>
    <t>SACAGRASA</t>
  </si>
  <si>
    <t>SEGUROS</t>
  </si>
  <si>
    <t>SERVICIO DE AGUA POTABLE</t>
  </si>
  <si>
    <t>SERVICIO DE INTERNET</t>
  </si>
  <si>
    <t>SERVICIO DE LUZ</t>
  </si>
  <si>
    <t>SERVICIO DE MANTENIMIENTO</t>
  </si>
  <si>
    <t>SERVICIO DE MONITOREO</t>
  </si>
  <si>
    <t>SERVICIO DE PRODUCCIÓN</t>
  </si>
  <si>
    <t>SERVICIOS CONTABLES</t>
  </si>
  <si>
    <t>SILLAS DE COMEDOR</t>
  </si>
  <si>
    <t>SILLAS DE OFICINA</t>
  </si>
  <si>
    <t>Sistema Operativo</t>
  </si>
  <si>
    <t>Sobres</t>
  </si>
  <si>
    <t>SOPORTE LAPTOP</t>
  </si>
  <si>
    <t>SOPORTE PARA LAPTOP</t>
  </si>
  <si>
    <t>SUMINISTROS DE LIMPIEZA</t>
  </si>
  <si>
    <t>TAJADOR</t>
  </si>
  <si>
    <t>TIJERA</t>
  </si>
  <si>
    <t>TOALLA INTERFOLIADO ARIESS</t>
  </si>
  <si>
    <t>TOALLA JUMBO ECOLOGICO</t>
  </si>
  <si>
    <t>TRABAJO DE CERRAJERIA</t>
  </si>
  <si>
    <t>TRABAJO DE GASFITERIA</t>
  </si>
  <si>
    <t>TRAMITE</t>
  </si>
  <si>
    <t>TRAPEADOR</t>
  </si>
  <si>
    <t>2 HABITACIONES MATRIMONIALES</t>
  </si>
  <si>
    <t>AROMATIZADOR</t>
  </si>
  <si>
    <t>AURICULAR ESTEREO CON MICROFONO H390</t>
  </si>
  <si>
    <t>BANNERS PUBLICITARIOS</t>
  </si>
  <si>
    <t>CABLE HDMI</t>
  </si>
  <si>
    <t>CABLE UTP CAT.5 X MTS</t>
  </si>
  <si>
    <t>CARTELES</t>
  </si>
  <si>
    <t>CARTONES PERSONALIZADOS</t>
  </si>
  <si>
    <t>CHAPA ELECTRICA CON BOTON PARA REJA MARCA BELCOM</t>
  </si>
  <si>
    <t>CINTA</t>
  </si>
  <si>
    <t>COMISION POR VENTA DE ENTRADA EN COMPLEJO SANTA  ROSA DEL MES DE ENERO-MARZO 2025</t>
  </si>
  <si>
    <t>DESARROLLO Y GRABACION DE SKETCHES CREATIVOS</t>
  </si>
  <si>
    <t>DISCO SOLIDO KINGSTON SSD 1TB EXTERNO USB TIPO-C USB 3.2 SXS1000/1000GB</t>
  </si>
  <si>
    <t>DISENIO DE POST Y CARRUSELES CON GUION</t>
  </si>
  <si>
    <t>ELABORACION DE VIDEOS CON PRESENTADOR</t>
  </si>
  <si>
    <t>EPSON TINTA NEGRO (T504120) P/L4150/L4160/L6161/L6171/L6171/L6191</t>
  </si>
  <si>
    <t>Espejo de Baño Rectangular con Puntas Redondas 45x60cm</t>
  </si>
  <si>
    <t>GENIUS PARLANTE</t>
  </si>
  <si>
    <t>IMPRESION DE VINIL</t>
  </si>
  <si>
    <t>Impresora Brother DCP-T520W Multifuncional Wifi</t>
  </si>
  <si>
    <t>INSTALACIÓN DE CHAPA DE PUERTA DE FIERRO Y CAMBIO DE SISTEMA CON TRES LLAVES</t>
  </si>
  <si>
    <t>KINGSTON MEMORIA SODIMM 16GB 3200MHZ (KVR32S22S8/16)</t>
  </si>
  <si>
    <t>KINGSTON MEMORIA USB 64GB USB C 3.2 DATATRAVELER 70</t>
  </si>
  <si>
    <t>KINGSTON SOLIDO EXTERNO 1TB XS1000 USB 3.2 GEN 2 TIPO C (SXS1000/1000G)</t>
  </si>
  <si>
    <t>KINGSTON USB DE 64GB DATATRAVELER EXODIA 3.2 GEN 1 (DTX/64GB)</t>
  </si>
  <si>
    <t>KIT VIDEO PORTERO DE CON MONITOR 7" 2MP HIKVISION</t>
  </si>
  <si>
    <t>LETRERO</t>
  </si>
  <si>
    <t>LIMPIADOR DE CUERO</t>
  </si>
  <si>
    <t>LIMPIAVIDRIOS</t>
  </si>
  <si>
    <t>LOGITECH AUDIFONO ZONE 300 BLUETOOTH C/MICROFONO</t>
  </si>
  <si>
    <t>MANTENIMIENTO</t>
  </si>
  <si>
    <t>MATERIALES TUBO O CANALETA ACCESORIOS DE FIJACION</t>
  </si>
  <si>
    <t>MODULO COUNTER PVC ESTANDAR</t>
  </si>
  <si>
    <t>MONITOR LG LED 22MR410 100HZ 1920X1080 HDMI NS: 503TOWR06049 GARANTIA 12 MESES POR LA MARCA</t>
  </si>
  <si>
    <t>MOUSE PAD</t>
  </si>
  <si>
    <t>PASTILLA W.C</t>
  </si>
  <si>
    <t>Polo básico</t>
  </si>
  <si>
    <t>Polo box</t>
  </si>
  <si>
    <t>PULVERIZADOR</t>
  </si>
  <si>
    <t>Roll screen</t>
  </si>
  <si>
    <t>SAMSUNG  S/ 479 Celular Galaxy A06 4g 128gb Black</t>
  </si>
  <si>
    <t>SAMSUNG Travel Adapter 15w_pd</t>
  </si>
  <si>
    <t>SERVICIO DE CONSULTA Y VALIDACIÓN</t>
  </si>
  <si>
    <t>SERVICIO DE GESTION COMERCIAL</t>
  </si>
  <si>
    <t>Servicio de movilidad</t>
  </si>
  <si>
    <t>SERVICIO TECNICO MANO DE OBRA</t>
  </si>
  <si>
    <t>SWICH DE TRANSFERENCIA</t>
  </si>
  <si>
    <t>TECLADO</t>
  </si>
  <si>
    <t>TOSHIBA DISCO DURO EXTERNO 2.5" 1TB CANVIO BASICS USB 3.0 BLACK (HDTB410XK3AA)</t>
  </si>
  <si>
    <t>TRANSFORMADOR PARA CHAPA ELECTRICA</t>
  </si>
  <si>
    <t>TYVEK</t>
  </si>
  <si>
    <t>NOMNBRE</t>
  </si>
  <si>
    <t>NOMPRODUCTO</t>
  </si>
  <si>
    <t>SIMIMPOUESTO</t>
  </si>
  <si>
    <t>Nombre</t>
  </si>
  <si>
    <t>sim impuesto</t>
  </si>
  <si>
    <t>cantidad</t>
  </si>
  <si>
    <t>cantidadProd</t>
  </si>
  <si>
    <t>Categorizacion</t>
  </si>
  <si>
    <t>Costo de venta</t>
  </si>
  <si>
    <t>Gasto Operativo (Descontando Proyecto y proveedores que son Costo de venta)</t>
  </si>
  <si>
    <t>sueldo bruto + seguros + seguro vida ley</t>
  </si>
  <si>
    <t>VOUCHER IMPRESO CON QR</t>
  </si>
  <si>
    <t>SERVICIO DE DISENO</t>
  </si>
  <si>
    <t>SERV DEVOLUCIONES</t>
  </si>
  <si>
    <t>PUNTO DE VENTA</t>
  </si>
  <si>
    <t>PAUTA PUBLICITARIA</t>
  </si>
  <si>
    <t>FEE ADMINISTRATIVO</t>
  </si>
  <si>
    <t>ENTRADAS IMPRESAS</t>
  </si>
  <si>
    <t>Descuento</t>
  </si>
  <si>
    <t>COMISION VAOPE SEGUN CONTRATO</t>
  </si>
  <si>
    <t>COMISION POS VENTA TAQUILLA</t>
  </si>
  <si>
    <t>COMISION PAGOS DIGITALES SEGUN CONTRATO</t>
  </si>
  <si>
    <t>COMISION CORTESIA</t>
  </si>
  <si>
    <t>BRAZALETE CON QR</t>
  </si>
  <si>
    <t>BOLETO FULL COLOR CON QR</t>
  </si>
  <si>
    <t>Administración y Finanzas</t>
  </si>
  <si>
    <t>COMISION PAGOS DIGITALES SEGUN CONTRAT</t>
  </si>
  <si>
    <t>Delivery</t>
  </si>
  <si>
    <t>PERSONAL</t>
  </si>
  <si>
    <t>Operativos</t>
  </si>
  <si>
    <t>FEE ADMINISTRATIVOFee administrativo por adelanto</t>
  </si>
  <si>
    <t>Personal temporal</t>
  </si>
  <si>
    <t>Ime</t>
  </si>
  <si>
    <t>STICKER CON QR</t>
  </si>
  <si>
    <t>BOLETO PREMIUN CON QR</t>
  </si>
  <si>
    <t>OPERATIVOS</t>
  </si>
  <si>
    <t>Otros</t>
  </si>
  <si>
    <t>Suministros Compra</t>
  </si>
  <si>
    <t>ENTRADAS IMPRESAS FULL COLOR GENERALARMONIA 10 EN YAPATERA 22 DE ENE Y HUAMACHUCO 25 DE ENE BRAZALET</t>
  </si>
  <si>
    <t>ENTRADAS IMPRESAS FULL COLOR GENERAL BRAZALETES VIP</t>
  </si>
  <si>
    <t>ENTRADAS IMPRESAS FULL COLOR GENERAL</t>
  </si>
  <si>
    <t>ENTRADAS IMPRESAS FULL COLOR</t>
  </si>
  <si>
    <t>ENTRADAS IMPRESAS  FULL COLOR GENERAL</t>
  </si>
  <si>
    <t>BRAZALETES STICKERS SIN ZONA</t>
  </si>
  <si>
    <t>Suministros Venta</t>
  </si>
  <si>
    <t>VOUCHER DIGITAL CON QR</t>
  </si>
  <si>
    <t>Pauta</t>
  </si>
  <si>
    <t>VENDEDOR</t>
  </si>
  <si>
    <t>SUPERVISOR VALIDADORES</t>
  </si>
  <si>
    <t>Venta</t>
  </si>
  <si>
    <t>Comisión Cortesía</t>
  </si>
  <si>
    <t>Comisión Pagos digitales</t>
  </si>
  <si>
    <t>Comisión Vaope</t>
  </si>
  <si>
    <t>Fee Administrativo</t>
  </si>
  <si>
    <t>Punto de Venta</t>
  </si>
  <si>
    <t>Servicio Devoluciones</t>
  </si>
  <si>
    <t>NombreDistAnalitica</t>
  </si>
  <si>
    <t>SubcategoriaDistAnalitica</t>
  </si>
  <si>
    <t>Nombreproducto</t>
  </si>
  <si>
    <t>SinImpuesto</t>
  </si>
  <si>
    <t>Q</t>
  </si>
  <si>
    <t>CantidadProducto</t>
  </si>
  <si>
    <t>CategoriaProducto</t>
  </si>
  <si>
    <t>SubcategoriaProducto</t>
  </si>
  <si>
    <t>Ventas Web</t>
  </si>
  <si>
    <t>Servicio Validadores</t>
  </si>
  <si>
    <t>Comisión Cortesia</t>
  </si>
  <si>
    <t>Supervisor Validadores</t>
  </si>
  <si>
    <t>Vendedor</t>
  </si>
  <si>
    <t>Boleto Full Color con QR</t>
  </si>
  <si>
    <t>Pauta Publicitaria</t>
  </si>
  <si>
    <t>Servicio de diseno</t>
  </si>
  <si>
    <t>Boleto premiun con QR</t>
  </si>
  <si>
    <t>Brazalete con QR</t>
  </si>
  <si>
    <t>Entradas impresas</t>
  </si>
  <si>
    <t>Voucher digital con QR</t>
  </si>
  <si>
    <t>Voucher impreso con QR</t>
  </si>
  <si>
    <t>Brazaletes stickers sin zona</t>
  </si>
  <si>
    <t>Brazaletes VIP</t>
  </si>
  <si>
    <t>Entradas impresas Full color</t>
  </si>
  <si>
    <t>ND</t>
  </si>
  <si>
    <t>Personal</t>
  </si>
  <si>
    <t>Sticker con QR</t>
  </si>
  <si>
    <t>BRAZALETES vip</t>
  </si>
  <si>
    <t>DistribucionID</t>
  </si>
  <si>
    <t>ProductoID</t>
  </si>
  <si>
    <t>concatenar</t>
  </si>
  <si>
    <t>Etiquetas de fila</t>
  </si>
  <si>
    <t>Suma de SinImpuesto</t>
  </si>
  <si>
    <t>Total general</t>
  </si>
  <si>
    <t>LlaveDistribucionProducto</t>
  </si>
  <si>
    <t>Comision Vaope</t>
  </si>
  <si>
    <t>Comision Cortesia</t>
  </si>
  <si>
    <t>Comision Pagos digitales</t>
  </si>
  <si>
    <t>Venta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</si>
</sst>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0" fillId="0" borderId="1" xfId="0" applyBorder="1"/>
    <xf numFmtId="0" fontId="1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2" borderId="1" xfId="0" applyFont="1" applyFill="1" applyBorder="1"/>
  </cellXfs>
  <cellStyles count="1">
    <cellStyle name="Normal" xfId="0" builtinId="0"/>
  </cellStyles>
  <dxfs count="11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180975</xdr:colOff>
      <xdr:row>1</xdr:row>
      <xdr:rowOff>85725</xdr:rowOff>
    </xdr:from>
    <xdr:to>
      <xdr:col>13</xdr:col>
      <xdr:colOff>76200</xdr:colOff>
      <xdr:row>13</xdr:row>
      <xdr:rowOff>280065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7C24376-2ADC-01B2-97A2-1FCF4A8B2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1600" y="276225"/>
          <a:ext cx="1419225" cy="286134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" refreshedDate="46057.656124074078" createdVersion="8" refreshedVersion="8" minRefreshableVersion="3" recordCount="191" xr:uid="{72413EA7-06DE-4B17-9E0E-C4E968DBFF28}">
  <cacheSource type="worksheet">
    <worksheetSource name="Tabla1"/>
  </cacheSource>
  <cacheFields count="11">
    <cacheField name="NombreDistAnalitica" numFmtId="0">
      <sharedItems containsBlank="1"/>
    </cacheField>
    <cacheField name="SubcategoriaDistAnalitica" numFmtId="0">
      <sharedItems containsBlank="1"/>
    </cacheField>
    <cacheField name="Nombreproducto" numFmtId="0">
      <sharedItems containsBlank="1"/>
    </cacheField>
    <cacheField name="DistribucionID" numFmtId="0">
      <sharedItems containsString="0" containsBlank="1" containsNumber="1" containsInteger="1" minValue="61" maxValue="157"/>
    </cacheField>
    <cacheField name="ProductoID" numFmtId="0">
      <sharedItems containsSemiMixedTypes="0" containsString="0" containsNumber="1" containsInteger="1" minValue="0" maxValue="2344"/>
    </cacheField>
    <cacheField name="LlaveDistribucionProducto" numFmtId="0">
      <sharedItems/>
    </cacheField>
    <cacheField name="SinImpuesto" numFmtId="0">
      <sharedItems containsSemiMixedTypes="0" containsString="0" containsNumber="1" minValue="-2961.2" maxValue="1683395.27"/>
    </cacheField>
    <cacheField name="Q" numFmtId="0">
      <sharedItems containsSemiMixedTypes="0" containsString="0" containsNumber="1" containsInteger="1" minValue="1" maxValue="1504"/>
    </cacheField>
    <cacheField name="CantidadProducto" numFmtId="0">
      <sharedItems containsSemiMixedTypes="0" containsString="0" containsNumber="1" containsInteger="1" minValue="1" maxValue="181500"/>
    </cacheField>
    <cacheField name="CategoriaProducto" numFmtId="0">
      <sharedItems count="7">
        <s v="Administración y Finanzas"/>
        <s v="Contenido"/>
        <s v="Impresos"/>
        <s v="Marketing"/>
        <s v="ND"/>
        <s v="Validadores"/>
        <s v="Ventas Web"/>
      </sharedItems>
    </cacheField>
    <cacheField name="SubcategoriaProducto" numFmtId="0">
      <sharedItems count="28">
        <s v="Capacitaciones"/>
        <s v="Delivery"/>
        <s v="Fee Administrativo"/>
        <s v="ND"/>
        <s v="Personal"/>
        <s v="Servicio de diseno"/>
        <s v="Boleto Full Color con QR"/>
        <s v="Boleto premiun con QR"/>
        <s v="Brazalete con QR"/>
        <s v="Brazaletes stickers sin zona"/>
        <s v="Brazaletes VIP"/>
        <s v="Entradas impresas"/>
        <s v="Entradas impresas Full color"/>
        <s v="Sticker con QR"/>
        <s v="Voucher digital con QR"/>
        <s v="Voucher impreso con QR"/>
        <s v="Pauta Publicitaria"/>
        <s v="Servicio Validadores"/>
        <s v="Supervisor Validadores"/>
        <s v="Vendedor"/>
        <s v="Comision Cortesia"/>
        <s v="Comision Pagos digitales"/>
        <s v="Comision Vaope"/>
        <s v="Punto de Venta"/>
        <s v="Servicio Devoluciones"/>
        <s v="Comisión Vaope" u="1"/>
        <s v="Comisión Pagos digitales" u="1"/>
        <s v="Comisión Cortesi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">
  <r>
    <s v="Administración y Finanzas"/>
    <s v="Capacitaciones"/>
    <m/>
    <n v="105"/>
    <n v="0"/>
    <s v="105-0"/>
    <n v="0"/>
    <n v="299"/>
    <n v="299"/>
    <x v="0"/>
    <x v="0"/>
  </r>
  <r>
    <s v="Administración y Finanzas"/>
    <s v="Delivery"/>
    <m/>
    <n v="63"/>
    <n v="0"/>
    <s v="63-0"/>
    <n v="0"/>
    <n v="1"/>
    <n v="1"/>
    <x v="0"/>
    <x v="1"/>
  </r>
  <r>
    <s v="Administración y Finanzas"/>
    <s v="Operativos"/>
    <s v="FEE ADMINISTRATIVOFee administrativo por adelanto"/>
    <n v="61"/>
    <n v="993"/>
    <s v="61-993"/>
    <n v="300"/>
    <n v="3"/>
    <n v="3"/>
    <x v="0"/>
    <x v="2"/>
  </r>
  <r>
    <s v="Administración y Finanzas"/>
    <s v="Operativos"/>
    <s v="FEE ADMINISTRATIVO"/>
    <n v="61"/>
    <n v="888"/>
    <s v="61-888"/>
    <n v="100"/>
    <n v="1"/>
    <n v="1"/>
    <x v="0"/>
    <x v="2"/>
  </r>
  <r>
    <s v="Administración y Finanzas"/>
    <s v="Operativos"/>
    <s v="FEE ADMINISTRATIVO"/>
    <n v="61"/>
    <n v="931"/>
    <s v="61-931"/>
    <n v="100"/>
    <n v="1"/>
    <n v="1"/>
    <x v="0"/>
    <x v="2"/>
  </r>
  <r>
    <s v="Administración y Finanzas"/>
    <s v="Operativos"/>
    <s v="FEE ADMINISTRATIVO"/>
    <n v="61"/>
    <n v="932"/>
    <s v="61-932"/>
    <n v="100"/>
    <n v="1"/>
    <n v="1"/>
    <x v="0"/>
    <x v="2"/>
  </r>
  <r>
    <s v="Administración y Finanzas"/>
    <s v="Operativos"/>
    <m/>
    <n v="61"/>
    <n v="0"/>
    <s v="61-0"/>
    <n v="0"/>
    <n v="7"/>
    <n v="7"/>
    <x v="0"/>
    <x v="3"/>
  </r>
  <r>
    <s v="Administración y Finanzas"/>
    <s v="Delivery"/>
    <s v="PERSONAL"/>
    <n v="63"/>
    <n v="959"/>
    <s v="63-959"/>
    <n v="32.5"/>
    <n v="1"/>
    <n v="1"/>
    <x v="0"/>
    <x v="4"/>
  </r>
  <r>
    <s v="Administración y Finanzas"/>
    <s v="Operativos"/>
    <s v="PERSONAL"/>
    <n v="61"/>
    <n v="975"/>
    <s v="61-975"/>
    <n v="200"/>
    <n v="1"/>
    <n v="1"/>
    <x v="0"/>
    <x v="4"/>
  </r>
  <r>
    <s v="Contenido"/>
    <s v="Personal temporal"/>
    <s v="PERSONAL"/>
    <n v="73"/>
    <n v="883"/>
    <s v="73-883"/>
    <n v="1000"/>
    <n v="1"/>
    <n v="1"/>
    <x v="1"/>
    <x v="4"/>
  </r>
  <r>
    <s v="Contenido"/>
    <s v="Personal temporal"/>
    <m/>
    <n v="73"/>
    <n v="0"/>
    <s v="73-0"/>
    <n v="0"/>
    <n v="1"/>
    <n v="1"/>
    <x v="1"/>
    <x v="4"/>
  </r>
  <r>
    <s v="Operaciones"/>
    <s v="Ime"/>
    <s v="SERVICIO DE DISENO"/>
    <n v="93"/>
    <n v="2342"/>
    <s v="93-2342"/>
    <n v="30"/>
    <n v="1"/>
    <n v="1"/>
    <x v="1"/>
    <x v="5"/>
  </r>
  <r>
    <s v="Operaciones"/>
    <s v="Otros"/>
    <s v="SERVICIO DE DISENO"/>
    <n v="144"/>
    <n v="2342"/>
    <s v="144-2342"/>
    <n v="599.49"/>
    <n v="8"/>
    <n v="8"/>
    <x v="1"/>
    <x v="5"/>
  </r>
  <r>
    <s v="Diseño"/>
    <s v="Ime"/>
    <s v="SERVICIO DE DISENO"/>
    <n v="77"/>
    <n v="2342"/>
    <s v="77-2342"/>
    <n v="120"/>
    <n v="1"/>
    <n v="1"/>
    <x v="1"/>
    <x v="5"/>
  </r>
  <r>
    <m/>
    <m/>
    <s v="SERVICIO DE DISENO"/>
    <m/>
    <n v="2342"/>
    <s v="0-2342"/>
    <n v="820"/>
    <n v="16"/>
    <n v="17"/>
    <x v="1"/>
    <x v="5"/>
  </r>
  <r>
    <s v="Operaciones"/>
    <s v="Otros"/>
    <s v="BOLETO FULL COLOR CON QR"/>
    <n v="144"/>
    <n v="1924"/>
    <s v="144-1924"/>
    <n v="1200"/>
    <n v="1"/>
    <n v="1"/>
    <x v="2"/>
    <x v="6"/>
  </r>
  <r>
    <s v="Impresos"/>
    <s v="Ime"/>
    <s v="BOLETO FULL COLOR CON QR"/>
    <n v="82"/>
    <n v="1924"/>
    <s v="82-1924"/>
    <n v="72360"/>
    <n v="71"/>
    <n v="181500"/>
    <x v="2"/>
    <x v="6"/>
  </r>
  <r>
    <s v="Impresos"/>
    <s v="Suministros Venta"/>
    <s v="BOLETO FULL COLOR CON QR"/>
    <n v="148"/>
    <n v="1924"/>
    <s v="148-1924"/>
    <n v="48031.66"/>
    <n v="70"/>
    <n v="70"/>
    <x v="2"/>
    <x v="6"/>
  </r>
  <r>
    <m/>
    <m/>
    <s v="BOLETO FULL COLOR CON QR"/>
    <m/>
    <n v="1924"/>
    <s v="0-1924"/>
    <n v="5000"/>
    <n v="4"/>
    <n v="12500"/>
    <x v="2"/>
    <x v="6"/>
  </r>
  <r>
    <s v="Impresos"/>
    <s v="Ime"/>
    <s v="BOLETO PREMIUN CON QR"/>
    <n v="82"/>
    <n v="223"/>
    <s v="82-223"/>
    <n v="15300"/>
    <n v="12"/>
    <n v="17000"/>
    <x v="2"/>
    <x v="7"/>
  </r>
  <r>
    <s v="Impresos"/>
    <s v="Suministros Venta"/>
    <s v="BOLETO PREMIUN CON QR"/>
    <n v="148"/>
    <n v="223"/>
    <s v="148-223"/>
    <n v="3000"/>
    <n v="4"/>
    <n v="4"/>
    <x v="2"/>
    <x v="7"/>
  </r>
  <r>
    <s v="Impresos"/>
    <s v="Ime"/>
    <s v="BRAZALETE CON QR"/>
    <n v="82"/>
    <n v="1895"/>
    <s v="82-1895"/>
    <n v="87495"/>
    <n v="95"/>
    <n v="151301"/>
    <x v="2"/>
    <x v="8"/>
  </r>
  <r>
    <s v="Impresos"/>
    <s v="Otros"/>
    <s v="BRAZALETE CON QR"/>
    <n v="81"/>
    <n v="1895"/>
    <s v="81-1895"/>
    <n v="1800"/>
    <n v="1"/>
    <n v="3000"/>
    <x v="2"/>
    <x v="8"/>
  </r>
  <r>
    <s v="Impresos"/>
    <s v="Suministros Venta"/>
    <s v="BRAZALETE CON QR"/>
    <n v="148"/>
    <n v="1895"/>
    <s v="148-1895"/>
    <n v="250271.75"/>
    <n v="182"/>
    <n v="182"/>
    <x v="2"/>
    <x v="8"/>
  </r>
  <r>
    <m/>
    <m/>
    <s v="BRAZALETE CON QR"/>
    <m/>
    <n v="1895"/>
    <s v="0-1895"/>
    <n v="7340"/>
    <n v="5"/>
    <n v="11400"/>
    <x v="2"/>
    <x v="8"/>
  </r>
  <r>
    <s v="Impresos"/>
    <s v="Suministros Compra"/>
    <s v="BRAZALETES STICKERS SIN ZONA"/>
    <n v="83"/>
    <n v="917"/>
    <s v="83-917"/>
    <n v="1230"/>
    <n v="1"/>
    <n v="1"/>
    <x v="2"/>
    <x v="9"/>
  </r>
  <r>
    <s v="Impresos"/>
    <s v="Suministros Compra"/>
    <s v="BRAZALETES vip"/>
    <n v="83"/>
    <n v="911"/>
    <s v="83-911"/>
    <n v="970"/>
    <n v="1"/>
    <n v="1"/>
    <x v="2"/>
    <x v="10"/>
  </r>
  <r>
    <s v="Impresos"/>
    <s v="Suministros Compra"/>
    <s v="BRAZALETES vip"/>
    <n v="83"/>
    <n v="912"/>
    <s v="83-912"/>
    <n v="976.5"/>
    <n v="1"/>
    <n v="1"/>
    <x v="2"/>
    <x v="10"/>
  </r>
  <r>
    <s v="Impresos"/>
    <s v="Suministros Compra"/>
    <s v="BRAZALETES vip"/>
    <n v="83"/>
    <n v="985"/>
    <s v="83-985"/>
    <n v="1230"/>
    <n v="1"/>
    <n v="1"/>
    <x v="2"/>
    <x v="10"/>
  </r>
  <r>
    <s v="Venta"/>
    <s v="Delivery"/>
    <s v="DELIVERY"/>
    <n v="157"/>
    <n v="1916"/>
    <s v="157-1916"/>
    <n v="3227.04"/>
    <n v="32"/>
    <n v="32"/>
    <x v="2"/>
    <x v="1"/>
  </r>
  <r>
    <s v="Operaciones"/>
    <s v="Ime"/>
    <s v="DELIVERY"/>
    <n v="93"/>
    <n v="1916"/>
    <s v="93-1916"/>
    <n v="130"/>
    <n v="4"/>
    <n v="4"/>
    <x v="2"/>
    <x v="1"/>
  </r>
  <r>
    <s v="Operaciones"/>
    <s v="Operativos"/>
    <s v="DELIVERY"/>
    <n v="92"/>
    <n v="1916"/>
    <s v="92-1916"/>
    <n v="60"/>
    <n v="1"/>
    <n v="1"/>
    <x v="2"/>
    <x v="1"/>
  </r>
  <r>
    <s v="Operaciones"/>
    <s v="Otros"/>
    <s v="DELIVERY"/>
    <n v="144"/>
    <n v="1916"/>
    <s v="144-1916"/>
    <n v="1265.1600000000001"/>
    <n v="44"/>
    <n v="73"/>
    <x v="2"/>
    <x v="1"/>
  </r>
  <r>
    <s v="Impresos"/>
    <s v="Ime"/>
    <s v="DELIVERY"/>
    <n v="82"/>
    <n v="1916"/>
    <s v="82-1916"/>
    <n v="55"/>
    <n v="3"/>
    <n v="3"/>
    <x v="2"/>
    <x v="1"/>
  </r>
  <r>
    <s v="Impresos"/>
    <s v="Suministros Venta"/>
    <s v="DELIVERY"/>
    <n v="148"/>
    <n v="1916"/>
    <s v="148-1916"/>
    <n v="408.8"/>
    <n v="18"/>
    <n v="18"/>
    <x v="2"/>
    <x v="1"/>
  </r>
  <r>
    <m/>
    <m/>
    <s v="DELIVERY"/>
    <m/>
    <n v="1916"/>
    <s v="0-1916"/>
    <n v="350.1"/>
    <n v="13"/>
    <n v="42"/>
    <x v="2"/>
    <x v="1"/>
  </r>
  <r>
    <m/>
    <m/>
    <s v="DELIVERY"/>
    <m/>
    <n v="2316"/>
    <s v="0-2316"/>
    <n v="104.5"/>
    <n v="3"/>
    <n v="3"/>
    <x v="2"/>
    <x v="1"/>
  </r>
  <r>
    <s v="Impresos"/>
    <s v="Ime"/>
    <s v="ENTRADAS IMPRESAS"/>
    <n v="82"/>
    <n v="2324"/>
    <s v="82-2324"/>
    <n v="300"/>
    <n v="1"/>
    <n v="600"/>
    <x v="2"/>
    <x v="11"/>
  </r>
  <r>
    <s v="Impresos"/>
    <s v="Operativos"/>
    <s v="ENTRADAS IMPRESAS"/>
    <n v="84"/>
    <n v="2324"/>
    <s v="84-2324"/>
    <n v="1000"/>
    <n v="1"/>
    <n v="1"/>
    <x v="2"/>
    <x v="11"/>
  </r>
  <r>
    <s v="Impresos"/>
    <s v="Suministros Compra"/>
    <s v="ENTRADAS IMPRESAS"/>
    <n v="83"/>
    <n v="872"/>
    <s v="83-872"/>
    <n v="3700"/>
    <n v="1"/>
    <n v="1"/>
    <x v="2"/>
    <x v="11"/>
  </r>
  <r>
    <s v="Impresos"/>
    <s v="Suministros Compra"/>
    <s v="ENTRADAS IMPRESAS"/>
    <n v="83"/>
    <n v="875"/>
    <s v="83-875"/>
    <n v="3400"/>
    <n v="1"/>
    <n v="1"/>
    <x v="2"/>
    <x v="11"/>
  </r>
  <r>
    <s v="Impresos"/>
    <s v="Suministros Compra"/>
    <s v="ENTRADAS IMPRESAS"/>
    <n v="83"/>
    <n v="881"/>
    <s v="83-881"/>
    <n v="1500"/>
    <n v="1"/>
    <n v="1"/>
    <x v="2"/>
    <x v="11"/>
  </r>
  <r>
    <s v="Impresos"/>
    <s v="Suministros Compra"/>
    <s v="ENTRADAS IMPRESAS"/>
    <n v="83"/>
    <n v="890"/>
    <s v="83-890"/>
    <n v="3400"/>
    <n v="1"/>
    <n v="1"/>
    <x v="2"/>
    <x v="11"/>
  </r>
  <r>
    <s v="Impresos"/>
    <s v="Suministros Compra"/>
    <s v="ENTRADAS IMPRESAS"/>
    <n v="83"/>
    <n v="891"/>
    <s v="83-891"/>
    <n v="3400"/>
    <n v="1"/>
    <n v="1"/>
    <x v="2"/>
    <x v="11"/>
  </r>
  <r>
    <s v="Impresos"/>
    <s v="Suministros Compra"/>
    <s v="ENTRADAS IMPRESAS"/>
    <n v="83"/>
    <n v="893"/>
    <s v="83-893"/>
    <n v="5200"/>
    <n v="1"/>
    <n v="1"/>
    <x v="2"/>
    <x v="11"/>
  </r>
  <r>
    <s v="Impresos"/>
    <s v="Suministros Compra"/>
    <s v="ENTRADAS IMPRESAS"/>
    <n v="83"/>
    <n v="894"/>
    <s v="83-894"/>
    <n v="1200"/>
    <n v="1"/>
    <n v="1"/>
    <x v="2"/>
    <x v="11"/>
  </r>
  <r>
    <s v="Impresos"/>
    <s v="Suministros Compra"/>
    <s v="ENTRADAS IMPRESAS"/>
    <n v="83"/>
    <n v="895"/>
    <s v="83-895"/>
    <n v="2000"/>
    <n v="1"/>
    <n v="1"/>
    <x v="2"/>
    <x v="11"/>
  </r>
  <r>
    <s v="Impresos"/>
    <s v="Suministros Compra"/>
    <s v="ENTRADAS IMPRESAS"/>
    <n v="83"/>
    <n v="896"/>
    <s v="83-896"/>
    <n v="800"/>
    <n v="1"/>
    <n v="1"/>
    <x v="2"/>
    <x v="11"/>
  </r>
  <r>
    <s v="Impresos"/>
    <s v="Suministros Compra"/>
    <s v="ENTRADAS IMPRESAS"/>
    <n v="83"/>
    <n v="897"/>
    <s v="83-897"/>
    <n v="800"/>
    <n v="1"/>
    <n v="1"/>
    <x v="2"/>
    <x v="11"/>
  </r>
  <r>
    <s v="Impresos"/>
    <s v="Suministros Compra"/>
    <s v="ENTRADAS IMPRESAS"/>
    <n v="83"/>
    <n v="898"/>
    <s v="83-898"/>
    <n v="800"/>
    <n v="1"/>
    <n v="1"/>
    <x v="2"/>
    <x v="11"/>
  </r>
  <r>
    <s v="Impresos"/>
    <s v="Suministros Compra"/>
    <s v="ENTRADAS IMPRESAS"/>
    <n v="83"/>
    <n v="899"/>
    <s v="83-899"/>
    <n v="1800"/>
    <n v="1"/>
    <n v="1"/>
    <x v="2"/>
    <x v="11"/>
  </r>
  <r>
    <s v="Impresos"/>
    <s v="Suministros Compra"/>
    <s v="ENTRADAS IMPRESAS"/>
    <n v="83"/>
    <n v="901"/>
    <s v="83-901"/>
    <n v="920"/>
    <n v="1"/>
    <n v="1"/>
    <x v="2"/>
    <x v="11"/>
  </r>
  <r>
    <s v="Impresos"/>
    <s v="Suministros Compra"/>
    <s v="ENTRADAS IMPRESAS"/>
    <n v="83"/>
    <n v="918"/>
    <s v="83-918"/>
    <n v="1400"/>
    <n v="1"/>
    <n v="1"/>
    <x v="2"/>
    <x v="11"/>
  </r>
  <r>
    <s v="Impresos"/>
    <s v="Suministros Compra"/>
    <s v="ENTRADAS IMPRESAS"/>
    <n v="83"/>
    <n v="919"/>
    <s v="83-919"/>
    <n v="1400"/>
    <n v="1"/>
    <n v="1"/>
    <x v="2"/>
    <x v="11"/>
  </r>
  <r>
    <s v="Impresos"/>
    <s v="Suministros Compra"/>
    <s v="ENTRADAS IMPRESAS"/>
    <n v="83"/>
    <n v="920"/>
    <s v="83-920"/>
    <n v="1000"/>
    <n v="1"/>
    <n v="1"/>
    <x v="2"/>
    <x v="11"/>
  </r>
  <r>
    <s v="Impresos"/>
    <s v="Suministros Compra"/>
    <s v="ENTRADAS IMPRESAS"/>
    <n v="83"/>
    <n v="922"/>
    <s v="83-922"/>
    <n v="660"/>
    <n v="1"/>
    <n v="1"/>
    <x v="2"/>
    <x v="11"/>
  </r>
  <r>
    <s v="Impresos"/>
    <s v="Suministros Compra"/>
    <s v="ENTRADAS IMPRESAS"/>
    <n v="83"/>
    <n v="923"/>
    <s v="83-923"/>
    <n v="600"/>
    <n v="1"/>
    <n v="1"/>
    <x v="2"/>
    <x v="11"/>
  </r>
  <r>
    <s v="Impresos"/>
    <s v="Suministros Compra"/>
    <s v="ENTRADAS IMPRESAS"/>
    <n v="83"/>
    <n v="924"/>
    <s v="83-924"/>
    <n v="2200"/>
    <n v="1"/>
    <n v="1"/>
    <x v="2"/>
    <x v="11"/>
  </r>
  <r>
    <s v="Impresos"/>
    <s v="Suministros Compra"/>
    <s v="ENTRADAS IMPRESAS"/>
    <n v="83"/>
    <n v="925"/>
    <s v="83-925"/>
    <n v="800"/>
    <n v="1"/>
    <n v="1"/>
    <x v="2"/>
    <x v="11"/>
  </r>
  <r>
    <s v="Impresos"/>
    <s v="Suministros Compra"/>
    <s v="ENTRADAS IMPRESAS"/>
    <n v="83"/>
    <n v="926"/>
    <s v="83-926"/>
    <n v="800"/>
    <n v="1"/>
    <n v="1"/>
    <x v="2"/>
    <x v="11"/>
  </r>
  <r>
    <s v="Impresos"/>
    <s v="Suministros Compra"/>
    <s v="ENTRADAS IMPRESAS"/>
    <n v="83"/>
    <n v="927"/>
    <s v="83-927"/>
    <n v="800"/>
    <n v="1"/>
    <n v="1"/>
    <x v="2"/>
    <x v="11"/>
  </r>
  <r>
    <s v="Impresos"/>
    <s v="Suministros Compra"/>
    <s v="ENTRADAS IMPRESAS"/>
    <n v="83"/>
    <n v="928"/>
    <s v="83-928"/>
    <n v="2400"/>
    <n v="1"/>
    <n v="1"/>
    <x v="2"/>
    <x v="11"/>
  </r>
  <r>
    <s v="Impresos"/>
    <s v="Suministros Compra"/>
    <s v="ENTRADAS IMPRESAS"/>
    <n v="83"/>
    <n v="929"/>
    <s v="83-929"/>
    <n v="1400"/>
    <n v="1"/>
    <n v="1"/>
    <x v="2"/>
    <x v="11"/>
  </r>
  <r>
    <s v="Impresos"/>
    <s v="Suministros Compra"/>
    <s v="ENTRADAS IMPRESAS"/>
    <n v="83"/>
    <n v="930"/>
    <s v="83-930"/>
    <n v="1400"/>
    <n v="1"/>
    <n v="1"/>
    <x v="2"/>
    <x v="11"/>
  </r>
  <r>
    <s v="Impresos"/>
    <s v="Suministros Compra"/>
    <s v="ENTRADAS IMPRESAS"/>
    <n v="83"/>
    <n v="947"/>
    <s v="83-947"/>
    <n v="1575"/>
    <n v="1"/>
    <n v="1"/>
    <x v="2"/>
    <x v="11"/>
  </r>
  <r>
    <s v="Impresos"/>
    <s v="Suministros Compra"/>
    <s v="ENTRADAS IMPRESAS"/>
    <n v="83"/>
    <n v="948"/>
    <s v="83-948"/>
    <n v="1200"/>
    <n v="1"/>
    <n v="1"/>
    <x v="2"/>
    <x v="11"/>
  </r>
  <r>
    <s v="Impresos"/>
    <s v="Suministros Compra"/>
    <s v="ENTRADAS IMPRESAS"/>
    <n v="83"/>
    <n v="958"/>
    <s v="83-958"/>
    <n v="3100"/>
    <n v="1"/>
    <n v="1"/>
    <x v="2"/>
    <x v="11"/>
  </r>
  <r>
    <s v="Impresos"/>
    <s v="Suministros Compra"/>
    <s v="ENTRADAS IMPRESAS"/>
    <n v="83"/>
    <n v="962"/>
    <s v="83-962"/>
    <n v="600"/>
    <n v="1"/>
    <n v="1"/>
    <x v="2"/>
    <x v="11"/>
  </r>
  <r>
    <s v="Impresos"/>
    <s v="Suministros Compra"/>
    <s v="ENTRADAS IMPRESAS"/>
    <n v="83"/>
    <n v="964"/>
    <s v="83-964"/>
    <n v="600"/>
    <n v="1"/>
    <n v="1"/>
    <x v="2"/>
    <x v="11"/>
  </r>
  <r>
    <s v="Impresos"/>
    <s v="Suministros Compra"/>
    <s v="ENTRADAS IMPRESAS"/>
    <n v="83"/>
    <n v="965"/>
    <s v="83-965"/>
    <n v="930"/>
    <n v="1"/>
    <n v="1"/>
    <x v="2"/>
    <x v="11"/>
  </r>
  <r>
    <s v="Impresos"/>
    <s v="Suministros Compra"/>
    <s v="ENTRADAS IMPRESAS"/>
    <n v="83"/>
    <n v="968"/>
    <s v="83-968"/>
    <n v="1200"/>
    <n v="1"/>
    <n v="1"/>
    <x v="2"/>
    <x v="11"/>
  </r>
  <r>
    <s v="Impresos"/>
    <s v="Suministros Compra"/>
    <s v="ENTRADAS IMPRESAS"/>
    <n v="83"/>
    <n v="969"/>
    <s v="83-969"/>
    <n v="1200"/>
    <n v="1"/>
    <n v="1"/>
    <x v="2"/>
    <x v="11"/>
  </r>
  <r>
    <s v="Impresos"/>
    <s v="Suministros Compra"/>
    <s v="ENTRADAS IMPRESAS"/>
    <n v="83"/>
    <n v="970"/>
    <s v="83-970"/>
    <n v="600"/>
    <n v="1"/>
    <n v="1"/>
    <x v="2"/>
    <x v="11"/>
  </r>
  <r>
    <s v="Impresos"/>
    <s v="Suministros Compra"/>
    <s v="ENTRADAS IMPRESAS"/>
    <n v="83"/>
    <n v="973"/>
    <s v="83-973"/>
    <n v="1200"/>
    <n v="1"/>
    <n v="1"/>
    <x v="2"/>
    <x v="11"/>
  </r>
  <r>
    <s v="Impresos"/>
    <s v="Suministros Venta"/>
    <s v="ENTRADAS IMPRESAS"/>
    <n v="148"/>
    <n v="2324"/>
    <s v="148-2324"/>
    <n v="363904.1"/>
    <n v="303"/>
    <n v="303"/>
    <x v="2"/>
    <x v="11"/>
  </r>
  <r>
    <m/>
    <m/>
    <s v="ENTRADAS IMPRESAS"/>
    <m/>
    <n v="2324"/>
    <s v="0-2324"/>
    <n v="6530.51"/>
    <n v="5"/>
    <n v="5"/>
    <x v="2"/>
    <x v="11"/>
  </r>
  <r>
    <s v="Impresos"/>
    <s v="Suministros Compra"/>
    <s v="ENTRADAS IMPRESAS FULL COLOR GENERALARMONIA 10 EN YAPATERA 22 DE ENE Y HUAMACHUCO 25 DE ENE BRAZALET"/>
    <n v="83"/>
    <n v="946"/>
    <s v="83-946"/>
    <n v="2080"/>
    <n v="1"/>
    <n v="1"/>
    <x v="2"/>
    <x v="12"/>
  </r>
  <r>
    <s v="Impresos"/>
    <s v="Suministros Compra"/>
    <s v="ENTRADAS IMPRESAS FULL COLOR GENERAL BRAZALETES VIP"/>
    <n v="83"/>
    <n v="984"/>
    <s v="83-984"/>
    <n v="1241"/>
    <n v="1"/>
    <n v="1"/>
    <x v="2"/>
    <x v="12"/>
  </r>
  <r>
    <s v="Impresos"/>
    <s v="Suministros Compra"/>
    <s v="ENTRADAS IMPRESAS FULL COLOR GENERAL"/>
    <n v="83"/>
    <n v="944"/>
    <s v="83-944"/>
    <n v="910"/>
    <n v="1"/>
    <n v="1"/>
    <x v="2"/>
    <x v="12"/>
  </r>
  <r>
    <s v="Impresos"/>
    <s v="Suministros Compra"/>
    <s v="ENTRADAS IMPRESAS FULL COLOR GENERAL"/>
    <n v="83"/>
    <n v="945"/>
    <s v="83-945"/>
    <n v="800"/>
    <n v="1"/>
    <n v="1"/>
    <x v="2"/>
    <x v="12"/>
  </r>
  <r>
    <s v="Impresos"/>
    <s v="Suministros Compra"/>
    <s v="ENTRADAS IMPRESAS FULL COLOR GENERAL"/>
    <n v="83"/>
    <n v="960"/>
    <s v="83-960"/>
    <n v="830"/>
    <n v="1"/>
    <n v="1"/>
    <x v="2"/>
    <x v="12"/>
  </r>
  <r>
    <s v="Impresos"/>
    <s v="Suministros Compra"/>
    <s v="ENTRADAS IMPRESAS FULL COLOR"/>
    <n v="83"/>
    <n v="914"/>
    <s v="83-914"/>
    <n v="209.66"/>
    <n v="1"/>
    <n v="1"/>
    <x v="2"/>
    <x v="12"/>
  </r>
  <r>
    <s v="Impresos"/>
    <s v="Suministros Compra"/>
    <s v="ENTRADAS IMPRESAS FULL COLOR"/>
    <n v="83"/>
    <n v="915"/>
    <s v="83-915"/>
    <n v="720"/>
    <n v="1"/>
    <n v="1"/>
    <x v="2"/>
    <x v="12"/>
  </r>
  <r>
    <s v="Impresos"/>
    <s v="Suministros Compra"/>
    <s v="ENTRADAS IMPRESAS FULL COLOR"/>
    <n v="83"/>
    <n v="916"/>
    <s v="83-916"/>
    <n v="720"/>
    <n v="1"/>
    <n v="1"/>
    <x v="2"/>
    <x v="12"/>
  </r>
  <r>
    <s v="Impresos"/>
    <s v="Suministros Compra"/>
    <s v="ENTRADAS IMPRESAS  FULL COLOR GENERAL"/>
    <n v="83"/>
    <n v="983"/>
    <s v="83-983"/>
    <n v="400"/>
    <n v="1"/>
    <n v="1"/>
    <x v="2"/>
    <x v="12"/>
  </r>
  <r>
    <s v="Impresos"/>
    <s v="Otros"/>
    <m/>
    <n v="81"/>
    <n v="0"/>
    <s v="81-0"/>
    <n v="0"/>
    <n v="3"/>
    <n v="3"/>
    <x v="2"/>
    <x v="3"/>
  </r>
  <r>
    <s v="Impresos"/>
    <s v="Suministros Compra"/>
    <m/>
    <n v="83"/>
    <n v="0"/>
    <s v="83-0"/>
    <n v="0"/>
    <n v="48"/>
    <n v="48"/>
    <x v="2"/>
    <x v="3"/>
  </r>
  <r>
    <s v="Impresos"/>
    <s v="Otros"/>
    <s v="PERSONAL"/>
    <n v="81"/>
    <n v="889"/>
    <s v="81-889"/>
    <n v="32.5"/>
    <n v="1"/>
    <n v="1"/>
    <x v="2"/>
    <x v="4"/>
  </r>
  <r>
    <s v="Impresos"/>
    <s v="Otros"/>
    <s v="PERSONAL"/>
    <n v="81"/>
    <n v="900"/>
    <s v="81-900"/>
    <n v="100"/>
    <n v="1"/>
    <n v="1"/>
    <x v="2"/>
    <x v="4"/>
  </r>
  <r>
    <s v="Impresos"/>
    <s v="Otros"/>
    <s v="PERSONAL"/>
    <n v="81"/>
    <n v="961"/>
    <s v="81-961"/>
    <n v="20"/>
    <n v="1"/>
    <n v="1"/>
    <x v="2"/>
    <x v="4"/>
  </r>
  <r>
    <s v="Impresos"/>
    <s v="Ime"/>
    <s v="STICKER CON QR"/>
    <n v="82"/>
    <n v="1788"/>
    <s v="82-1788"/>
    <n v="7710"/>
    <n v="24"/>
    <n v="27000"/>
    <x v="2"/>
    <x v="13"/>
  </r>
  <r>
    <s v="Impresos"/>
    <s v="Suministros Venta"/>
    <s v="VOUCHER DIGITAL CON QR"/>
    <n v="148"/>
    <n v="2261"/>
    <s v="148-2261"/>
    <n v="5890"/>
    <n v="17"/>
    <n v="17"/>
    <x v="2"/>
    <x v="14"/>
  </r>
  <r>
    <s v="Impresos"/>
    <s v="Ime"/>
    <s v="VOUCHER IMPRESO CON QR"/>
    <n v="82"/>
    <n v="2264"/>
    <s v="82-2264"/>
    <n v="3669"/>
    <n v="8"/>
    <n v="11551"/>
    <x v="2"/>
    <x v="15"/>
  </r>
  <r>
    <s v="Impresos"/>
    <s v="Suministros Venta"/>
    <s v="VOUCHER IMPRESO CON QR"/>
    <n v="148"/>
    <n v="2264"/>
    <s v="148-2264"/>
    <n v="14735.98"/>
    <n v="36"/>
    <n v="36"/>
    <x v="2"/>
    <x v="15"/>
  </r>
  <r>
    <m/>
    <m/>
    <s v="VOUCHER IMPRESO CON QR"/>
    <m/>
    <n v="2264"/>
    <s v="0-2264"/>
    <n v="900"/>
    <n v="4"/>
    <n v="3000"/>
    <x v="2"/>
    <x v="15"/>
  </r>
  <r>
    <s v="Operaciones"/>
    <s v="Operativos"/>
    <s v="PAUTA PUBLICITARIA"/>
    <n v="92"/>
    <n v="2315"/>
    <s v="92-2315"/>
    <n v="1500"/>
    <n v="1"/>
    <n v="1"/>
    <x v="3"/>
    <x v="16"/>
  </r>
  <r>
    <s v="Operaciones"/>
    <s v="Otros"/>
    <s v="PAUTA PUBLICITARIA"/>
    <n v="144"/>
    <n v="2315"/>
    <s v="144-2315"/>
    <n v="2040"/>
    <n v="1"/>
    <n v="1"/>
    <x v="3"/>
    <x v="16"/>
  </r>
  <r>
    <s v="Marketing"/>
    <s v="Pauta"/>
    <s v="PERSONAL"/>
    <n v="89"/>
    <n v="950"/>
    <s v="89-950"/>
    <n v="423.73"/>
    <n v="1"/>
    <n v="1"/>
    <x v="3"/>
    <x v="16"/>
  </r>
  <r>
    <s v="Marketing"/>
    <s v="Pauta"/>
    <s v="PERSONAL"/>
    <n v="89"/>
    <n v="951"/>
    <s v="89-951"/>
    <n v="423.73"/>
    <n v="1"/>
    <n v="1"/>
    <x v="3"/>
    <x v="16"/>
  </r>
  <r>
    <s v="Marketing"/>
    <s v="Pauta"/>
    <s v="PERSONAL"/>
    <n v="89"/>
    <n v="954"/>
    <s v="89-954"/>
    <n v="438.73"/>
    <n v="1"/>
    <n v="1"/>
    <x v="3"/>
    <x v="16"/>
  </r>
  <r>
    <s v="Marketing"/>
    <s v="Pauta"/>
    <s v="PERSONAL"/>
    <n v="89"/>
    <n v="955"/>
    <s v="89-955"/>
    <n v="847.46"/>
    <n v="2"/>
    <n v="2"/>
    <x v="3"/>
    <x v="16"/>
  </r>
  <r>
    <s v="Marketing"/>
    <s v="Pauta"/>
    <s v="PERSONAL"/>
    <n v="89"/>
    <n v="966"/>
    <s v="89-966"/>
    <n v="300"/>
    <n v="1"/>
    <n v="1"/>
    <x v="3"/>
    <x v="16"/>
  </r>
  <r>
    <s v="Marketing"/>
    <s v="Pauta"/>
    <s v="PERSONAL"/>
    <n v="89"/>
    <n v="971"/>
    <s v="89-971"/>
    <n v="650"/>
    <n v="1"/>
    <n v="1"/>
    <x v="3"/>
    <x v="16"/>
  </r>
  <r>
    <s v="Marketing"/>
    <s v="Pauta"/>
    <s v="PERSONAL"/>
    <n v="89"/>
    <n v="974"/>
    <s v="89-974"/>
    <n v="20"/>
    <n v="1"/>
    <n v="1"/>
    <x v="3"/>
    <x v="16"/>
  </r>
  <r>
    <s v="Marketing"/>
    <s v="Pauta"/>
    <s v="PERSONAL"/>
    <n v="89"/>
    <n v="976"/>
    <s v="89-976"/>
    <n v="423.73"/>
    <n v="1"/>
    <n v="1"/>
    <x v="3"/>
    <x v="16"/>
  </r>
  <r>
    <s v="Marketing"/>
    <s v="Pauta"/>
    <s v="PERSONAL"/>
    <n v="89"/>
    <n v="977"/>
    <s v="89-977"/>
    <n v="500"/>
    <n v="1"/>
    <n v="1"/>
    <x v="3"/>
    <x v="16"/>
  </r>
  <r>
    <s v="Marketing"/>
    <s v="Pauta"/>
    <s v="PERSONAL"/>
    <n v="89"/>
    <n v="978"/>
    <s v="89-978"/>
    <n v="500"/>
    <n v="1"/>
    <n v="1"/>
    <x v="3"/>
    <x v="16"/>
  </r>
  <r>
    <s v="Marketing"/>
    <s v="Pauta"/>
    <s v="PERSONAL"/>
    <n v="89"/>
    <n v="980"/>
    <s v="89-980"/>
    <n v="980"/>
    <n v="1"/>
    <n v="1"/>
    <x v="3"/>
    <x v="16"/>
  </r>
  <r>
    <s v="Marketing"/>
    <s v="Pauta"/>
    <s v="PAUTA PUBLICITARIA"/>
    <n v="89"/>
    <n v="2315"/>
    <s v="89-2315"/>
    <n v="265246.38"/>
    <n v="246"/>
    <n v="246"/>
    <x v="3"/>
    <x v="16"/>
  </r>
  <r>
    <s v="Marketing"/>
    <s v="Pauta"/>
    <m/>
    <n v="89"/>
    <n v="0"/>
    <s v="89-0"/>
    <n v="0"/>
    <n v="12"/>
    <n v="12"/>
    <x v="3"/>
    <x v="16"/>
  </r>
  <r>
    <m/>
    <m/>
    <s v="PAUTA PUBLICITARIA"/>
    <m/>
    <n v="2315"/>
    <s v="0-2315"/>
    <n v="7583.38"/>
    <n v="5"/>
    <n v="5"/>
    <x v="3"/>
    <x v="16"/>
  </r>
  <r>
    <m/>
    <m/>
    <s v="Descuento"/>
    <m/>
    <n v="2344"/>
    <s v="0-2344"/>
    <n v="-2961.2"/>
    <n v="18"/>
    <n v="18"/>
    <x v="4"/>
    <x v="3"/>
  </r>
  <r>
    <m/>
    <m/>
    <s v="COMISION POS VENTA TAQUILLA"/>
    <m/>
    <n v="2323"/>
    <s v="0-2323"/>
    <n v="894.19"/>
    <n v="1"/>
    <n v="1"/>
    <x v="4"/>
    <x v="3"/>
  </r>
  <r>
    <m/>
    <m/>
    <m/>
    <m/>
    <n v="0"/>
    <s v="0-0"/>
    <n v="0"/>
    <n v="2"/>
    <n v="2"/>
    <x v="4"/>
    <x v="3"/>
  </r>
  <r>
    <s v="Venta"/>
    <s v="Punto de Venta"/>
    <s v="SERV VALIDADORES"/>
    <n v="153"/>
    <n v="2314"/>
    <s v="153-2314"/>
    <n v="300"/>
    <n v="1"/>
    <n v="1"/>
    <x v="5"/>
    <x v="17"/>
  </r>
  <r>
    <s v="Validadores"/>
    <s v="Personal temporal"/>
    <s v="SERV VALIDADORES"/>
    <n v="103"/>
    <n v="2314"/>
    <s v="103-2314"/>
    <n v="109304.69"/>
    <n v="184"/>
    <n v="184"/>
    <x v="5"/>
    <x v="17"/>
  </r>
  <r>
    <s v="Validadores"/>
    <s v="Personal temporal"/>
    <s v="PERSONAL"/>
    <n v="103"/>
    <n v="873"/>
    <s v="103-873"/>
    <n v="450"/>
    <n v="1"/>
    <n v="1"/>
    <x v="5"/>
    <x v="17"/>
  </r>
  <r>
    <s v="Validadores"/>
    <s v="Personal temporal"/>
    <s v="PERSONAL"/>
    <n v="103"/>
    <n v="882"/>
    <s v="103-882"/>
    <n v="1500"/>
    <n v="2"/>
    <n v="2"/>
    <x v="5"/>
    <x v="17"/>
  </r>
  <r>
    <s v="Validadores"/>
    <s v="Personal temporal"/>
    <s v="PERSONAL"/>
    <n v="103"/>
    <n v="892"/>
    <s v="103-892"/>
    <n v="450"/>
    <n v="1"/>
    <n v="1"/>
    <x v="5"/>
    <x v="17"/>
  </r>
  <r>
    <s v="Validadores"/>
    <s v="Personal temporal"/>
    <s v="PERSONAL"/>
    <n v="103"/>
    <n v="902"/>
    <s v="103-902"/>
    <n v="450"/>
    <n v="1"/>
    <n v="1"/>
    <x v="5"/>
    <x v="17"/>
  </r>
  <r>
    <s v="Validadores"/>
    <s v="Personal temporal"/>
    <s v="PERSONAL"/>
    <n v="103"/>
    <n v="903"/>
    <s v="103-903"/>
    <n v="390"/>
    <n v="1"/>
    <n v="1"/>
    <x v="5"/>
    <x v="17"/>
  </r>
  <r>
    <s v="Validadores"/>
    <s v="Personal temporal"/>
    <s v="PERSONAL"/>
    <n v="103"/>
    <n v="909"/>
    <s v="103-909"/>
    <n v="210"/>
    <n v="1"/>
    <n v="1"/>
    <x v="5"/>
    <x v="17"/>
  </r>
  <r>
    <s v="Validadores"/>
    <s v="Personal temporal"/>
    <s v="PERSONAL"/>
    <n v="103"/>
    <n v="913"/>
    <s v="103-913"/>
    <n v="600"/>
    <n v="2"/>
    <n v="2"/>
    <x v="5"/>
    <x v="17"/>
  </r>
  <r>
    <s v="Validadores"/>
    <s v="Personal temporal"/>
    <s v="PERSONAL"/>
    <n v="103"/>
    <n v="921"/>
    <s v="103-921"/>
    <n v="1200"/>
    <n v="2"/>
    <n v="2"/>
    <x v="5"/>
    <x v="17"/>
  </r>
  <r>
    <s v="Validadores"/>
    <s v="Personal temporal"/>
    <s v="PERSONAL"/>
    <n v="103"/>
    <n v="952"/>
    <s v="103-952"/>
    <n v="150"/>
    <n v="1"/>
    <n v="1"/>
    <x v="5"/>
    <x v="17"/>
  </r>
  <r>
    <s v="Validadores"/>
    <s v="Personal temporal"/>
    <s v="PERSONAL"/>
    <n v="103"/>
    <n v="956"/>
    <s v="103-956"/>
    <n v="150"/>
    <n v="1"/>
    <n v="1"/>
    <x v="5"/>
    <x v="17"/>
  </r>
  <r>
    <s v="Validadores"/>
    <s v="Personal temporal"/>
    <m/>
    <n v="103"/>
    <n v="0"/>
    <s v="103-0"/>
    <n v="0"/>
    <n v="14"/>
    <n v="14"/>
    <x v="5"/>
    <x v="17"/>
  </r>
  <r>
    <s v="Operaciones"/>
    <s v="Otros"/>
    <s v="SERV VALIDADORES"/>
    <n v="144"/>
    <n v="2314"/>
    <s v="144-2314"/>
    <n v="1653"/>
    <n v="3"/>
    <n v="10"/>
    <x v="5"/>
    <x v="17"/>
  </r>
  <r>
    <m/>
    <m/>
    <s v="SERV VALIDADORES"/>
    <m/>
    <n v="2314"/>
    <s v="0-2314"/>
    <n v="900"/>
    <n v="4"/>
    <n v="4"/>
    <x v="5"/>
    <x v="17"/>
  </r>
  <r>
    <s v="Validadores"/>
    <s v="Personal temporal"/>
    <s v="SUPERVISOR VALIDADORES"/>
    <n v="103"/>
    <n v="2322"/>
    <s v="103-2322"/>
    <n v="6880"/>
    <n v="12"/>
    <n v="12"/>
    <x v="5"/>
    <x v="18"/>
  </r>
  <r>
    <s v="Validadores"/>
    <s v="Personal temporal"/>
    <s v="VENDEDOR"/>
    <n v="103"/>
    <n v="218"/>
    <s v="103-218"/>
    <n v="6555.93"/>
    <n v="13"/>
    <n v="13"/>
    <x v="5"/>
    <x v="19"/>
  </r>
  <r>
    <s v="Venta"/>
    <s v="Comisión Cortesía"/>
    <s v="COMISION CORTESIA"/>
    <n v="151"/>
    <n v="2274"/>
    <s v="151-2274"/>
    <n v="19429.169999999998"/>
    <n v="246"/>
    <n v="246"/>
    <x v="6"/>
    <x v="20"/>
  </r>
  <r>
    <s v="Venta"/>
    <s v="Comisión Cortesía"/>
    <m/>
    <n v="151"/>
    <n v="0"/>
    <s v="151-0"/>
    <n v="0"/>
    <n v="1"/>
    <n v="1"/>
    <x v="6"/>
    <x v="20"/>
  </r>
  <r>
    <s v="Venta"/>
    <s v="Comisión Pagos digitales"/>
    <s v="COMISION CORTESIA"/>
    <n v="149"/>
    <n v="2274"/>
    <s v="149-2274"/>
    <n v="6764.64"/>
    <n v="149"/>
    <n v="149"/>
    <x v="6"/>
    <x v="20"/>
  </r>
  <r>
    <s v="Venta"/>
    <s v="Comisión Vaope"/>
    <s v="COMISION CORTESIA"/>
    <n v="150"/>
    <n v="2274"/>
    <s v="150-2274"/>
    <n v="88.5"/>
    <n v="1"/>
    <n v="1"/>
    <x v="6"/>
    <x v="20"/>
  </r>
  <r>
    <s v="Administración y Finanzas"/>
    <s v="Capacitaciones"/>
    <s v="COMISION CORTESIA"/>
    <n v="105"/>
    <n v="874"/>
    <s v="105-874"/>
    <n v="563.85"/>
    <n v="24"/>
    <n v="24"/>
    <x v="6"/>
    <x v="20"/>
  </r>
  <r>
    <s v="Administración y Finanzas"/>
    <s v="Capacitaciones"/>
    <s v="COMISION CORTESIA"/>
    <n v="105"/>
    <n v="906"/>
    <s v="105-906"/>
    <n v="83.53"/>
    <n v="1"/>
    <n v="1"/>
    <x v="6"/>
    <x v="20"/>
  </r>
  <r>
    <s v="Administración y Finanzas"/>
    <s v="Capacitaciones"/>
    <s v="COMISION CORTESIA"/>
    <n v="105"/>
    <n v="910"/>
    <s v="105-910"/>
    <n v="44.97"/>
    <n v="1"/>
    <n v="1"/>
    <x v="6"/>
    <x v="20"/>
  </r>
  <r>
    <s v="Administración y Finanzas"/>
    <s v="Capacitaciones"/>
    <s v="COMISION CORTESIA"/>
    <n v="105"/>
    <n v="949"/>
    <s v="105-949"/>
    <n v="488.73"/>
    <n v="2"/>
    <n v="2"/>
    <x v="6"/>
    <x v="20"/>
  </r>
  <r>
    <s v="Administración y Finanzas"/>
    <s v="Capacitaciones"/>
    <s v="COMISION CORTESIA"/>
    <n v="105"/>
    <n v="953"/>
    <s v="105-953"/>
    <n v="447.73"/>
    <n v="1"/>
    <n v="1"/>
    <x v="6"/>
    <x v="20"/>
  </r>
  <r>
    <s v="Administración y Finanzas"/>
    <s v="Capacitaciones"/>
    <s v="COMISION CORTESIA"/>
    <n v="105"/>
    <n v="957"/>
    <s v="105-957"/>
    <n v="30"/>
    <n v="1"/>
    <n v="1"/>
    <x v="6"/>
    <x v="20"/>
  </r>
  <r>
    <s v="Administración y Finanzas"/>
    <s v="Capacitaciones"/>
    <s v="COMISION CORTESIA"/>
    <n v="105"/>
    <n v="963"/>
    <s v="105-963"/>
    <n v="1"/>
    <n v="1"/>
    <n v="1"/>
    <x v="6"/>
    <x v="20"/>
  </r>
  <r>
    <s v="Administración y Finanzas"/>
    <s v="Capacitaciones"/>
    <s v="COMISION CORTESIA"/>
    <n v="105"/>
    <n v="972"/>
    <s v="105-972"/>
    <n v="308"/>
    <n v="1"/>
    <n v="1"/>
    <x v="6"/>
    <x v="20"/>
  </r>
  <r>
    <s v="Administración y Finanzas"/>
    <s v="Capacitaciones"/>
    <s v="COMISION CORTESIA"/>
    <n v="105"/>
    <n v="981"/>
    <s v="105-981"/>
    <n v="12.75"/>
    <n v="1"/>
    <n v="1"/>
    <x v="6"/>
    <x v="20"/>
  </r>
  <r>
    <s v="Administración y Finanzas"/>
    <s v="Capacitaciones"/>
    <s v="COMISION CORTESIA"/>
    <n v="105"/>
    <n v="982"/>
    <s v="105-982"/>
    <n v="107.37"/>
    <n v="1"/>
    <n v="1"/>
    <x v="6"/>
    <x v="20"/>
  </r>
  <r>
    <s v="Administración y Finanzas"/>
    <s v="Capacitaciones"/>
    <s v="COMISION CORTESIA"/>
    <n v="105"/>
    <n v="990"/>
    <s v="105-990"/>
    <n v="171"/>
    <n v="1"/>
    <n v="1"/>
    <x v="6"/>
    <x v="20"/>
  </r>
  <r>
    <s v="Administración y Finanzas"/>
    <s v="Capacitaciones"/>
    <s v="COMISION CORTESIA"/>
    <n v="105"/>
    <n v="992"/>
    <s v="105-992"/>
    <n v="97"/>
    <n v="2"/>
    <n v="2"/>
    <x v="6"/>
    <x v="20"/>
  </r>
  <r>
    <m/>
    <m/>
    <s v="COMISION CORTESIA"/>
    <m/>
    <n v="2274"/>
    <s v="0-2274"/>
    <n v="18"/>
    <n v="1"/>
    <n v="1"/>
    <x v="6"/>
    <x v="20"/>
  </r>
  <r>
    <m/>
    <m/>
    <s v="COMISION CORTESIA"/>
    <m/>
    <n v="2317"/>
    <s v="0-2317"/>
    <n v="288.39999999999998"/>
    <n v="8"/>
    <n v="8"/>
    <x v="6"/>
    <x v="20"/>
  </r>
  <r>
    <s v="Venta"/>
    <s v="Comisión Pagos digitales"/>
    <s v="COMISION PAGOS DIGITALES SEGUN CONTRATO"/>
    <n v="149"/>
    <n v="216"/>
    <s v="149-216"/>
    <n v="1683395.27"/>
    <n v="1504"/>
    <n v="1504"/>
    <x v="6"/>
    <x v="21"/>
  </r>
  <r>
    <s v="Venta"/>
    <s v="Comisión Pagos digitales"/>
    <m/>
    <n v="149"/>
    <n v="0"/>
    <s v="149-0"/>
    <n v="0"/>
    <n v="1"/>
    <n v="1"/>
    <x v="6"/>
    <x v="21"/>
  </r>
  <r>
    <s v="Operaciones"/>
    <s v="Otros"/>
    <s v="COMISION PAGOS DIGITALES SEGUN CONTRATO"/>
    <n v="144"/>
    <n v="216"/>
    <s v="144-216"/>
    <n v="1224.52"/>
    <n v="1"/>
    <n v="1"/>
    <x v="6"/>
    <x v="21"/>
  </r>
  <r>
    <s v="Administración y Finanzas"/>
    <s v="Capacitaciones"/>
    <s v="COMISION PAGOS DIGITALES SEGUN CONTRATO"/>
    <n v="105"/>
    <n v="216"/>
    <s v="105-216"/>
    <n v="940.29"/>
    <n v="2"/>
    <n v="2"/>
    <x v="6"/>
    <x v="21"/>
  </r>
  <r>
    <s v="Administración y Finanzas"/>
    <s v="Capacitaciones"/>
    <s v="COMISION PAGOS DIGITALES SEGUN CONTRATO"/>
    <n v="105"/>
    <n v="871"/>
    <s v="105-871"/>
    <n v="14653.17"/>
    <n v="14"/>
    <n v="14"/>
    <x v="6"/>
    <x v="21"/>
  </r>
  <r>
    <s v="Administración y Finanzas"/>
    <s v="Capacitaciones"/>
    <s v="COMISION PAGOS DIGITALES SEGUN CONTRATO"/>
    <n v="105"/>
    <n v="877"/>
    <s v="105-877"/>
    <n v="83683.3"/>
    <n v="96"/>
    <n v="96"/>
    <x v="6"/>
    <x v="21"/>
  </r>
  <r>
    <s v="Administración y Finanzas"/>
    <s v="Capacitaciones"/>
    <s v="COMISION PAGOS DIGITALES SEGUN CONTRATO"/>
    <n v="105"/>
    <n v="886"/>
    <s v="105-886"/>
    <n v="182.75"/>
    <n v="1"/>
    <n v="1"/>
    <x v="6"/>
    <x v="21"/>
  </r>
  <r>
    <s v="Administración y Finanzas"/>
    <s v="Capacitaciones"/>
    <s v="COMISION PAGOS DIGITALES SEGUN CONTRATO"/>
    <n v="105"/>
    <n v="905"/>
    <s v="105-905"/>
    <n v="4737.62"/>
    <n v="1"/>
    <n v="1"/>
    <x v="6"/>
    <x v="21"/>
  </r>
  <r>
    <s v="Administración y Finanzas"/>
    <s v="Capacitaciones"/>
    <s v="COMISION PAGOS DIGITALES SEGUN CONTRATO"/>
    <n v="105"/>
    <n v="908"/>
    <s v="105-908"/>
    <n v="2551.0300000000002"/>
    <n v="1"/>
    <n v="1"/>
    <x v="6"/>
    <x v="21"/>
  </r>
  <r>
    <s v="Administración y Finanzas"/>
    <s v="Capacitaciones"/>
    <s v="COMISION PAGOS DIGITALES SEGUN CONTRATO"/>
    <n v="105"/>
    <n v="934"/>
    <s v="105-934"/>
    <n v="60.04"/>
    <n v="4"/>
    <n v="4"/>
    <x v="6"/>
    <x v="21"/>
  </r>
  <r>
    <s v="Administración y Finanzas"/>
    <s v="Capacitaciones"/>
    <s v="COMISION PAGOS DIGITALES SEGUN CONTRATO"/>
    <n v="105"/>
    <n v="936"/>
    <s v="105-936"/>
    <n v="975.75"/>
    <n v="3"/>
    <n v="3"/>
    <x v="6"/>
    <x v="21"/>
  </r>
  <r>
    <s v="Administración y Finanzas"/>
    <s v="Capacitaciones"/>
    <s v="COMISION PAGOS DIGITALES SEGUN CONTRATO"/>
    <n v="105"/>
    <n v="938"/>
    <s v="105-938"/>
    <n v="373.05"/>
    <n v="2"/>
    <n v="2"/>
    <x v="6"/>
    <x v="21"/>
  </r>
  <r>
    <s v="Administración y Finanzas"/>
    <s v="Capacitaciones"/>
    <s v="COMISION PAGOS DIGITALES SEGUN CONTRATO"/>
    <n v="105"/>
    <n v="940"/>
    <s v="105-940"/>
    <n v="2941.83"/>
    <n v="4"/>
    <n v="4"/>
    <x v="6"/>
    <x v="21"/>
  </r>
  <r>
    <s v="Administración y Finanzas"/>
    <s v="Capacitaciones"/>
    <s v="COMISION PAGOS DIGITALES SEGUN CONTRATO"/>
    <n v="105"/>
    <n v="941"/>
    <s v="105-941"/>
    <n v="525.17999999999995"/>
    <n v="1"/>
    <n v="1"/>
    <x v="6"/>
    <x v="21"/>
  </r>
  <r>
    <s v="Administración y Finanzas"/>
    <s v="Capacitaciones"/>
    <s v="COMISION PAGOS DIGITALES SEGUN CONTRATO"/>
    <n v="105"/>
    <n v="942"/>
    <s v="105-942"/>
    <n v="1127.8800000000001"/>
    <n v="2"/>
    <n v="2"/>
    <x v="6"/>
    <x v="21"/>
  </r>
  <r>
    <s v="Administración y Finanzas"/>
    <s v="Capacitaciones"/>
    <s v="COMISION PAGOS DIGITALES SEGUN CONTRAT"/>
    <n v="105"/>
    <n v="967"/>
    <s v="105-967"/>
    <n v="1885.17"/>
    <n v="1"/>
    <n v="1"/>
    <x v="6"/>
    <x v="21"/>
  </r>
  <r>
    <m/>
    <m/>
    <s v="COMISION PAGOS DIGITALES SEGUN CONTRATO"/>
    <m/>
    <n v="216"/>
    <s v="0-216"/>
    <n v="35689.449999999997"/>
    <n v="24"/>
    <n v="24"/>
    <x v="6"/>
    <x v="21"/>
  </r>
  <r>
    <s v="Venta"/>
    <s v="Comisión Pagos digitales"/>
    <s v="COMISION VAOPE SEGUN CONTRATO"/>
    <n v="149"/>
    <n v="1786"/>
    <s v="149-1786"/>
    <n v="1622.55"/>
    <n v="246"/>
    <n v="246"/>
    <x v="6"/>
    <x v="22"/>
  </r>
  <r>
    <s v="Venta"/>
    <s v="Comisión Vaope"/>
    <s v="COMISION VAOPE SEGUN CONTRATO"/>
    <n v="150"/>
    <n v="1786"/>
    <s v="150-1786"/>
    <n v="1086974.06"/>
    <n v="978"/>
    <n v="978"/>
    <x v="6"/>
    <x v="22"/>
  </r>
  <r>
    <s v="Venta"/>
    <s v="Comisión Vaope"/>
    <m/>
    <n v="150"/>
    <n v="0"/>
    <s v="150-0"/>
    <n v="0"/>
    <n v="1"/>
    <n v="1"/>
    <x v="6"/>
    <x v="22"/>
  </r>
  <r>
    <s v="Validadores"/>
    <s v="Personal temporal"/>
    <s v="COMISION VAOPE SEGUN CONTRATO"/>
    <n v="103"/>
    <n v="1786"/>
    <s v="103-1786"/>
    <n v="291403.58"/>
    <n v="266"/>
    <n v="266"/>
    <x v="6"/>
    <x v="22"/>
  </r>
  <r>
    <s v="Operaciones"/>
    <s v="Otros"/>
    <s v="COMISION VAOPE SEGUN CONTRATO"/>
    <n v="144"/>
    <n v="1786"/>
    <s v="144-1786"/>
    <n v="5933.56"/>
    <n v="2"/>
    <n v="2"/>
    <x v="6"/>
    <x v="22"/>
  </r>
  <r>
    <s v="Administración y Finanzas"/>
    <s v="Capacitaciones"/>
    <s v="COMISION VAOPE SEGUN CONTRATO"/>
    <n v="105"/>
    <n v="870"/>
    <s v="105-870"/>
    <n v="55977.58"/>
    <n v="95"/>
    <n v="95"/>
    <x v="6"/>
    <x v="22"/>
  </r>
  <r>
    <s v="Administración y Finanzas"/>
    <s v="Capacitaciones"/>
    <s v="COMISION VAOPE SEGUN CONTRATO"/>
    <n v="105"/>
    <n v="878"/>
    <s v="105-878"/>
    <n v="12319.24"/>
    <n v="14"/>
    <n v="14"/>
    <x v="6"/>
    <x v="22"/>
  </r>
  <r>
    <s v="Administración y Finanzas"/>
    <s v="Capacitaciones"/>
    <s v="COMISION VAOPE SEGUN CONTRATO"/>
    <n v="105"/>
    <n v="885"/>
    <s v="105-885"/>
    <n v="2130.25"/>
    <n v="2"/>
    <n v="2"/>
    <x v="6"/>
    <x v="22"/>
  </r>
  <r>
    <s v="Administración y Finanzas"/>
    <s v="Capacitaciones"/>
    <s v="COMISION VAOPE SEGUN CONTRATO"/>
    <n v="105"/>
    <n v="887"/>
    <s v="105-887"/>
    <n v="109.06"/>
    <n v="1"/>
    <n v="1"/>
    <x v="6"/>
    <x v="22"/>
  </r>
  <r>
    <s v="Administración y Finanzas"/>
    <s v="Capacitaciones"/>
    <s v="COMISION VAOPE SEGUN CONTRATO"/>
    <n v="105"/>
    <n v="904"/>
    <s v="105-904"/>
    <n v="2961.31"/>
    <n v="1"/>
    <n v="1"/>
    <x v="6"/>
    <x v="22"/>
  </r>
  <r>
    <s v="Administración y Finanzas"/>
    <s v="Capacitaciones"/>
    <s v="COMISION VAOPE SEGUN CONTRATO"/>
    <n v="105"/>
    <n v="907"/>
    <s v="105-907"/>
    <n v="1594.55"/>
    <n v="1"/>
    <n v="1"/>
    <x v="6"/>
    <x v="22"/>
  </r>
  <r>
    <s v="Administración y Finanzas"/>
    <s v="Capacitaciones"/>
    <s v="COMISION VAOPE SEGUN CONTRATO"/>
    <n v="105"/>
    <n v="933"/>
    <s v="105-933"/>
    <n v="31.14"/>
    <n v="3"/>
    <n v="3"/>
    <x v="6"/>
    <x v="22"/>
  </r>
  <r>
    <s v="Administración y Finanzas"/>
    <s v="Capacitaciones"/>
    <s v="COMISION VAOPE SEGUN CONTRATO"/>
    <n v="105"/>
    <n v="935"/>
    <s v="105-935"/>
    <n v="1303.3599999999999"/>
    <n v="4"/>
    <n v="4"/>
    <x v="6"/>
    <x v="22"/>
  </r>
  <r>
    <s v="Administración y Finanzas"/>
    <s v="Capacitaciones"/>
    <s v="COMISION VAOPE SEGUN CONTRATO"/>
    <n v="105"/>
    <n v="937"/>
    <s v="105-937"/>
    <n v="1303.3599999999999"/>
    <n v="4"/>
    <n v="4"/>
    <x v="6"/>
    <x v="22"/>
  </r>
  <r>
    <s v="Administración y Finanzas"/>
    <s v="Capacitaciones"/>
    <s v="COMISION VAOPE SEGUN CONTRATO"/>
    <n v="105"/>
    <n v="939"/>
    <s v="105-939"/>
    <n v="2163.5100000000002"/>
    <n v="3"/>
    <n v="3"/>
    <x v="6"/>
    <x v="22"/>
  </r>
  <r>
    <s v="Administración y Finanzas"/>
    <s v="Capacitaciones"/>
    <s v="COMISION VAOPE SEGUN CONTRATO"/>
    <n v="105"/>
    <n v="943"/>
    <s v="105-943"/>
    <n v="20.99"/>
    <n v="1"/>
    <n v="1"/>
    <x v="6"/>
    <x v="22"/>
  </r>
  <r>
    <s v="Administración y Finanzas"/>
    <s v="Capacitaciones"/>
    <s v="COMISION VAOPE SEGUN CONTRATO"/>
    <n v="105"/>
    <n v="979"/>
    <s v="105-979"/>
    <n v="391.08"/>
    <n v="1"/>
    <n v="1"/>
    <x v="6"/>
    <x v="22"/>
  </r>
  <r>
    <m/>
    <m/>
    <s v="COMISION VAOPE SEGUN CONTRATO"/>
    <m/>
    <n v="1786"/>
    <s v="0-1786"/>
    <n v="32637.42"/>
    <n v="21"/>
    <n v="21"/>
    <x v="6"/>
    <x v="22"/>
  </r>
  <r>
    <s v="Venta"/>
    <s v="Fee Administrativo"/>
    <s v="FEE ADMINISTRATIVO"/>
    <n v="154"/>
    <n v="224"/>
    <s v="154-224"/>
    <n v="9210"/>
    <n v="80"/>
    <n v="80"/>
    <x v="6"/>
    <x v="2"/>
  </r>
  <r>
    <s v="Operaciones"/>
    <s v="Otros"/>
    <s v="FEE ADMINISTRATIVO"/>
    <n v="144"/>
    <n v="224"/>
    <s v="144-224"/>
    <n v="300"/>
    <n v="1"/>
    <n v="1"/>
    <x v="6"/>
    <x v="2"/>
  </r>
  <r>
    <m/>
    <m/>
    <s v="FEE ADMINISTRATIVO"/>
    <m/>
    <n v="2320"/>
    <s v="0-2320"/>
    <n v="300"/>
    <n v="3"/>
    <n v="3"/>
    <x v="6"/>
    <x v="2"/>
  </r>
  <r>
    <s v="Venta"/>
    <s v="Punto de Venta"/>
    <s v="PUNTO DE VENTA"/>
    <n v="153"/>
    <n v="2276"/>
    <s v="153-2276"/>
    <n v="3126.2"/>
    <n v="39"/>
    <n v="39"/>
    <x v="6"/>
    <x v="23"/>
  </r>
  <r>
    <m/>
    <m/>
    <s v="PUNTO DE VENTA"/>
    <m/>
    <n v="2276"/>
    <s v="0-2276"/>
    <n v="2460.81"/>
    <n v="44"/>
    <n v="44"/>
    <x v="6"/>
    <x v="23"/>
  </r>
  <r>
    <s v="Venta"/>
    <s v="Servicio Devoluciones"/>
    <s v="SERV DEVOLUCIONES"/>
    <n v="152"/>
    <n v="2318"/>
    <s v="152-2318"/>
    <n v="2792.07"/>
    <n v="13"/>
    <n v="13"/>
    <x v="6"/>
    <x v="24"/>
  </r>
  <r>
    <m/>
    <m/>
    <s v="SERV DEVOLUCIONES"/>
    <m/>
    <n v="2318"/>
    <s v="0-2318"/>
    <n v="5551.94"/>
    <n v="18"/>
    <n v="18"/>
    <x v="6"/>
    <x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BE926-4654-4A3F-87A9-32A56B762907}" name="TablaDinámica3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F42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ascending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29">
        <item x="6"/>
        <item x="7"/>
        <item x="8"/>
        <item x="9"/>
        <item x="10"/>
        <item x="0"/>
        <item m="1" x="27"/>
        <item m="1" x="26"/>
        <item m="1" x="25"/>
        <item x="1"/>
        <item x="11"/>
        <item x="12"/>
        <item x="2"/>
        <item x="3"/>
        <item x="16"/>
        <item x="4"/>
        <item x="23"/>
        <item x="5"/>
        <item x="24"/>
        <item x="17"/>
        <item x="13"/>
        <item x="18"/>
        <item x="19"/>
        <item x="14"/>
        <item x="15"/>
        <item x="20"/>
        <item x="21"/>
        <item x="22"/>
        <item t="default"/>
      </items>
    </pivotField>
  </pivotFields>
  <rowFields count="2">
    <field x="9"/>
    <field x="10"/>
  </rowFields>
  <rowItems count="39">
    <i>
      <x/>
    </i>
    <i r="1">
      <x v="5"/>
    </i>
    <i r="1">
      <x v="9"/>
    </i>
    <i r="1">
      <x v="12"/>
    </i>
    <i r="1">
      <x v="13"/>
    </i>
    <i r="1">
      <x v="15"/>
    </i>
    <i>
      <x v="1"/>
    </i>
    <i r="1">
      <x v="15"/>
    </i>
    <i r="1">
      <x v="17"/>
    </i>
    <i>
      <x v="2"/>
    </i>
    <i r="1">
      <x/>
    </i>
    <i r="1">
      <x v="1"/>
    </i>
    <i r="1">
      <x v="2"/>
    </i>
    <i r="1">
      <x v="3"/>
    </i>
    <i r="1">
      <x v="4"/>
    </i>
    <i r="1">
      <x v="9"/>
    </i>
    <i r="1">
      <x v="10"/>
    </i>
    <i r="1">
      <x v="11"/>
    </i>
    <i r="1">
      <x v="13"/>
    </i>
    <i r="1">
      <x v="15"/>
    </i>
    <i r="1">
      <x v="20"/>
    </i>
    <i r="1">
      <x v="23"/>
    </i>
    <i r="1">
      <x v="24"/>
    </i>
    <i>
      <x v="3"/>
    </i>
    <i r="1">
      <x v="14"/>
    </i>
    <i>
      <x v="4"/>
    </i>
    <i r="1">
      <x v="13"/>
    </i>
    <i>
      <x v="5"/>
    </i>
    <i r="1">
      <x v="19"/>
    </i>
    <i r="1">
      <x v="21"/>
    </i>
    <i r="1">
      <x v="22"/>
    </i>
    <i>
      <x v="6"/>
    </i>
    <i r="1">
      <x v="12"/>
    </i>
    <i r="1">
      <x v="16"/>
    </i>
    <i r="1">
      <x v="18"/>
    </i>
    <i r="1">
      <x v="25"/>
    </i>
    <i r="1">
      <x v="26"/>
    </i>
    <i r="1">
      <x v="27"/>
    </i>
    <i t="grand">
      <x/>
    </i>
  </rowItems>
  <colItems count="1">
    <i/>
  </colItems>
  <dataFields count="1">
    <dataField name="Suma de SinImpuesto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666310-97F2-4B43-ADCC-6C3A583C71EB}" name="TablaDinámica2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:C42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ascending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29">
        <item x="6"/>
        <item x="7"/>
        <item x="8"/>
        <item x="9"/>
        <item x="10"/>
        <item x="0"/>
        <item m="1" x="27"/>
        <item m="1" x="26"/>
        <item m="1" x="25"/>
        <item x="1"/>
        <item x="11"/>
        <item x="12"/>
        <item x="2"/>
        <item x="3"/>
        <item x="16"/>
        <item x="4"/>
        <item x="23"/>
        <item x="5"/>
        <item x="24"/>
        <item x="17"/>
        <item x="13"/>
        <item x="18"/>
        <item x="19"/>
        <item x="14"/>
        <item x="15"/>
        <item x="20"/>
        <item x="21"/>
        <item x="22"/>
        <item t="default"/>
      </items>
    </pivotField>
  </pivotFields>
  <rowFields count="2">
    <field x="9"/>
    <field x="10"/>
  </rowFields>
  <rowItems count="39">
    <i>
      <x/>
    </i>
    <i r="1">
      <x v="5"/>
    </i>
    <i r="1">
      <x v="9"/>
    </i>
    <i r="1">
      <x v="12"/>
    </i>
    <i r="1">
      <x v="13"/>
    </i>
    <i r="1">
      <x v="15"/>
    </i>
    <i>
      <x v="1"/>
    </i>
    <i r="1">
      <x v="15"/>
    </i>
    <i r="1">
      <x v="17"/>
    </i>
    <i>
      <x v="2"/>
    </i>
    <i r="1">
      <x/>
    </i>
    <i r="1">
      <x v="1"/>
    </i>
    <i r="1">
      <x v="2"/>
    </i>
    <i r="1">
      <x v="3"/>
    </i>
    <i r="1">
      <x v="4"/>
    </i>
    <i r="1">
      <x v="9"/>
    </i>
    <i r="1">
      <x v="10"/>
    </i>
    <i r="1">
      <x v="11"/>
    </i>
    <i r="1">
      <x v="13"/>
    </i>
    <i r="1">
      <x v="15"/>
    </i>
    <i r="1">
      <x v="20"/>
    </i>
    <i r="1">
      <x v="23"/>
    </i>
    <i r="1">
      <x v="24"/>
    </i>
    <i>
      <x v="3"/>
    </i>
    <i r="1">
      <x v="14"/>
    </i>
    <i>
      <x v="4"/>
    </i>
    <i r="1">
      <x v="13"/>
    </i>
    <i>
      <x v="5"/>
    </i>
    <i r="1">
      <x v="19"/>
    </i>
    <i r="1">
      <x v="21"/>
    </i>
    <i r="1">
      <x v="22"/>
    </i>
    <i>
      <x v="6"/>
    </i>
    <i r="1">
      <x v="12"/>
    </i>
    <i r="1">
      <x v="16"/>
    </i>
    <i r="1">
      <x v="18"/>
    </i>
    <i r="1">
      <x v="25"/>
    </i>
    <i r="1">
      <x v="26"/>
    </i>
    <i r="1">
      <x v="27"/>
    </i>
    <i t="grand">
      <x/>
    </i>
  </rowItems>
  <colItems count="1">
    <i/>
  </colItems>
  <dataFields count="1">
    <dataField name="Suma de SinImpuesto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F86898-B4DD-42A5-BE3A-F7B05A56FA13}" name="Tabla1" displayName="Tabla1" ref="B2:L193" totalsRowShown="0" dataDxfId="9" headerRowBorderDxfId="10">
  <autoFilter ref="B2:L193" xr:uid="{F2F86898-B4DD-42A5-BE3A-F7B05A56FA13}">
    <filterColumn colId="9">
      <filters>
        <filter val="Venta Web"/>
      </filters>
    </filterColumn>
  </autoFilter>
  <sortState xmlns:xlrd2="http://schemas.microsoft.com/office/spreadsheetml/2017/richdata2" ref="B3:L193">
    <sortCondition ref="K2:K193"/>
  </sortState>
  <tableColumns count="11">
    <tableColumn id="1" xr3:uid="{F357C637-5CE8-45D5-AA12-6AAC4281EEC0}" name="NombreDistAnalitica" dataDxfId="8"/>
    <tableColumn id="2" xr3:uid="{125EDFF8-C791-40E4-BA09-4C99930FF59D}" name="SubcategoriaDistAnalitica" dataDxfId="7"/>
    <tableColumn id="3" xr3:uid="{6E69F636-7E1B-4D75-B435-891C862A4C27}" name="Nombreproducto" dataDxfId="6"/>
    <tableColumn id="4" xr3:uid="{CE5F9A7B-49F2-4FDD-858F-07496CE34265}" name="DistribucionID" dataDxfId="5"/>
    <tableColumn id="5" xr3:uid="{45BF548E-8A1A-4C4B-BA23-19E726FCA6D4}" name="ProductoID" dataDxfId="4"/>
    <tableColumn id="11" xr3:uid="{293B93A1-403C-4116-BE73-5476EE0BBE48}" name="LlaveDistribucionProducto" dataDxfId="3">
      <calculatedColumnFormula>IF(
    AND(OR(E3="",E3=0), OR(F3="",F3=0)),
    "0-0",
    IF(OR(E3="",E3=0),
        "0-" &amp; TEXT(F3,"0"),
        IF(OR(F3="",F3=0),
            TEXT(E3,"0") &amp; "-0",
            TEXT(E3,"0") &amp; "-" &amp; TEXT(F3,"0")
        )
    )
)</calculatedColumnFormula>
    </tableColumn>
    <tableColumn id="6" xr3:uid="{A9FDB969-0038-4755-A5A9-28E4133FBFF1}" name="SinImpuesto" dataDxfId="2"/>
    <tableColumn id="7" xr3:uid="{BEE73DB7-DFC7-4FB6-A10F-ED767DB2F191}" name="Q" dataDxfId="1"/>
    <tableColumn id="8" xr3:uid="{E97ADA2B-DB65-464D-BD68-970F4C385267}" name="CantidadProducto" dataDxfId="0"/>
    <tableColumn id="9" xr3:uid="{D6AD5C91-C8A2-4E36-8A9C-947F0969A474}" name="CategoriaProducto"/>
    <tableColumn id="10" xr3:uid="{12464B9E-B14A-4B64-90E6-A3ABB87397CA}" name="SubcategoriaProduc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8136C-D236-4504-919E-2F9CEADB39E3}">
  <dimension ref="A1:E336"/>
  <sheetViews>
    <sheetView workbookViewId="0">
      <selection activeCell="E1" sqref="E1"/>
    </sheetView>
  </sheetViews>
  <sheetFormatPr baseColWidth="10" defaultRowHeight="14.4" x14ac:dyDescent="0.3"/>
  <sheetData>
    <row r="1" spans="1:5" x14ac:dyDescent="0.3">
      <c r="A1" t="s">
        <v>257</v>
      </c>
      <c r="B1" t="s">
        <v>258</v>
      </c>
      <c r="D1" t="s">
        <v>259</v>
      </c>
    </row>
    <row r="2" spans="1:5" ht="43.2" x14ac:dyDescent="0.3">
      <c r="A2" s="1" t="s">
        <v>0</v>
      </c>
      <c r="B2" s="1" t="s">
        <v>1</v>
      </c>
      <c r="C2" s="1">
        <v>160</v>
      </c>
      <c r="D2" s="1">
        <v>2</v>
      </c>
      <c r="E2" s="1">
        <v>2</v>
      </c>
    </row>
    <row r="3" spans="1:5" x14ac:dyDescent="0.3">
      <c r="A3" s="1" t="s">
        <v>0</v>
      </c>
      <c r="B3" s="1" t="s">
        <v>2</v>
      </c>
      <c r="C3" s="1">
        <v>128.81</v>
      </c>
      <c r="D3" s="1">
        <v>1</v>
      </c>
      <c r="E3" s="1">
        <v>1</v>
      </c>
    </row>
    <row r="4" spans="1:5" ht="28.8" x14ac:dyDescent="0.3">
      <c r="A4" s="1" t="s">
        <v>0</v>
      </c>
      <c r="B4" s="1" t="s">
        <v>3</v>
      </c>
      <c r="C4" s="1">
        <v>600</v>
      </c>
      <c r="D4" s="1">
        <v>1</v>
      </c>
      <c r="E4" s="1">
        <v>1</v>
      </c>
    </row>
    <row r="5" spans="1:5" x14ac:dyDescent="0.3">
      <c r="A5" s="1" t="s">
        <v>0</v>
      </c>
      <c r="B5" s="1" t="s">
        <v>4</v>
      </c>
      <c r="C5" s="1">
        <v>2700</v>
      </c>
      <c r="D5" s="1">
        <v>2</v>
      </c>
      <c r="E5" s="1">
        <v>60</v>
      </c>
    </row>
    <row r="6" spans="1:5" ht="28.8" x14ac:dyDescent="0.3">
      <c r="A6" s="1" t="s">
        <v>0</v>
      </c>
      <c r="B6" s="1" t="s">
        <v>5</v>
      </c>
      <c r="C6" s="1">
        <v>50.85</v>
      </c>
      <c r="D6" s="1">
        <v>1</v>
      </c>
      <c r="E6" s="1">
        <v>1</v>
      </c>
    </row>
    <row r="7" spans="1:5" x14ac:dyDescent="0.3">
      <c r="A7" s="1" t="s">
        <v>0</v>
      </c>
      <c r="B7" s="1" t="s">
        <v>6</v>
      </c>
      <c r="C7" s="1">
        <v>132.78</v>
      </c>
      <c r="D7" s="1">
        <v>1</v>
      </c>
      <c r="E7" s="1">
        <v>1</v>
      </c>
    </row>
    <row r="8" spans="1:5" ht="28.8" x14ac:dyDescent="0.3">
      <c r="A8" s="1" t="s">
        <v>0</v>
      </c>
      <c r="B8" s="1" t="s">
        <v>7</v>
      </c>
      <c r="C8" s="1">
        <v>1970</v>
      </c>
      <c r="D8" s="1">
        <v>4</v>
      </c>
      <c r="E8" s="1">
        <v>4</v>
      </c>
    </row>
    <row r="9" spans="1:5" ht="43.2" x14ac:dyDescent="0.3">
      <c r="A9" s="1" t="s">
        <v>0</v>
      </c>
      <c r="B9" s="1" t="s">
        <v>8</v>
      </c>
      <c r="C9" s="1">
        <v>308</v>
      </c>
      <c r="D9" s="1">
        <v>1</v>
      </c>
      <c r="E9" s="1">
        <v>1</v>
      </c>
    </row>
    <row r="10" spans="1:5" ht="43.2" x14ac:dyDescent="0.3">
      <c r="A10" s="1" t="s">
        <v>0</v>
      </c>
      <c r="B10" s="1" t="s">
        <v>9</v>
      </c>
      <c r="C10" s="1">
        <v>3435</v>
      </c>
      <c r="D10" s="1">
        <v>5</v>
      </c>
      <c r="E10" s="1">
        <v>6</v>
      </c>
    </row>
    <row r="11" spans="1:5" x14ac:dyDescent="0.3">
      <c r="A11" s="1" t="s">
        <v>0</v>
      </c>
      <c r="B11" s="1" t="s">
        <v>10</v>
      </c>
      <c r="C11" s="1">
        <v>795</v>
      </c>
      <c r="D11" s="1">
        <v>1</v>
      </c>
      <c r="E11" s="1">
        <v>1</v>
      </c>
    </row>
    <row r="12" spans="1:5" ht="43.2" x14ac:dyDescent="0.3">
      <c r="A12" s="1" t="s">
        <v>0</v>
      </c>
      <c r="B12" s="1" t="s">
        <v>11</v>
      </c>
      <c r="C12" s="1">
        <v>18400</v>
      </c>
      <c r="D12" s="1">
        <v>7</v>
      </c>
      <c r="E12" s="1">
        <v>21</v>
      </c>
    </row>
    <row r="13" spans="1:5" ht="28.8" x14ac:dyDescent="0.3">
      <c r="A13" s="1" t="s">
        <v>0</v>
      </c>
      <c r="B13" s="1" t="s">
        <v>12</v>
      </c>
      <c r="C13" s="1">
        <v>11769.24</v>
      </c>
      <c r="D13" s="1">
        <v>11</v>
      </c>
      <c r="E13" s="1">
        <v>50</v>
      </c>
    </row>
    <row r="14" spans="1:5" ht="43.2" x14ac:dyDescent="0.3">
      <c r="A14" s="1" t="s">
        <v>0</v>
      </c>
      <c r="B14" s="1" t="s">
        <v>13</v>
      </c>
      <c r="C14" s="1">
        <v>261</v>
      </c>
      <c r="D14" s="1">
        <v>1</v>
      </c>
      <c r="E14" s="1">
        <v>1</v>
      </c>
    </row>
    <row r="15" spans="1:5" ht="43.2" x14ac:dyDescent="0.3">
      <c r="A15" s="1" t="s">
        <v>0</v>
      </c>
      <c r="B15" s="1" t="s">
        <v>14</v>
      </c>
      <c r="C15" s="1">
        <v>18962.37</v>
      </c>
      <c r="D15" s="1">
        <v>15</v>
      </c>
      <c r="E15" s="1">
        <v>46</v>
      </c>
    </row>
    <row r="16" spans="1:5" ht="28.8" x14ac:dyDescent="0.3">
      <c r="A16" s="1" t="s">
        <v>0</v>
      </c>
      <c r="B16" s="1" t="s">
        <v>15</v>
      </c>
      <c r="C16" s="1">
        <v>400</v>
      </c>
      <c r="D16" s="1">
        <v>2</v>
      </c>
      <c r="E16" s="1">
        <v>2</v>
      </c>
    </row>
    <row r="17" spans="1:5" x14ac:dyDescent="0.3">
      <c r="A17" s="1" t="s">
        <v>0</v>
      </c>
      <c r="B17" s="1" t="s">
        <v>0</v>
      </c>
      <c r="C17" s="1">
        <v>1120</v>
      </c>
      <c r="D17" s="1">
        <v>2</v>
      </c>
      <c r="E17" s="1">
        <v>2</v>
      </c>
    </row>
    <row r="18" spans="1:5" ht="129.6" x14ac:dyDescent="0.3">
      <c r="A18" s="1" t="s">
        <v>0</v>
      </c>
      <c r="B18" s="1" t="s">
        <v>16</v>
      </c>
      <c r="C18" s="1">
        <v>600</v>
      </c>
      <c r="D18" s="1">
        <v>2</v>
      </c>
      <c r="E18" s="1">
        <v>2</v>
      </c>
    </row>
    <row r="19" spans="1:5" x14ac:dyDescent="0.3">
      <c r="A19" s="1" t="s">
        <v>17</v>
      </c>
      <c r="B19" s="1" t="s">
        <v>18</v>
      </c>
      <c r="C19" s="1">
        <v>214.9</v>
      </c>
      <c r="D19" s="1">
        <v>1</v>
      </c>
      <c r="E19" s="1">
        <v>10</v>
      </c>
    </row>
    <row r="20" spans="1:5" ht="28.8" x14ac:dyDescent="0.3">
      <c r="A20" s="1" t="s">
        <v>17</v>
      </c>
      <c r="B20" s="1" t="s">
        <v>19</v>
      </c>
      <c r="C20" s="1">
        <v>1550.7</v>
      </c>
      <c r="D20" s="1">
        <v>1</v>
      </c>
      <c r="E20" s="1">
        <v>1</v>
      </c>
    </row>
    <row r="21" spans="1:5" x14ac:dyDescent="0.3">
      <c r="A21" s="1" t="s">
        <v>17</v>
      </c>
      <c r="B21" s="1" t="s">
        <v>20</v>
      </c>
      <c r="C21" s="1">
        <v>538.14</v>
      </c>
      <c r="D21" s="1">
        <v>1</v>
      </c>
      <c r="E21" s="1">
        <v>1</v>
      </c>
    </row>
    <row r="22" spans="1:5" x14ac:dyDescent="0.3">
      <c r="A22" s="1" t="s">
        <v>17</v>
      </c>
      <c r="B22" s="1" t="s">
        <v>21</v>
      </c>
      <c r="C22" s="1">
        <v>9627.19</v>
      </c>
      <c r="D22" s="1">
        <v>1</v>
      </c>
      <c r="E22" s="1">
        <v>1</v>
      </c>
    </row>
    <row r="23" spans="1:5" x14ac:dyDescent="0.3">
      <c r="A23" s="1" t="s">
        <v>17</v>
      </c>
      <c r="B23" s="1" t="s">
        <v>22</v>
      </c>
      <c r="C23" s="1">
        <v>55.08</v>
      </c>
      <c r="D23" s="1">
        <v>1</v>
      </c>
      <c r="E23" s="1">
        <v>1</v>
      </c>
    </row>
    <row r="24" spans="1:5" ht="28.8" x14ac:dyDescent="0.3">
      <c r="A24" s="1" t="s">
        <v>17</v>
      </c>
      <c r="B24" s="1" t="s">
        <v>23</v>
      </c>
      <c r="C24" s="1">
        <v>59.24</v>
      </c>
      <c r="D24" s="1">
        <v>1</v>
      </c>
      <c r="E24" s="1">
        <v>1</v>
      </c>
    </row>
    <row r="25" spans="1:5" x14ac:dyDescent="0.3">
      <c r="A25" s="1" t="s">
        <v>17</v>
      </c>
      <c r="B25" s="1" t="s">
        <v>24</v>
      </c>
      <c r="C25" s="1">
        <v>16.86</v>
      </c>
      <c r="D25" s="1">
        <v>2</v>
      </c>
      <c r="E25" s="1">
        <v>2</v>
      </c>
    </row>
    <row r="26" spans="1:5" ht="28.8" x14ac:dyDescent="0.3">
      <c r="A26" s="1" t="s">
        <v>17</v>
      </c>
      <c r="B26" s="1" t="s">
        <v>25</v>
      </c>
      <c r="C26" s="1">
        <v>2802.22</v>
      </c>
      <c r="D26" s="1">
        <v>4</v>
      </c>
      <c r="E26" s="1">
        <v>4</v>
      </c>
    </row>
    <row r="27" spans="1:5" ht="28.8" x14ac:dyDescent="0.3">
      <c r="A27" s="1" t="s">
        <v>17</v>
      </c>
      <c r="B27" s="1" t="s">
        <v>26</v>
      </c>
      <c r="C27" s="1">
        <v>450</v>
      </c>
      <c r="D27" s="1">
        <v>1</v>
      </c>
      <c r="E27" s="1">
        <v>1</v>
      </c>
    </row>
    <row r="28" spans="1:5" ht="28.8" x14ac:dyDescent="0.3">
      <c r="A28" s="1" t="s">
        <v>17</v>
      </c>
      <c r="B28" s="1" t="s">
        <v>7</v>
      </c>
      <c r="C28" s="1">
        <v>500</v>
      </c>
      <c r="D28" s="1">
        <v>1</v>
      </c>
      <c r="E28" s="1">
        <v>1</v>
      </c>
    </row>
    <row r="29" spans="1:5" ht="28.8" x14ac:dyDescent="0.3">
      <c r="A29" s="1" t="s">
        <v>17</v>
      </c>
      <c r="B29" s="1" t="s">
        <v>27</v>
      </c>
      <c r="C29" s="1">
        <v>58.47</v>
      </c>
      <c r="D29" s="1">
        <v>1</v>
      </c>
      <c r="E29" s="1">
        <v>1</v>
      </c>
    </row>
    <row r="30" spans="1:5" ht="72" x14ac:dyDescent="0.3">
      <c r="A30" s="1" t="s">
        <v>17</v>
      </c>
      <c r="B30" s="1" t="s">
        <v>28</v>
      </c>
      <c r="C30" s="1">
        <v>635.51</v>
      </c>
      <c r="D30" s="1">
        <v>1</v>
      </c>
      <c r="E30" s="1">
        <v>1</v>
      </c>
    </row>
    <row r="31" spans="1:5" ht="43.2" x14ac:dyDescent="0.3">
      <c r="A31" s="1" t="s">
        <v>17</v>
      </c>
      <c r="B31" s="1" t="s">
        <v>29</v>
      </c>
      <c r="C31" s="1">
        <v>51.69</v>
      </c>
      <c r="D31" s="1">
        <v>1</v>
      </c>
      <c r="E31" s="1">
        <v>1</v>
      </c>
    </row>
    <row r="32" spans="1:5" x14ac:dyDescent="0.3">
      <c r="A32" s="1" t="s">
        <v>17</v>
      </c>
      <c r="B32" s="1" t="s">
        <v>30</v>
      </c>
      <c r="C32" s="1">
        <v>21.1</v>
      </c>
      <c r="D32" s="1">
        <v>1</v>
      </c>
      <c r="E32" s="1">
        <v>1</v>
      </c>
    </row>
    <row r="33" spans="1:5" ht="100.8" x14ac:dyDescent="0.3">
      <c r="A33" s="1" t="s">
        <v>17</v>
      </c>
      <c r="B33" s="1" t="s">
        <v>31</v>
      </c>
      <c r="C33" s="1">
        <v>27.97</v>
      </c>
      <c r="D33" s="1">
        <v>1</v>
      </c>
      <c r="E33" s="1">
        <v>1</v>
      </c>
    </row>
    <row r="34" spans="1:5" x14ac:dyDescent="0.3">
      <c r="A34" s="1" t="s">
        <v>17</v>
      </c>
      <c r="B34" s="1" t="s">
        <v>32</v>
      </c>
      <c r="C34" s="1">
        <v>484.75</v>
      </c>
      <c r="D34" s="1">
        <v>2</v>
      </c>
      <c r="E34" s="1">
        <v>2</v>
      </c>
    </row>
    <row r="35" spans="1:5" ht="43.2" x14ac:dyDescent="0.3">
      <c r="A35" s="1" t="s">
        <v>17</v>
      </c>
      <c r="B35" s="1" t="s">
        <v>33</v>
      </c>
      <c r="C35" s="1">
        <v>4529.25</v>
      </c>
      <c r="D35" s="1">
        <v>4</v>
      </c>
      <c r="E35" s="1">
        <v>4</v>
      </c>
    </row>
    <row r="36" spans="1:5" ht="28.8" x14ac:dyDescent="0.3">
      <c r="A36" s="1" t="s">
        <v>17</v>
      </c>
      <c r="B36" s="1" t="s">
        <v>34</v>
      </c>
      <c r="C36" s="1">
        <v>1680</v>
      </c>
      <c r="D36" s="1">
        <v>1</v>
      </c>
      <c r="E36" s="1">
        <v>1</v>
      </c>
    </row>
    <row r="37" spans="1:5" ht="28.8" x14ac:dyDescent="0.3">
      <c r="A37" s="1" t="s">
        <v>17</v>
      </c>
      <c r="B37" s="1" t="s">
        <v>35</v>
      </c>
      <c r="C37" s="1">
        <v>130</v>
      </c>
      <c r="D37" s="1">
        <v>1</v>
      </c>
      <c r="E37" s="1">
        <v>1</v>
      </c>
    </row>
    <row r="38" spans="1:5" ht="28.8" x14ac:dyDescent="0.3">
      <c r="A38" s="1" t="s">
        <v>17</v>
      </c>
      <c r="B38" s="1" t="s">
        <v>36</v>
      </c>
      <c r="C38" s="1">
        <v>1890</v>
      </c>
      <c r="D38" s="1">
        <v>2</v>
      </c>
      <c r="E38" s="1">
        <v>2</v>
      </c>
    </row>
    <row r="39" spans="1:5" x14ac:dyDescent="0.3">
      <c r="A39" s="1" t="s">
        <v>37</v>
      </c>
      <c r="B39" s="1" t="s">
        <v>38</v>
      </c>
      <c r="C39" s="1">
        <v>20.25</v>
      </c>
      <c r="D39" s="1">
        <v>1</v>
      </c>
      <c r="E39" s="1">
        <v>1</v>
      </c>
    </row>
    <row r="40" spans="1:5" x14ac:dyDescent="0.3">
      <c r="A40" s="1" t="s">
        <v>37</v>
      </c>
      <c r="B40" s="1" t="s">
        <v>39</v>
      </c>
      <c r="C40" s="1">
        <v>8.4700000000000006</v>
      </c>
      <c r="D40" s="1">
        <v>1</v>
      </c>
      <c r="E40" s="1">
        <v>1</v>
      </c>
    </row>
    <row r="41" spans="1:5" x14ac:dyDescent="0.3">
      <c r="A41" s="1" t="s">
        <v>37</v>
      </c>
      <c r="B41" s="1" t="s">
        <v>40</v>
      </c>
      <c r="C41" s="1">
        <v>2.12</v>
      </c>
      <c r="D41" s="1">
        <v>1</v>
      </c>
      <c r="E41" s="1">
        <v>1</v>
      </c>
    </row>
    <row r="42" spans="1:5" x14ac:dyDescent="0.3">
      <c r="A42" s="1" t="s">
        <v>37</v>
      </c>
      <c r="B42" s="1" t="s">
        <v>41</v>
      </c>
      <c r="C42" s="1">
        <v>300</v>
      </c>
      <c r="D42" s="1">
        <v>2</v>
      </c>
      <c r="E42" s="1">
        <v>2</v>
      </c>
    </row>
    <row r="43" spans="1:5" x14ac:dyDescent="0.3">
      <c r="A43" s="1" t="s">
        <v>37</v>
      </c>
      <c r="B43" s="1" t="s">
        <v>42</v>
      </c>
      <c r="C43" s="1">
        <v>593.22</v>
      </c>
      <c r="D43" s="1">
        <v>1</v>
      </c>
      <c r="E43" s="1">
        <v>1</v>
      </c>
    </row>
    <row r="44" spans="1:5" x14ac:dyDescent="0.3">
      <c r="A44" s="1" t="s">
        <v>37</v>
      </c>
      <c r="B44" s="1" t="s">
        <v>20</v>
      </c>
      <c r="C44" s="1">
        <v>42.37</v>
      </c>
      <c r="D44" s="1">
        <v>1</v>
      </c>
      <c r="E44" s="1">
        <v>1</v>
      </c>
    </row>
    <row r="45" spans="1:5" ht="43.2" x14ac:dyDescent="0.3">
      <c r="A45" s="1" t="s">
        <v>37</v>
      </c>
      <c r="B45" s="1" t="s">
        <v>43</v>
      </c>
      <c r="C45" s="1">
        <v>2700</v>
      </c>
      <c r="D45" s="1">
        <v>1</v>
      </c>
      <c r="E45" s="1">
        <v>1</v>
      </c>
    </row>
    <row r="46" spans="1:5" ht="28.8" x14ac:dyDescent="0.3">
      <c r="A46" s="1" t="s">
        <v>37</v>
      </c>
      <c r="B46" s="1" t="s">
        <v>44</v>
      </c>
      <c r="C46" s="1">
        <v>1600</v>
      </c>
      <c r="D46" s="1">
        <v>1</v>
      </c>
      <c r="E46" s="1">
        <v>1</v>
      </c>
    </row>
    <row r="47" spans="1:5" ht="28.8" x14ac:dyDescent="0.3">
      <c r="A47" s="1" t="s">
        <v>37</v>
      </c>
      <c r="B47" s="1" t="s">
        <v>45</v>
      </c>
      <c r="C47" s="1">
        <v>100</v>
      </c>
      <c r="D47" s="1">
        <v>1</v>
      </c>
      <c r="E47" s="1">
        <v>1</v>
      </c>
    </row>
    <row r="48" spans="1:5" ht="28.8" x14ac:dyDescent="0.3">
      <c r="A48" s="1" t="s">
        <v>37</v>
      </c>
      <c r="B48" s="1" t="s">
        <v>46</v>
      </c>
      <c r="C48" s="1">
        <v>972.03</v>
      </c>
      <c r="D48" s="1">
        <v>1</v>
      </c>
      <c r="E48" s="1">
        <v>1</v>
      </c>
    </row>
    <row r="49" spans="1:5" x14ac:dyDescent="0.3">
      <c r="A49" s="1" t="s">
        <v>37</v>
      </c>
      <c r="B49" s="1" t="s">
        <v>47</v>
      </c>
      <c r="C49" s="1">
        <v>12.71</v>
      </c>
      <c r="D49" s="1">
        <v>1</v>
      </c>
      <c r="E49" s="1">
        <v>1</v>
      </c>
    </row>
    <row r="50" spans="1:5" x14ac:dyDescent="0.3">
      <c r="A50" s="1" t="s">
        <v>37</v>
      </c>
      <c r="B50" s="1" t="s">
        <v>24</v>
      </c>
      <c r="C50" s="1">
        <v>33.81</v>
      </c>
      <c r="D50" s="1">
        <v>3</v>
      </c>
      <c r="E50" s="1">
        <v>3</v>
      </c>
    </row>
    <row r="51" spans="1:5" ht="28.8" x14ac:dyDescent="0.3">
      <c r="A51" s="1" t="s">
        <v>37</v>
      </c>
      <c r="B51" s="1" t="s">
        <v>25</v>
      </c>
      <c r="C51" s="1">
        <v>1950</v>
      </c>
      <c r="D51" s="1">
        <v>1</v>
      </c>
      <c r="E51" s="1">
        <v>1</v>
      </c>
    </row>
    <row r="52" spans="1:5" x14ac:dyDescent="0.3">
      <c r="A52" s="1" t="s">
        <v>37</v>
      </c>
      <c r="B52" s="1" t="s">
        <v>48</v>
      </c>
      <c r="C52" s="1">
        <v>264</v>
      </c>
      <c r="D52" s="1">
        <v>1</v>
      </c>
      <c r="E52" s="1">
        <v>22</v>
      </c>
    </row>
    <row r="53" spans="1:5" x14ac:dyDescent="0.3">
      <c r="A53" s="1" t="s">
        <v>37</v>
      </c>
      <c r="B53" s="1" t="s">
        <v>49</v>
      </c>
      <c r="C53" s="1">
        <v>24.49</v>
      </c>
      <c r="D53" s="1">
        <v>1</v>
      </c>
      <c r="E53" s="1">
        <v>1</v>
      </c>
    </row>
    <row r="54" spans="1:5" x14ac:dyDescent="0.3">
      <c r="A54" s="1" t="s">
        <v>37</v>
      </c>
      <c r="B54" s="1" t="s">
        <v>50</v>
      </c>
      <c r="C54" s="1">
        <v>100</v>
      </c>
      <c r="D54" s="1">
        <v>1</v>
      </c>
      <c r="E54" s="1">
        <v>1</v>
      </c>
    </row>
    <row r="55" spans="1:5" x14ac:dyDescent="0.3">
      <c r="A55" s="1" t="s">
        <v>37</v>
      </c>
      <c r="B55" s="1" t="s">
        <v>51</v>
      </c>
      <c r="C55" s="1">
        <v>150</v>
      </c>
      <c r="D55" s="1">
        <v>1</v>
      </c>
      <c r="E55" s="1">
        <v>1</v>
      </c>
    </row>
    <row r="56" spans="1:5" x14ac:dyDescent="0.3">
      <c r="A56" s="1" t="s">
        <v>37</v>
      </c>
      <c r="B56" s="1" t="s">
        <v>52</v>
      </c>
      <c r="C56" s="1">
        <v>12.71</v>
      </c>
      <c r="D56" s="1">
        <v>1</v>
      </c>
      <c r="E56" s="1">
        <v>1</v>
      </c>
    </row>
    <row r="57" spans="1:5" x14ac:dyDescent="0.3">
      <c r="A57" s="1" t="s">
        <v>37</v>
      </c>
      <c r="B57" s="1" t="s">
        <v>53</v>
      </c>
      <c r="C57" s="1">
        <v>63.56</v>
      </c>
      <c r="D57" s="1">
        <v>1</v>
      </c>
      <c r="E57" s="1">
        <v>1</v>
      </c>
    </row>
    <row r="58" spans="1:5" ht="28.8" x14ac:dyDescent="0.3">
      <c r="A58" s="1" t="s">
        <v>37</v>
      </c>
      <c r="B58" s="1" t="s">
        <v>54</v>
      </c>
      <c r="C58" s="1">
        <v>12.71</v>
      </c>
      <c r="D58" s="1">
        <v>1</v>
      </c>
      <c r="E58" s="1">
        <v>1</v>
      </c>
    </row>
    <row r="59" spans="1:5" ht="43.2" x14ac:dyDescent="0.3">
      <c r="A59" s="1" t="s">
        <v>37</v>
      </c>
      <c r="B59" s="1" t="s">
        <v>55</v>
      </c>
      <c r="C59" s="1">
        <v>825</v>
      </c>
      <c r="D59" s="1">
        <v>1</v>
      </c>
      <c r="E59" s="1">
        <v>1</v>
      </c>
    </row>
    <row r="60" spans="1:5" ht="28.8" x14ac:dyDescent="0.3">
      <c r="A60" s="1" t="s">
        <v>37</v>
      </c>
      <c r="B60" s="1" t="s">
        <v>56</v>
      </c>
      <c r="C60" s="1">
        <v>1000</v>
      </c>
      <c r="D60" s="1">
        <v>1</v>
      </c>
      <c r="E60" s="1">
        <v>1</v>
      </c>
    </row>
    <row r="61" spans="1:5" x14ac:dyDescent="0.3">
      <c r="A61" s="1" t="s">
        <v>37</v>
      </c>
      <c r="B61" s="1" t="s">
        <v>57</v>
      </c>
      <c r="C61" s="1">
        <v>650</v>
      </c>
      <c r="D61" s="1">
        <v>4</v>
      </c>
      <c r="E61" s="1">
        <v>10</v>
      </c>
    </row>
    <row r="62" spans="1:5" ht="43.2" x14ac:dyDescent="0.3">
      <c r="A62" s="1" t="s">
        <v>37</v>
      </c>
      <c r="B62" s="1" t="s">
        <v>58</v>
      </c>
      <c r="C62" s="1">
        <v>1900</v>
      </c>
      <c r="D62" s="1">
        <v>1</v>
      </c>
      <c r="E62" s="1">
        <v>1</v>
      </c>
    </row>
    <row r="63" spans="1:5" x14ac:dyDescent="0.3">
      <c r="A63" s="1" t="s">
        <v>37</v>
      </c>
      <c r="B63" s="1" t="s">
        <v>59</v>
      </c>
      <c r="C63" s="1">
        <v>33.5</v>
      </c>
      <c r="D63" s="1">
        <v>1</v>
      </c>
      <c r="E63" s="1">
        <v>1</v>
      </c>
    </row>
    <row r="64" spans="1:5" x14ac:dyDescent="0.3">
      <c r="A64" s="1" t="s">
        <v>37</v>
      </c>
      <c r="B64" s="1" t="s">
        <v>60</v>
      </c>
      <c r="C64" s="1">
        <v>196.69</v>
      </c>
      <c r="D64" s="1">
        <v>2</v>
      </c>
      <c r="E64" s="1">
        <v>2</v>
      </c>
    </row>
    <row r="65" spans="1:5" x14ac:dyDescent="0.3">
      <c r="A65" s="1" t="s">
        <v>37</v>
      </c>
      <c r="B65" s="1" t="s">
        <v>61</v>
      </c>
      <c r="C65" s="1">
        <v>1936.78</v>
      </c>
      <c r="D65" s="1">
        <v>2</v>
      </c>
      <c r="E65" s="1">
        <v>39</v>
      </c>
    </row>
    <row r="66" spans="1:5" x14ac:dyDescent="0.3">
      <c r="A66" s="1" t="s">
        <v>37</v>
      </c>
      <c r="B66" s="1" t="s">
        <v>62</v>
      </c>
      <c r="C66" s="1">
        <v>9.4700000000000006</v>
      </c>
      <c r="D66" s="1">
        <v>1</v>
      </c>
      <c r="E66" s="1">
        <v>1</v>
      </c>
    </row>
    <row r="67" spans="1:5" ht="43.2" x14ac:dyDescent="0.3">
      <c r="A67" s="1" t="s">
        <v>63</v>
      </c>
      <c r="B67" s="1" t="s">
        <v>64</v>
      </c>
      <c r="C67" s="1">
        <v>66</v>
      </c>
      <c r="D67" s="1">
        <v>3</v>
      </c>
      <c r="E67" s="1">
        <v>3</v>
      </c>
    </row>
    <row r="68" spans="1:5" ht="43.2" x14ac:dyDescent="0.3">
      <c r="A68" s="1" t="s">
        <v>65</v>
      </c>
      <c r="B68" s="1" t="s">
        <v>64</v>
      </c>
      <c r="C68" s="1">
        <v>71.06</v>
      </c>
      <c r="D68" s="1">
        <v>2</v>
      </c>
      <c r="E68" s="1">
        <v>2</v>
      </c>
    </row>
    <row r="69" spans="1:5" ht="28.8" x14ac:dyDescent="0.3">
      <c r="A69" s="1" t="s">
        <v>65</v>
      </c>
      <c r="B69" s="1" t="s">
        <v>66</v>
      </c>
      <c r="C69" s="1">
        <v>2000</v>
      </c>
      <c r="D69" s="1">
        <v>1</v>
      </c>
      <c r="E69" s="1">
        <v>1</v>
      </c>
    </row>
    <row r="70" spans="1:5" ht="43.2" x14ac:dyDescent="0.3">
      <c r="A70" s="1" t="s">
        <v>67</v>
      </c>
      <c r="B70" s="1" t="s">
        <v>68</v>
      </c>
      <c r="C70" s="1">
        <v>42523.56</v>
      </c>
      <c r="D70" s="1">
        <v>100</v>
      </c>
      <c r="E70" s="1">
        <v>226008</v>
      </c>
    </row>
    <row r="71" spans="1:5" ht="43.2" x14ac:dyDescent="0.3">
      <c r="A71" s="1" t="s">
        <v>67</v>
      </c>
      <c r="B71" s="1" t="s">
        <v>69</v>
      </c>
      <c r="C71" s="1">
        <v>8533.8799999999992</v>
      </c>
      <c r="D71" s="1">
        <v>10</v>
      </c>
      <c r="E71" s="1">
        <v>19002</v>
      </c>
    </row>
    <row r="72" spans="1:5" ht="43.2" x14ac:dyDescent="0.3">
      <c r="A72" s="1" t="s">
        <v>67</v>
      </c>
      <c r="B72" s="1" t="s">
        <v>70</v>
      </c>
      <c r="C72" s="1">
        <v>7039.99</v>
      </c>
      <c r="D72" s="1">
        <v>31</v>
      </c>
      <c r="E72" s="1">
        <v>20753</v>
      </c>
    </row>
    <row r="73" spans="1:5" ht="28.8" x14ac:dyDescent="0.3">
      <c r="A73" s="1" t="s">
        <v>67</v>
      </c>
      <c r="B73" s="1" t="s">
        <v>71</v>
      </c>
      <c r="C73" s="1">
        <v>565</v>
      </c>
      <c r="D73" s="1">
        <v>1</v>
      </c>
      <c r="E73" s="1">
        <v>1</v>
      </c>
    </row>
    <row r="74" spans="1:5" ht="28.8" x14ac:dyDescent="0.3">
      <c r="A74" s="1" t="s">
        <v>67</v>
      </c>
      <c r="B74" s="1" t="s">
        <v>72</v>
      </c>
      <c r="C74" s="1">
        <v>9114.41</v>
      </c>
      <c r="D74" s="1">
        <v>4</v>
      </c>
      <c r="E74" s="1">
        <v>14</v>
      </c>
    </row>
    <row r="75" spans="1:5" ht="57.6" x14ac:dyDescent="0.3">
      <c r="A75" s="1" t="s">
        <v>67</v>
      </c>
      <c r="B75" s="1" t="s">
        <v>73</v>
      </c>
      <c r="C75" s="1">
        <v>148.31</v>
      </c>
      <c r="D75" s="1">
        <v>1</v>
      </c>
      <c r="E75" s="1">
        <v>500</v>
      </c>
    </row>
    <row r="76" spans="1:5" ht="57.6" x14ac:dyDescent="0.3">
      <c r="A76" s="1" t="s">
        <v>67</v>
      </c>
      <c r="B76" s="1" t="s">
        <v>74</v>
      </c>
      <c r="C76" s="1">
        <v>148.31</v>
      </c>
      <c r="D76" s="1">
        <v>1</v>
      </c>
      <c r="E76" s="1">
        <v>500</v>
      </c>
    </row>
    <row r="77" spans="1:5" ht="43.2" x14ac:dyDescent="0.3">
      <c r="A77" s="1" t="s">
        <v>67</v>
      </c>
      <c r="B77" s="1" t="s">
        <v>75</v>
      </c>
      <c r="C77" s="1">
        <v>620.34</v>
      </c>
      <c r="D77" s="1">
        <v>1</v>
      </c>
      <c r="E77" s="1">
        <v>4000</v>
      </c>
    </row>
    <row r="78" spans="1:5" ht="57.6" x14ac:dyDescent="0.3">
      <c r="A78" s="1" t="s">
        <v>67</v>
      </c>
      <c r="B78" s="1" t="s">
        <v>76</v>
      </c>
      <c r="C78" s="1">
        <v>64.41</v>
      </c>
      <c r="D78" s="1">
        <v>1</v>
      </c>
      <c r="E78" s="1">
        <v>400</v>
      </c>
    </row>
    <row r="79" spans="1:5" ht="43.2" x14ac:dyDescent="0.3">
      <c r="A79" s="1" t="s">
        <v>67</v>
      </c>
      <c r="B79" s="1" t="s">
        <v>77</v>
      </c>
      <c r="C79" s="1">
        <v>105.93</v>
      </c>
      <c r="D79" s="1">
        <v>1</v>
      </c>
      <c r="E79" s="1">
        <v>250</v>
      </c>
    </row>
    <row r="80" spans="1:5" ht="28.8" x14ac:dyDescent="0.3">
      <c r="A80" s="1" t="s">
        <v>67</v>
      </c>
      <c r="B80" s="1" t="s">
        <v>78</v>
      </c>
      <c r="C80" s="1">
        <v>885.79</v>
      </c>
      <c r="D80" s="1">
        <v>6</v>
      </c>
      <c r="E80" s="1">
        <v>5160</v>
      </c>
    </row>
    <row r="81" spans="1:5" ht="43.2" x14ac:dyDescent="0.3">
      <c r="A81" s="1" t="s">
        <v>67</v>
      </c>
      <c r="B81" s="1" t="s">
        <v>79</v>
      </c>
      <c r="C81" s="1">
        <v>29.47</v>
      </c>
      <c r="D81" s="1">
        <v>1</v>
      </c>
      <c r="E81" s="1">
        <v>190</v>
      </c>
    </row>
    <row r="82" spans="1:5" ht="28.8" x14ac:dyDescent="0.3">
      <c r="A82" s="1" t="s">
        <v>67</v>
      </c>
      <c r="B82" s="1" t="s">
        <v>80</v>
      </c>
      <c r="C82" s="1">
        <v>1180</v>
      </c>
      <c r="D82" s="1">
        <v>5</v>
      </c>
      <c r="E82" s="1">
        <v>401</v>
      </c>
    </row>
    <row r="83" spans="1:5" ht="28.8" x14ac:dyDescent="0.3">
      <c r="A83" s="1" t="s">
        <v>67</v>
      </c>
      <c r="B83" s="1" t="s">
        <v>81</v>
      </c>
      <c r="C83" s="1">
        <v>53</v>
      </c>
      <c r="D83" s="1">
        <v>1</v>
      </c>
      <c r="E83" s="1">
        <v>1</v>
      </c>
    </row>
    <row r="84" spans="1:5" x14ac:dyDescent="0.3">
      <c r="A84" s="1" t="s">
        <v>67</v>
      </c>
      <c r="B84" s="1" t="s">
        <v>82</v>
      </c>
      <c r="C84" s="1">
        <v>134.78</v>
      </c>
      <c r="D84" s="1">
        <v>2</v>
      </c>
      <c r="E84" s="1">
        <v>3</v>
      </c>
    </row>
    <row r="85" spans="1:5" ht="28.8" x14ac:dyDescent="0.3">
      <c r="A85" s="1" t="s">
        <v>67</v>
      </c>
      <c r="B85" s="1" t="s">
        <v>5</v>
      </c>
      <c r="C85" s="1">
        <v>27.12</v>
      </c>
      <c r="D85" s="1">
        <v>2</v>
      </c>
      <c r="E85" s="1">
        <v>4</v>
      </c>
    </row>
    <row r="86" spans="1:5" ht="43.2" x14ac:dyDescent="0.3">
      <c r="A86" s="1" t="s">
        <v>67</v>
      </c>
      <c r="B86" s="1" t="s">
        <v>83</v>
      </c>
      <c r="C86" s="1">
        <v>128</v>
      </c>
      <c r="D86" s="1">
        <v>1</v>
      </c>
      <c r="E86" s="1">
        <v>2</v>
      </c>
    </row>
    <row r="87" spans="1:5" x14ac:dyDescent="0.3">
      <c r="A87" s="1" t="s">
        <v>67</v>
      </c>
      <c r="B87" s="1" t="s">
        <v>84</v>
      </c>
      <c r="C87" s="1">
        <v>19706.060000000001</v>
      </c>
      <c r="D87" s="1">
        <v>21</v>
      </c>
      <c r="E87" s="1">
        <v>74014</v>
      </c>
    </row>
    <row r="88" spans="1:5" x14ac:dyDescent="0.3">
      <c r="A88" s="1" t="s">
        <v>67</v>
      </c>
      <c r="B88" s="1" t="s">
        <v>22</v>
      </c>
      <c r="C88" s="1">
        <v>25.34</v>
      </c>
      <c r="D88" s="1">
        <v>1</v>
      </c>
      <c r="E88" s="1">
        <v>1</v>
      </c>
    </row>
    <row r="89" spans="1:5" ht="28.8" x14ac:dyDescent="0.3">
      <c r="A89" s="1" t="s">
        <v>67</v>
      </c>
      <c r="B89" s="1" t="s">
        <v>85</v>
      </c>
      <c r="C89" s="1">
        <v>677.97</v>
      </c>
      <c r="D89" s="1">
        <v>1</v>
      </c>
      <c r="E89" s="1">
        <v>20</v>
      </c>
    </row>
    <row r="90" spans="1:5" x14ac:dyDescent="0.3">
      <c r="A90" s="1" t="s">
        <v>67</v>
      </c>
      <c r="B90" s="1" t="s">
        <v>24</v>
      </c>
      <c r="C90" s="1">
        <v>8.39</v>
      </c>
      <c r="D90" s="1">
        <v>1</v>
      </c>
      <c r="E90" s="1">
        <v>1</v>
      </c>
    </row>
    <row r="91" spans="1:5" x14ac:dyDescent="0.3">
      <c r="A91" s="1" t="s">
        <v>67</v>
      </c>
      <c r="B91" s="1" t="s">
        <v>86</v>
      </c>
      <c r="C91" s="1">
        <v>209</v>
      </c>
      <c r="D91" s="1">
        <v>1</v>
      </c>
      <c r="E91" s="1">
        <v>5</v>
      </c>
    </row>
    <row r="92" spans="1:5" ht="28.8" x14ac:dyDescent="0.3">
      <c r="A92" s="1" t="s">
        <v>67</v>
      </c>
      <c r="B92" s="1" t="s">
        <v>87</v>
      </c>
      <c r="C92" s="1">
        <v>4337.8</v>
      </c>
      <c r="D92" s="1">
        <v>3</v>
      </c>
      <c r="E92" s="1">
        <v>151</v>
      </c>
    </row>
    <row r="93" spans="1:5" ht="158.4" x14ac:dyDescent="0.3">
      <c r="A93" s="1" t="s">
        <v>67</v>
      </c>
      <c r="B93" s="1" t="s">
        <v>88</v>
      </c>
      <c r="C93" s="1">
        <v>6271.19</v>
      </c>
      <c r="D93" s="1">
        <v>1</v>
      </c>
      <c r="E93" s="1">
        <v>2</v>
      </c>
    </row>
    <row r="94" spans="1:5" ht="43.2" x14ac:dyDescent="0.3">
      <c r="A94" s="1" t="s">
        <v>67</v>
      </c>
      <c r="B94" s="1" t="s">
        <v>89</v>
      </c>
      <c r="C94" s="1">
        <v>820</v>
      </c>
      <c r="D94" s="1">
        <v>1</v>
      </c>
      <c r="E94" s="1">
        <v>1</v>
      </c>
    </row>
    <row r="95" spans="1:5" ht="86.4" x14ac:dyDescent="0.3">
      <c r="A95" s="1" t="s">
        <v>67</v>
      </c>
      <c r="B95" s="1" t="s">
        <v>90</v>
      </c>
      <c r="C95" s="1">
        <v>338.98</v>
      </c>
      <c r="D95" s="1">
        <v>1</v>
      </c>
      <c r="E95" s="1">
        <v>2</v>
      </c>
    </row>
    <row r="96" spans="1:5" x14ac:dyDescent="0.3">
      <c r="A96" s="1" t="s">
        <v>67</v>
      </c>
      <c r="B96" s="1" t="s">
        <v>91</v>
      </c>
      <c r="C96" s="1">
        <v>3608.47</v>
      </c>
      <c r="D96" s="1">
        <v>1</v>
      </c>
      <c r="E96" s="1">
        <v>2</v>
      </c>
    </row>
    <row r="97" spans="1:5" ht="86.4" x14ac:dyDescent="0.3">
      <c r="A97" s="1" t="s">
        <v>67</v>
      </c>
      <c r="B97" s="1" t="s">
        <v>92</v>
      </c>
      <c r="C97" s="1">
        <v>262.70999999999998</v>
      </c>
      <c r="D97" s="1">
        <v>1</v>
      </c>
      <c r="E97" s="1">
        <v>1</v>
      </c>
    </row>
    <row r="98" spans="1:5" ht="115.2" x14ac:dyDescent="0.3">
      <c r="A98" s="1" t="s">
        <v>67</v>
      </c>
      <c r="B98" s="1" t="s">
        <v>93</v>
      </c>
      <c r="C98" s="1">
        <v>101.69</v>
      </c>
      <c r="D98" s="1">
        <v>1</v>
      </c>
      <c r="E98" s="1">
        <v>1</v>
      </c>
    </row>
    <row r="99" spans="1:5" x14ac:dyDescent="0.3">
      <c r="A99" s="1" t="s">
        <v>67</v>
      </c>
      <c r="B99" s="1" t="s">
        <v>94</v>
      </c>
      <c r="C99" s="1">
        <v>237.29</v>
      </c>
      <c r="D99" s="1">
        <v>1</v>
      </c>
      <c r="E99" s="1">
        <v>2</v>
      </c>
    </row>
    <row r="100" spans="1:5" ht="28.8" x14ac:dyDescent="0.3">
      <c r="A100" s="1" t="s">
        <v>67</v>
      </c>
      <c r="B100" s="1" t="s">
        <v>95</v>
      </c>
      <c r="C100" s="1">
        <v>0</v>
      </c>
      <c r="D100" s="1">
        <v>1</v>
      </c>
      <c r="E100" s="1">
        <v>1</v>
      </c>
    </row>
    <row r="101" spans="1:5" x14ac:dyDescent="0.3">
      <c r="A101" s="1" t="s">
        <v>67</v>
      </c>
      <c r="B101" s="1" t="s">
        <v>96</v>
      </c>
      <c r="C101" s="1">
        <v>165.26</v>
      </c>
      <c r="D101" s="1">
        <v>1</v>
      </c>
      <c r="E101" s="1">
        <v>3</v>
      </c>
    </row>
    <row r="102" spans="1:5" x14ac:dyDescent="0.3">
      <c r="A102" s="1" t="s">
        <v>67</v>
      </c>
      <c r="B102" s="1" t="s">
        <v>97</v>
      </c>
      <c r="C102" s="1">
        <v>6.9</v>
      </c>
      <c r="D102" s="1">
        <v>1</v>
      </c>
      <c r="E102" s="1">
        <v>1</v>
      </c>
    </row>
    <row r="103" spans="1:5" x14ac:dyDescent="0.3">
      <c r="A103" s="1" t="s">
        <v>67</v>
      </c>
      <c r="B103" s="1" t="s">
        <v>98</v>
      </c>
      <c r="C103" s="1">
        <v>1624</v>
      </c>
      <c r="D103" s="1">
        <v>3</v>
      </c>
      <c r="E103" s="1">
        <v>26</v>
      </c>
    </row>
    <row r="104" spans="1:5" ht="28.8" x14ac:dyDescent="0.3">
      <c r="A104" s="1" t="s">
        <v>67</v>
      </c>
      <c r="B104" s="1" t="s">
        <v>99</v>
      </c>
      <c r="C104" s="1">
        <v>6018.8</v>
      </c>
      <c r="D104" s="1">
        <v>6</v>
      </c>
      <c r="E104" s="1">
        <v>260</v>
      </c>
    </row>
    <row r="105" spans="1:5" x14ac:dyDescent="0.3">
      <c r="A105" s="1" t="s">
        <v>67</v>
      </c>
      <c r="B105" s="1" t="s">
        <v>59</v>
      </c>
      <c r="C105" s="1">
        <v>101.69</v>
      </c>
      <c r="D105" s="1">
        <v>1</v>
      </c>
      <c r="E105" s="1">
        <v>1</v>
      </c>
    </row>
    <row r="106" spans="1:5" ht="28.8" x14ac:dyDescent="0.3">
      <c r="A106" s="1" t="s">
        <v>67</v>
      </c>
      <c r="B106" s="1" t="s">
        <v>100</v>
      </c>
      <c r="C106" s="1">
        <v>3300</v>
      </c>
      <c r="D106" s="1">
        <v>2</v>
      </c>
      <c r="E106" s="1">
        <v>2</v>
      </c>
    </row>
    <row r="107" spans="1:5" x14ac:dyDescent="0.3">
      <c r="A107" s="1" t="s">
        <v>67</v>
      </c>
      <c r="B107" s="1" t="s">
        <v>101</v>
      </c>
      <c r="C107" s="1">
        <v>81.78</v>
      </c>
      <c r="D107" s="1">
        <v>2</v>
      </c>
      <c r="E107" s="1">
        <v>8</v>
      </c>
    </row>
    <row r="108" spans="1:5" ht="28.8" x14ac:dyDescent="0.3">
      <c r="A108" s="1" t="s">
        <v>67</v>
      </c>
      <c r="B108" s="1" t="s">
        <v>102</v>
      </c>
      <c r="C108" s="1">
        <v>194.07</v>
      </c>
      <c r="D108" s="1">
        <v>4</v>
      </c>
      <c r="E108" s="1">
        <v>18</v>
      </c>
    </row>
    <row r="109" spans="1:5" x14ac:dyDescent="0.3">
      <c r="A109" s="1" t="s">
        <v>103</v>
      </c>
      <c r="B109" s="1" t="s">
        <v>24</v>
      </c>
      <c r="C109" s="1">
        <v>16.95</v>
      </c>
      <c r="D109" s="1">
        <v>1</v>
      </c>
      <c r="E109" s="1">
        <v>1</v>
      </c>
    </row>
    <row r="110" spans="1:5" x14ac:dyDescent="0.3">
      <c r="A110" s="1" t="s">
        <v>103</v>
      </c>
      <c r="B110" s="1" t="s">
        <v>32</v>
      </c>
      <c r="C110" s="1">
        <v>224.15</v>
      </c>
      <c r="D110" s="1">
        <v>1</v>
      </c>
      <c r="E110" s="1">
        <v>1</v>
      </c>
    </row>
    <row r="111" spans="1:5" ht="43.2" x14ac:dyDescent="0.3">
      <c r="A111" s="1" t="s">
        <v>104</v>
      </c>
      <c r="B111" s="1" t="s">
        <v>105</v>
      </c>
      <c r="C111" s="1">
        <v>2500</v>
      </c>
      <c r="D111" s="1">
        <v>1</v>
      </c>
      <c r="E111" s="1">
        <v>1</v>
      </c>
    </row>
    <row r="112" spans="1:5" ht="43.2" x14ac:dyDescent="0.3">
      <c r="A112" s="1" t="s">
        <v>104</v>
      </c>
      <c r="B112" s="1" t="s">
        <v>106</v>
      </c>
      <c r="C112" s="1">
        <v>2000</v>
      </c>
      <c r="D112" s="1">
        <v>1</v>
      </c>
      <c r="E112" s="1">
        <v>10</v>
      </c>
    </row>
    <row r="113" spans="1:5" ht="28.8" x14ac:dyDescent="0.3">
      <c r="A113" s="1" t="s">
        <v>104</v>
      </c>
      <c r="B113" s="1" t="s">
        <v>107</v>
      </c>
      <c r="C113" s="1">
        <v>2000</v>
      </c>
      <c r="D113" s="1">
        <v>1</v>
      </c>
      <c r="E113" s="1">
        <v>1</v>
      </c>
    </row>
    <row r="114" spans="1:5" ht="43.2" x14ac:dyDescent="0.3">
      <c r="A114" s="1" t="s">
        <v>104</v>
      </c>
      <c r="B114" s="1" t="s">
        <v>108</v>
      </c>
      <c r="C114" s="1">
        <v>9904.67</v>
      </c>
      <c r="D114" s="1">
        <v>1</v>
      </c>
      <c r="E114" s="1">
        <v>63</v>
      </c>
    </row>
    <row r="115" spans="1:5" ht="57.6" x14ac:dyDescent="0.3">
      <c r="A115" s="1" t="s">
        <v>104</v>
      </c>
      <c r="B115" s="1" t="s">
        <v>109</v>
      </c>
      <c r="C115" s="1">
        <v>1300</v>
      </c>
      <c r="D115" s="1">
        <v>1</v>
      </c>
      <c r="E115" s="1">
        <v>1</v>
      </c>
    </row>
    <row r="116" spans="1:5" ht="86.4" x14ac:dyDescent="0.3">
      <c r="A116" s="1" t="s">
        <v>104</v>
      </c>
      <c r="B116" s="1" t="s">
        <v>90</v>
      </c>
      <c r="C116" s="1">
        <v>169.49</v>
      </c>
      <c r="D116" s="1">
        <v>1</v>
      </c>
      <c r="E116" s="1">
        <v>1</v>
      </c>
    </row>
    <row r="117" spans="1:5" ht="144" x14ac:dyDescent="0.3">
      <c r="A117" s="1" t="s">
        <v>104</v>
      </c>
      <c r="B117" s="1" t="s">
        <v>110</v>
      </c>
      <c r="C117" s="1">
        <v>1905.93</v>
      </c>
      <c r="D117" s="1">
        <v>1</v>
      </c>
      <c r="E117" s="1">
        <v>1</v>
      </c>
    </row>
    <row r="118" spans="1:5" ht="100.8" x14ac:dyDescent="0.3">
      <c r="A118" s="1" t="s">
        <v>104</v>
      </c>
      <c r="B118" s="1" t="s">
        <v>111</v>
      </c>
      <c r="C118" s="1">
        <v>165.25</v>
      </c>
      <c r="D118" s="1">
        <v>1</v>
      </c>
      <c r="E118" s="1">
        <v>3</v>
      </c>
    </row>
    <row r="119" spans="1:5" ht="72" x14ac:dyDescent="0.3">
      <c r="A119" s="1" t="s">
        <v>104</v>
      </c>
      <c r="B119" s="1" t="s">
        <v>112</v>
      </c>
      <c r="C119" s="1">
        <v>4970</v>
      </c>
      <c r="D119" s="1">
        <v>1</v>
      </c>
      <c r="E119" s="1">
        <v>7</v>
      </c>
    </row>
    <row r="120" spans="1:5" ht="43.2" x14ac:dyDescent="0.3">
      <c r="A120" s="1" t="s">
        <v>104</v>
      </c>
      <c r="B120" s="1" t="s">
        <v>113</v>
      </c>
      <c r="C120" s="1">
        <v>3202.99</v>
      </c>
      <c r="D120" s="1">
        <v>1</v>
      </c>
      <c r="E120" s="1">
        <v>1</v>
      </c>
    </row>
    <row r="121" spans="1:5" ht="72" x14ac:dyDescent="0.3">
      <c r="A121" s="1" t="s">
        <v>104</v>
      </c>
      <c r="B121" s="1" t="s">
        <v>114</v>
      </c>
      <c r="C121" s="1">
        <v>6499</v>
      </c>
      <c r="D121" s="1">
        <v>1</v>
      </c>
      <c r="E121" s="1">
        <v>67</v>
      </c>
    </row>
    <row r="122" spans="1:5" ht="43.2" x14ac:dyDescent="0.3">
      <c r="A122" s="1" t="s">
        <v>104</v>
      </c>
      <c r="B122" s="1" t="s">
        <v>64</v>
      </c>
      <c r="C122" s="1">
        <v>4614.88</v>
      </c>
      <c r="D122" s="1">
        <v>4</v>
      </c>
      <c r="E122" s="1">
        <v>4</v>
      </c>
    </row>
    <row r="123" spans="1:5" ht="28.8" x14ac:dyDescent="0.3">
      <c r="A123" s="1" t="s">
        <v>104</v>
      </c>
      <c r="B123" s="1" t="s">
        <v>66</v>
      </c>
      <c r="C123" s="1">
        <v>122537.01</v>
      </c>
      <c r="D123" s="1">
        <v>33</v>
      </c>
      <c r="E123" s="1">
        <v>518</v>
      </c>
    </row>
    <row r="124" spans="1:5" ht="28.8" x14ac:dyDescent="0.3">
      <c r="A124" s="1" t="s">
        <v>104</v>
      </c>
      <c r="B124" s="1" t="s">
        <v>115</v>
      </c>
      <c r="C124" s="1">
        <v>40024.519999999997</v>
      </c>
      <c r="D124" s="1">
        <v>8</v>
      </c>
      <c r="E124" s="1">
        <v>46</v>
      </c>
    </row>
    <row r="125" spans="1:5" ht="28.8" x14ac:dyDescent="0.3">
      <c r="A125" s="1" t="s">
        <v>116</v>
      </c>
      <c r="B125" s="1" t="s">
        <v>117</v>
      </c>
      <c r="C125" s="1">
        <v>355.08</v>
      </c>
      <c r="D125" s="1">
        <v>1</v>
      </c>
      <c r="E125" s="1">
        <v>1</v>
      </c>
    </row>
    <row r="126" spans="1:5" ht="28.8" x14ac:dyDescent="0.3">
      <c r="A126" s="1" t="s">
        <v>116</v>
      </c>
      <c r="B126" s="1" t="s">
        <v>71</v>
      </c>
      <c r="C126" s="1">
        <v>40</v>
      </c>
      <c r="D126" s="1">
        <v>1</v>
      </c>
      <c r="E126" s="1">
        <v>1</v>
      </c>
    </row>
    <row r="127" spans="1:5" x14ac:dyDescent="0.3">
      <c r="A127" s="1" t="s">
        <v>116</v>
      </c>
      <c r="B127" s="1" t="s">
        <v>118</v>
      </c>
      <c r="C127" s="1">
        <v>5255.82</v>
      </c>
      <c r="D127" s="1">
        <v>1</v>
      </c>
      <c r="E127" s="1">
        <v>1</v>
      </c>
    </row>
    <row r="128" spans="1:5" ht="28.8" x14ac:dyDescent="0.3">
      <c r="A128" s="1" t="s">
        <v>116</v>
      </c>
      <c r="B128" s="1" t="s">
        <v>26</v>
      </c>
      <c r="C128" s="1">
        <v>27.03</v>
      </c>
      <c r="D128" s="1">
        <v>1</v>
      </c>
      <c r="E128" s="1">
        <v>1</v>
      </c>
    </row>
    <row r="129" spans="1:5" x14ac:dyDescent="0.3">
      <c r="A129" s="1" t="s">
        <v>116</v>
      </c>
      <c r="B129" s="1" t="s">
        <v>119</v>
      </c>
      <c r="C129" s="1">
        <v>559.92999999999995</v>
      </c>
      <c r="D129" s="1">
        <v>4</v>
      </c>
      <c r="E129" s="1">
        <v>4</v>
      </c>
    </row>
    <row r="130" spans="1:5" x14ac:dyDescent="0.3">
      <c r="A130" s="1" t="s">
        <v>116</v>
      </c>
      <c r="B130" s="1" t="s">
        <v>51</v>
      </c>
      <c r="C130" s="1">
        <v>127.12</v>
      </c>
      <c r="D130" s="1">
        <v>1</v>
      </c>
      <c r="E130" s="1">
        <v>1</v>
      </c>
    </row>
    <row r="131" spans="1:5" x14ac:dyDescent="0.3">
      <c r="A131" s="1" t="s">
        <v>116</v>
      </c>
      <c r="B131" s="1" t="s">
        <v>120</v>
      </c>
      <c r="C131" s="1">
        <v>2282.52</v>
      </c>
      <c r="D131" s="1">
        <v>3</v>
      </c>
      <c r="E131" s="1">
        <v>4</v>
      </c>
    </row>
    <row r="132" spans="1:5" ht="43.2" x14ac:dyDescent="0.3">
      <c r="A132" s="1" t="s">
        <v>116</v>
      </c>
      <c r="B132" s="1" t="s">
        <v>64</v>
      </c>
      <c r="C132" s="1">
        <v>36.04</v>
      </c>
      <c r="D132" s="1">
        <v>1</v>
      </c>
      <c r="E132" s="1">
        <v>1</v>
      </c>
    </row>
    <row r="133" spans="1:5" ht="28.8" x14ac:dyDescent="0.3">
      <c r="A133" s="1" t="s">
        <v>116</v>
      </c>
      <c r="B133" s="1" t="s">
        <v>121</v>
      </c>
      <c r="C133" s="1">
        <v>355.93</v>
      </c>
      <c r="D133" s="1">
        <v>1</v>
      </c>
      <c r="E133" s="1">
        <v>2</v>
      </c>
    </row>
    <row r="134" spans="1:5" ht="28.8" x14ac:dyDescent="0.3">
      <c r="A134" s="1" t="s">
        <v>116</v>
      </c>
      <c r="B134" s="1" t="s">
        <v>36</v>
      </c>
      <c r="C134" s="1">
        <v>5052</v>
      </c>
      <c r="D134" s="1">
        <v>1</v>
      </c>
      <c r="E134" s="1">
        <v>1</v>
      </c>
    </row>
    <row r="135" spans="1:5" x14ac:dyDescent="0.3">
      <c r="A135" s="1" t="s">
        <v>116</v>
      </c>
      <c r="B135" s="1" t="s">
        <v>59</v>
      </c>
      <c r="C135" s="1">
        <v>950</v>
      </c>
      <c r="D135" s="1">
        <v>1</v>
      </c>
      <c r="E135" s="1">
        <v>1</v>
      </c>
    </row>
    <row r="136" spans="1:5" ht="28.8" x14ac:dyDescent="0.3">
      <c r="A136" s="1" t="s">
        <v>116</v>
      </c>
      <c r="B136" s="1" t="s">
        <v>122</v>
      </c>
      <c r="C136" s="1">
        <v>150</v>
      </c>
      <c r="D136" s="1">
        <v>1</v>
      </c>
      <c r="E136" s="1">
        <v>1</v>
      </c>
    </row>
    <row r="137" spans="1:5" x14ac:dyDescent="0.3">
      <c r="A137" s="1" t="s">
        <v>123</v>
      </c>
      <c r="B137" s="1" t="s">
        <v>59</v>
      </c>
      <c r="C137" s="1">
        <v>2037.5</v>
      </c>
      <c r="D137" s="1">
        <v>3</v>
      </c>
      <c r="E137" s="1">
        <v>5</v>
      </c>
    </row>
    <row r="138" spans="1:5" ht="28.8" x14ac:dyDescent="0.3">
      <c r="A138" s="1" t="s">
        <v>123</v>
      </c>
      <c r="B138" s="1" t="s">
        <v>100</v>
      </c>
      <c r="C138" s="1">
        <v>846.09</v>
      </c>
      <c r="D138" s="1">
        <v>1</v>
      </c>
      <c r="E138" s="1">
        <v>1</v>
      </c>
    </row>
    <row r="139" spans="1:5" ht="43.2" x14ac:dyDescent="0.3">
      <c r="A139" s="1" t="s">
        <v>124</v>
      </c>
      <c r="B139" s="1" t="s">
        <v>125</v>
      </c>
      <c r="C139" s="1">
        <v>10.08</v>
      </c>
      <c r="D139" s="1">
        <v>1</v>
      </c>
      <c r="E139" s="1">
        <v>1</v>
      </c>
    </row>
    <row r="140" spans="1:5" ht="28.8" x14ac:dyDescent="0.3">
      <c r="A140" s="1" t="s">
        <v>124</v>
      </c>
      <c r="B140" s="1" t="s">
        <v>2</v>
      </c>
      <c r="C140" s="1">
        <v>5961.49</v>
      </c>
      <c r="D140" s="1">
        <v>30</v>
      </c>
      <c r="E140" s="1">
        <v>30</v>
      </c>
    </row>
    <row r="141" spans="1:5" ht="28.8" x14ac:dyDescent="0.3">
      <c r="A141" s="1" t="s">
        <v>124</v>
      </c>
      <c r="B141" s="1" t="s">
        <v>126</v>
      </c>
      <c r="C141" s="1">
        <v>39.32</v>
      </c>
      <c r="D141" s="1">
        <v>2</v>
      </c>
      <c r="E141" s="1">
        <v>8</v>
      </c>
    </row>
    <row r="142" spans="1:5" ht="28.8" x14ac:dyDescent="0.3">
      <c r="A142" s="1" t="s">
        <v>124</v>
      </c>
      <c r="B142" s="1" t="s">
        <v>127</v>
      </c>
      <c r="C142" s="1">
        <v>400</v>
      </c>
      <c r="D142" s="1">
        <v>1</v>
      </c>
      <c r="E142" s="1">
        <v>1</v>
      </c>
    </row>
    <row r="143" spans="1:5" ht="28.8" x14ac:dyDescent="0.3">
      <c r="A143" s="1" t="s">
        <v>124</v>
      </c>
      <c r="B143" s="1" t="s">
        <v>71</v>
      </c>
      <c r="C143" s="1">
        <v>430</v>
      </c>
      <c r="D143" s="1">
        <v>2</v>
      </c>
      <c r="E143" s="1">
        <v>2</v>
      </c>
    </row>
    <row r="144" spans="1:5" ht="28.8" x14ac:dyDescent="0.3">
      <c r="A144" s="1" t="s">
        <v>124</v>
      </c>
      <c r="B144" s="1" t="s">
        <v>128</v>
      </c>
      <c r="C144" s="1">
        <v>234.47</v>
      </c>
      <c r="D144" s="1">
        <v>2</v>
      </c>
      <c r="E144" s="1">
        <v>4</v>
      </c>
    </row>
    <row r="145" spans="1:5" ht="28.8" x14ac:dyDescent="0.3">
      <c r="A145" s="1" t="s">
        <v>124</v>
      </c>
      <c r="B145" s="1" t="s">
        <v>129</v>
      </c>
      <c r="C145" s="1">
        <v>3035.59</v>
      </c>
      <c r="D145" s="1">
        <v>7</v>
      </c>
      <c r="E145" s="1">
        <v>7</v>
      </c>
    </row>
    <row r="146" spans="1:5" ht="72" x14ac:dyDescent="0.3">
      <c r="A146" s="1" t="s">
        <v>124</v>
      </c>
      <c r="B146" s="1" t="s">
        <v>130</v>
      </c>
      <c r="C146" s="1">
        <v>199.15</v>
      </c>
      <c r="D146" s="1">
        <v>2</v>
      </c>
      <c r="E146" s="1">
        <v>3</v>
      </c>
    </row>
    <row r="147" spans="1:5" ht="28.8" x14ac:dyDescent="0.3">
      <c r="A147" s="1" t="s">
        <v>124</v>
      </c>
      <c r="B147" s="1" t="s">
        <v>118</v>
      </c>
      <c r="C147" s="1">
        <v>847.46</v>
      </c>
      <c r="D147" s="1">
        <v>1</v>
      </c>
      <c r="E147" s="1">
        <v>1</v>
      </c>
    </row>
    <row r="148" spans="1:5" ht="28.8" x14ac:dyDescent="0.3">
      <c r="A148" s="1" t="s">
        <v>124</v>
      </c>
      <c r="B148" s="1" t="s">
        <v>131</v>
      </c>
      <c r="C148" s="1">
        <v>48.14</v>
      </c>
      <c r="D148" s="1">
        <v>1</v>
      </c>
      <c r="E148" s="1">
        <v>2</v>
      </c>
    </row>
    <row r="149" spans="1:5" ht="28.8" x14ac:dyDescent="0.3">
      <c r="A149" s="1" t="s">
        <v>124</v>
      </c>
      <c r="B149" s="1" t="s">
        <v>132</v>
      </c>
      <c r="C149" s="1">
        <v>50.85</v>
      </c>
      <c r="D149" s="1">
        <v>1</v>
      </c>
      <c r="E149" s="1">
        <v>1</v>
      </c>
    </row>
    <row r="150" spans="1:5" ht="28.8" x14ac:dyDescent="0.3">
      <c r="A150" s="1" t="s">
        <v>124</v>
      </c>
      <c r="B150" s="1" t="s">
        <v>133</v>
      </c>
      <c r="C150" s="1">
        <v>10.59</v>
      </c>
      <c r="D150" s="1">
        <v>1</v>
      </c>
      <c r="E150" s="1">
        <v>3</v>
      </c>
    </row>
    <row r="151" spans="1:5" ht="28.8" x14ac:dyDescent="0.3">
      <c r="A151" s="1" t="s">
        <v>124</v>
      </c>
      <c r="B151" s="1" t="s">
        <v>134</v>
      </c>
      <c r="C151" s="1">
        <v>101.7</v>
      </c>
      <c r="D151" s="1">
        <v>1</v>
      </c>
      <c r="E151" s="1">
        <v>6</v>
      </c>
    </row>
    <row r="152" spans="1:5" ht="43.2" x14ac:dyDescent="0.3">
      <c r="A152" s="1" t="s">
        <v>124</v>
      </c>
      <c r="B152" s="1" t="s">
        <v>135</v>
      </c>
      <c r="C152" s="1">
        <v>132.05000000000001</v>
      </c>
      <c r="D152" s="1">
        <v>4</v>
      </c>
      <c r="E152" s="1">
        <v>12</v>
      </c>
    </row>
    <row r="153" spans="1:5" ht="28.8" x14ac:dyDescent="0.3">
      <c r="A153" s="1" t="s">
        <v>124</v>
      </c>
      <c r="B153" s="1" t="s">
        <v>136</v>
      </c>
      <c r="C153" s="1">
        <v>210.17</v>
      </c>
      <c r="D153" s="1">
        <v>1</v>
      </c>
      <c r="E153" s="1">
        <v>1</v>
      </c>
    </row>
    <row r="154" spans="1:5" ht="28.8" x14ac:dyDescent="0.3">
      <c r="A154" s="1" t="s">
        <v>124</v>
      </c>
      <c r="B154" s="1" t="s">
        <v>137</v>
      </c>
      <c r="C154" s="1">
        <v>518.51</v>
      </c>
      <c r="D154" s="1">
        <v>3</v>
      </c>
      <c r="E154" s="1">
        <v>11</v>
      </c>
    </row>
    <row r="155" spans="1:5" ht="28.8" x14ac:dyDescent="0.3">
      <c r="A155" s="1" t="s">
        <v>124</v>
      </c>
      <c r="B155" s="1" t="s">
        <v>138</v>
      </c>
      <c r="C155" s="1">
        <v>2202.54</v>
      </c>
      <c r="D155" s="1">
        <v>1</v>
      </c>
      <c r="E155" s="1">
        <v>1</v>
      </c>
    </row>
    <row r="156" spans="1:5" ht="28.8" x14ac:dyDescent="0.3">
      <c r="A156" s="1" t="s">
        <v>124</v>
      </c>
      <c r="B156" s="1" t="s">
        <v>139</v>
      </c>
      <c r="C156" s="1">
        <v>4570</v>
      </c>
      <c r="D156" s="1">
        <v>2</v>
      </c>
      <c r="E156" s="1">
        <v>2</v>
      </c>
    </row>
    <row r="157" spans="1:5" ht="28.8" x14ac:dyDescent="0.3">
      <c r="A157" s="1" t="s">
        <v>124</v>
      </c>
      <c r="B157" s="1" t="s">
        <v>140</v>
      </c>
      <c r="C157" s="1">
        <v>46.53</v>
      </c>
      <c r="D157" s="1">
        <v>1</v>
      </c>
      <c r="E157" s="1">
        <v>1</v>
      </c>
    </row>
    <row r="158" spans="1:5" ht="28.8" x14ac:dyDescent="0.3">
      <c r="A158" s="1" t="s">
        <v>124</v>
      </c>
      <c r="B158" s="1" t="s">
        <v>141</v>
      </c>
      <c r="C158" s="1">
        <v>1.35</v>
      </c>
      <c r="D158" s="1">
        <v>1</v>
      </c>
      <c r="E158" s="1">
        <v>1</v>
      </c>
    </row>
    <row r="159" spans="1:5" ht="28.8" x14ac:dyDescent="0.3">
      <c r="A159" s="1" t="s">
        <v>124</v>
      </c>
      <c r="B159" s="1" t="s">
        <v>142</v>
      </c>
      <c r="C159" s="1">
        <v>1.03</v>
      </c>
      <c r="D159" s="1">
        <v>1</v>
      </c>
      <c r="E159" s="1">
        <v>1</v>
      </c>
    </row>
    <row r="160" spans="1:5" ht="28.8" x14ac:dyDescent="0.3">
      <c r="A160" s="1" t="s">
        <v>124</v>
      </c>
      <c r="B160" s="1" t="s">
        <v>143</v>
      </c>
      <c r="C160" s="1">
        <v>300</v>
      </c>
      <c r="D160" s="1">
        <v>1</v>
      </c>
      <c r="E160" s="1">
        <v>4</v>
      </c>
    </row>
    <row r="161" spans="1:5" ht="28.8" x14ac:dyDescent="0.3">
      <c r="A161" s="1" t="s">
        <v>124</v>
      </c>
      <c r="B161" s="1" t="s">
        <v>144</v>
      </c>
      <c r="C161" s="1">
        <v>1321.86</v>
      </c>
      <c r="D161" s="1">
        <v>2</v>
      </c>
      <c r="E161" s="1">
        <v>2</v>
      </c>
    </row>
    <row r="162" spans="1:5" ht="28.8" x14ac:dyDescent="0.3">
      <c r="A162" s="1" t="s">
        <v>124</v>
      </c>
      <c r="B162" s="1" t="s">
        <v>24</v>
      </c>
      <c r="C162" s="1">
        <v>102.29</v>
      </c>
      <c r="D162" s="1">
        <v>8</v>
      </c>
      <c r="E162" s="1">
        <v>8</v>
      </c>
    </row>
    <row r="163" spans="1:5" ht="57.6" x14ac:dyDescent="0.3">
      <c r="A163" s="1" t="s">
        <v>124</v>
      </c>
      <c r="B163" s="1" t="s">
        <v>145</v>
      </c>
      <c r="C163" s="1">
        <v>750</v>
      </c>
      <c r="D163" s="1">
        <v>1</v>
      </c>
      <c r="E163" s="1">
        <v>1</v>
      </c>
    </row>
    <row r="164" spans="1:5" ht="28.8" x14ac:dyDescent="0.3">
      <c r="A164" s="1" t="s">
        <v>124</v>
      </c>
      <c r="B164" s="1" t="s">
        <v>146</v>
      </c>
      <c r="C164" s="1">
        <v>140.41</v>
      </c>
      <c r="D164" s="1">
        <v>2</v>
      </c>
      <c r="E164" s="1">
        <v>2</v>
      </c>
    </row>
    <row r="165" spans="1:5" ht="28.8" x14ac:dyDescent="0.3">
      <c r="A165" s="1" t="s">
        <v>124</v>
      </c>
      <c r="B165" s="1" t="s">
        <v>147</v>
      </c>
      <c r="C165" s="1">
        <v>16.86</v>
      </c>
      <c r="D165" s="1">
        <v>1</v>
      </c>
      <c r="E165" s="1">
        <v>1</v>
      </c>
    </row>
    <row r="166" spans="1:5" ht="43.2" x14ac:dyDescent="0.3">
      <c r="A166" s="1" t="s">
        <v>124</v>
      </c>
      <c r="B166" s="1" t="s">
        <v>148</v>
      </c>
      <c r="C166" s="1">
        <v>570</v>
      </c>
      <c r="D166" s="1">
        <v>1</v>
      </c>
      <c r="E166" s="1">
        <v>1</v>
      </c>
    </row>
    <row r="167" spans="1:5" ht="28.8" x14ac:dyDescent="0.3">
      <c r="A167" s="1" t="s">
        <v>124</v>
      </c>
      <c r="B167" s="1" t="s">
        <v>149</v>
      </c>
      <c r="C167" s="1">
        <v>33.49</v>
      </c>
      <c r="D167" s="1">
        <v>2</v>
      </c>
      <c r="E167" s="1">
        <v>5</v>
      </c>
    </row>
    <row r="168" spans="1:5" ht="28.8" x14ac:dyDescent="0.3">
      <c r="A168" s="1" t="s">
        <v>124</v>
      </c>
      <c r="B168" s="1" t="s">
        <v>150</v>
      </c>
      <c r="C168" s="1">
        <v>8.4700000000000006</v>
      </c>
      <c r="D168" s="1">
        <v>1</v>
      </c>
      <c r="E168" s="1">
        <v>1</v>
      </c>
    </row>
    <row r="169" spans="1:5" ht="115.2" x14ac:dyDescent="0.3">
      <c r="A169" s="1" t="s">
        <v>124</v>
      </c>
      <c r="B169" s="1" t="s">
        <v>151</v>
      </c>
      <c r="C169" s="1">
        <v>1327.12</v>
      </c>
      <c r="D169" s="1">
        <v>1</v>
      </c>
      <c r="E169" s="1">
        <v>1</v>
      </c>
    </row>
    <row r="170" spans="1:5" ht="28.8" x14ac:dyDescent="0.3">
      <c r="A170" s="1" t="s">
        <v>124</v>
      </c>
      <c r="B170" s="1" t="s">
        <v>152</v>
      </c>
      <c r="C170" s="1">
        <v>22.37</v>
      </c>
      <c r="D170" s="1">
        <v>1</v>
      </c>
      <c r="E170" s="1">
        <v>8</v>
      </c>
    </row>
    <row r="171" spans="1:5" ht="28.8" x14ac:dyDescent="0.3">
      <c r="A171" s="1" t="s">
        <v>124</v>
      </c>
      <c r="B171" s="1" t="s">
        <v>86</v>
      </c>
      <c r="C171" s="1">
        <v>7.67</v>
      </c>
      <c r="D171" s="1">
        <v>3</v>
      </c>
      <c r="E171" s="1">
        <v>5</v>
      </c>
    </row>
    <row r="172" spans="1:5" ht="28.8" x14ac:dyDescent="0.3">
      <c r="A172" s="1" t="s">
        <v>124</v>
      </c>
      <c r="B172" s="1" t="s">
        <v>153</v>
      </c>
      <c r="C172" s="1">
        <v>50.42</v>
      </c>
      <c r="D172" s="1">
        <v>1</v>
      </c>
      <c r="E172" s="1">
        <v>50</v>
      </c>
    </row>
    <row r="173" spans="1:5" ht="28.8" x14ac:dyDescent="0.3">
      <c r="A173" s="1" t="s">
        <v>124</v>
      </c>
      <c r="B173" s="1" t="s">
        <v>154</v>
      </c>
      <c r="C173" s="1">
        <v>17.36</v>
      </c>
      <c r="D173" s="1">
        <v>1</v>
      </c>
      <c r="E173" s="1">
        <v>3</v>
      </c>
    </row>
    <row r="174" spans="1:5" ht="28.8" x14ac:dyDescent="0.3">
      <c r="A174" s="1" t="s">
        <v>124</v>
      </c>
      <c r="B174" s="1" t="s">
        <v>48</v>
      </c>
      <c r="C174" s="1">
        <v>50</v>
      </c>
      <c r="D174" s="1">
        <v>1</v>
      </c>
      <c r="E174" s="1">
        <v>1</v>
      </c>
    </row>
    <row r="175" spans="1:5" ht="28.8" x14ac:dyDescent="0.3">
      <c r="A175" s="1" t="s">
        <v>124</v>
      </c>
      <c r="B175" s="1" t="s">
        <v>119</v>
      </c>
      <c r="C175" s="1">
        <v>1082.81</v>
      </c>
      <c r="D175" s="1">
        <v>6</v>
      </c>
      <c r="E175" s="1">
        <v>6</v>
      </c>
    </row>
    <row r="176" spans="1:5" ht="28.8" x14ac:dyDescent="0.3">
      <c r="A176" s="1" t="s">
        <v>124</v>
      </c>
      <c r="B176" s="1" t="s">
        <v>155</v>
      </c>
      <c r="C176" s="1">
        <v>17</v>
      </c>
      <c r="D176" s="1">
        <v>1</v>
      </c>
      <c r="E176" s="1">
        <v>7</v>
      </c>
    </row>
    <row r="177" spans="1:5" ht="28.8" x14ac:dyDescent="0.3">
      <c r="A177" s="1" t="s">
        <v>124</v>
      </c>
      <c r="B177" s="1" t="s">
        <v>156</v>
      </c>
      <c r="C177" s="1">
        <v>30.85</v>
      </c>
      <c r="D177" s="1">
        <v>1</v>
      </c>
      <c r="E177" s="1">
        <v>4</v>
      </c>
    </row>
    <row r="178" spans="1:5" ht="28.8" x14ac:dyDescent="0.3">
      <c r="A178" s="1" t="s">
        <v>124</v>
      </c>
      <c r="B178" s="1" t="s">
        <v>157</v>
      </c>
      <c r="C178" s="1">
        <v>39.53</v>
      </c>
      <c r="D178" s="1">
        <v>1</v>
      </c>
      <c r="E178" s="1">
        <v>4</v>
      </c>
    </row>
    <row r="179" spans="1:5" ht="43.2" x14ac:dyDescent="0.3">
      <c r="A179" s="1" t="s">
        <v>124</v>
      </c>
      <c r="B179" s="1" t="s">
        <v>158</v>
      </c>
      <c r="C179" s="1">
        <v>238.98</v>
      </c>
      <c r="D179" s="1">
        <v>1</v>
      </c>
      <c r="E179" s="1">
        <v>1</v>
      </c>
    </row>
    <row r="180" spans="1:5" ht="100.8" x14ac:dyDescent="0.3">
      <c r="A180" s="1" t="s">
        <v>124</v>
      </c>
      <c r="B180" s="1" t="s">
        <v>159</v>
      </c>
      <c r="C180" s="1">
        <v>4020</v>
      </c>
      <c r="D180" s="1">
        <v>2</v>
      </c>
      <c r="E180" s="1">
        <v>2</v>
      </c>
    </row>
    <row r="181" spans="1:5" ht="28.8" x14ac:dyDescent="0.3">
      <c r="A181" s="1" t="s">
        <v>124</v>
      </c>
      <c r="B181" s="1" t="s">
        <v>160</v>
      </c>
      <c r="C181" s="1">
        <v>26.6</v>
      </c>
      <c r="D181" s="1">
        <v>3</v>
      </c>
      <c r="E181" s="1">
        <v>3</v>
      </c>
    </row>
    <row r="182" spans="1:5" ht="28.8" x14ac:dyDescent="0.3">
      <c r="A182" s="1" t="s">
        <v>124</v>
      </c>
      <c r="B182" s="1" t="s">
        <v>161</v>
      </c>
      <c r="C182" s="1">
        <v>7.54</v>
      </c>
      <c r="D182" s="1">
        <v>1</v>
      </c>
      <c r="E182" s="1">
        <v>1</v>
      </c>
    </row>
    <row r="183" spans="1:5" ht="28.8" x14ac:dyDescent="0.3">
      <c r="A183" s="1" t="s">
        <v>124</v>
      </c>
      <c r="B183" s="1" t="s">
        <v>162</v>
      </c>
      <c r="C183" s="1">
        <v>65.599999999999994</v>
      </c>
      <c r="D183" s="1">
        <v>2</v>
      </c>
      <c r="E183" s="1">
        <v>4</v>
      </c>
    </row>
    <row r="184" spans="1:5" ht="28.8" x14ac:dyDescent="0.3">
      <c r="A184" s="1" t="s">
        <v>124</v>
      </c>
      <c r="B184" s="1" t="s">
        <v>163</v>
      </c>
      <c r="C184" s="1">
        <v>8.1999999999999993</v>
      </c>
      <c r="D184" s="1">
        <v>3</v>
      </c>
      <c r="E184" s="1">
        <v>25</v>
      </c>
    </row>
    <row r="185" spans="1:5" ht="28.8" x14ac:dyDescent="0.3">
      <c r="A185" s="1" t="s">
        <v>124</v>
      </c>
      <c r="B185" s="1" t="s">
        <v>91</v>
      </c>
      <c r="C185" s="1">
        <v>1571.19</v>
      </c>
      <c r="D185" s="1">
        <v>1</v>
      </c>
      <c r="E185" s="1">
        <v>1</v>
      </c>
    </row>
    <row r="186" spans="1:5" ht="28.8" x14ac:dyDescent="0.3">
      <c r="A186" s="1" t="s">
        <v>124</v>
      </c>
      <c r="B186" s="1" t="s">
        <v>164</v>
      </c>
      <c r="C186" s="1">
        <v>45.59</v>
      </c>
      <c r="D186" s="1">
        <v>1</v>
      </c>
      <c r="E186" s="1">
        <v>2</v>
      </c>
    </row>
    <row r="187" spans="1:5" ht="28.8" x14ac:dyDescent="0.3">
      <c r="A187" s="1" t="s">
        <v>124</v>
      </c>
      <c r="B187" s="1" t="s">
        <v>165</v>
      </c>
      <c r="C187" s="1">
        <v>26.03</v>
      </c>
      <c r="D187" s="1">
        <v>2</v>
      </c>
      <c r="E187" s="1">
        <v>4</v>
      </c>
    </row>
    <row r="188" spans="1:5" ht="28.8" x14ac:dyDescent="0.3">
      <c r="A188" s="1" t="s">
        <v>124</v>
      </c>
      <c r="B188" s="1" t="s">
        <v>166</v>
      </c>
      <c r="C188" s="1">
        <v>3.12</v>
      </c>
      <c r="D188" s="1">
        <v>1</v>
      </c>
      <c r="E188" s="1">
        <v>2</v>
      </c>
    </row>
    <row r="189" spans="1:5" ht="28.8" x14ac:dyDescent="0.3">
      <c r="A189" s="1" t="s">
        <v>124</v>
      </c>
      <c r="B189" s="1" t="s">
        <v>167</v>
      </c>
      <c r="C189" s="1">
        <v>30.51</v>
      </c>
      <c r="D189" s="1">
        <v>1</v>
      </c>
      <c r="E189" s="1">
        <v>3</v>
      </c>
    </row>
    <row r="190" spans="1:5" ht="57.6" x14ac:dyDescent="0.3">
      <c r="A190" s="1" t="s">
        <v>124</v>
      </c>
      <c r="B190" s="1" t="s">
        <v>168</v>
      </c>
      <c r="C190" s="1">
        <v>1200</v>
      </c>
      <c r="D190" s="1">
        <v>1</v>
      </c>
      <c r="E190" s="1">
        <v>1</v>
      </c>
    </row>
    <row r="191" spans="1:5" ht="28.8" x14ac:dyDescent="0.3">
      <c r="A191" s="1" t="s">
        <v>124</v>
      </c>
      <c r="B191" s="1" t="s">
        <v>169</v>
      </c>
      <c r="C191" s="1">
        <v>11.85</v>
      </c>
      <c r="D191" s="1">
        <v>3</v>
      </c>
      <c r="E191" s="1">
        <v>3</v>
      </c>
    </row>
    <row r="192" spans="1:5" ht="28.8" x14ac:dyDescent="0.3">
      <c r="A192" s="1" t="s">
        <v>124</v>
      </c>
      <c r="B192" s="1" t="s">
        <v>95</v>
      </c>
      <c r="C192" s="1">
        <v>338.98</v>
      </c>
      <c r="D192" s="1">
        <v>1</v>
      </c>
      <c r="E192" s="1">
        <v>1</v>
      </c>
    </row>
    <row r="193" spans="1:5" ht="28.8" x14ac:dyDescent="0.3">
      <c r="A193" s="1" t="s">
        <v>124</v>
      </c>
      <c r="B193" s="1" t="s">
        <v>170</v>
      </c>
      <c r="C193" s="1">
        <v>6.36</v>
      </c>
      <c r="D193" s="1">
        <v>1</v>
      </c>
      <c r="E193" s="1">
        <v>3</v>
      </c>
    </row>
    <row r="194" spans="1:5" ht="28.8" x14ac:dyDescent="0.3">
      <c r="A194" s="1" t="s">
        <v>124</v>
      </c>
      <c r="B194" s="1" t="s">
        <v>32</v>
      </c>
      <c r="C194" s="1">
        <v>663.56</v>
      </c>
      <c r="D194" s="1">
        <v>2</v>
      </c>
      <c r="E194" s="1">
        <v>2</v>
      </c>
    </row>
    <row r="195" spans="1:5" ht="28.8" x14ac:dyDescent="0.3">
      <c r="A195" s="1" t="s">
        <v>124</v>
      </c>
      <c r="B195" s="1" t="s">
        <v>97</v>
      </c>
      <c r="C195" s="1">
        <v>335</v>
      </c>
      <c r="D195" s="1">
        <v>1</v>
      </c>
      <c r="E195" s="1">
        <v>1</v>
      </c>
    </row>
    <row r="196" spans="1:5" ht="28.8" x14ac:dyDescent="0.3">
      <c r="A196" s="1" t="s">
        <v>124</v>
      </c>
      <c r="B196" s="1" t="s">
        <v>171</v>
      </c>
      <c r="C196" s="1">
        <v>16.2</v>
      </c>
      <c r="D196" s="1">
        <v>2</v>
      </c>
      <c r="E196" s="1">
        <v>2</v>
      </c>
    </row>
    <row r="197" spans="1:5" ht="28.8" x14ac:dyDescent="0.3">
      <c r="A197" s="1" t="s">
        <v>124</v>
      </c>
      <c r="B197" s="1" t="s">
        <v>172</v>
      </c>
      <c r="C197" s="1">
        <v>250.4</v>
      </c>
      <c r="D197" s="1">
        <v>2</v>
      </c>
      <c r="E197" s="1">
        <v>8</v>
      </c>
    </row>
    <row r="198" spans="1:5" ht="28.8" x14ac:dyDescent="0.3">
      <c r="A198" s="1" t="s">
        <v>124</v>
      </c>
      <c r="B198" s="1" t="s">
        <v>173</v>
      </c>
      <c r="C198" s="1">
        <v>623.4</v>
      </c>
      <c r="D198" s="1">
        <v>4</v>
      </c>
      <c r="E198" s="1">
        <v>83</v>
      </c>
    </row>
    <row r="199" spans="1:5" ht="28.8" x14ac:dyDescent="0.3">
      <c r="A199" s="1" t="s">
        <v>124</v>
      </c>
      <c r="B199" s="1" t="s">
        <v>174</v>
      </c>
      <c r="C199" s="1">
        <v>163.30000000000001</v>
      </c>
      <c r="D199" s="1">
        <v>2</v>
      </c>
      <c r="E199" s="1">
        <v>3</v>
      </c>
    </row>
    <row r="200" spans="1:5" ht="28.8" x14ac:dyDescent="0.3">
      <c r="A200" s="1" t="s">
        <v>124</v>
      </c>
      <c r="B200" s="1" t="s">
        <v>175</v>
      </c>
      <c r="C200" s="1">
        <v>51.98</v>
      </c>
      <c r="D200" s="1">
        <v>1</v>
      </c>
      <c r="E200" s="1">
        <v>1</v>
      </c>
    </row>
    <row r="201" spans="1:5" ht="28.8" x14ac:dyDescent="0.3">
      <c r="A201" s="1" t="s">
        <v>124</v>
      </c>
      <c r="B201" s="1" t="s">
        <v>176</v>
      </c>
      <c r="C201" s="1">
        <v>54.24</v>
      </c>
      <c r="D201" s="1">
        <v>3</v>
      </c>
      <c r="E201" s="1">
        <v>3</v>
      </c>
    </row>
    <row r="202" spans="1:5" ht="28.8" x14ac:dyDescent="0.3">
      <c r="A202" s="1" t="s">
        <v>124</v>
      </c>
      <c r="B202" s="1" t="s">
        <v>177</v>
      </c>
      <c r="C202" s="1">
        <v>1080</v>
      </c>
      <c r="D202" s="1">
        <v>1</v>
      </c>
      <c r="E202" s="1">
        <v>24</v>
      </c>
    </row>
    <row r="203" spans="1:5" ht="28.8" x14ac:dyDescent="0.3">
      <c r="A203" s="1" t="s">
        <v>124</v>
      </c>
      <c r="B203" s="1" t="s">
        <v>178</v>
      </c>
      <c r="C203" s="1">
        <v>104.02</v>
      </c>
      <c r="D203" s="1">
        <v>3</v>
      </c>
      <c r="E203" s="1">
        <v>7</v>
      </c>
    </row>
    <row r="204" spans="1:5" ht="28.8" x14ac:dyDescent="0.3">
      <c r="A204" s="1" t="s">
        <v>124</v>
      </c>
      <c r="B204" s="1" t="s">
        <v>179</v>
      </c>
      <c r="C204" s="1">
        <v>4.8</v>
      </c>
      <c r="D204" s="1">
        <v>1</v>
      </c>
      <c r="E204" s="1">
        <v>1</v>
      </c>
    </row>
    <row r="205" spans="1:5" ht="43.2" x14ac:dyDescent="0.3">
      <c r="A205" s="1" t="s">
        <v>124</v>
      </c>
      <c r="B205" s="1" t="s">
        <v>180</v>
      </c>
      <c r="C205" s="1">
        <v>4930</v>
      </c>
      <c r="D205" s="1">
        <v>2</v>
      </c>
      <c r="E205" s="1">
        <v>2</v>
      </c>
    </row>
    <row r="206" spans="1:5" ht="28.8" x14ac:dyDescent="0.3">
      <c r="A206" s="1" t="s">
        <v>124</v>
      </c>
      <c r="B206" s="1" t="s">
        <v>181</v>
      </c>
      <c r="C206" s="1">
        <v>4.5</v>
      </c>
      <c r="D206" s="1">
        <v>2</v>
      </c>
      <c r="E206" s="1">
        <v>3</v>
      </c>
    </row>
    <row r="207" spans="1:5" ht="28.8" x14ac:dyDescent="0.3">
      <c r="A207" s="1" t="s">
        <v>124</v>
      </c>
      <c r="B207" s="1" t="s">
        <v>182</v>
      </c>
      <c r="C207" s="1">
        <v>31.47</v>
      </c>
      <c r="D207" s="1">
        <v>2</v>
      </c>
      <c r="E207" s="1">
        <v>4</v>
      </c>
    </row>
    <row r="208" spans="1:5" ht="28.8" x14ac:dyDescent="0.3">
      <c r="A208" s="1" t="s">
        <v>124</v>
      </c>
      <c r="B208" s="1" t="s">
        <v>183</v>
      </c>
      <c r="C208" s="1">
        <v>2081.3000000000002</v>
      </c>
      <c r="D208" s="1">
        <v>1</v>
      </c>
      <c r="E208" s="1">
        <v>1</v>
      </c>
    </row>
    <row r="209" spans="1:5" ht="43.2" x14ac:dyDescent="0.3">
      <c r="A209" s="1" t="s">
        <v>124</v>
      </c>
      <c r="B209" s="1" t="s">
        <v>184</v>
      </c>
      <c r="C209" s="1">
        <v>18.73</v>
      </c>
      <c r="D209" s="1">
        <v>3</v>
      </c>
      <c r="E209" s="1">
        <v>3</v>
      </c>
    </row>
    <row r="210" spans="1:5" ht="43.2" x14ac:dyDescent="0.3">
      <c r="A210" s="1" t="s">
        <v>124</v>
      </c>
      <c r="B210" s="1" t="s">
        <v>64</v>
      </c>
      <c r="C210" s="1">
        <v>72.959999999999994</v>
      </c>
      <c r="D210" s="1">
        <v>3</v>
      </c>
      <c r="E210" s="1">
        <v>3</v>
      </c>
    </row>
    <row r="211" spans="1:5" ht="43.2" x14ac:dyDescent="0.3">
      <c r="A211" s="1" t="s">
        <v>124</v>
      </c>
      <c r="B211" s="1" t="s">
        <v>33</v>
      </c>
      <c r="C211" s="1">
        <v>270</v>
      </c>
      <c r="D211" s="1">
        <v>1</v>
      </c>
      <c r="E211" s="1">
        <v>1</v>
      </c>
    </row>
    <row r="212" spans="1:5" ht="28.8" x14ac:dyDescent="0.3">
      <c r="A212" s="1" t="s">
        <v>124</v>
      </c>
      <c r="B212" s="1" t="s">
        <v>35</v>
      </c>
      <c r="C212" s="1">
        <v>661.02</v>
      </c>
      <c r="D212" s="1">
        <v>1</v>
      </c>
      <c r="E212" s="1">
        <v>1</v>
      </c>
    </row>
    <row r="213" spans="1:5" ht="28.8" x14ac:dyDescent="0.3">
      <c r="A213" s="1" t="s">
        <v>124</v>
      </c>
      <c r="B213" s="1" t="s">
        <v>185</v>
      </c>
      <c r="C213" s="1">
        <v>218.64</v>
      </c>
      <c r="D213" s="1">
        <v>2</v>
      </c>
      <c r="E213" s="1">
        <v>2</v>
      </c>
    </row>
    <row r="214" spans="1:5" ht="28.8" x14ac:dyDescent="0.3">
      <c r="A214" s="1" t="s">
        <v>124</v>
      </c>
      <c r="B214" s="1" t="s">
        <v>186</v>
      </c>
      <c r="C214" s="1">
        <v>717.98</v>
      </c>
      <c r="D214" s="1">
        <v>2</v>
      </c>
      <c r="E214" s="1">
        <v>2</v>
      </c>
    </row>
    <row r="215" spans="1:5" ht="43.2" x14ac:dyDescent="0.3">
      <c r="A215" s="1" t="s">
        <v>124</v>
      </c>
      <c r="B215" s="1" t="s">
        <v>187</v>
      </c>
      <c r="C215" s="1">
        <v>2450</v>
      </c>
      <c r="D215" s="1">
        <v>1</v>
      </c>
      <c r="E215" s="1">
        <v>1</v>
      </c>
    </row>
    <row r="216" spans="1:5" ht="28.8" x14ac:dyDescent="0.3">
      <c r="A216" s="1" t="s">
        <v>124</v>
      </c>
      <c r="B216" s="1" t="s">
        <v>188</v>
      </c>
      <c r="C216" s="1">
        <v>1903.3</v>
      </c>
      <c r="D216" s="1">
        <v>10</v>
      </c>
      <c r="E216" s="1">
        <v>10</v>
      </c>
    </row>
    <row r="217" spans="1:5" ht="43.2" x14ac:dyDescent="0.3">
      <c r="A217" s="1" t="s">
        <v>124</v>
      </c>
      <c r="B217" s="1" t="s">
        <v>189</v>
      </c>
      <c r="C217" s="1">
        <v>5050</v>
      </c>
      <c r="D217" s="1">
        <v>1</v>
      </c>
      <c r="E217" s="1">
        <v>1</v>
      </c>
    </row>
    <row r="218" spans="1:5" ht="28.8" x14ac:dyDescent="0.3">
      <c r="A218" s="1" t="s">
        <v>124</v>
      </c>
      <c r="B218" s="1" t="s">
        <v>36</v>
      </c>
      <c r="C218" s="1">
        <v>487.5</v>
      </c>
      <c r="D218" s="1">
        <v>2</v>
      </c>
      <c r="E218" s="1">
        <v>5</v>
      </c>
    </row>
    <row r="219" spans="1:5" ht="28.8" x14ac:dyDescent="0.3">
      <c r="A219" s="1" t="s">
        <v>124</v>
      </c>
      <c r="B219" s="1" t="s">
        <v>59</v>
      </c>
      <c r="C219" s="1">
        <v>4574.2700000000004</v>
      </c>
      <c r="D219" s="1">
        <v>7</v>
      </c>
      <c r="E219" s="1">
        <v>7</v>
      </c>
    </row>
    <row r="220" spans="1:5" ht="28.8" x14ac:dyDescent="0.3">
      <c r="A220" s="1" t="s">
        <v>124</v>
      </c>
      <c r="B220" s="1" t="s">
        <v>190</v>
      </c>
      <c r="C220" s="1">
        <v>6060</v>
      </c>
      <c r="D220" s="1">
        <v>4</v>
      </c>
      <c r="E220" s="1">
        <v>4</v>
      </c>
    </row>
    <row r="221" spans="1:5" ht="43.2" x14ac:dyDescent="0.3">
      <c r="A221" s="1" t="s">
        <v>124</v>
      </c>
      <c r="B221" s="1" t="s">
        <v>13</v>
      </c>
      <c r="C221" s="1">
        <v>400</v>
      </c>
      <c r="D221" s="1">
        <v>3</v>
      </c>
      <c r="E221" s="1">
        <v>3</v>
      </c>
    </row>
    <row r="222" spans="1:5" ht="28.8" x14ac:dyDescent="0.3">
      <c r="A222" s="1" t="s">
        <v>124</v>
      </c>
      <c r="B222" s="1" t="s">
        <v>100</v>
      </c>
      <c r="C222" s="1">
        <v>310</v>
      </c>
      <c r="D222" s="1">
        <v>1</v>
      </c>
      <c r="E222" s="1">
        <v>1</v>
      </c>
    </row>
    <row r="223" spans="1:5" ht="28.8" x14ac:dyDescent="0.3">
      <c r="A223" s="1" t="s">
        <v>124</v>
      </c>
      <c r="B223" s="1" t="s">
        <v>191</v>
      </c>
      <c r="C223" s="1">
        <v>610.16999999999996</v>
      </c>
      <c r="D223" s="1">
        <v>1</v>
      </c>
      <c r="E223" s="1">
        <v>6</v>
      </c>
    </row>
    <row r="224" spans="1:5" ht="28.8" x14ac:dyDescent="0.3">
      <c r="A224" s="1" t="s">
        <v>124</v>
      </c>
      <c r="B224" s="1" t="s">
        <v>192</v>
      </c>
      <c r="C224" s="1">
        <v>547.16</v>
      </c>
      <c r="D224" s="1">
        <v>1</v>
      </c>
      <c r="E224" s="1">
        <v>4</v>
      </c>
    </row>
    <row r="225" spans="1:5" ht="28.8" x14ac:dyDescent="0.3">
      <c r="A225" s="1" t="s">
        <v>124</v>
      </c>
      <c r="B225" s="1" t="s">
        <v>193</v>
      </c>
      <c r="C225" s="1">
        <v>36.44</v>
      </c>
      <c r="D225" s="1">
        <v>1</v>
      </c>
      <c r="E225" s="1">
        <v>1</v>
      </c>
    </row>
    <row r="226" spans="1:5" ht="28.8" x14ac:dyDescent="0.3">
      <c r="A226" s="1" t="s">
        <v>124</v>
      </c>
      <c r="B226" s="1" t="s">
        <v>194</v>
      </c>
      <c r="C226" s="1">
        <v>9.75</v>
      </c>
      <c r="D226" s="1">
        <v>1</v>
      </c>
      <c r="E226" s="1">
        <v>1</v>
      </c>
    </row>
    <row r="227" spans="1:5" ht="28.8" x14ac:dyDescent="0.3">
      <c r="A227" s="1" t="s">
        <v>124</v>
      </c>
      <c r="B227" s="1" t="s">
        <v>195</v>
      </c>
      <c r="C227" s="1">
        <v>58.47</v>
      </c>
      <c r="D227" s="1">
        <v>1</v>
      </c>
      <c r="E227" s="1">
        <v>3</v>
      </c>
    </row>
    <row r="228" spans="1:5" ht="43.2" x14ac:dyDescent="0.3">
      <c r="A228" s="1" t="s">
        <v>124</v>
      </c>
      <c r="B228" s="1" t="s">
        <v>196</v>
      </c>
      <c r="C228" s="1">
        <v>42.2</v>
      </c>
      <c r="D228" s="1">
        <v>1</v>
      </c>
      <c r="E228" s="1">
        <v>2</v>
      </c>
    </row>
    <row r="229" spans="1:5" ht="43.2" x14ac:dyDescent="0.3">
      <c r="A229" s="1" t="s">
        <v>124</v>
      </c>
      <c r="B229" s="1" t="s">
        <v>197</v>
      </c>
      <c r="C229" s="1">
        <v>146.94999999999999</v>
      </c>
      <c r="D229" s="1">
        <v>1</v>
      </c>
      <c r="E229" s="1">
        <v>1</v>
      </c>
    </row>
    <row r="230" spans="1:5" ht="28.8" x14ac:dyDescent="0.3">
      <c r="A230" s="1" t="s">
        <v>124</v>
      </c>
      <c r="B230" s="1" t="s">
        <v>198</v>
      </c>
      <c r="C230" s="1">
        <v>4.28</v>
      </c>
      <c r="D230" s="1">
        <v>2</v>
      </c>
      <c r="E230" s="1">
        <v>2</v>
      </c>
    </row>
    <row r="231" spans="1:5" ht="28.8" x14ac:dyDescent="0.3">
      <c r="A231" s="1" t="s">
        <v>124</v>
      </c>
      <c r="B231" s="1" t="s">
        <v>199</v>
      </c>
      <c r="C231" s="1">
        <v>7.93</v>
      </c>
      <c r="D231" s="1">
        <v>1</v>
      </c>
      <c r="E231" s="1">
        <v>2</v>
      </c>
    </row>
    <row r="232" spans="1:5" ht="43.2" x14ac:dyDescent="0.3">
      <c r="A232" s="1" t="s">
        <v>124</v>
      </c>
      <c r="B232" s="1" t="s">
        <v>200</v>
      </c>
      <c r="C232" s="1">
        <v>169.49</v>
      </c>
      <c r="D232" s="1">
        <v>1</v>
      </c>
      <c r="E232" s="1">
        <v>16</v>
      </c>
    </row>
    <row r="233" spans="1:5" ht="43.2" x14ac:dyDescent="0.3">
      <c r="A233" s="1" t="s">
        <v>124</v>
      </c>
      <c r="B233" s="1" t="s">
        <v>201</v>
      </c>
      <c r="C233" s="1">
        <v>177.97</v>
      </c>
      <c r="D233" s="1">
        <v>1</v>
      </c>
      <c r="E233" s="1">
        <v>40</v>
      </c>
    </row>
    <row r="234" spans="1:5" ht="28.8" x14ac:dyDescent="0.3">
      <c r="A234" s="1" t="s">
        <v>124</v>
      </c>
      <c r="B234" s="1" t="s">
        <v>202</v>
      </c>
      <c r="C234" s="1">
        <v>560</v>
      </c>
      <c r="D234" s="1">
        <v>1</v>
      </c>
      <c r="E234" s="1">
        <v>1</v>
      </c>
    </row>
    <row r="235" spans="1:5" ht="28.8" x14ac:dyDescent="0.3">
      <c r="A235" s="1" t="s">
        <v>124</v>
      </c>
      <c r="B235" s="1" t="s">
        <v>203</v>
      </c>
      <c r="C235" s="1">
        <v>880</v>
      </c>
      <c r="D235" s="1">
        <v>1</v>
      </c>
      <c r="E235" s="1">
        <v>1</v>
      </c>
    </row>
    <row r="236" spans="1:5" ht="28.8" x14ac:dyDescent="0.3">
      <c r="A236" s="1" t="s">
        <v>124</v>
      </c>
      <c r="B236" s="1" t="s">
        <v>204</v>
      </c>
      <c r="C236" s="1">
        <v>200</v>
      </c>
      <c r="D236" s="1">
        <v>1</v>
      </c>
      <c r="E236" s="1">
        <v>1</v>
      </c>
    </row>
    <row r="237" spans="1:5" ht="28.8" x14ac:dyDescent="0.3">
      <c r="A237" s="1" t="s">
        <v>124</v>
      </c>
      <c r="B237" s="1" t="s">
        <v>205</v>
      </c>
      <c r="C237" s="1">
        <v>17.309999999999999</v>
      </c>
      <c r="D237" s="1">
        <v>2</v>
      </c>
      <c r="E237" s="1">
        <v>3</v>
      </c>
    </row>
    <row r="238" spans="1:5" x14ac:dyDescent="0.3">
      <c r="A238" s="1"/>
      <c r="B238" s="1"/>
      <c r="C238" s="1">
        <v>0</v>
      </c>
      <c r="D238" s="1">
        <v>1</v>
      </c>
      <c r="E238" s="1">
        <v>1</v>
      </c>
    </row>
    <row r="239" spans="1:5" ht="43.2" x14ac:dyDescent="0.3">
      <c r="A239" s="1"/>
      <c r="B239" s="1" t="s">
        <v>68</v>
      </c>
      <c r="C239" s="1">
        <v>13419.42</v>
      </c>
      <c r="D239" s="1">
        <v>44</v>
      </c>
      <c r="E239" s="1">
        <v>84000</v>
      </c>
    </row>
    <row r="240" spans="1:5" ht="43.2" x14ac:dyDescent="0.3">
      <c r="A240" s="1"/>
      <c r="B240" s="1" t="s">
        <v>70</v>
      </c>
      <c r="C240" s="1">
        <v>4839.01</v>
      </c>
      <c r="D240" s="1">
        <v>12</v>
      </c>
      <c r="E240" s="1">
        <v>17500</v>
      </c>
    </row>
    <row r="241" spans="1:5" ht="72" x14ac:dyDescent="0.3">
      <c r="A241" s="1"/>
      <c r="B241" s="1" t="s">
        <v>206</v>
      </c>
      <c r="C241" s="1">
        <v>355.93</v>
      </c>
      <c r="D241" s="1">
        <v>1</v>
      </c>
      <c r="E241" s="1">
        <v>2</v>
      </c>
    </row>
    <row r="242" spans="1:5" ht="43.2" x14ac:dyDescent="0.3">
      <c r="A242" s="1"/>
      <c r="B242" s="1" t="s">
        <v>125</v>
      </c>
      <c r="C242" s="1">
        <v>11.65</v>
      </c>
      <c r="D242" s="1">
        <v>1</v>
      </c>
      <c r="E242" s="1">
        <v>1</v>
      </c>
    </row>
    <row r="243" spans="1:5" x14ac:dyDescent="0.3">
      <c r="A243" s="1"/>
      <c r="B243" s="1" t="s">
        <v>42</v>
      </c>
      <c r="C243" s="1">
        <v>502.54</v>
      </c>
      <c r="D243" s="1">
        <v>1</v>
      </c>
      <c r="E243" s="1">
        <v>1</v>
      </c>
    </row>
    <row r="244" spans="1:5" ht="28.8" x14ac:dyDescent="0.3">
      <c r="A244" s="1"/>
      <c r="B244" s="1" t="s">
        <v>207</v>
      </c>
      <c r="C244" s="1">
        <v>138.96</v>
      </c>
      <c r="D244" s="1">
        <v>3</v>
      </c>
      <c r="E244" s="1">
        <v>15</v>
      </c>
    </row>
    <row r="245" spans="1:5" ht="28.8" x14ac:dyDescent="0.3">
      <c r="A245" s="1"/>
      <c r="B245" s="1" t="s">
        <v>129</v>
      </c>
      <c r="C245" s="1">
        <v>240</v>
      </c>
      <c r="D245" s="1">
        <v>1</v>
      </c>
      <c r="E245" s="1">
        <v>1</v>
      </c>
    </row>
    <row r="246" spans="1:5" ht="72" x14ac:dyDescent="0.3">
      <c r="A246" s="1"/>
      <c r="B246" s="1" t="s">
        <v>130</v>
      </c>
      <c r="C246" s="1">
        <v>244.92</v>
      </c>
      <c r="D246" s="1">
        <v>1</v>
      </c>
      <c r="E246" s="1">
        <v>1</v>
      </c>
    </row>
    <row r="247" spans="1:5" ht="72" x14ac:dyDescent="0.3">
      <c r="A247" s="1"/>
      <c r="B247" s="1" t="s">
        <v>208</v>
      </c>
      <c r="C247" s="1">
        <v>156.78</v>
      </c>
      <c r="D247" s="1">
        <v>1</v>
      </c>
      <c r="E247" s="1">
        <v>2</v>
      </c>
    </row>
    <row r="248" spans="1:5" ht="43.2" x14ac:dyDescent="0.3">
      <c r="A248" s="1"/>
      <c r="B248" s="1" t="s">
        <v>209</v>
      </c>
      <c r="C248" s="1">
        <v>48</v>
      </c>
      <c r="D248" s="1">
        <v>1</v>
      </c>
      <c r="E248" s="1">
        <v>2</v>
      </c>
    </row>
    <row r="249" spans="1:5" ht="43.2" x14ac:dyDescent="0.3">
      <c r="A249" s="1"/>
      <c r="B249" s="1" t="s">
        <v>135</v>
      </c>
      <c r="C249" s="1">
        <v>76.17</v>
      </c>
      <c r="D249" s="1">
        <v>3</v>
      </c>
      <c r="E249" s="1">
        <v>6</v>
      </c>
    </row>
    <row r="250" spans="1:5" x14ac:dyDescent="0.3">
      <c r="A250" s="1"/>
      <c r="B250" s="1" t="s">
        <v>210</v>
      </c>
      <c r="C250" s="1">
        <v>63.56</v>
      </c>
      <c r="D250" s="1">
        <v>1</v>
      </c>
      <c r="E250" s="1">
        <v>1</v>
      </c>
    </row>
    <row r="251" spans="1:5" ht="28.8" x14ac:dyDescent="0.3">
      <c r="A251" s="1"/>
      <c r="B251" s="1" t="s">
        <v>211</v>
      </c>
      <c r="C251" s="1">
        <v>27.12</v>
      </c>
      <c r="D251" s="1">
        <v>1</v>
      </c>
      <c r="E251" s="1">
        <v>20</v>
      </c>
    </row>
    <row r="252" spans="1:5" ht="28.8" x14ac:dyDescent="0.3">
      <c r="A252" s="1"/>
      <c r="B252" s="1" t="s">
        <v>80</v>
      </c>
      <c r="C252" s="1">
        <v>1470</v>
      </c>
      <c r="D252" s="1">
        <v>2</v>
      </c>
      <c r="E252" s="1">
        <v>1100</v>
      </c>
    </row>
    <row r="253" spans="1:5" x14ac:dyDescent="0.3">
      <c r="A253" s="1"/>
      <c r="B253" s="1" t="s">
        <v>212</v>
      </c>
      <c r="C253" s="1">
        <v>456</v>
      </c>
      <c r="D253" s="1">
        <v>1</v>
      </c>
      <c r="E253" s="1">
        <v>12</v>
      </c>
    </row>
    <row r="254" spans="1:5" ht="43.2" x14ac:dyDescent="0.3">
      <c r="A254" s="1"/>
      <c r="B254" s="1" t="s">
        <v>213</v>
      </c>
      <c r="C254" s="1">
        <v>4521.1899999999996</v>
      </c>
      <c r="D254" s="1">
        <v>1</v>
      </c>
      <c r="E254" s="1">
        <v>1</v>
      </c>
    </row>
    <row r="255" spans="1:5" ht="86.4" x14ac:dyDescent="0.3">
      <c r="A255" s="1"/>
      <c r="B255" s="1" t="s">
        <v>214</v>
      </c>
      <c r="C255" s="1">
        <v>122.88</v>
      </c>
      <c r="D255" s="1">
        <v>1</v>
      </c>
      <c r="E255" s="1">
        <v>1</v>
      </c>
    </row>
    <row r="256" spans="1:5" x14ac:dyDescent="0.3">
      <c r="A256" s="1"/>
      <c r="B256" s="1" t="s">
        <v>215</v>
      </c>
      <c r="C256" s="1">
        <v>390.78</v>
      </c>
      <c r="D256" s="1">
        <v>4</v>
      </c>
      <c r="E256" s="1">
        <v>7</v>
      </c>
    </row>
    <row r="257" spans="1:5" x14ac:dyDescent="0.3">
      <c r="A257" s="1"/>
      <c r="B257" s="1" t="s">
        <v>84</v>
      </c>
      <c r="C257" s="1">
        <v>6423.74</v>
      </c>
      <c r="D257" s="1">
        <v>8</v>
      </c>
      <c r="E257" s="1">
        <v>32001</v>
      </c>
    </row>
    <row r="258" spans="1:5" ht="144" x14ac:dyDescent="0.3">
      <c r="A258" s="1"/>
      <c r="B258" s="1" t="s">
        <v>216</v>
      </c>
      <c r="C258" s="1">
        <v>9657.44</v>
      </c>
      <c r="D258" s="1">
        <v>1</v>
      </c>
      <c r="E258" s="1">
        <v>1</v>
      </c>
    </row>
    <row r="259" spans="1:5" ht="28.8" x14ac:dyDescent="0.3">
      <c r="A259" s="1"/>
      <c r="B259" s="1" t="s">
        <v>144</v>
      </c>
      <c r="C259" s="1">
        <v>749.07</v>
      </c>
      <c r="D259" s="1">
        <v>1</v>
      </c>
      <c r="E259" s="1">
        <v>1</v>
      </c>
    </row>
    <row r="260" spans="1:5" ht="43.2" x14ac:dyDescent="0.3">
      <c r="A260" s="1"/>
      <c r="B260" s="1" t="s">
        <v>106</v>
      </c>
      <c r="C260" s="1">
        <v>7489</v>
      </c>
      <c r="D260" s="1">
        <v>1</v>
      </c>
      <c r="E260" s="1">
        <v>20</v>
      </c>
    </row>
    <row r="261" spans="1:5" x14ac:dyDescent="0.3">
      <c r="A261" s="1"/>
      <c r="B261" s="1" t="s">
        <v>24</v>
      </c>
      <c r="C261" s="1">
        <v>16.95</v>
      </c>
      <c r="D261" s="1">
        <v>1</v>
      </c>
      <c r="E261" s="1">
        <v>1</v>
      </c>
    </row>
    <row r="262" spans="1:5" ht="57.6" x14ac:dyDescent="0.3">
      <c r="A262" s="1"/>
      <c r="B262" s="1" t="s">
        <v>145</v>
      </c>
      <c r="C262" s="1">
        <v>2550</v>
      </c>
      <c r="D262" s="1">
        <v>1</v>
      </c>
      <c r="E262" s="1">
        <v>34</v>
      </c>
    </row>
    <row r="263" spans="1:5" ht="86.4" x14ac:dyDescent="0.3">
      <c r="A263" s="1"/>
      <c r="B263" s="1" t="s">
        <v>217</v>
      </c>
      <c r="C263" s="1">
        <v>3750</v>
      </c>
      <c r="D263" s="1">
        <v>2</v>
      </c>
      <c r="E263" s="1">
        <v>15</v>
      </c>
    </row>
    <row r="264" spans="1:5" x14ac:dyDescent="0.3">
      <c r="A264" s="1"/>
      <c r="B264" s="1" t="s">
        <v>146</v>
      </c>
      <c r="C264" s="1">
        <v>141.5</v>
      </c>
      <c r="D264" s="1">
        <v>1</v>
      </c>
      <c r="E264" s="1">
        <v>1</v>
      </c>
    </row>
    <row r="265" spans="1:5" ht="129.6" x14ac:dyDescent="0.3">
      <c r="A265" s="1"/>
      <c r="B265" s="1" t="s">
        <v>218</v>
      </c>
      <c r="C265" s="1">
        <v>329.66</v>
      </c>
      <c r="D265" s="1">
        <v>1</v>
      </c>
      <c r="E265" s="1">
        <v>1</v>
      </c>
    </row>
    <row r="266" spans="1:5" ht="72" x14ac:dyDescent="0.3">
      <c r="A266" s="1"/>
      <c r="B266" s="1" t="s">
        <v>219</v>
      </c>
      <c r="C266" s="1">
        <v>500</v>
      </c>
      <c r="D266" s="1">
        <v>1</v>
      </c>
      <c r="E266" s="1">
        <v>10</v>
      </c>
    </row>
    <row r="267" spans="1:5" ht="43.2" x14ac:dyDescent="0.3">
      <c r="A267" s="1"/>
      <c r="B267" s="1" t="s">
        <v>108</v>
      </c>
      <c r="C267" s="1">
        <v>28397.51</v>
      </c>
      <c r="D267" s="1">
        <v>3</v>
      </c>
      <c r="E267" s="1">
        <v>159</v>
      </c>
    </row>
    <row r="268" spans="1:5" ht="72" x14ac:dyDescent="0.3">
      <c r="A268" s="1"/>
      <c r="B268" s="1" t="s">
        <v>220</v>
      </c>
      <c r="C268" s="1">
        <v>2000</v>
      </c>
      <c r="D268" s="1">
        <v>1</v>
      </c>
      <c r="E268" s="1">
        <v>10</v>
      </c>
    </row>
    <row r="269" spans="1:5" x14ac:dyDescent="0.3">
      <c r="A269" s="1"/>
      <c r="B269" s="1" t="s">
        <v>150</v>
      </c>
      <c r="C269" s="1">
        <v>44.92</v>
      </c>
      <c r="D269" s="1">
        <v>2</v>
      </c>
      <c r="E269" s="1">
        <v>2</v>
      </c>
    </row>
    <row r="270" spans="1:5" ht="115.2" x14ac:dyDescent="0.3">
      <c r="A270" s="1"/>
      <c r="B270" s="1" t="s">
        <v>221</v>
      </c>
      <c r="C270" s="1">
        <v>94.92</v>
      </c>
      <c r="D270" s="1">
        <v>1</v>
      </c>
      <c r="E270" s="1">
        <v>1</v>
      </c>
    </row>
    <row r="271" spans="1:5" ht="86.4" x14ac:dyDescent="0.3">
      <c r="A271" s="1"/>
      <c r="B271" s="1" t="s">
        <v>222</v>
      </c>
      <c r="C271" s="1">
        <v>42.29</v>
      </c>
      <c r="D271" s="1">
        <v>1</v>
      </c>
      <c r="E271" s="1">
        <v>1</v>
      </c>
    </row>
    <row r="272" spans="1:5" ht="28.8" x14ac:dyDescent="0.3">
      <c r="A272" s="1"/>
      <c r="B272" s="1" t="s">
        <v>27</v>
      </c>
      <c r="C272" s="1">
        <v>51.27</v>
      </c>
      <c r="D272" s="1">
        <v>1</v>
      </c>
      <c r="E272" s="1">
        <v>1</v>
      </c>
    </row>
    <row r="273" spans="1:5" ht="28.8" x14ac:dyDescent="0.3">
      <c r="A273" s="1"/>
      <c r="B273" s="1" t="s">
        <v>87</v>
      </c>
      <c r="C273" s="1">
        <v>2088</v>
      </c>
      <c r="D273" s="1">
        <v>2</v>
      </c>
      <c r="E273" s="1">
        <v>120</v>
      </c>
    </row>
    <row r="274" spans="1:5" x14ac:dyDescent="0.3">
      <c r="A274" s="1"/>
      <c r="B274" s="1" t="s">
        <v>48</v>
      </c>
      <c r="C274" s="1">
        <v>20</v>
      </c>
      <c r="D274" s="1">
        <v>1</v>
      </c>
      <c r="E274" s="1">
        <v>2</v>
      </c>
    </row>
    <row r="275" spans="1:5" ht="28.8" x14ac:dyDescent="0.3">
      <c r="A275" s="1"/>
      <c r="B275" s="1" t="s">
        <v>223</v>
      </c>
      <c r="C275" s="1">
        <v>76.27</v>
      </c>
      <c r="D275" s="1">
        <v>1</v>
      </c>
      <c r="E275" s="1">
        <v>1</v>
      </c>
    </row>
    <row r="276" spans="1:5" ht="28.8" x14ac:dyDescent="0.3">
      <c r="A276" s="1"/>
      <c r="B276" s="1" t="s">
        <v>224</v>
      </c>
      <c r="C276" s="1">
        <v>50.85</v>
      </c>
      <c r="D276" s="1">
        <v>1</v>
      </c>
      <c r="E276" s="1">
        <v>1</v>
      </c>
    </row>
    <row r="277" spans="1:5" ht="72" x14ac:dyDescent="0.3">
      <c r="A277" s="1"/>
      <c r="B277" s="1" t="s">
        <v>225</v>
      </c>
      <c r="C277" s="1">
        <v>609.32000000000005</v>
      </c>
      <c r="D277" s="1">
        <v>1</v>
      </c>
      <c r="E277" s="1">
        <v>1</v>
      </c>
    </row>
    <row r="278" spans="1:5" ht="115.2" x14ac:dyDescent="0.3">
      <c r="A278" s="1"/>
      <c r="B278" s="1" t="s">
        <v>226</v>
      </c>
      <c r="C278" s="1">
        <v>169.49</v>
      </c>
      <c r="D278" s="1">
        <v>1</v>
      </c>
      <c r="E278" s="1">
        <v>1</v>
      </c>
    </row>
    <row r="279" spans="1:5" ht="100.8" x14ac:dyDescent="0.3">
      <c r="A279" s="1"/>
      <c r="B279" s="1" t="s">
        <v>227</v>
      </c>
      <c r="C279" s="1">
        <v>169.49</v>
      </c>
      <c r="D279" s="1">
        <v>1</v>
      </c>
      <c r="E279" s="1">
        <v>1</v>
      </c>
    </row>
    <row r="280" spans="1:5" ht="86.4" x14ac:dyDescent="0.3">
      <c r="A280" s="1"/>
      <c r="B280" s="1" t="s">
        <v>228</v>
      </c>
      <c r="C280" s="1">
        <v>33.049999999999997</v>
      </c>
      <c r="D280" s="1">
        <v>1</v>
      </c>
      <c r="E280" s="1">
        <v>1</v>
      </c>
    </row>
    <row r="281" spans="1:5" ht="115.2" x14ac:dyDescent="0.3">
      <c r="A281" s="1"/>
      <c r="B281" s="1" t="s">
        <v>229</v>
      </c>
      <c r="C281" s="1">
        <v>329.66</v>
      </c>
      <c r="D281" s="1">
        <v>1</v>
      </c>
      <c r="E281" s="1">
        <v>1</v>
      </c>
    </row>
    <row r="282" spans="1:5" ht="100.8" x14ac:dyDescent="0.3">
      <c r="A282" s="1"/>
      <c r="B282" s="1" t="s">
        <v>230</v>
      </c>
      <c r="C282" s="1">
        <v>24.58</v>
      </c>
      <c r="D282" s="1">
        <v>1</v>
      </c>
      <c r="E282" s="1">
        <v>1</v>
      </c>
    </row>
    <row r="283" spans="1:5" ht="86.4" x14ac:dyDescent="0.3">
      <c r="A283" s="1"/>
      <c r="B283" s="1" t="s">
        <v>231</v>
      </c>
      <c r="C283" s="1">
        <v>754.24</v>
      </c>
      <c r="D283" s="1">
        <v>1</v>
      </c>
      <c r="E283" s="1">
        <v>1</v>
      </c>
    </row>
    <row r="284" spans="1:5" x14ac:dyDescent="0.3">
      <c r="A284" s="1"/>
      <c r="B284" s="1" t="s">
        <v>50</v>
      </c>
      <c r="C284" s="1">
        <v>466.1</v>
      </c>
      <c r="D284" s="1">
        <v>1</v>
      </c>
      <c r="E284" s="1">
        <v>1</v>
      </c>
    </row>
    <row r="285" spans="1:5" x14ac:dyDescent="0.3">
      <c r="A285" s="1"/>
      <c r="B285" s="1" t="s">
        <v>91</v>
      </c>
      <c r="C285" s="1">
        <v>3355.93</v>
      </c>
      <c r="D285" s="1">
        <v>1</v>
      </c>
      <c r="E285" s="1">
        <v>2</v>
      </c>
    </row>
    <row r="286" spans="1:5" x14ac:dyDescent="0.3">
      <c r="A286" s="1"/>
      <c r="B286" s="1" t="s">
        <v>164</v>
      </c>
      <c r="C286" s="1">
        <v>20.29</v>
      </c>
      <c r="D286" s="1">
        <v>1</v>
      </c>
      <c r="E286" s="1">
        <v>1</v>
      </c>
    </row>
    <row r="287" spans="1:5" x14ac:dyDescent="0.3">
      <c r="A287" s="1"/>
      <c r="B287" s="1" t="s">
        <v>165</v>
      </c>
      <c r="C287" s="1">
        <v>14.72</v>
      </c>
      <c r="D287" s="1">
        <v>1</v>
      </c>
      <c r="E287" s="1">
        <v>2</v>
      </c>
    </row>
    <row r="288" spans="1:5" x14ac:dyDescent="0.3">
      <c r="A288" s="1"/>
      <c r="B288" s="1" t="s">
        <v>232</v>
      </c>
      <c r="C288" s="1">
        <v>10.9</v>
      </c>
      <c r="D288" s="1">
        <v>1</v>
      </c>
      <c r="E288" s="1">
        <v>1</v>
      </c>
    </row>
    <row r="289" spans="1:5" ht="28.8" x14ac:dyDescent="0.3">
      <c r="A289" s="1"/>
      <c r="B289" s="1" t="s">
        <v>233</v>
      </c>
      <c r="C289" s="1">
        <v>58.39</v>
      </c>
      <c r="D289" s="1">
        <v>1</v>
      </c>
      <c r="E289" s="1">
        <v>2</v>
      </c>
    </row>
    <row r="290" spans="1:5" x14ac:dyDescent="0.3">
      <c r="A290" s="1"/>
      <c r="B290" s="1" t="s">
        <v>167</v>
      </c>
      <c r="C290" s="1">
        <v>15</v>
      </c>
      <c r="D290" s="1">
        <v>1</v>
      </c>
      <c r="E290" s="1">
        <v>2</v>
      </c>
    </row>
    <row r="291" spans="1:5" ht="28.8" x14ac:dyDescent="0.3">
      <c r="A291" s="1"/>
      <c r="B291" s="1" t="s">
        <v>234</v>
      </c>
      <c r="C291" s="1">
        <v>7.25</v>
      </c>
      <c r="D291" s="1">
        <v>1</v>
      </c>
      <c r="E291" s="1">
        <v>1</v>
      </c>
    </row>
    <row r="292" spans="1:5" ht="86.4" x14ac:dyDescent="0.3">
      <c r="A292" s="1"/>
      <c r="B292" s="1" t="s">
        <v>235</v>
      </c>
      <c r="C292" s="1">
        <v>244.92</v>
      </c>
      <c r="D292" s="1">
        <v>1</v>
      </c>
      <c r="E292" s="1">
        <v>1</v>
      </c>
    </row>
    <row r="293" spans="1:5" ht="28.8" x14ac:dyDescent="0.3">
      <c r="A293" s="1"/>
      <c r="B293" s="1" t="s">
        <v>236</v>
      </c>
      <c r="C293" s="1">
        <v>211.87</v>
      </c>
      <c r="D293" s="1">
        <v>2</v>
      </c>
      <c r="E293" s="1">
        <v>2</v>
      </c>
    </row>
    <row r="294" spans="1:5" ht="86.4" x14ac:dyDescent="0.3">
      <c r="A294" s="1"/>
      <c r="B294" s="1" t="s">
        <v>237</v>
      </c>
      <c r="C294" s="1">
        <v>101.69</v>
      </c>
      <c r="D294" s="1">
        <v>1</v>
      </c>
      <c r="E294" s="1">
        <v>1</v>
      </c>
    </row>
    <row r="295" spans="1:5" ht="57.6" x14ac:dyDescent="0.3">
      <c r="A295" s="1"/>
      <c r="B295" s="1" t="s">
        <v>238</v>
      </c>
      <c r="C295" s="1">
        <v>288</v>
      </c>
      <c r="D295" s="1">
        <v>1</v>
      </c>
      <c r="E295" s="1">
        <v>1</v>
      </c>
    </row>
    <row r="296" spans="1:5" x14ac:dyDescent="0.3">
      <c r="A296" s="1"/>
      <c r="B296" s="1" t="s">
        <v>32</v>
      </c>
      <c r="C296" s="1">
        <v>233.98</v>
      </c>
      <c r="D296" s="1">
        <v>1</v>
      </c>
      <c r="E296" s="1">
        <v>1</v>
      </c>
    </row>
    <row r="297" spans="1:5" ht="172.8" x14ac:dyDescent="0.3">
      <c r="A297" s="1"/>
      <c r="B297" s="1" t="s">
        <v>239</v>
      </c>
      <c r="C297" s="1">
        <v>262.70999999999998</v>
      </c>
      <c r="D297" s="1">
        <v>1</v>
      </c>
      <c r="E297" s="1">
        <v>1</v>
      </c>
    </row>
    <row r="298" spans="1:5" x14ac:dyDescent="0.3">
      <c r="A298" s="1"/>
      <c r="B298" s="1" t="s">
        <v>96</v>
      </c>
      <c r="C298" s="1">
        <v>0</v>
      </c>
      <c r="D298" s="1">
        <v>1</v>
      </c>
      <c r="E298" s="1">
        <v>2</v>
      </c>
    </row>
    <row r="299" spans="1:5" x14ac:dyDescent="0.3">
      <c r="A299" s="1"/>
      <c r="B299" s="1" t="s">
        <v>240</v>
      </c>
      <c r="C299" s="1">
        <v>71.19</v>
      </c>
      <c r="D299" s="1">
        <v>1</v>
      </c>
      <c r="E299" s="1">
        <v>4</v>
      </c>
    </row>
    <row r="300" spans="1:5" ht="28.8" x14ac:dyDescent="0.3">
      <c r="A300" s="1"/>
      <c r="B300" s="1" t="s">
        <v>172</v>
      </c>
      <c r="C300" s="1">
        <v>56</v>
      </c>
      <c r="D300" s="1">
        <v>1</v>
      </c>
      <c r="E300" s="1">
        <v>2</v>
      </c>
    </row>
    <row r="301" spans="1:5" ht="28.8" x14ac:dyDescent="0.3">
      <c r="A301" s="1"/>
      <c r="B301" s="1" t="s">
        <v>241</v>
      </c>
      <c r="C301" s="1">
        <v>17.36</v>
      </c>
      <c r="D301" s="1">
        <v>1</v>
      </c>
      <c r="E301" s="1">
        <v>4</v>
      </c>
    </row>
    <row r="302" spans="1:5" x14ac:dyDescent="0.3">
      <c r="A302" s="1"/>
      <c r="B302" s="1" t="s">
        <v>242</v>
      </c>
      <c r="C302" s="1">
        <v>576</v>
      </c>
      <c r="D302" s="1">
        <v>1</v>
      </c>
      <c r="E302" s="1">
        <v>24</v>
      </c>
    </row>
    <row r="303" spans="1:5" x14ac:dyDescent="0.3">
      <c r="A303" s="1"/>
      <c r="B303" s="1" t="s">
        <v>243</v>
      </c>
      <c r="C303" s="1">
        <v>336</v>
      </c>
      <c r="D303" s="1">
        <v>1</v>
      </c>
      <c r="E303" s="1">
        <v>12</v>
      </c>
    </row>
    <row r="304" spans="1:5" ht="72" x14ac:dyDescent="0.3">
      <c r="A304" s="1"/>
      <c r="B304" s="1" t="s">
        <v>112</v>
      </c>
      <c r="C304" s="1">
        <v>8130.02</v>
      </c>
      <c r="D304" s="1">
        <v>3</v>
      </c>
      <c r="E304" s="1">
        <v>9</v>
      </c>
    </row>
    <row r="305" spans="1:5" ht="28.8" x14ac:dyDescent="0.3">
      <c r="A305" s="1"/>
      <c r="B305" s="1" t="s">
        <v>244</v>
      </c>
      <c r="C305" s="1">
        <v>2</v>
      </c>
      <c r="D305" s="1">
        <v>1</v>
      </c>
      <c r="E305" s="1">
        <v>1</v>
      </c>
    </row>
    <row r="306" spans="1:5" ht="72" x14ac:dyDescent="0.3">
      <c r="A306" s="1"/>
      <c r="B306" s="1" t="s">
        <v>114</v>
      </c>
      <c r="C306" s="1">
        <v>12803</v>
      </c>
      <c r="D306" s="1">
        <v>2</v>
      </c>
      <c r="E306" s="1">
        <v>118</v>
      </c>
    </row>
    <row r="307" spans="1:5" x14ac:dyDescent="0.3">
      <c r="A307" s="1"/>
      <c r="B307" s="1" t="s">
        <v>245</v>
      </c>
      <c r="C307" s="1">
        <v>133.9</v>
      </c>
      <c r="D307" s="1">
        <v>1</v>
      </c>
      <c r="E307" s="1">
        <v>1</v>
      </c>
    </row>
    <row r="308" spans="1:5" ht="28.8" x14ac:dyDescent="0.3">
      <c r="A308" s="1"/>
      <c r="B308" s="1" t="s">
        <v>99</v>
      </c>
      <c r="C308" s="1">
        <v>696</v>
      </c>
      <c r="D308" s="1">
        <v>1</v>
      </c>
      <c r="E308" s="1">
        <v>40</v>
      </c>
    </row>
    <row r="309" spans="1:5" ht="86.4" x14ac:dyDescent="0.3">
      <c r="A309" s="1"/>
      <c r="B309" s="1" t="s">
        <v>246</v>
      </c>
      <c r="C309" s="1">
        <v>406.02</v>
      </c>
      <c r="D309" s="1">
        <v>1</v>
      </c>
      <c r="E309" s="1">
        <v>1</v>
      </c>
    </row>
    <row r="310" spans="1:5" ht="57.6" x14ac:dyDescent="0.3">
      <c r="A310" s="1"/>
      <c r="B310" s="1" t="s">
        <v>247</v>
      </c>
      <c r="C310" s="1">
        <v>16.100000000000001</v>
      </c>
      <c r="D310" s="1">
        <v>1</v>
      </c>
      <c r="E310" s="1">
        <v>1</v>
      </c>
    </row>
    <row r="311" spans="1:5" x14ac:dyDescent="0.3">
      <c r="A311" s="1"/>
      <c r="B311" s="1" t="s">
        <v>57</v>
      </c>
      <c r="C311" s="1">
        <v>200</v>
      </c>
      <c r="D311" s="1">
        <v>2</v>
      </c>
      <c r="E311" s="1">
        <v>2</v>
      </c>
    </row>
    <row r="312" spans="1:5" x14ac:dyDescent="0.3">
      <c r="A312" s="1"/>
      <c r="B312" s="1" t="s">
        <v>183</v>
      </c>
      <c r="C312" s="1">
        <v>2112.36</v>
      </c>
      <c r="D312" s="1">
        <v>4</v>
      </c>
      <c r="E312" s="1">
        <v>4</v>
      </c>
    </row>
    <row r="313" spans="1:5" ht="43.2" x14ac:dyDescent="0.3">
      <c r="A313" s="1"/>
      <c r="B313" s="1" t="s">
        <v>9</v>
      </c>
      <c r="C313" s="1">
        <v>2750</v>
      </c>
      <c r="D313" s="1">
        <v>3</v>
      </c>
      <c r="E313" s="1">
        <v>3</v>
      </c>
    </row>
    <row r="314" spans="1:5" ht="43.2" x14ac:dyDescent="0.3">
      <c r="A314" s="1"/>
      <c r="B314" s="1" t="s">
        <v>58</v>
      </c>
      <c r="C314" s="1">
        <v>450</v>
      </c>
      <c r="D314" s="1">
        <v>1</v>
      </c>
      <c r="E314" s="1">
        <v>1</v>
      </c>
    </row>
    <row r="315" spans="1:5" ht="43.2" x14ac:dyDescent="0.3">
      <c r="A315" s="1"/>
      <c r="B315" s="1" t="s">
        <v>248</v>
      </c>
      <c r="C315" s="1">
        <v>135</v>
      </c>
      <c r="D315" s="1">
        <v>1</v>
      </c>
      <c r="E315" s="1">
        <v>1</v>
      </c>
    </row>
    <row r="316" spans="1:5" ht="28.8" x14ac:dyDescent="0.3">
      <c r="A316" s="1"/>
      <c r="B316" s="1" t="s">
        <v>66</v>
      </c>
      <c r="C316" s="1">
        <v>5776.55</v>
      </c>
      <c r="D316" s="1">
        <v>1</v>
      </c>
      <c r="E316" s="1">
        <v>1</v>
      </c>
    </row>
    <row r="317" spans="1:5" ht="43.2" x14ac:dyDescent="0.3">
      <c r="A317" s="1"/>
      <c r="B317" s="1" t="s">
        <v>33</v>
      </c>
      <c r="C317" s="1">
        <v>2667</v>
      </c>
      <c r="D317" s="1">
        <v>1</v>
      </c>
      <c r="E317" s="1">
        <v>1</v>
      </c>
    </row>
    <row r="318" spans="1:5" ht="43.2" x14ac:dyDescent="0.3">
      <c r="A318" s="1"/>
      <c r="B318" s="1" t="s">
        <v>249</v>
      </c>
      <c r="C318" s="1">
        <v>350</v>
      </c>
      <c r="D318" s="1">
        <v>1</v>
      </c>
      <c r="E318" s="1">
        <v>1</v>
      </c>
    </row>
    <row r="319" spans="1:5" ht="28.8" x14ac:dyDescent="0.3">
      <c r="A319" s="1"/>
      <c r="B319" s="1" t="s">
        <v>186</v>
      </c>
      <c r="C319" s="1">
        <v>626.19000000000005</v>
      </c>
      <c r="D319" s="1">
        <v>1</v>
      </c>
      <c r="E319" s="1">
        <v>1</v>
      </c>
    </row>
    <row r="320" spans="1:5" ht="43.2" x14ac:dyDescent="0.3">
      <c r="A320" s="1"/>
      <c r="B320" s="1" t="s">
        <v>187</v>
      </c>
      <c r="C320" s="1">
        <v>811.02</v>
      </c>
      <c r="D320" s="1">
        <v>13</v>
      </c>
      <c r="E320" s="1">
        <v>13</v>
      </c>
    </row>
    <row r="321" spans="1:5" ht="28.8" x14ac:dyDescent="0.3">
      <c r="A321" s="1"/>
      <c r="B321" s="1" t="s">
        <v>250</v>
      </c>
      <c r="C321" s="1">
        <v>3550</v>
      </c>
      <c r="D321" s="1">
        <v>1</v>
      </c>
      <c r="E321" s="1">
        <v>1</v>
      </c>
    </row>
    <row r="322" spans="1:5" ht="28.8" x14ac:dyDescent="0.3">
      <c r="A322" s="1"/>
      <c r="B322" s="1" t="s">
        <v>36</v>
      </c>
      <c r="C322" s="1">
        <v>3000</v>
      </c>
      <c r="D322" s="1">
        <v>4</v>
      </c>
      <c r="E322" s="1">
        <v>4</v>
      </c>
    </row>
    <row r="323" spans="1:5" ht="57.6" x14ac:dyDescent="0.3">
      <c r="A323" s="1"/>
      <c r="B323" s="1" t="s">
        <v>251</v>
      </c>
      <c r="C323" s="1">
        <v>220.34</v>
      </c>
      <c r="D323" s="1">
        <v>1</v>
      </c>
      <c r="E323" s="1">
        <v>1</v>
      </c>
    </row>
    <row r="324" spans="1:5" x14ac:dyDescent="0.3">
      <c r="A324" s="1"/>
      <c r="B324" s="1" t="s">
        <v>59</v>
      </c>
      <c r="C324" s="1">
        <v>182.5</v>
      </c>
      <c r="D324" s="1">
        <v>1</v>
      </c>
      <c r="E324" s="1">
        <v>1</v>
      </c>
    </row>
    <row r="325" spans="1:5" ht="43.2" x14ac:dyDescent="0.3">
      <c r="A325" s="1"/>
      <c r="B325" s="1" t="s">
        <v>13</v>
      </c>
      <c r="C325" s="1">
        <v>362</v>
      </c>
      <c r="D325" s="1">
        <v>1</v>
      </c>
      <c r="E325" s="1">
        <v>1</v>
      </c>
    </row>
    <row r="326" spans="1:5" ht="43.2" x14ac:dyDescent="0.3">
      <c r="A326" s="1"/>
      <c r="B326" s="1" t="s">
        <v>14</v>
      </c>
      <c r="C326" s="1">
        <v>7560</v>
      </c>
      <c r="D326" s="1">
        <v>4</v>
      </c>
      <c r="E326" s="1">
        <v>4</v>
      </c>
    </row>
    <row r="327" spans="1:5" ht="28.8" x14ac:dyDescent="0.3">
      <c r="A327" s="1"/>
      <c r="B327" s="1" t="s">
        <v>15</v>
      </c>
      <c r="C327" s="1">
        <v>298.31</v>
      </c>
      <c r="D327" s="1">
        <v>1</v>
      </c>
      <c r="E327" s="1">
        <v>4</v>
      </c>
    </row>
    <row r="328" spans="1:5" ht="28.8" x14ac:dyDescent="0.3">
      <c r="A328" s="1"/>
      <c r="B328" s="1" t="s">
        <v>195</v>
      </c>
      <c r="C328" s="1">
        <v>79.239999999999995</v>
      </c>
      <c r="D328" s="1">
        <v>1</v>
      </c>
      <c r="E328" s="1">
        <v>1</v>
      </c>
    </row>
    <row r="329" spans="1:5" ht="28.8" x14ac:dyDescent="0.3">
      <c r="A329" s="1"/>
      <c r="B329" s="1" t="s">
        <v>102</v>
      </c>
      <c r="C329" s="1">
        <v>69.069999999999993</v>
      </c>
      <c r="D329" s="1">
        <v>2</v>
      </c>
      <c r="E329" s="1">
        <v>8</v>
      </c>
    </row>
    <row r="330" spans="1:5" ht="43.2" x14ac:dyDescent="0.3">
      <c r="A330" s="1"/>
      <c r="B330" s="1" t="s">
        <v>197</v>
      </c>
      <c r="C330" s="1">
        <v>366.1</v>
      </c>
      <c r="D330" s="1">
        <v>3</v>
      </c>
      <c r="E330" s="1">
        <v>38</v>
      </c>
    </row>
    <row r="331" spans="1:5" ht="43.2" x14ac:dyDescent="0.3">
      <c r="A331" s="1"/>
      <c r="B331" s="1" t="s">
        <v>252</v>
      </c>
      <c r="C331" s="1">
        <v>59.32</v>
      </c>
      <c r="D331" s="1">
        <v>1</v>
      </c>
      <c r="E331" s="1">
        <v>1</v>
      </c>
    </row>
    <row r="332" spans="1:5" x14ac:dyDescent="0.3">
      <c r="A332" s="1"/>
      <c r="B332" s="1" t="s">
        <v>253</v>
      </c>
      <c r="C332" s="1">
        <v>451.7</v>
      </c>
      <c r="D332" s="1">
        <v>2</v>
      </c>
      <c r="E332" s="1">
        <v>2</v>
      </c>
    </row>
    <row r="333" spans="1:5" ht="129.6" x14ac:dyDescent="0.3">
      <c r="A333" s="1"/>
      <c r="B333" s="1" t="s">
        <v>254</v>
      </c>
      <c r="C333" s="1">
        <v>194.07</v>
      </c>
      <c r="D333" s="1">
        <v>1</v>
      </c>
      <c r="E333" s="1">
        <v>1</v>
      </c>
    </row>
    <row r="334" spans="1:5" ht="57.6" x14ac:dyDescent="0.3">
      <c r="A334" s="1"/>
      <c r="B334" s="1" t="s">
        <v>255</v>
      </c>
      <c r="C334" s="1">
        <v>42.37</v>
      </c>
      <c r="D334" s="1">
        <v>1</v>
      </c>
      <c r="E334" s="1">
        <v>1</v>
      </c>
    </row>
    <row r="335" spans="1:5" x14ac:dyDescent="0.3">
      <c r="A335" s="1"/>
      <c r="B335" s="1" t="s">
        <v>205</v>
      </c>
      <c r="C335" s="1">
        <v>6</v>
      </c>
      <c r="D335" s="1">
        <v>1</v>
      </c>
      <c r="E335" s="1">
        <v>2</v>
      </c>
    </row>
    <row r="336" spans="1:5" x14ac:dyDescent="0.3">
      <c r="A336" s="1"/>
      <c r="B336" s="1" t="s">
        <v>256</v>
      </c>
      <c r="C336" s="1">
        <v>2724.59</v>
      </c>
      <c r="D336" s="1">
        <v>12</v>
      </c>
      <c r="E336" s="1">
        <v>15000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5B26D-D93B-483A-840E-B73D4D88424C}">
  <dimension ref="B2:J16"/>
  <sheetViews>
    <sheetView workbookViewId="0">
      <selection activeCell="F3" sqref="F3"/>
    </sheetView>
  </sheetViews>
  <sheetFormatPr baseColWidth="10" defaultRowHeight="14.4" x14ac:dyDescent="0.3"/>
  <cols>
    <col min="2" max="2" width="13.5546875" customWidth="1"/>
    <col min="5" max="5" width="13" bestFit="1" customWidth="1"/>
    <col min="6" max="6" width="14.109375" bestFit="1" customWidth="1"/>
  </cols>
  <sheetData>
    <row r="2" spans="2:10" x14ac:dyDescent="0.3">
      <c r="B2" t="s">
        <v>260</v>
      </c>
      <c r="C2" t="s">
        <v>261</v>
      </c>
      <c r="D2" t="s">
        <v>262</v>
      </c>
      <c r="E2" t="s">
        <v>263</v>
      </c>
      <c r="F2" t="s">
        <v>264</v>
      </c>
    </row>
    <row r="3" spans="2:10" x14ac:dyDescent="0.3">
      <c r="B3" s="1" t="s">
        <v>104</v>
      </c>
      <c r="C3" s="1">
        <v>201793.74</v>
      </c>
      <c r="D3" s="1">
        <v>56</v>
      </c>
      <c r="E3" s="1">
        <v>724</v>
      </c>
      <c r="F3" t="s">
        <v>265</v>
      </c>
    </row>
    <row r="4" spans="2:10" x14ac:dyDescent="0.3">
      <c r="B4" s="1"/>
      <c r="C4" s="1">
        <v>157227.20000000001</v>
      </c>
      <c r="D4" s="1">
        <v>216</v>
      </c>
      <c r="E4" s="1">
        <v>150400</v>
      </c>
    </row>
    <row r="5" spans="2:10" x14ac:dyDescent="0.3">
      <c r="B5" s="1" t="s">
        <v>67</v>
      </c>
      <c r="C5" s="1">
        <v>119399.69</v>
      </c>
      <c r="D5" s="1">
        <v>225</v>
      </c>
      <c r="E5" s="1">
        <v>351712</v>
      </c>
      <c r="F5" t="s">
        <v>265</v>
      </c>
    </row>
    <row r="6" spans="2:10" x14ac:dyDescent="0.3">
      <c r="B6" s="1" t="s">
        <v>124</v>
      </c>
      <c r="C6" s="1">
        <v>69596.77</v>
      </c>
      <c r="D6" s="1">
        <v>213</v>
      </c>
      <c r="E6" s="1">
        <v>542</v>
      </c>
      <c r="F6" s="1" t="s">
        <v>124</v>
      </c>
    </row>
    <row r="7" spans="2:10" x14ac:dyDescent="0.3">
      <c r="B7" s="1" t="s">
        <v>0</v>
      </c>
      <c r="C7" s="1">
        <v>61793.05</v>
      </c>
      <c r="D7" s="1">
        <v>59</v>
      </c>
      <c r="E7" s="1">
        <v>202</v>
      </c>
      <c r="F7" t="s">
        <v>265</v>
      </c>
    </row>
    <row r="8" spans="2:10" x14ac:dyDescent="0.3">
      <c r="B8" s="1" t="s">
        <v>17</v>
      </c>
      <c r="C8" s="1">
        <v>25323.07</v>
      </c>
      <c r="D8" s="1">
        <v>29</v>
      </c>
      <c r="E8" s="1">
        <v>38</v>
      </c>
      <c r="F8" t="s">
        <v>266</v>
      </c>
    </row>
    <row r="9" spans="2:10" x14ac:dyDescent="0.3">
      <c r="B9" s="1" t="s">
        <v>37</v>
      </c>
      <c r="C9" s="1">
        <v>15513.89</v>
      </c>
      <c r="D9" s="1">
        <v>36</v>
      </c>
      <c r="E9" s="1">
        <v>100</v>
      </c>
      <c r="F9" s="1" t="s">
        <v>124</v>
      </c>
    </row>
    <row r="10" spans="2:10" x14ac:dyDescent="0.3">
      <c r="B10" s="1" t="s">
        <v>116</v>
      </c>
      <c r="C10" s="1">
        <v>15191.47</v>
      </c>
      <c r="D10" s="1">
        <v>17</v>
      </c>
      <c r="E10" s="1">
        <v>19</v>
      </c>
      <c r="F10" t="s">
        <v>116</v>
      </c>
    </row>
    <row r="11" spans="2:10" x14ac:dyDescent="0.3">
      <c r="B11" s="1" t="s">
        <v>123</v>
      </c>
      <c r="C11" s="1">
        <v>2883.59</v>
      </c>
      <c r="D11" s="1">
        <v>4</v>
      </c>
      <c r="E11" s="1">
        <v>6</v>
      </c>
      <c r="F11" t="s">
        <v>65</v>
      </c>
    </row>
    <row r="12" spans="2:10" x14ac:dyDescent="0.3">
      <c r="B12" s="1" t="s">
        <v>65</v>
      </c>
      <c r="C12" s="1">
        <v>2071.06</v>
      </c>
      <c r="D12" s="1">
        <v>3</v>
      </c>
      <c r="E12" s="1">
        <v>3</v>
      </c>
      <c r="F12" t="s">
        <v>65</v>
      </c>
    </row>
    <row r="13" spans="2:10" x14ac:dyDescent="0.3">
      <c r="B13" s="1" t="s">
        <v>103</v>
      </c>
      <c r="C13" s="1">
        <v>241.1</v>
      </c>
      <c r="D13" s="1">
        <v>2</v>
      </c>
      <c r="E13" s="1">
        <v>2</v>
      </c>
      <c r="F13" t="s">
        <v>265</v>
      </c>
    </row>
    <row r="14" spans="2:10" x14ac:dyDescent="0.3">
      <c r="B14" s="1" t="s">
        <v>63</v>
      </c>
      <c r="C14" s="1">
        <v>66</v>
      </c>
      <c r="D14" s="1">
        <v>3</v>
      </c>
      <c r="E14" s="1">
        <v>3</v>
      </c>
      <c r="F14" t="s">
        <v>116</v>
      </c>
    </row>
    <row r="16" spans="2:10" x14ac:dyDescent="0.3">
      <c r="J16" t="s">
        <v>267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EC860-B40B-48FB-8891-34D14DDA7100}">
  <dimension ref="B2:J95"/>
  <sheetViews>
    <sheetView topLeftCell="A7" workbookViewId="0">
      <selection activeCell="E3" sqref="E3"/>
    </sheetView>
  </sheetViews>
  <sheetFormatPr baseColWidth="10" defaultColWidth="11.44140625" defaultRowHeight="14.4" x14ac:dyDescent="0.3"/>
  <cols>
    <col min="2" max="2" width="23.88671875" bestFit="1" customWidth="1"/>
    <col min="3" max="3" width="21.88671875" bestFit="1" customWidth="1"/>
    <col min="4" max="4" width="61.6640625" customWidth="1"/>
    <col min="5" max="5" width="21.77734375" customWidth="1"/>
    <col min="6" max="6" width="11" bestFit="1" customWidth="1"/>
    <col min="7" max="7" width="5" bestFit="1" customWidth="1"/>
    <col min="8" max="8" width="16.6640625" bestFit="1" customWidth="1"/>
    <col min="9" max="9" width="21.88671875" bestFit="1" customWidth="1"/>
    <col min="10" max="10" width="23.77734375" bestFit="1" customWidth="1"/>
  </cols>
  <sheetData>
    <row r="2" spans="2:10" x14ac:dyDescent="0.3">
      <c r="B2" s="5" t="s">
        <v>313</v>
      </c>
      <c r="C2" s="5" t="s">
        <v>314</v>
      </c>
      <c r="D2" s="5" t="s">
        <v>315</v>
      </c>
      <c r="E2" s="5" t="s">
        <v>343</v>
      </c>
      <c r="F2" s="5" t="s">
        <v>316</v>
      </c>
      <c r="G2" s="5" t="s">
        <v>317</v>
      </c>
      <c r="H2" s="5" t="s">
        <v>318</v>
      </c>
      <c r="I2" s="6" t="s">
        <v>319</v>
      </c>
      <c r="J2" s="6" t="s">
        <v>320</v>
      </c>
    </row>
    <row r="3" spans="2:10" x14ac:dyDescent="0.3">
      <c r="B3" s="2" t="s">
        <v>282</v>
      </c>
      <c r="C3" s="2" t="s">
        <v>44</v>
      </c>
      <c r="D3" s="2" t="s">
        <v>276</v>
      </c>
      <c r="E3" s="2" t="str">
        <f>+CONCATENATE(B3,C3,D3)</f>
        <v>Administración y FinanzasCapacitacionesCOMISION VAOPE SEGUN CONTRATO</v>
      </c>
      <c r="F3" s="2">
        <v>80305.429999999993</v>
      </c>
      <c r="G3" s="2">
        <v>130</v>
      </c>
      <c r="H3" s="2">
        <v>130</v>
      </c>
      <c r="I3" s="3" t="s">
        <v>321</v>
      </c>
      <c r="J3" s="4" t="s">
        <v>309</v>
      </c>
    </row>
    <row r="4" spans="2:10" x14ac:dyDescent="0.3">
      <c r="B4" s="2" t="s">
        <v>282</v>
      </c>
      <c r="C4" s="2" t="s">
        <v>44</v>
      </c>
      <c r="D4" s="2" t="s">
        <v>278</v>
      </c>
      <c r="E4" s="2" t="str">
        <f t="shared" ref="E4:E67" si="0">+CONCATENATE(B4,C4,D4)</f>
        <v>Administración y FinanzasCapacitacionesCOMISION PAGOS DIGITALES SEGUN CONTRATO</v>
      </c>
      <c r="F4" s="2">
        <v>112751.89</v>
      </c>
      <c r="G4" s="2">
        <v>131</v>
      </c>
      <c r="H4" s="2">
        <v>131</v>
      </c>
      <c r="I4" s="3" t="s">
        <v>321</v>
      </c>
      <c r="J4" s="4" t="s">
        <v>308</v>
      </c>
    </row>
    <row r="5" spans="2:10" x14ac:dyDescent="0.3">
      <c r="B5" s="2" t="s">
        <v>282</v>
      </c>
      <c r="C5" s="2" t="s">
        <v>44</v>
      </c>
      <c r="D5" s="2" t="s">
        <v>283</v>
      </c>
      <c r="E5" s="2" t="str">
        <f t="shared" si="0"/>
        <v>Administración y FinanzasCapacitacionesCOMISION PAGOS DIGITALES SEGUN CONTRAT</v>
      </c>
      <c r="F5" s="2">
        <v>1885.17</v>
      </c>
      <c r="G5" s="2">
        <v>1</v>
      </c>
      <c r="H5" s="2">
        <v>1</v>
      </c>
      <c r="I5" s="3" t="s">
        <v>321</v>
      </c>
      <c r="J5" s="4" t="s">
        <v>308</v>
      </c>
    </row>
    <row r="6" spans="2:10" x14ac:dyDescent="0.3">
      <c r="B6" s="2" t="s">
        <v>282</v>
      </c>
      <c r="C6" s="2" t="s">
        <v>44</v>
      </c>
      <c r="D6" s="2" t="s">
        <v>279</v>
      </c>
      <c r="E6" s="2" t="str">
        <f t="shared" si="0"/>
        <v>Administración y FinanzasCapacitacionesCOMISION CORTESIA</v>
      </c>
      <c r="F6" s="2">
        <v>2355.9299999999998</v>
      </c>
      <c r="G6" s="2">
        <v>37</v>
      </c>
      <c r="H6" s="2">
        <v>37</v>
      </c>
      <c r="I6" s="3" t="s">
        <v>321</v>
      </c>
      <c r="J6" s="4" t="s">
        <v>323</v>
      </c>
    </row>
    <row r="7" spans="2:10" x14ac:dyDescent="0.3">
      <c r="B7" s="2" t="s">
        <v>282</v>
      </c>
      <c r="C7" s="2" t="s">
        <v>44</v>
      </c>
      <c r="D7" s="2"/>
      <c r="E7" s="2" t="str">
        <f t="shared" si="0"/>
        <v>Administración y FinanzasCapacitaciones</v>
      </c>
      <c r="F7" s="2">
        <v>0</v>
      </c>
      <c r="G7" s="2">
        <v>299</v>
      </c>
      <c r="H7" s="2">
        <v>299</v>
      </c>
      <c r="I7" s="4" t="s">
        <v>282</v>
      </c>
      <c r="J7" s="3" t="s">
        <v>44</v>
      </c>
    </row>
    <row r="8" spans="2:10" x14ac:dyDescent="0.3">
      <c r="B8" s="2" t="s">
        <v>282</v>
      </c>
      <c r="C8" s="2" t="s">
        <v>284</v>
      </c>
      <c r="D8" s="2" t="s">
        <v>285</v>
      </c>
      <c r="E8" s="2" t="str">
        <f t="shared" si="0"/>
        <v>Administración y FinanzasDeliveryPERSONAL</v>
      </c>
      <c r="F8" s="2">
        <v>32.5</v>
      </c>
      <c r="G8" s="2">
        <v>1</v>
      </c>
      <c r="H8" s="2">
        <v>1</v>
      </c>
      <c r="I8" s="4" t="s">
        <v>282</v>
      </c>
      <c r="J8" s="3" t="s">
        <v>338</v>
      </c>
    </row>
    <row r="9" spans="2:10" x14ac:dyDescent="0.3">
      <c r="B9" s="2" t="s">
        <v>282</v>
      </c>
      <c r="C9" s="2" t="s">
        <v>284</v>
      </c>
      <c r="D9" s="2"/>
      <c r="E9" s="2" t="str">
        <f t="shared" si="0"/>
        <v>Administración y FinanzasDelivery</v>
      </c>
      <c r="F9" s="2">
        <v>0</v>
      </c>
      <c r="G9" s="2">
        <v>1</v>
      </c>
      <c r="H9" s="2">
        <v>1</v>
      </c>
      <c r="I9" s="4" t="s">
        <v>282</v>
      </c>
      <c r="J9" s="3" t="s">
        <v>284</v>
      </c>
    </row>
    <row r="10" spans="2:10" x14ac:dyDescent="0.3">
      <c r="B10" s="2" t="s">
        <v>282</v>
      </c>
      <c r="C10" s="2" t="s">
        <v>286</v>
      </c>
      <c r="D10" s="2" t="s">
        <v>285</v>
      </c>
      <c r="E10" s="2" t="str">
        <f t="shared" si="0"/>
        <v>Administración y FinanzasOperativosPERSONAL</v>
      </c>
      <c r="F10" s="2">
        <v>200</v>
      </c>
      <c r="G10" s="2">
        <v>1</v>
      </c>
      <c r="H10" s="2">
        <v>1</v>
      </c>
      <c r="I10" s="4" t="s">
        <v>282</v>
      </c>
      <c r="J10" s="3" t="s">
        <v>338</v>
      </c>
    </row>
    <row r="11" spans="2:10" x14ac:dyDescent="0.3">
      <c r="B11" s="2" t="s">
        <v>282</v>
      </c>
      <c r="C11" s="2" t="s">
        <v>286</v>
      </c>
      <c r="D11" s="2" t="s">
        <v>287</v>
      </c>
      <c r="E11" s="2" t="str">
        <f t="shared" si="0"/>
        <v>Administración y FinanzasOperativosFEE ADMINISTRATIVOFee administrativo por adelanto</v>
      </c>
      <c r="F11" s="2">
        <v>300</v>
      </c>
      <c r="G11" s="2">
        <v>3</v>
      </c>
      <c r="H11" s="2">
        <v>3</v>
      </c>
      <c r="I11" s="4" t="s">
        <v>282</v>
      </c>
      <c r="J11" s="3" t="s">
        <v>310</v>
      </c>
    </row>
    <row r="12" spans="2:10" x14ac:dyDescent="0.3">
      <c r="B12" s="2" t="s">
        <v>282</v>
      </c>
      <c r="C12" s="2" t="s">
        <v>286</v>
      </c>
      <c r="D12" s="2" t="s">
        <v>273</v>
      </c>
      <c r="E12" s="2" t="str">
        <f t="shared" si="0"/>
        <v>Administración y FinanzasOperativosFEE ADMINISTRATIVO</v>
      </c>
      <c r="F12" s="2">
        <v>300</v>
      </c>
      <c r="G12" s="2">
        <v>3</v>
      </c>
      <c r="H12" s="2">
        <v>3</v>
      </c>
      <c r="I12" s="4" t="s">
        <v>282</v>
      </c>
      <c r="J12" s="3" t="s">
        <v>310</v>
      </c>
    </row>
    <row r="13" spans="2:10" x14ac:dyDescent="0.3">
      <c r="B13" s="2" t="s">
        <v>282</v>
      </c>
      <c r="C13" s="2" t="s">
        <v>286</v>
      </c>
      <c r="D13" s="2"/>
      <c r="E13" s="2" t="str">
        <f t="shared" si="0"/>
        <v>Administración y FinanzasOperativos</v>
      </c>
      <c r="F13" s="2">
        <v>0</v>
      </c>
      <c r="G13" s="2">
        <v>7</v>
      </c>
      <c r="H13" s="2">
        <v>7</v>
      </c>
      <c r="I13" s="4" t="s">
        <v>282</v>
      </c>
      <c r="J13" s="3" t="s">
        <v>337</v>
      </c>
    </row>
    <row r="14" spans="2:10" x14ac:dyDescent="0.3">
      <c r="B14" s="2" t="s">
        <v>104</v>
      </c>
      <c r="C14" s="2" t="s">
        <v>288</v>
      </c>
      <c r="D14" s="2" t="s">
        <v>285</v>
      </c>
      <c r="E14" s="2" t="str">
        <f t="shared" si="0"/>
        <v>ContenidoPersonal temporalPERSONAL</v>
      </c>
      <c r="F14" s="2">
        <v>1000</v>
      </c>
      <c r="G14" s="2">
        <v>1</v>
      </c>
      <c r="H14" s="2">
        <v>1</v>
      </c>
      <c r="I14" s="3" t="s">
        <v>104</v>
      </c>
      <c r="J14" s="3" t="s">
        <v>338</v>
      </c>
    </row>
    <row r="15" spans="2:10" x14ac:dyDescent="0.3">
      <c r="B15" s="2" t="s">
        <v>104</v>
      </c>
      <c r="C15" s="2" t="s">
        <v>288</v>
      </c>
      <c r="D15" s="2"/>
      <c r="E15" s="2" t="str">
        <f t="shared" si="0"/>
        <v>ContenidoPersonal temporal</v>
      </c>
      <c r="F15" s="2">
        <v>0</v>
      </c>
      <c r="G15" s="2">
        <v>1</v>
      </c>
      <c r="H15" s="2">
        <v>1</v>
      </c>
      <c r="I15" s="3" t="s">
        <v>104</v>
      </c>
      <c r="J15" s="3" t="s">
        <v>338</v>
      </c>
    </row>
    <row r="16" spans="2:10" x14ac:dyDescent="0.3">
      <c r="B16" s="2" t="s">
        <v>103</v>
      </c>
      <c r="C16" s="2" t="s">
        <v>289</v>
      </c>
      <c r="D16" s="2" t="s">
        <v>269</v>
      </c>
      <c r="E16" s="2" t="str">
        <f t="shared" si="0"/>
        <v>DiseñoImeSERVICIO DE DISENO</v>
      </c>
      <c r="F16" s="2">
        <v>120</v>
      </c>
      <c r="G16" s="2">
        <v>1</v>
      </c>
      <c r="H16" s="2">
        <v>1</v>
      </c>
      <c r="I16" s="3" t="s">
        <v>104</v>
      </c>
      <c r="J16" s="3" t="s">
        <v>328</v>
      </c>
    </row>
    <row r="17" spans="2:10" x14ac:dyDescent="0.3">
      <c r="B17" s="2" t="s">
        <v>67</v>
      </c>
      <c r="C17" s="2" t="s">
        <v>289</v>
      </c>
      <c r="D17" s="2" t="s">
        <v>268</v>
      </c>
      <c r="E17" s="2" t="str">
        <f t="shared" si="0"/>
        <v>ImpresosImeVOUCHER IMPRESO CON QR</v>
      </c>
      <c r="F17" s="2">
        <v>3669</v>
      </c>
      <c r="G17" s="2">
        <v>8</v>
      </c>
      <c r="H17" s="2">
        <v>11551</v>
      </c>
      <c r="I17" s="3" t="s">
        <v>67</v>
      </c>
      <c r="J17" s="3" t="s">
        <v>333</v>
      </c>
    </row>
    <row r="18" spans="2:10" x14ac:dyDescent="0.3">
      <c r="B18" s="2" t="s">
        <v>67</v>
      </c>
      <c r="C18" s="2" t="s">
        <v>289</v>
      </c>
      <c r="D18" s="2" t="s">
        <v>290</v>
      </c>
      <c r="E18" s="2" t="str">
        <f t="shared" si="0"/>
        <v>ImpresosImeSTICKER CON QR</v>
      </c>
      <c r="F18" s="2">
        <v>7710</v>
      </c>
      <c r="G18" s="2">
        <v>24</v>
      </c>
      <c r="H18" s="2">
        <v>27000</v>
      </c>
      <c r="I18" s="3" t="s">
        <v>67</v>
      </c>
      <c r="J18" s="3" t="s">
        <v>339</v>
      </c>
    </row>
    <row r="19" spans="2:10" x14ac:dyDescent="0.3">
      <c r="B19" s="2" t="s">
        <v>67</v>
      </c>
      <c r="C19" s="2" t="s">
        <v>289</v>
      </c>
      <c r="D19" s="2" t="s">
        <v>274</v>
      </c>
      <c r="E19" s="2" t="str">
        <f t="shared" si="0"/>
        <v>ImpresosImeENTRADAS IMPRESAS</v>
      </c>
      <c r="F19" s="2">
        <v>300</v>
      </c>
      <c r="G19" s="2">
        <v>1</v>
      </c>
      <c r="H19" s="2">
        <v>600</v>
      </c>
      <c r="I19" s="3" t="s">
        <v>67</v>
      </c>
      <c r="J19" s="3" t="s">
        <v>331</v>
      </c>
    </row>
    <row r="20" spans="2:10" x14ac:dyDescent="0.3">
      <c r="B20" s="2" t="s">
        <v>67</v>
      </c>
      <c r="C20" s="2" t="s">
        <v>289</v>
      </c>
      <c r="D20" s="2" t="s">
        <v>24</v>
      </c>
      <c r="E20" s="2" t="str">
        <f t="shared" si="0"/>
        <v>ImpresosImeDELIVERY</v>
      </c>
      <c r="F20" s="2">
        <v>55</v>
      </c>
      <c r="G20" s="2">
        <v>3</v>
      </c>
      <c r="H20" s="2">
        <v>3</v>
      </c>
      <c r="I20" s="3" t="s">
        <v>67</v>
      </c>
      <c r="J20" s="3" t="s">
        <v>284</v>
      </c>
    </row>
    <row r="21" spans="2:10" x14ac:dyDescent="0.3">
      <c r="B21" s="2" t="s">
        <v>67</v>
      </c>
      <c r="C21" s="2" t="s">
        <v>289</v>
      </c>
      <c r="D21" s="2" t="s">
        <v>280</v>
      </c>
      <c r="E21" s="2" t="str">
        <f t="shared" si="0"/>
        <v>ImpresosImeBRAZALETE CON QR</v>
      </c>
      <c r="F21" s="2">
        <v>80620</v>
      </c>
      <c r="G21" s="2">
        <v>88</v>
      </c>
      <c r="H21" s="2">
        <v>139801</v>
      </c>
      <c r="I21" s="3" t="s">
        <v>67</v>
      </c>
      <c r="J21" s="3" t="s">
        <v>330</v>
      </c>
    </row>
    <row r="22" spans="2:10" x14ac:dyDescent="0.3">
      <c r="B22" s="2" t="s">
        <v>67</v>
      </c>
      <c r="C22" s="2" t="s">
        <v>289</v>
      </c>
      <c r="D22" s="2" t="s">
        <v>291</v>
      </c>
      <c r="E22" s="2" t="str">
        <f t="shared" si="0"/>
        <v>ImpresosImeBOLETO PREMIUN CON QR</v>
      </c>
      <c r="F22" s="2">
        <v>13500</v>
      </c>
      <c r="G22" s="2">
        <v>11</v>
      </c>
      <c r="H22" s="2">
        <v>15000</v>
      </c>
      <c r="I22" s="3" t="s">
        <v>67</v>
      </c>
      <c r="J22" s="3" t="s">
        <v>329</v>
      </c>
    </row>
    <row r="23" spans="2:10" x14ac:dyDescent="0.3">
      <c r="B23" s="2" t="s">
        <v>67</v>
      </c>
      <c r="C23" s="2" t="s">
        <v>289</v>
      </c>
      <c r="D23" s="2" t="s">
        <v>281</v>
      </c>
      <c r="E23" s="2" t="str">
        <f t="shared" si="0"/>
        <v>ImpresosImeBOLETO FULL COLOR CON QR</v>
      </c>
      <c r="F23" s="2">
        <v>69460</v>
      </c>
      <c r="G23" s="2">
        <v>68</v>
      </c>
      <c r="H23" s="2">
        <v>178000</v>
      </c>
      <c r="I23" s="3" t="s">
        <v>67</v>
      </c>
      <c r="J23" s="3" t="s">
        <v>326</v>
      </c>
    </row>
    <row r="24" spans="2:10" x14ac:dyDescent="0.3">
      <c r="B24" s="2" t="s">
        <v>67</v>
      </c>
      <c r="C24" s="2" t="s">
        <v>292</v>
      </c>
      <c r="D24" s="2" t="s">
        <v>274</v>
      </c>
      <c r="E24" s="2" t="str">
        <f t="shared" si="0"/>
        <v>ImpresosOPERATIVOSENTRADAS IMPRESAS</v>
      </c>
      <c r="F24" s="2">
        <v>1000</v>
      </c>
      <c r="G24" s="2">
        <v>1</v>
      </c>
      <c r="H24" s="2">
        <v>1</v>
      </c>
      <c r="I24" s="3" t="s">
        <v>67</v>
      </c>
      <c r="J24" s="3" t="s">
        <v>331</v>
      </c>
    </row>
    <row r="25" spans="2:10" x14ac:dyDescent="0.3">
      <c r="B25" s="2" t="s">
        <v>67</v>
      </c>
      <c r="C25" s="2" t="s">
        <v>293</v>
      </c>
      <c r="D25" s="2" t="s">
        <v>285</v>
      </c>
      <c r="E25" s="2" t="str">
        <f t="shared" si="0"/>
        <v>ImpresosOtrosPERSONAL</v>
      </c>
      <c r="F25" s="2">
        <v>152.5</v>
      </c>
      <c r="G25" s="2">
        <v>3</v>
      </c>
      <c r="H25" s="2">
        <v>3</v>
      </c>
      <c r="I25" s="3" t="s">
        <v>67</v>
      </c>
      <c r="J25" s="3" t="s">
        <v>338</v>
      </c>
    </row>
    <row r="26" spans="2:10" x14ac:dyDescent="0.3">
      <c r="B26" s="2" t="s">
        <v>67</v>
      </c>
      <c r="C26" s="2" t="s">
        <v>293</v>
      </c>
      <c r="D26" s="2" t="s">
        <v>280</v>
      </c>
      <c r="E26" s="2" t="str">
        <f t="shared" si="0"/>
        <v>ImpresosOtrosBRAZALETE CON QR</v>
      </c>
      <c r="F26" s="2">
        <v>1800</v>
      </c>
      <c r="G26" s="2">
        <v>1</v>
      </c>
      <c r="H26" s="2">
        <v>3000</v>
      </c>
      <c r="I26" s="3" t="s">
        <v>67</v>
      </c>
      <c r="J26" s="3" t="s">
        <v>330</v>
      </c>
    </row>
    <row r="27" spans="2:10" x14ac:dyDescent="0.3">
      <c r="B27" s="2" t="s">
        <v>67</v>
      </c>
      <c r="C27" s="2" t="s">
        <v>293</v>
      </c>
      <c r="D27" s="2"/>
      <c r="E27" s="2" t="str">
        <f t="shared" si="0"/>
        <v>ImpresosOtros</v>
      </c>
      <c r="F27" s="2">
        <v>0</v>
      </c>
      <c r="G27" s="2">
        <v>3</v>
      </c>
      <c r="H27" s="2">
        <v>3</v>
      </c>
      <c r="I27" s="3" t="s">
        <v>67</v>
      </c>
      <c r="J27" s="3" t="s">
        <v>337</v>
      </c>
    </row>
    <row r="28" spans="2:10" x14ac:dyDescent="0.3">
      <c r="B28" s="2" t="s">
        <v>67</v>
      </c>
      <c r="C28" s="2" t="s">
        <v>294</v>
      </c>
      <c r="D28" s="2" t="s">
        <v>295</v>
      </c>
      <c r="E28" s="2" t="str">
        <f t="shared" si="0"/>
        <v>ImpresosSuministros CompraENTRADAS IMPRESAS FULL COLOR GENERALARMONIA 10 EN YAPATERA 22 DE ENE Y HUAMACHUCO 25 DE ENE BRAZALET</v>
      </c>
      <c r="F28" s="2">
        <v>2080</v>
      </c>
      <c r="G28" s="2">
        <v>1</v>
      </c>
      <c r="H28" s="2">
        <v>1</v>
      </c>
      <c r="I28" s="3" t="s">
        <v>67</v>
      </c>
      <c r="J28" s="3" t="s">
        <v>336</v>
      </c>
    </row>
    <row r="29" spans="2:10" x14ac:dyDescent="0.3">
      <c r="B29" s="2" t="s">
        <v>67</v>
      </c>
      <c r="C29" s="2" t="s">
        <v>294</v>
      </c>
      <c r="D29" s="2" t="s">
        <v>296</v>
      </c>
      <c r="E29" s="2" t="str">
        <f t="shared" si="0"/>
        <v>ImpresosSuministros CompraENTRADAS IMPRESAS FULL COLOR GENERAL BRAZALETES VIP</v>
      </c>
      <c r="F29" s="2">
        <v>1241</v>
      </c>
      <c r="G29" s="2">
        <v>1</v>
      </c>
      <c r="H29" s="2">
        <v>1</v>
      </c>
      <c r="I29" s="3" t="s">
        <v>67</v>
      </c>
      <c r="J29" s="3" t="s">
        <v>336</v>
      </c>
    </row>
    <row r="30" spans="2:10" x14ac:dyDescent="0.3">
      <c r="B30" s="2" t="s">
        <v>67</v>
      </c>
      <c r="C30" s="2" t="s">
        <v>294</v>
      </c>
      <c r="D30" s="2" t="s">
        <v>297</v>
      </c>
      <c r="E30" s="2" t="str">
        <f t="shared" si="0"/>
        <v>ImpresosSuministros CompraENTRADAS IMPRESAS FULL COLOR GENERAL</v>
      </c>
      <c r="F30" s="2">
        <v>2540</v>
      </c>
      <c r="G30" s="2">
        <v>3</v>
      </c>
      <c r="H30" s="2">
        <v>3</v>
      </c>
      <c r="I30" s="3" t="s">
        <v>67</v>
      </c>
      <c r="J30" s="3" t="s">
        <v>336</v>
      </c>
    </row>
    <row r="31" spans="2:10" x14ac:dyDescent="0.3">
      <c r="B31" s="2" t="s">
        <v>67</v>
      </c>
      <c r="C31" s="2" t="s">
        <v>294</v>
      </c>
      <c r="D31" s="2" t="s">
        <v>298</v>
      </c>
      <c r="E31" s="2" t="str">
        <f t="shared" si="0"/>
        <v>ImpresosSuministros CompraENTRADAS IMPRESAS FULL COLOR</v>
      </c>
      <c r="F31" s="2">
        <v>1649.66</v>
      </c>
      <c r="G31" s="2">
        <v>3</v>
      </c>
      <c r="H31" s="2">
        <v>3</v>
      </c>
      <c r="I31" s="3" t="s">
        <v>67</v>
      </c>
      <c r="J31" s="3" t="s">
        <v>336</v>
      </c>
    </row>
    <row r="32" spans="2:10" x14ac:dyDescent="0.3">
      <c r="B32" s="2" t="s">
        <v>67</v>
      </c>
      <c r="C32" s="2" t="s">
        <v>294</v>
      </c>
      <c r="D32" s="2" t="s">
        <v>299</v>
      </c>
      <c r="E32" s="2" t="str">
        <f t="shared" si="0"/>
        <v>ImpresosSuministros CompraENTRADAS IMPRESAS  FULL COLOR GENERAL</v>
      </c>
      <c r="F32" s="2">
        <v>400</v>
      </c>
      <c r="G32" s="2">
        <v>1</v>
      </c>
      <c r="H32" s="2">
        <v>1</v>
      </c>
      <c r="I32" s="3" t="s">
        <v>67</v>
      </c>
      <c r="J32" s="3" t="s">
        <v>336</v>
      </c>
    </row>
    <row r="33" spans="2:10" x14ac:dyDescent="0.3">
      <c r="B33" s="2" t="s">
        <v>67</v>
      </c>
      <c r="C33" s="2" t="s">
        <v>294</v>
      </c>
      <c r="D33" s="2" t="s">
        <v>274</v>
      </c>
      <c r="E33" s="2" t="str">
        <f t="shared" si="0"/>
        <v>ImpresosSuministros CompraENTRADAS IMPRESAS</v>
      </c>
      <c r="F33" s="2">
        <v>55985</v>
      </c>
      <c r="G33" s="2">
        <v>35</v>
      </c>
      <c r="H33" s="2">
        <v>35</v>
      </c>
      <c r="I33" s="3" t="s">
        <v>67</v>
      </c>
      <c r="J33" s="3" t="s">
        <v>331</v>
      </c>
    </row>
    <row r="34" spans="2:10" x14ac:dyDescent="0.3">
      <c r="B34" s="2" t="s">
        <v>67</v>
      </c>
      <c r="C34" s="2" t="s">
        <v>294</v>
      </c>
      <c r="D34" s="2" t="s">
        <v>78</v>
      </c>
      <c r="E34" s="2" t="str">
        <f t="shared" si="0"/>
        <v>ImpresosSuministros CompraBRAZALETES VIP</v>
      </c>
      <c r="F34" s="2">
        <v>3176.5</v>
      </c>
      <c r="G34" s="2">
        <v>3</v>
      </c>
      <c r="H34" s="2">
        <v>3</v>
      </c>
      <c r="I34" s="3" t="s">
        <v>67</v>
      </c>
      <c r="J34" s="3" t="s">
        <v>335</v>
      </c>
    </row>
    <row r="35" spans="2:10" x14ac:dyDescent="0.3">
      <c r="B35" s="2" t="s">
        <v>67</v>
      </c>
      <c r="C35" s="2" t="s">
        <v>294</v>
      </c>
      <c r="D35" s="2" t="s">
        <v>300</v>
      </c>
      <c r="E35" s="2" t="str">
        <f t="shared" si="0"/>
        <v>ImpresosSuministros CompraBRAZALETES STICKERS SIN ZONA</v>
      </c>
      <c r="F35" s="2">
        <v>1230</v>
      </c>
      <c r="G35" s="2">
        <v>1</v>
      </c>
      <c r="H35" s="2">
        <v>1</v>
      </c>
      <c r="I35" s="3" t="s">
        <v>67</v>
      </c>
      <c r="J35" s="3" t="s">
        <v>334</v>
      </c>
    </row>
    <row r="36" spans="2:10" x14ac:dyDescent="0.3">
      <c r="B36" s="2" t="s">
        <v>67</v>
      </c>
      <c r="C36" s="2" t="s">
        <v>294</v>
      </c>
      <c r="D36" s="2"/>
      <c r="E36" s="2" t="str">
        <f t="shared" si="0"/>
        <v>ImpresosSuministros Compra</v>
      </c>
      <c r="F36" s="2">
        <v>0</v>
      </c>
      <c r="G36" s="2">
        <v>48</v>
      </c>
      <c r="H36" s="2">
        <v>48</v>
      </c>
      <c r="I36" s="3" t="s">
        <v>67</v>
      </c>
      <c r="J36" s="3" t="s">
        <v>337</v>
      </c>
    </row>
    <row r="37" spans="2:10" x14ac:dyDescent="0.3">
      <c r="B37" s="2" t="s">
        <v>67</v>
      </c>
      <c r="C37" s="2" t="s">
        <v>301</v>
      </c>
      <c r="D37" s="2" t="s">
        <v>268</v>
      </c>
      <c r="E37" s="2" t="str">
        <f t="shared" si="0"/>
        <v>ImpresosSuministros VentaVOUCHER IMPRESO CON QR</v>
      </c>
      <c r="F37" s="2">
        <v>14735.98</v>
      </c>
      <c r="G37" s="2">
        <v>36</v>
      </c>
      <c r="H37" s="2">
        <v>36</v>
      </c>
      <c r="I37" s="3" t="s">
        <v>67</v>
      </c>
      <c r="J37" s="3" t="s">
        <v>333</v>
      </c>
    </row>
    <row r="38" spans="2:10" x14ac:dyDescent="0.3">
      <c r="B38" s="2" t="s">
        <v>67</v>
      </c>
      <c r="C38" s="2" t="s">
        <v>301</v>
      </c>
      <c r="D38" s="2" t="s">
        <v>302</v>
      </c>
      <c r="E38" s="2" t="str">
        <f t="shared" si="0"/>
        <v>ImpresosSuministros VentaVOUCHER DIGITAL CON QR</v>
      </c>
      <c r="F38" s="2">
        <v>5890</v>
      </c>
      <c r="G38" s="2">
        <v>17</v>
      </c>
      <c r="H38" s="2">
        <v>17</v>
      </c>
      <c r="I38" s="4" t="s">
        <v>67</v>
      </c>
      <c r="J38" s="3" t="s">
        <v>332</v>
      </c>
    </row>
    <row r="39" spans="2:10" x14ac:dyDescent="0.3">
      <c r="B39" s="2" t="s">
        <v>67</v>
      </c>
      <c r="C39" s="2" t="s">
        <v>301</v>
      </c>
      <c r="D39" s="2" t="s">
        <v>274</v>
      </c>
      <c r="E39" s="2" t="str">
        <f t="shared" si="0"/>
        <v>ImpresosSuministros VentaENTRADAS IMPRESAS</v>
      </c>
      <c r="F39" s="2">
        <v>363904.1</v>
      </c>
      <c r="G39" s="2">
        <v>303</v>
      </c>
      <c r="H39" s="2">
        <v>303</v>
      </c>
      <c r="I39" s="4" t="s">
        <v>67</v>
      </c>
      <c r="J39" s="3" t="s">
        <v>331</v>
      </c>
    </row>
    <row r="40" spans="2:10" x14ac:dyDescent="0.3">
      <c r="B40" s="2" t="s">
        <v>67</v>
      </c>
      <c r="C40" s="2" t="s">
        <v>301</v>
      </c>
      <c r="D40" s="2" t="s">
        <v>24</v>
      </c>
      <c r="E40" s="2" t="str">
        <f t="shared" si="0"/>
        <v>ImpresosSuministros VentaDELIVERY</v>
      </c>
      <c r="F40" s="2">
        <v>408.8</v>
      </c>
      <c r="G40" s="2">
        <v>18</v>
      </c>
      <c r="H40" s="2">
        <v>18</v>
      </c>
      <c r="I40" s="3" t="s">
        <v>67</v>
      </c>
      <c r="J40" s="3" t="s">
        <v>284</v>
      </c>
    </row>
    <row r="41" spans="2:10" x14ac:dyDescent="0.3">
      <c r="B41" s="2" t="s">
        <v>67</v>
      </c>
      <c r="C41" s="2" t="s">
        <v>301</v>
      </c>
      <c r="D41" s="2" t="s">
        <v>280</v>
      </c>
      <c r="E41" s="2" t="str">
        <f t="shared" si="0"/>
        <v>ImpresosSuministros VentaBRAZALETE CON QR</v>
      </c>
      <c r="F41" s="2">
        <v>250271.75</v>
      </c>
      <c r="G41" s="2">
        <v>182</v>
      </c>
      <c r="H41" s="2">
        <v>182</v>
      </c>
      <c r="I41" s="3" t="s">
        <v>67</v>
      </c>
      <c r="J41" s="3" t="s">
        <v>330</v>
      </c>
    </row>
    <row r="42" spans="2:10" x14ac:dyDescent="0.3">
      <c r="B42" s="2" t="s">
        <v>67</v>
      </c>
      <c r="C42" s="2" t="s">
        <v>301</v>
      </c>
      <c r="D42" s="2" t="s">
        <v>291</v>
      </c>
      <c r="E42" s="2" t="str">
        <f t="shared" si="0"/>
        <v>ImpresosSuministros VentaBOLETO PREMIUN CON QR</v>
      </c>
      <c r="F42" s="2">
        <v>3000</v>
      </c>
      <c r="G42" s="2">
        <v>4</v>
      </c>
      <c r="H42" s="2">
        <v>4</v>
      </c>
      <c r="I42" s="3" t="s">
        <v>67</v>
      </c>
      <c r="J42" s="3" t="s">
        <v>329</v>
      </c>
    </row>
    <row r="43" spans="2:10" x14ac:dyDescent="0.3">
      <c r="B43" s="2" t="s">
        <v>67</v>
      </c>
      <c r="C43" s="2" t="s">
        <v>301</v>
      </c>
      <c r="D43" s="2" t="s">
        <v>281</v>
      </c>
      <c r="E43" s="2" t="str">
        <f t="shared" si="0"/>
        <v>ImpresosSuministros VentaBOLETO FULL COLOR CON QR</v>
      </c>
      <c r="F43" s="2">
        <v>48031.66</v>
      </c>
      <c r="G43" s="2">
        <v>70</v>
      </c>
      <c r="H43" s="2">
        <v>70</v>
      </c>
      <c r="I43" s="3" t="s">
        <v>67</v>
      </c>
      <c r="J43" s="3" t="s">
        <v>326</v>
      </c>
    </row>
    <row r="44" spans="2:10" x14ac:dyDescent="0.3">
      <c r="B44" s="2" t="s">
        <v>65</v>
      </c>
      <c r="C44" s="2" t="s">
        <v>303</v>
      </c>
      <c r="D44" s="2" t="s">
        <v>285</v>
      </c>
      <c r="E44" s="2" t="str">
        <f t="shared" si="0"/>
        <v>MarketingPautaPERSONAL</v>
      </c>
      <c r="F44" s="2">
        <v>5507.38</v>
      </c>
      <c r="G44" s="2">
        <v>12</v>
      </c>
      <c r="H44" s="2">
        <v>12</v>
      </c>
      <c r="I44" s="3" t="s">
        <v>65</v>
      </c>
      <c r="J44" s="4" t="s">
        <v>327</v>
      </c>
    </row>
    <row r="45" spans="2:10" x14ac:dyDescent="0.3">
      <c r="B45" s="2" t="s">
        <v>65</v>
      </c>
      <c r="C45" s="2" t="s">
        <v>303</v>
      </c>
      <c r="D45" s="2" t="s">
        <v>272</v>
      </c>
      <c r="E45" s="2" t="str">
        <f t="shared" si="0"/>
        <v>MarketingPautaPAUTA PUBLICITARIA</v>
      </c>
      <c r="F45" s="2">
        <v>265246.38</v>
      </c>
      <c r="G45" s="2">
        <v>246</v>
      </c>
      <c r="H45" s="2">
        <v>246</v>
      </c>
      <c r="I45" s="3" t="s">
        <v>65</v>
      </c>
      <c r="J45" s="4" t="s">
        <v>327</v>
      </c>
    </row>
    <row r="46" spans="2:10" x14ac:dyDescent="0.3">
      <c r="B46" s="2" t="s">
        <v>65</v>
      </c>
      <c r="C46" s="2" t="s">
        <v>303</v>
      </c>
      <c r="D46" s="2"/>
      <c r="E46" s="2" t="str">
        <f t="shared" si="0"/>
        <v>MarketingPauta</v>
      </c>
      <c r="F46" s="2">
        <v>0</v>
      </c>
      <c r="G46" s="2">
        <v>12</v>
      </c>
      <c r="H46" s="2">
        <v>12</v>
      </c>
      <c r="I46" s="3" t="s">
        <v>65</v>
      </c>
      <c r="J46" s="4" t="s">
        <v>327</v>
      </c>
    </row>
    <row r="47" spans="2:10" x14ac:dyDescent="0.3">
      <c r="B47" s="2" t="s">
        <v>63</v>
      </c>
      <c r="C47" s="2" t="s">
        <v>289</v>
      </c>
      <c r="D47" s="2" t="s">
        <v>269</v>
      </c>
      <c r="E47" s="2" t="str">
        <f t="shared" si="0"/>
        <v>OperacionesImeSERVICIO DE DISENO</v>
      </c>
      <c r="F47" s="2">
        <v>30</v>
      </c>
      <c r="G47" s="2">
        <v>1</v>
      </c>
      <c r="H47" s="2">
        <v>1</v>
      </c>
      <c r="I47" s="3" t="s">
        <v>104</v>
      </c>
      <c r="J47" s="3" t="s">
        <v>328</v>
      </c>
    </row>
    <row r="48" spans="2:10" x14ac:dyDescent="0.3">
      <c r="B48" s="2" t="s">
        <v>63</v>
      </c>
      <c r="C48" s="2" t="s">
        <v>289</v>
      </c>
      <c r="D48" s="2" t="s">
        <v>24</v>
      </c>
      <c r="E48" s="2" t="str">
        <f t="shared" si="0"/>
        <v>OperacionesImeDELIVERY</v>
      </c>
      <c r="F48" s="2">
        <v>130</v>
      </c>
      <c r="G48" s="2">
        <v>4</v>
      </c>
      <c r="H48" s="2">
        <v>4</v>
      </c>
      <c r="I48" s="3" t="s">
        <v>67</v>
      </c>
      <c r="J48" s="3" t="s">
        <v>284</v>
      </c>
    </row>
    <row r="49" spans="2:10" x14ac:dyDescent="0.3">
      <c r="B49" s="2" t="s">
        <v>63</v>
      </c>
      <c r="C49" s="2" t="s">
        <v>286</v>
      </c>
      <c r="D49" s="2" t="s">
        <v>272</v>
      </c>
      <c r="E49" s="2" t="str">
        <f t="shared" si="0"/>
        <v>OperacionesOperativosPAUTA PUBLICITARIA</v>
      </c>
      <c r="F49" s="2">
        <v>1500</v>
      </c>
      <c r="G49" s="2">
        <v>1</v>
      </c>
      <c r="H49" s="2">
        <v>1</v>
      </c>
      <c r="I49" s="3" t="s">
        <v>65</v>
      </c>
      <c r="J49" s="4" t="s">
        <v>327</v>
      </c>
    </row>
    <row r="50" spans="2:10" x14ac:dyDescent="0.3">
      <c r="B50" s="2" t="s">
        <v>63</v>
      </c>
      <c r="C50" s="2" t="s">
        <v>286</v>
      </c>
      <c r="D50" s="2" t="s">
        <v>24</v>
      </c>
      <c r="E50" s="2" t="str">
        <f t="shared" si="0"/>
        <v>OperacionesOperativosDELIVERY</v>
      </c>
      <c r="F50" s="2">
        <v>60</v>
      </c>
      <c r="G50" s="2">
        <v>1</v>
      </c>
      <c r="H50" s="2">
        <v>1</v>
      </c>
      <c r="I50" s="3" t="s">
        <v>67</v>
      </c>
      <c r="J50" s="3" t="s">
        <v>284</v>
      </c>
    </row>
    <row r="51" spans="2:10" x14ac:dyDescent="0.3">
      <c r="B51" s="2" t="s">
        <v>63</v>
      </c>
      <c r="C51" s="2" t="s">
        <v>293</v>
      </c>
      <c r="D51" s="2" t="s">
        <v>269</v>
      </c>
      <c r="E51" s="2" t="str">
        <f t="shared" si="0"/>
        <v>OperacionesOtrosSERVICIO DE DISENO</v>
      </c>
      <c r="F51" s="2">
        <v>599.49</v>
      </c>
      <c r="G51" s="2">
        <v>8</v>
      </c>
      <c r="H51" s="2">
        <v>8</v>
      </c>
      <c r="I51" s="3" t="s">
        <v>104</v>
      </c>
      <c r="J51" s="3" t="s">
        <v>328</v>
      </c>
    </row>
    <row r="52" spans="2:10" x14ac:dyDescent="0.3">
      <c r="B52" s="2" t="s">
        <v>63</v>
      </c>
      <c r="C52" s="2" t="s">
        <v>293</v>
      </c>
      <c r="D52" s="2" t="s">
        <v>9</v>
      </c>
      <c r="E52" s="2" t="str">
        <f t="shared" si="0"/>
        <v>OperacionesOtrosSERV VALIDADORES</v>
      </c>
      <c r="F52" s="2">
        <v>1653</v>
      </c>
      <c r="G52" s="2">
        <v>3</v>
      </c>
      <c r="H52" s="2">
        <v>10</v>
      </c>
      <c r="I52" s="4" t="s">
        <v>0</v>
      </c>
      <c r="J52" s="3" t="s">
        <v>322</v>
      </c>
    </row>
    <row r="53" spans="2:10" x14ac:dyDescent="0.3">
      <c r="B53" s="2" t="s">
        <v>63</v>
      </c>
      <c r="C53" s="2" t="s">
        <v>293</v>
      </c>
      <c r="D53" s="2" t="s">
        <v>272</v>
      </c>
      <c r="E53" s="2" t="str">
        <f t="shared" si="0"/>
        <v>OperacionesOtrosPAUTA PUBLICITARIA</v>
      </c>
      <c r="F53" s="2">
        <v>2040</v>
      </c>
      <c r="G53" s="2">
        <v>1</v>
      </c>
      <c r="H53" s="2">
        <v>1</v>
      </c>
      <c r="I53" s="3" t="s">
        <v>65</v>
      </c>
      <c r="J53" s="4" t="s">
        <v>327</v>
      </c>
    </row>
    <row r="54" spans="2:10" x14ac:dyDescent="0.3">
      <c r="B54" s="2" t="s">
        <v>63</v>
      </c>
      <c r="C54" s="2" t="s">
        <v>293</v>
      </c>
      <c r="D54" s="2" t="s">
        <v>273</v>
      </c>
      <c r="E54" s="2" t="str">
        <f t="shared" si="0"/>
        <v>OperacionesOtrosFEE ADMINISTRATIVO</v>
      </c>
      <c r="F54" s="2">
        <v>300</v>
      </c>
      <c r="G54" s="2">
        <v>1</v>
      </c>
      <c r="H54" s="2">
        <v>1</v>
      </c>
      <c r="I54" s="3" t="s">
        <v>321</v>
      </c>
      <c r="J54" s="4" t="s">
        <v>310</v>
      </c>
    </row>
    <row r="55" spans="2:10" x14ac:dyDescent="0.3">
      <c r="B55" s="2" t="s">
        <v>63</v>
      </c>
      <c r="C55" s="2" t="s">
        <v>293</v>
      </c>
      <c r="D55" s="2" t="s">
        <v>24</v>
      </c>
      <c r="E55" s="2" t="str">
        <f t="shared" si="0"/>
        <v>OperacionesOtrosDELIVERY</v>
      </c>
      <c r="F55" s="2">
        <v>1265.1600000000001</v>
      </c>
      <c r="G55" s="2">
        <v>44</v>
      </c>
      <c r="H55" s="2">
        <v>73</v>
      </c>
      <c r="I55" s="3" t="s">
        <v>67</v>
      </c>
      <c r="J55" s="3" t="s">
        <v>284</v>
      </c>
    </row>
    <row r="56" spans="2:10" x14ac:dyDescent="0.3">
      <c r="B56" s="2" t="s">
        <v>63</v>
      </c>
      <c r="C56" s="2" t="s">
        <v>293</v>
      </c>
      <c r="D56" s="2" t="s">
        <v>276</v>
      </c>
      <c r="E56" s="2" t="str">
        <f t="shared" si="0"/>
        <v>OperacionesOtrosCOMISION VAOPE SEGUN CONTRATO</v>
      </c>
      <c r="F56" s="2">
        <v>5933.56</v>
      </c>
      <c r="G56" s="2">
        <v>2</v>
      </c>
      <c r="H56" s="2">
        <v>2</v>
      </c>
      <c r="I56" s="3" t="s">
        <v>321</v>
      </c>
      <c r="J56" s="4" t="s">
        <v>309</v>
      </c>
    </row>
    <row r="57" spans="2:10" x14ac:dyDescent="0.3">
      <c r="B57" s="2" t="s">
        <v>63</v>
      </c>
      <c r="C57" s="2" t="s">
        <v>293</v>
      </c>
      <c r="D57" s="2" t="s">
        <v>278</v>
      </c>
      <c r="E57" s="2" t="str">
        <f t="shared" si="0"/>
        <v>OperacionesOtrosCOMISION PAGOS DIGITALES SEGUN CONTRATO</v>
      </c>
      <c r="F57" s="2">
        <v>1224.52</v>
      </c>
      <c r="G57" s="2">
        <v>1</v>
      </c>
      <c r="H57" s="2">
        <v>1</v>
      </c>
      <c r="I57" s="3" t="s">
        <v>321</v>
      </c>
      <c r="J57" s="4" t="s">
        <v>308</v>
      </c>
    </row>
    <row r="58" spans="2:10" x14ac:dyDescent="0.3">
      <c r="B58" s="2" t="s">
        <v>63</v>
      </c>
      <c r="C58" s="2" t="s">
        <v>293</v>
      </c>
      <c r="D58" s="2" t="s">
        <v>281</v>
      </c>
      <c r="E58" s="2" t="str">
        <f t="shared" si="0"/>
        <v>OperacionesOtrosBOLETO FULL COLOR CON QR</v>
      </c>
      <c r="F58" s="2">
        <v>1200</v>
      </c>
      <c r="G58" s="2">
        <v>1</v>
      </c>
      <c r="H58" s="2">
        <v>1</v>
      </c>
      <c r="I58" s="3" t="s">
        <v>67</v>
      </c>
      <c r="J58" s="3" t="s">
        <v>326</v>
      </c>
    </row>
    <row r="59" spans="2:10" x14ac:dyDescent="0.3">
      <c r="B59" s="2" t="s">
        <v>0</v>
      </c>
      <c r="C59" s="2" t="s">
        <v>288</v>
      </c>
      <c r="D59" s="2" t="s">
        <v>304</v>
      </c>
      <c r="E59" s="2" t="str">
        <f t="shared" si="0"/>
        <v>ValidadoresPersonal temporalVENDEDOR</v>
      </c>
      <c r="F59" s="2">
        <v>6555.93</v>
      </c>
      <c r="G59" s="2">
        <v>13</v>
      </c>
      <c r="H59" s="2">
        <v>13</v>
      </c>
      <c r="I59" s="4" t="s">
        <v>0</v>
      </c>
      <c r="J59" s="3" t="s">
        <v>325</v>
      </c>
    </row>
    <row r="60" spans="2:10" x14ac:dyDescent="0.3">
      <c r="B60" s="2" t="s">
        <v>0</v>
      </c>
      <c r="C60" s="2" t="s">
        <v>288</v>
      </c>
      <c r="D60" s="2" t="s">
        <v>305</v>
      </c>
      <c r="E60" s="2" t="str">
        <f t="shared" si="0"/>
        <v>ValidadoresPersonal temporalSUPERVISOR VALIDADORES</v>
      </c>
      <c r="F60" s="2">
        <v>6880</v>
      </c>
      <c r="G60" s="2">
        <v>12</v>
      </c>
      <c r="H60" s="2">
        <v>12</v>
      </c>
      <c r="I60" s="4" t="s">
        <v>0</v>
      </c>
      <c r="J60" s="3" t="s">
        <v>324</v>
      </c>
    </row>
    <row r="61" spans="2:10" x14ac:dyDescent="0.3">
      <c r="B61" s="2" t="s">
        <v>0</v>
      </c>
      <c r="C61" s="2" t="s">
        <v>288</v>
      </c>
      <c r="D61" s="2" t="s">
        <v>9</v>
      </c>
      <c r="E61" s="2" t="str">
        <f t="shared" si="0"/>
        <v>ValidadoresPersonal temporalSERV VALIDADORES</v>
      </c>
      <c r="F61" s="2">
        <v>109304.69</v>
      </c>
      <c r="G61" s="2">
        <v>184</v>
      </c>
      <c r="H61" s="2">
        <v>184</v>
      </c>
      <c r="I61" s="4" t="s">
        <v>0</v>
      </c>
      <c r="J61" s="3" t="s">
        <v>322</v>
      </c>
    </row>
    <row r="62" spans="2:10" x14ac:dyDescent="0.3">
      <c r="B62" s="2" t="s">
        <v>0</v>
      </c>
      <c r="C62" s="2" t="s">
        <v>288</v>
      </c>
      <c r="D62" s="2" t="s">
        <v>285</v>
      </c>
      <c r="E62" s="2" t="str">
        <f t="shared" si="0"/>
        <v>ValidadoresPersonal temporalPERSONAL</v>
      </c>
      <c r="F62" s="2">
        <v>5550</v>
      </c>
      <c r="G62" s="2">
        <v>13</v>
      </c>
      <c r="H62" s="2">
        <v>13</v>
      </c>
      <c r="I62" s="4" t="s">
        <v>0</v>
      </c>
      <c r="J62" s="3" t="s">
        <v>322</v>
      </c>
    </row>
    <row r="63" spans="2:10" x14ac:dyDescent="0.3">
      <c r="B63" s="2" t="s">
        <v>0</v>
      </c>
      <c r="C63" s="2" t="s">
        <v>288</v>
      </c>
      <c r="D63" s="2" t="s">
        <v>276</v>
      </c>
      <c r="E63" s="2" t="str">
        <f t="shared" si="0"/>
        <v>ValidadoresPersonal temporalCOMISION VAOPE SEGUN CONTRATO</v>
      </c>
      <c r="F63" s="2">
        <v>291403.58</v>
      </c>
      <c r="G63" s="2">
        <v>266</v>
      </c>
      <c r="H63" s="2">
        <v>266</v>
      </c>
      <c r="I63" s="3" t="s">
        <v>321</v>
      </c>
      <c r="J63" s="4" t="s">
        <v>309</v>
      </c>
    </row>
    <row r="64" spans="2:10" x14ac:dyDescent="0.3">
      <c r="B64" s="2" t="s">
        <v>0</v>
      </c>
      <c r="C64" s="2" t="s">
        <v>288</v>
      </c>
      <c r="D64" s="2"/>
      <c r="E64" s="2" t="str">
        <f t="shared" si="0"/>
        <v>ValidadoresPersonal temporal</v>
      </c>
      <c r="F64" s="2">
        <v>0</v>
      </c>
      <c r="G64" s="2">
        <v>14</v>
      </c>
      <c r="H64" s="2">
        <v>14</v>
      </c>
      <c r="I64" s="4" t="s">
        <v>0</v>
      </c>
      <c r="J64" s="3" t="s">
        <v>322</v>
      </c>
    </row>
    <row r="65" spans="2:10" x14ac:dyDescent="0.3">
      <c r="B65" s="2" t="s">
        <v>306</v>
      </c>
      <c r="C65" s="2" t="s">
        <v>307</v>
      </c>
      <c r="D65" s="2" t="s">
        <v>279</v>
      </c>
      <c r="E65" s="2" t="str">
        <f t="shared" si="0"/>
        <v>VentaComisión CortesíaCOMISION CORTESIA</v>
      </c>
      <c r="F65" s="2">
        <v>19429.169999999998</v>
      </c>
      <c r="G65" s="2">
        <v>246</v>
      </c>
      <c r="H65" s="2">
        <v>246</v>
      </c>
      <c r="I65" s="3" t="s">
        <v>321</v>
      </c>
      <c r="J65" s="4" t="s">
        <v>323</v>
      </c>
    </row>
    <row r="66" spans="2:10" x14ac:dyDescent="0.3">
      <c r="B66" s="2" t="s">
        <v>306</v>
      </c>
      <c r="C66" s="2" t="s">
        <v>307</v>
      </c>
      <c r="D66" s="2"/>
      <c r="E66" s="2" t="str">
        <f t="shared" si="0"/>
        <v>VentaComisión Cortesía</v>
      </c>
      <c r="F66" s="2">
        <v>0</v>
      </c>
      <c r="G66" s="2">
        <v>1</v>
      </c>
      <c r="H66" s="2">
        <v>1</v>
      </c>
      <c r="I66" s="3" t="s">
        <v>321</v>
      </c>
      <c r="J66" s="4" t="s">
        <v>323</v>
      </c>
    </row>
    <row r="67" spans="2:10" x14ac:dyDescent="0.3">
      <c r="B67" s="2" t="s">
        <v>306</v>
      </c>
      <c r="C67" s="2" t="s">
        <v>308</v>
      </c>
      <c r="D67" s="2" t="s">
        <v>276</v>
      </c>
      <c r="E67" s="2" t="str">
        <f t="shared" si="0"/>
        <v>VentaComisión Pagos digitalesCOMISION VAOPE SEGUN CONTRATO</v>
      </c>
      <c r="F67" s="2">
        <v>188.73</v>
      </c>
      <c r="G67" s="2">
        <v>1</v>
      </c>
      <c r="H67" s="2">
        <v>1</v>
      </c>
      <c r="I67" s="3" t="s">
        <v>321</v>
      </c>
      <c r="J67" s="4" t="s">
        <v>309</v>
      </c>
    </row>
    <row r="68" spans="2:10" x14ac:dyDescent="0.3">
      <c r="B68" s="2" t="s">
        <v>306</v>
      </c>
      <c r="C68" s="2" t="s">
        <v>308</v>
      </c>
      <c r="D68" s="2" t="s">
        <v>278</v>
      </c>
      <c r="E68" s="2" t="str">
        <f t="shared" ref="E68:E95" si="1">+CONCATENATE(B68,C68,D68)</f>
        <v>VentaComisión Pagos digitalesCOMISION PAGOS DIGITALES SEGUN CONTRATO</v>
      </c>
      <c r="F68" s="2">
        <v>1682657.89</v>
      </c>
      <c r="G68" s="2">
        <v>1259</v>
      </c>
      <c r="H68" s="2">
        <v>1259</v>
      </c>
      <c r="I68" s="3" t="s">
        <v>321</v>
      </c>
      <c r="J68" s="4" t="s">
        <v>308</v>
      </c>
    </row>
    <row r="69" spans="2:10" x14ac:dyDescent="0.3">
      <c r="B69" s="2" t="s">
        <v>306</v>
      </c>
      <c r="C69" s="2" t="s">
        <v>308</v>
      </c>
      <c r="D69" s="2" t="s">
        <v>279</v>
      </c>
      <c r="E69" s="2" t="str">
        <f t="shared" si="1"/>
        <v>VentaComisión Pagos digitalesCOMISION CORTESIA</v>
      </c>
      <c r="F69" s="2">
        <v>6764.64</v>
      </c>
      <c r="G69" s="2">
        <v>149</v>
      </c>
      <c r="H69" s="2">
        <v>149</v>
      </c>
      <c r="I69" s="3" t="s">
        <v>321</v>
      </c>
      <c r="J69" s="4" t="s">
        <v>323</v>
      </c>
    </row>
    <row r="70" spans="2:10" x14ac:dyDescent="0.3">
      <c r="B70" s="2" t="s">
        <v>306</v>
      </c>
      <c r="C70" s="2" t="s">
        <v>308</v>
      </c>
      <c r="D70" s="2"/>
      <c r="E70" s="2" t="str">
        <f t="shared" si="1"/>
        <v>VentaComisión Pagos digitales</v>
      </c>
      <c r="F70" s="2">
        <v>0</v>
      </c>
      <c r="G70" s="2">
        <v>1</v>
      </c>
      <c r="H70" s="2">
        <v>1</v>
      </c>
      <c r="I70" s="3" t="s">
        <v>321</v>
      </c>
      <c r="J70" s="4" t="s">
        <v>308</v>
      </c>
    </row>
    <row r="71" spans="2:10" x14ac:dyDescent="0.3">
      <c r="B71" s="2" t="s">
        <v>306</v>
      </c>
      <c r="C71" s="2" t="s">
        <v>309</v>
      </c>
      <c r="D71" s="2" t="s">
        <v>276</v>
      </c>
      <c r="E71" s="2" t="str">
        <f t="shared" si="1"/>
        <v>VentaComisión VaopeCOMISION VAOPE SEGUN CONTRATO</v>
      </c>
      <c r="F71" s="2">
        <v>1086974.06</v>
      </c>
      <c r="G71" s="2">
        <v>978</v>
      </c>
      <c r="H71" s="2">
        <v>978</v>
      </c>
      <c r="I71" s="3" t="s">
        <v>321</v>
      </c>
      <c r="J71" s="4" t="s">
        <v>309</v>
      </c>
    </row>
    <row r="72" spans="2:10" x14ac:dyDescent="0.3">
      <c r="B72" s="2" t="s">
        <v>306</v>
      </c>
      <c r="C72" s="2" t="s">
        <v>309</v>
      </c>
      <c r="D72" s="2" t="s">
        <v>279</v>
      </c>
      <c r="E72" s="2" t="str">
        <f t="shared" si="1"/>
        <v>VentaComisión VaopeCOMISION CORTESIA</v>
      </c>
      <c r="F72" s="2">
        <v>88.5</v>
      </c>
      <c r="G72" s="2">
        <v>1</v>
      </c>
      <c r="H72" s="2">
        <v>1</v>
      </c>
      <c r="I72" s="3" t="s">
        <v>321</v>
      </c>
      <c r="J72" s="4" t="s">
        <v>323</v>
      </c>
    </row>
    <row r="73" spans="2:10" x14ac:dyDescent="0.3">
      <c r="B73" s="2" t="s">
        <v>306</v>
      </c>
      <c r="C73" s="2" t="s">
        <v>309</v>
      </c>
      <c r="D73" s="2"/>
      <c r="E73" s="2" t="str">
        <f t="shared" si="1"/>
        <v>VentaComisión Vaope</v>
      </c>
      <c r="F73" s="2">
        <v>0</v>
      </c>
      <c r="G73" s="2">
        <v>1</v>
      </c>
      <c r="H73" s="2">
        <v>1</v>
      </c>
      <c r="I73" s="3" t="s">
        <v>321</v>
      </c>
      <c r="J73" s="4" t="s">
        <v>309</v>
      </c>
    </row>
    <row r="74" spans="2:10" x14ac:dyDescent="0.3">
      <c r="B74" s="2" t="s">
        <v>306</v>
      </c>
      <c r="C74" s="2" t="s">
        <v>284</v>
      </c>
      <c r="D74" s="2" t="s">
        <v>24</v>
      </c>
      <c r="E74" s="2" t="str">
        <f t="shared" si="1"/>
        <v>VentaDeliveryDELIVERY</v>
      </c>
      <c r="F74" s="2">
        <v>3227.04</v>
      </c>
      <c r="G74" s="2">
        <v>32</v>
      </c>
      <c r="H74" s="2">
        <v>32</v>
      </c>
      <c r="I74" s="3" t="s">
        <v>67</v>
      </c>
      <c r="J74" s="3" t="s">
        <v>284</v>
      </c>
    </row>
    <row r="75" spans="2:10" x14ac:dyDescent="0.3">
      <c r="B75" s="2" t="s">
        <v>306</v>
      </c>
      <c r="C75" s="2" t="s">
        <v>310</v>
      </c>
      <c r="D75" s="2" t="s">
        <v>273</v>
      </c>
      <c r="E75" s="2" t="str">
        <f t="shared" si="1"/>
        <v>VentaFee AdministrativoFEE ADMINISTRATIVO</v>
      </c>
      <c r="F75" s="2">
        <v>9210</v>
      </c>
      <c r="G75" s="2">
        <v>80</v>
      </c>
      <c r="H75" s="2">
        <v>80</v>
      </c>
      <c r="I75" s="3" t="s">
        <v>321</v>
      </c>
      <c r="J75" s="4" t="s">
        <v>310</v>
      </c>
    </row>
    <row r="76" spans="2:10" x14ac:dyDescent="0.3">
      <c r="B76" s="2" t="s">
        <v>306</v>
      </c>
      <c r="C76" s="2" t="s">
        <v>311</v>
      </c>
      <c r="D76" s="2" t="s">
        <v>9</v>
      </c>
      <c r="E76" s="2" t="str">
        <f t="shared" si="1"/>
        <v>VentaPunto de VentaSERV VALIDADORES</v>
      </c>
      <c r="F76" s="2">
        <v>300</v>
      </c>
      <c r="G76" s="2">
        <v>1</v>
      </c>
      <c r="H76" s="2">
        <v>1</v>
      </c>
      <c r="I76" s="3" t="s">
        <v>0</v>
      </c>
      <c r="J76" s="3" t="s">
        <v>322</v>
      </c>
    </row>
    <row r="77" spans="2:10" x14ac:dyDescent="0.3">
      <c r="B77" s="2" t="s">
        <v>306</v>
      </c>
      <c r="C77" s="2" t="s">
        <v>311</v>
      </c>
      <c r="D77" s="2" t="s">
        <v>271</v>
      </c>
      <c r="E77" s="2" t="str">
        <f t="shared" si="1"/>
        <v>VentaPunto de VentaPUNTO DE VENTA</v>
      </c>
      <c r="F77" s="2">
        <v>3126.2</v>
      </c>
      <c r="G77" s="2">
        <v>39</v>
      </c>
      <c r="H77" s="2">
        <v>39</v>
      </c>
      <c r="I77" s="3" t="s">
        <v>321</v>
      </c>
      <c r="J77" s="3" t="s">
        <v>311</v>
      </c>
    </row>
    <row r="78" spans="2:10" x14ac:dyDescent="0.3">
      <c r="B78" s="2" t="s">
        <v>306</v>
      </c>
      <c r="C78" s="2" t="s">
        <v>312</v>
      </c>
      <c r="D78" s="2" t="s">
        <v>270</v>
      </c>
      <c r="E78" s="2" t="str">
        <f t="shared" si="1"/>
        <v>VentaServicio DevolucionesSERV DEVOLUCIONES</v>
      </c>
      <c r="F78" s="2">
        <v>2792.07</v>
      </c>
      <c r="G78" s="2">
        <v>13</v>
      </c>
      <c r="H78" s="2">
        <v>13</v>
      </c>
      <c r="I78" s="3" t="s">
        <v>321</v>
      </c>
      <c r="J78" s="3" t="s">
        <v>312</v>
      </c>
    </row>
    <row r="79" spans="2:10" x14ac:dyDescent="0.3">
      <c r="B79" s="2"/>
      <c r="C79" s="2"/>
      <c r="D79" s="2" t="s">
        <v>268</v>
      </c>
      <c r="E79" s="2" t="str">
        <f t="shared" si="1"/>
        <v>VOUCHER IMPRESO CON QR</v>
      </c>
      <c r="F79" s="2">
        <v>900</v>
      </c>
      <c r="G79" s="2">
        <v>4</v>
      </c>
      <c r="H79" s="2">
        <v>3000</v>
      </c>
      <c r="I79" s="3" t="s">
        <v>67</v>
      </c>
      <c r="J79" s="3" t="s">
        <v>333</v>
      </c>
    </row>
    <row r="80" spans="2:10" x14ac:dyDescent="0.3">
      <c r="B80" s="2"/>
      <c r="C80" s="2"/>
      <c r="D80" s="2" t="s">
        <v>269</v>
      </c>
      <c r="E80" s="2" t="str">
        <f t="shared" si="1"/>
        <v>SERVICIO DE DISENO</v>
      </c>
      <c r="F80" s="2">
        <v>820</v>
      </c>
      <c r="G80" s="2">
        <v>16</v>
      </c>
      <c r="H80" s="2">
        <v>17</v>
      </c>
      <c r="I80" s="3" t="s">
        <v>104</v>
      </c>
      <c r="J80" s="3" t="s">
        <v>328</v>
      </c>
    </row>
    <row r="81" spans="2:10" x14ac:dyDescent="0.3">
      <c r="B81" s="2"/>
      <c r="C81" s="2"/>
      <c r="D81" s="2" t="s">
        <v>9</v>
      </c>
      <c r="E81" s="2" t="str">
        <f t="shared" si="1"/>
        <v>SERV VALIDADORES</v>
      </c>
      <c r="F81" s="2">
        <v>900</v>
      </c>
      <c r="G81" s="2">
        <v>4</v>
      </c>
      <c r="H81" s="2">
        <v>4</v>
      </c>
      <c r="I81" s="3" t="s">
        <v>0</v>
      </c>
      <c r="J81" s="3" t="s">
        <v>322</v>
      </c>
    </row>
    <row r="82" spans="2:10" x14ac:dyDescent="0.3">
      <c r="B82" s="2"/>
      <c r="C82" s="2"/>
      <c r="D82" s="2" t="s">
        <v>270</v>
      </c>
      <c r="E82" s="2" t="str">
        <f t="shared" si="1"/>
        <v>SERV DEVOLUCIONES</v>
      </c>
      <c r="F82" s="2">
        <v>5551.94</v>
      </c>
      <c r="G82" s="2">
        <v>18</v>
      </c>
      <c r="H82" s="2">
        <v>18</v>
      </c>
      <c r="I82" s="3" t="s">
        <v>321</v>
      </c>
      <c r="J82" s="3" t="s">
        <v>312</v>
      </c>
    </row>
    <row r="83" spans="2:10" x14ac:dyDescent="0.3">
      <c r="B83" s="2"/>
      <c r="C83" s="2"/>
      <c r="D83" s="2" t="s">
        <v>271</v>
      </c>
      <c r="E83" s="2" t="str">
        <f t="shared" si="1"/>
        <v>PUNTO DE VENTA</v>
      </c>
      <c r="F83" s="2">
        <v>2460.81</v>
      </c>
      <c r="G83" s="2">
        <v>44</v>
      </c>
      <c r="H83" s="2">
        <v>44</v>
      </c>
      <c r="I83" s="3" t="s">
        <v>321</v>
      </c>
      <c r="J83" s="3" t="s">
        <v>311</v>
      </c>
    </row>
    <row r="84" spans="2:10" x14ac:dyDescent="0.3">
      <c r="B84" s="2"/>
      <c r="C84" s="2"/>
      <c r="D84" s="2" t="s">
        <v>272</v>
      </c>
      <c r="E84" s="2" t="str">
        <f t="shared" si="1"/>
        <v>PAUTA PUBLICITARIA</v>
      </c>
      <c r="F84" s="2">
        <v>7583.38</v>
      </c>
      <c r="G84" s="2">
        <v>5</v>
      </c>
      <c r="H84" s="2">
        <v>5</v>
      </c>
      <c r="I84" s="3" t="s">
        <v>65</v>
      </c>
      <c r="J84" s="3" t="s">
        <v>327</v>
      </c>
    </row>
    <row r="85" spans="2:10" x14ac:dyDescent="0.3">
      <c r="B85" s="2"/>
      <c r="C85" s="2"/>
      <c r="D85" s="2" t="s">
        <v>273</v>
      </c>
      <c r="E85" s="2" t="str">
        <f t="shared" si="1"/>
        <v>FEE ADMINISTRATIVO</v>
      </c>
      <c r="F85" s="2">
        <v>300</v>
      </c>
      <c r="G85" s="2">
        <v>3</v>
      </c>
      <c r="H85" s="2">
        <v>3</v>
      </c>
      <c r="I85" s="3" t="s">
        <v>321</v>
      </c>
      <c r="J85" s="3" t="s">
        <v>310</v>
      </c>
    </row>
    <row r="86" spans="2:10" x14ac:dyDescent="0.3">
      <c r="B86" s="2"/>
      <c r="C86" s="2"/>
      <c r="D86" s="2" t="s">
        <v>274</v>
      </c>
      <c r="E86" s="2" t="str">
        <f t="shared" si="1"/>
        <v>ENTRADAS IMPRESAS</v>
      </c>
      <c r="F86" s="2">
        <v>6530.51</v>
      </c>
      <c r="G86" s="2">
        <v>5</v>
      </c>
      <c r="H86" s="2">
        <v>5</v>
      </c>
      <c r="I86" s="3" t="s">
        <v>67</v>
      </c>
      <c r="J86" s="3" t="s">
        <v>331</v>
      </c>
    </row>
    <row r="87" spans="2:10" x14ac:dyDescent="0.3">
      <c r="B87" s="2"/>
      <c r="C87" s="2"/>
      <c r="D87" s="2" t="s">
        <v>275</v>
      </c>
      <c r="E87" s="2" t="str">
        <f t="shared" si="1"/>
        <v>Descuento</v>
      </c>
      <c r="F87" s="2">
        <v>-2961.2</v>
      </c>
      <c r="G87" s="2">
        <v>18</v>
      </c>
      <c r="H87" s="2">
        <v>18</v>
      </c>
      <c r="I87" s="3"/>
      <c r="J87" s="3"/>
    </row>
    <row r="88" spans="2:10" x14ac:dyDescent="0.3">
      <c r="B88" s="2"/>
      <c r="C88" s="2"/>
      <c r="D88" s="2" t="s">
        <v>24</v>
      </c>
      <c r="E88" s="2" t="str">
        <f t="shared" si="1"/>
        <v>DELIVERY</v>
      </c>
      <c r="F88" s="2">
        <v>439.6</v>
      </c>
      <c r="G88" s="2">
        <v>15</v>
      </c>
      <c r="H88" s="2">
        <v>44</v>
      </c>
      <c r="I88" s="3" t="s">
        <v>67</v>
      </c>
      <c r="J88" s="3" t="s">
        <v>284</v>
      </c>
    </row>
    <row r="89" spans="2:10" x14ac:dyDescent="0.3">
      <c r="B89" s="2"/>
      <c r="C89" s="2"/>
      <c r="D89" s="2" t="s">
        <v>276</v>
      </c>
      <c r="E89" s="2" t="str">
        <f t="shared" si="1"/>
        <v>COMISION VAOPE SEGUN CONTRATO</v>
      </c>
      <c r="F89" s="2">
        <v>32637.42</v>
      </c>
      <c r="G89" s="2">
        <v>21</v>
      </c>
      <c r="H89" s="2">
        <v>21</v>
      </c>
      <c r="I89" s="3" t="s">
        <v>321</v>
      </c>
      <c r="J89" s="4" t="s">
        <v>309</v>
      </c>
    </row>
    <row r="90" spans="2:10" x14ac:dyDescent="0.3">
      <c r="B90" s="2"/>
      <c r="C90" s="2"/>
      <c r="D90" s="2" t="s">
        <v>277</v>
      </c>
      <c r="E90" s="2" t="str">
        <f t="shared" si="1"/>
        <v>COMISION POS VENTA TAQUILLA</v>
      </c>
      <c r="F90" s="2">
        <v>894.19</v>
      </c>
      <c r="G90" s="2">
        <v>1</v>
      </c>
      <c r="H90" s="2">
        <v>1</v>
      </c>
      <c r="I90" s="3"/>
      <c r="J90" s="3"/>
    </row>
    <row r="91" spans="2:10" x14ac:dyDescent="0.3">
      <c r="B91" s="2"/>
      <c r="C91" s="2"/>
      <c r="D91" s="2" t="s">
        <v>278</v>
      </c>
      <c r="E91" s="2" t="str">
        <f t="shared" si="1"/>
        <v>COMISION PAGOS DIGITALES SEGUN CONTRATO</v>
      </c>
      <c r="F91" s="2">
        <v>35689.449999999997</v>
      </c>
      <c r="G91" s="2">
        <v>24</v>
      </c>
      <c r="H91" s="2">
        <v>24</v>
      </c>
      <c r="I91" s="3" t="s">
        <v>321</v>
      </c>
      <c r="J91" s="4" t="s">
        <v>308</v>
      </c>
    </row>
    <row r="92" spans="2:10" x14ac:dyDescent="0.3">
      <c r="B92" s="2"/>
      <c r="C92" s="2"/>
      <c r="D92" s="2" t="s">
        <v>279</v>
      </c>
      <c r="E92" s="2" t="str">
        <f t="shared" si="1"/>
        <v>COMISION CORTESIA</v>
      </c>
      <c r="F92" s="2">
        <v>306.39999999999998</v>
      </c>
      <c r="G92" s="2">
        <v>9</v>
      </c>
      <c r="H92" s="2">
        <v>9</v>
      </c>
      <c r="I92" s="3" t="s">
        <v>321</v>
      </c>
      <c r="J92" s="4" t="s">
        <v>323</v>
      </c>
    </row>
    <row r="93" spans="2:10" x14ac:dyDescent="0.3">
      <c r="B93" s="2"/>
      <c r="C93" s="2"/>
      <c r="D93" s="2" t="s">
        <v>280</v>
      </c>
      <c r="E93" s="2" t="str">
        <f t="shared" si="1"/>
        <v>BRAZALETE CON QR</v>
      </c>
      <c r="F93" s="2">
        <v>7340</v>
      </c>
      <c r="G93" s="2">
        <v>5</v>
      </c>
      <c r="H93" s="2">
        <v>11400</v>
      </c>
      <c r="I93" s="3" t="s">
        <v>67</v>
      </c>
      <c r="J93" s="3" t="s">
        <v>330</v>
      </c>
    </row>
    <row r="94" spans="2:10" x14ac:dyDescent="0.3">
      <c r="B94" s="2"/>
      <c r="C94" s="2"/>
      <c r="D94" s="2" t="s">
        <v>281</v>
      </c>
      <c r="E94" s="2" t="str">
        <f t="shared" si="1"/>
        <v>BOLETO FULL COLOR CON QR</v>
      </c>
      <c r="F94" s="2">
        <v>5000</v>
      </c>
      <c r="G94" s="2">
        <v>4</v>
      </c>
      <c r="H94" s="2">
        <v>12500</v>
      </c>
      <c r="I94" s="3" t="s">
        <v>67</v>
      </c>
      <c r="J94" s="3" t="s">
        <v>326</v>
      </c>
    </row>
    <row r="95" spans="2:10" x14ac:dyDescent="0.3">
      <c r="B95" s="2"/>
      <c r="C95" s="2"/>
      <c r="D95" s="2"/>
      <c r="E95" s="2" t="str">
        <f t="shared" si="1"/>
        <v/>
      </c>
      <c r="F95" s="2">
        <v>0</v>
      </c>
      <c r="G95" s="2">
        <v>2</v>
      </c>
      <c r="H95" s="2">
        <v>2</v>
      </c>
      <c r="I95" s="3"/>
      <c r="J95" s="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3C79D-2A69-4A2F-A800-F976E340E0A5}">
  <dimension ref="B3:F42"/>
  <sheetViews>
    <sheetView workbookViewId="0">
      <selection activeCell="B10" sqref="B10"/>
    </sheetView>
  </sheetViews>
  <sheetFormatPr baseColWidth="10" defaultRowHeight="14.4" x14ac:dyDescent="0.3"/>
  <cols>
    <col min="2" max="2" width="26.88671875" bestFit="1" customWidth="1"/>
    <col min="3" max="3" width="19.21875" bestFit="1" customWidth="1"/>
    <col min="5" max="5" width="26.88671875" bestFit="1" customWidth="1"/>
    <col min="6" max="6" width="19.21875" bestFit="1" customWidth="1"/>
  </cols>
  <sheetData>
    <row r="3" spans="2:6" x14ac:dyDescent="0.3">
      <c r="B3" s="7" t="s">
        <v>344</v>
      </c>
      <c r="C3" t="s">
        <v>345</v>
      </c>
      <c r="E3" s="7" t="s">
        <v>344</v>
      </c>
      <c r="F3" t="s">
        <v>345</v>
      </c>
    </row>
    <row r="4" spans="2:6" x14ac:dyDescent="0.3">
      <c r="B4" s="8" t="s">
        <v>282</v>
      </c>
      <c r="C4">
        <v>832.5</v>
      </c>
      <c r="E4" s="8" t="s">
        <v>282</v>
      </c>
      <c r="F4">
        <v>832.5</v>
      </c>
    </row>
    <row r="5" spans="2:6" x14ac:dyDescent="0.3">
      <c r="B5" s="9" t="s">
        <v>44</v>
      </c>
      <c r="C5">
        <v>0</v>
      </c>
      <c r="E5" s="9" t="s">
        <v>44</v>
      </c>
      <c r="F5">
        <v>0</v>
      </c>
    </row>
    <row r="6" spans="2:6" x14ac:dyDescent="0.3">
      <c r="B6" s="9" t="s">
        <v>284</v>
      </c>
      <c r="C6">
        <v>0</v>
      </c>
      <c r="E6" s="9" t="s">
        <v>284</v>
      </c>
      <c r="F6">
        <v>0</v>
      </c>
    </row>
    <row r="7" spans="2:6" x14ac:dyDescent="0.3">
      <c r="B7" s="9" t="s">
        <v>310</v>
      </c>
      <c r="C7">
        <v>600</v>
      </c>
      <c r="E7" s="9" t="s">
        <v>310</v>
      </c>
      <c r="F7">
        <v>600</v>
      </c>
    </row>
    <row r="8" spans="2:6" x14ac:dyDescent="0.3">
      <c r="B8" s="9" t="s">
        <v>337</v>
      </c>
      <c r="C8">
        <v>0</v>
      </c>
      <c r="E8" s="9" t="s">
        <v>337</v>
      </c>
      <c r="F8">
        <v>0</v>
      </c>
    </row>
    <row r="9" spans="2:6" x14ac:dyDescent="0.3">
      <c r="B9" s="9" t="s">
        <v>338</v>
      </c>
      <c r="C9">
        <v>232.5</v>
      </c>
      <c r="E9" s="9" t="s">
        <v>338</v>
      </c>
      <c r="F9">
        <v>232.5</v>
      </c>
    </row>
    <row r="10" spans="2:6" x14ac:dyDescent="0.3">
      <c r="B10" s="8" t="s">
        <v>104</v>
      </c>
      <c r="C10">
        <v>2569.4899999999998</v>
      </c>
      <c r="E10" s="8" t="s">
        <v>104</v>
      </c>
      <c r="F10">
        <v>2569.4899999999998</v>
      </c>
    </row>
    <row r="11" spans="2:6" x14ac:dyDescent="0.3">
      <c r="B11" s="9" t="s">
        <v>338</v>
      </c>
      <c r="C11">
        <v>1000</v>
      </c>
      <c r="E11" s="9" t="s">
        <v>338</v>
      </c>
      <c r="F11">
        <v>1000</v>
      </c>
    </row>
    <row r="12" spans="2:6" x14ac:dyDescent="0.3">
      <c r="B12" s="9" t="s">
        <v>328</v>
      </c>
      <c r="C12">
        <v>1569.49</v>
      </c>
      <c r="E12" s="9" t="s">
        <v>328</v>
      </c>
      <c r="F12">
        <v>1569.49</v>
      </c>
    </row>
    <row r="13" spans="2:6" x14ac:dyDescent="0.3">
      <c r="B13" s="8" t="s">
        <v>67</v>
      </c>
      <c r="C13">
        <v>970493.26</v>
      </c>
      <c r="E13" s="8" t="s">
        <v>67</v>
      </c>
      <c r="F13">
        <v>970493.26</v>
      </c>
    </row>
    <row r="14" spans="2:6" x14ac:dyDescent="0.3">
      <c r="B14" s="9" t="s">
        <v>326</v>
      </c>
      <c r="C14">
        <v>126591.66</v>
      </c>
      <c r="E14" s="9" t="s">
        <v>326</v>
      </c>
      <c r="F14">
        <v>126591.66</v>
      </c>
    </row>
    <row r="15" spans="2:6" x14ac:dyDescent="0.3">
      <c r="B15" s="9" t="s">
        <v>329</v>
      </c>
      <c r="C15">
        <v>18300</v>
      </c>
      <c r="E15" s="9" t="s">
        <v>329</v>
      </c>
      <c r="F15">
        <v>18300</v>
      </c>
    </row>
    <row r="16" spans="2:6" x14ac:dyDescent="0.3">
      <c r="B16" s="9" t="s">
        <v>330</v>
      </c>
      <c r="C16">
        <v>346906.75</v>
      </c>
      <c r="E16" s="9" t="s">
        <v>330</v>
      </c>
      <c r="F16">
        <v>346906.75</v>
      </c>
    </row>
    <row r="17" spans="2:6" x14ac:dyDescent="0.3">
      <c r="B17" s="9" t="s">
        <v>334</v>
      </c>
      <c r="C17">
        <v>1230</v>
      </c>
      <c r="E17" s="9" t="s">
        <v>334</v>
      </c>
      <c r="F17">
        <v>1230</v>
      </c>
    </row>
    <row r="18" spans="2:6" x14ac:dyDescent="0.3">
      <c r="B18" s="9" t="s">
        <v>335</v>
      </c>
      <c r="C18">
        <v>3176.5</v>
      </c>
      <c r="E18" s="9" t="s">
        <v>335</v>
      </c>
      <c r="F18">
        <v>3176.5</v>
      </c>
    </row>
    <row r="19" spans="2:6" x14ac:dyDescent="0.3">
      <c r="B19" s="9" t="s">
        <v>284</v>
      </c>
      <c r="C19">
        <v>5600.6</v>
      </c>
      <c r="E19" s="9" t="s">
        <v>284</v>
      </c>
      <c r="F19">
        <v>5600.6</v>
      </c>
    </row>
    <row r="20" spans="2:6" x14ac:dyDescent="0.3">
      <c r="B20" s="9" t="s">
        <v>331</v>
      </c>
      <c r="C20">
        <v>427719.61</v>
      </c>
      <c r="E20" s="9" t="s">
        <v>331</v>
      </c>
      <c r="F20">
        <v>427719.61</v>
      </c>
    </row>
    <row r="21" spans="2:6" x14ac:dyDescent="0.3">
      <c r="B21" s="9" t="s">
        <v>336</v>
      </c>
      <c r="C21">
        <v>7910.66</v>
      </c>
      <c r="E21" s="9" t="s">
        <v>336</v>
      </c>
      <c r="F21">
        <v>7910.66</v>
      </c>
    </row>
    <row r="22" spans="2:6" x14ac:dyDescent="0.3">
      <c r="B22" s="9" t="s">
        <v>337</v>
      </c>
      <c r="C22">
        <v>0</v>
      </c>
      <c r="E22" s="9" t="s">
        <v>337</v>
      </c>
      <c r="F22">
        <v>0</v>
      </c>
    </row>
    <row r="23" spans="2:6" x14ac:dyDescent="0.3">
      <c r="B23" s="9" t="s">
        <v>338</v>
      </c>
      <c r="C23">
        <v>152.5</v>
      </c>
      <c r="E23" s="9" t="s">
        <v>338</v>
      </c>
      <c r="F23">
        <v>152.5</v>
      </c>
    </row>
    <row r="24" spans="2:6" x14ac:dyDescent="0.3">
      <c r="B24" s="9" t="s">
        <v>339</v>
      </c>
      <c r="C24">
        <v>7710</v>
      </c>
      <c r="E24" s="9" t="s">
        <v>339</v>
      </c>
      <c r="F24">
        <v>7710</v>
      </c>
    </row>
    <row r="25" spans="2:6" x14ac:dyDescent="0.3">
      <c r="B25" s="9" t="s">
        <v>332</v>
      </c>
      <c r="C25">
        <v>5890</v>
      </c>
      <c r="E25" s="9" t="s">
        <v>332</v>
      </c>
      <c r="F25">
        <v>5890</v>
      </c>
    </row>
    <row r="26" spans="2:6" x14ac:dyDescent="0.3">
      <c r="B26" s="9" t="s">
        <v>333</v>
      </c>
      <c r="C26">
        <v>19304.98</v>
      </c>
      <c r="E26" s="9" t="s">
        <v>333</v>
      </c>
      <c r="F26">
        <v>19304.98</v>
      </c>
    </row>
    <row r="27" spans="2:6" x14ac:dyDescent="0.3">
      <c r="B27" s="8" t="s">
        <v>65</v>
      </c>
      <c r="C27">
        <v>281877.14</v>
      </c>
      <c r="E27" s="8" t="s">
        <v>65</v>
      </c>
      <c r="F27">
        <v>281877.14</v>
      </c>
    </row>
    <row r="28" spans="2:6" x14ac:dyDescent="0.3">
      <c r="B28" s="9" t="s">
        <v>327</v>
      </c>
      <c r="C28">
        <v>281877.14</v>
      </c>
      <c r="E28" s="9" t="s">
        <v>327</v>
      </c>
      <c r="F28">
        <v>281877.14</v>
      </c>
    </row>
    <row r="29" spans="2:6" x14ac:dyDescent="0.3">
      <c r="B29" s="8" t="s">
        <v>337</v>
      </c>
      <c r="C29">
        <v>-2067.0099999999998</v>
      </c>
      <c r="E29" s="8" t="s">
        <v>337</v>
      </c>
      <c r="F29">
        <v>-2067.0099999999998</v>
      </c>
    </row>
    <row r="30" spans="2:6" x14ac:dyDescent="0.3">
      <c r="B30" s="9" t="s">
        <v>337</v>
      </c>
      <c r="C30">
        <v>-2067.0099999999998</v>
      </c>
      <c r="E30" s="9" t="s">
        <v>337</v>
      </c>
      <c r="F30">
        <v>-2067.0099999999998</v>
      </c>
    </row>
    <row r="31" spans="2:6" x14ac:dyDescent="0.3">
      <c r="B31" s="8" t="s">
        <v>0</v>
      </c>
      <c r="C31">
        <v>131143.62</v>
      </c>
      <c r="E31" s="8" t="s">
        <v>0</v>
      </c>
      <c r="F31">
        <v>131143.62</v>
      </c>
    </row>
    <row r="32" spans="2:6" x14ac:dyDescent="0.3">
      <c r="B32" s="9" t="s">
        <v>322</v>
      </c>
      <c r="C32">
        <v>117707.69</v>
      </c>
      <c r="E32" s="9" t="s">
        <v>322</v>
      </c>
      <c r="F32">
        <v>117707.69</v>
      </c>
    </row>
    <row r="33" spans="2:6" x14ac:dyDescent="0.3">
      <c r="B33" s="9" t="s">
        <v>324</v>
      </c>
      <c r="C33">
        <v>6880</v>
      </c>
      <c r="E33" s="9" t="s">
        <v>324</v>
      </c>
      <c r="F33">
        <v>6880</v>
      </c>
    </row>
    <row r="34" spans="2:6" x14ac:dyDescent="0.3">
      <c r="B34" s="9" t="s">
        <v>325</v>
      </c>
      <c r="C34">
        <v>6555.93</v>
      </c>
      <c r="E34" s="9" t="s">
        <v>325</v>
      </c>
      <c r="F34">
        <v>6555.93</v>
      </c>
    </row>
    <row r="35" spans="2:6" x14ac:dyDescent="0.3">
      <c r="B35" s="8" t="s">
        <v>321</v>
      </c>
      <c r="C35">
        <v>3386508.5600000005</v>
      </c>
      <c r="E35" s="8" t="s">
        <v>321</v>
      </c>
      <c r="F35">
        <v>3386508.5600000005</v>
      </c>
    </row>
    <row r="36" spans="2:6" x14ac:dyDescent="0.3">
      <c r="B36" s="9" t="s">
        <v>310</v>
      </c>
      <c r="C36">
        <v>9810</v>
      </c>
      <c r="E36" s="9" t="s">
        <v>310</v>
      </c>
      <c r="F36">
        <v>9810</v>
      </c>
    </row>
    <row r="37" spans="2:6" x14ac:dyDescent="0.3">
      <c r="B37" s="9" t="s">
        <v>311</v>
      </c>
      <c r="C37">
        <v>5587.01</v>
      </c>
      <c r="E37" s="9" t="s">
        <v>311</v>
      </c>
      <c r="F37">
        <v>5587.01</v>
      </c>
    </row>
    <row r="38" spans="2:6" x14ac:dyDescent="0.3">
      <c r="B38" s="9" t="s">
        <v>312</v>
      </c>
      <c r="C38">
        <v>8344.01</v>
      </c>
      <c r="E38" s="9" t="s">
        <v>312</v>
      </c>
      <c r="F38">
        <v>8344.01</v>
      </c>
    </row>
    <row r="39" spans="2:6" x14ac:dyDescent="0.3">
      <c r="B39" s="9" t="s">
        <v>349</v>
      </c>
      <c r="C39">
        <v>28944.639999999996</v>
      </c>
      <c r="E39" s="9" t="s">
        <v>349</v>
      </c>
      <c r="F39">
        <v>28944.639999999996</v>
      </c>
    </row>
    <row r="40" spans="2:6" x14ac:dyDescent="0.3">
      <c r="B40" s="9" t="s">
        <v>350</v>
      </c>
      <c r="C40">
        <v>1834946.3</v>
      </c>
      <c r="E40" s="9" t="s">
        <v>350</v>
      </c>
      <c r="F40">
        <v>1834946.3</v>
      </c>
    </row>
    <row r="41" spans="2:6" x14ac:dyDescent="0.3">
      <c r="B41" s="9" t="s">
        <v>348</v>
      </c>
      <c r="C41">
        <v>1498876.6000000006</v>
      </c>
      <c r="E41" s="9" t="s">
        <v>348</v>
      </c>
      <c r="F41">
        <v>1498876.6000000006</v>
      </c>
    </row>
    <row r="42" spans="2:6" x14ac:dyDescent="0.3">
      <c r="B42" s="8" t="s">
        <v>346</v>
      </c>
      <c r="C42">
        <v>4771357.5600000005</v>
      </c>
      <c r="E42" s="8" t="s">
        <v>346</v>
      </c>
      <c r="F42">
        <v>4771357.5600000005</v>
      </c>
    </row>
  </sheetData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7B4F0-AC58-4CAC-A6E1-FB3D61B1782E}">
  <dimension ref="B2:L193"/>
  <sheetViews>
    <sheetView tabSelected="1" workbookViewId="0">
      <selection activeCell="D134" sqref="D134"/>
    </sheetView>
  </sheetViews>
  <sheetFormatPr baseColWidth="10" defaultRowHeight="14.4" x14ac:dyDescent="0.3"/>
  <cols>
    <col min="1" max="1" width="4.33203125" customWidth="1"/>
    <col min="2" max="2" width="23.88671875" bestFit="1" customWidth="1"/>
    <col min="3" max="3" width="25.44140625" customWidth="1"/>
    <col min="4" max="4" width="55.109375" customWidth="1"/>
    <col min="5" max="5" width="15.6640625" customWidth="1"/>
    <col min="6" max="6" width="12.77734375" customWidth="1"/>
    <col min="7" max="7" width="26.77734375" bestFit="1" customWidth="1"/>
    <col min="8" max="8" width="14" customWidth="1"/>
    <col min="9" max="9" width="5" bestFit="1" customWidth="1"/>
    <col min="10" max="10" width="18.77734375" customWidth="1"/>
    <col min="11" max="11" width="19.33203125" customWidth="1"/>
    <col min="12" max="12" width="23.77734375" bestFit="1" customWidth="1"/>
  </cols>
  <sheetData>
    <row r="2" spans="2:12" x14ac:dyDescent="0.3">
      <c r="B2" s="5" t="s">
        <v>313</v>
      </c>
      <c r="C2" s="5" t="s">
        <v>314</v>
      </c>
      <c r="D2" s="5" t="s">
        <v>315</v>
      </c>
      <c r="E2" s="5" t="s">
        <v>341</v>
      </c>
      <c r="F2" s="5" t="s">
        <v>342</v>
      </c>
      <c r="G2" t="s">
        <v>347</v>
      </c>
      <c r="H2" s="5" t="s">
        <v>316</v>
      </c>
      <c r="I2" s="5" t="s">
        <v>317</v>
      </c>
      <c r="J2" s="5" t="s">
        <v>318</v>
      </c>
      <c r="K2" s="10" t="s">
        <v>319</v>
      </c>
      <c r="L2" s="10" t="s">
        <v>320</v>
      </c>
    </row>
    <row r="3" spans="2:12" hidden="1" x14ac:dyDescent="0.3">
      <c r="B3" s="2" t="s">
        <v>282</v>
      </c>
      <c r="C3" s="2" t="s">
        <v>44</v>
      </c>
      <c r="D3" s="2"/>
      <c r="E3" s="2">
        <v>105</v>
      </c>
      <c r="F3" s="2">
        <v>0</v>
      </c>
      <c r="G3" s="2" t="str">
        <f t="shared" ref="G3:G34" si="0">IF(
    AND(OR(E3="",E3=0), OR(F3="",F3=0)),
    "0-0",
    IF(OR(E3="",E3=0),
        "0-" &amp; TEXT(F3,"0"),
        IF(OR(F3="",F3=0),
            TEXT(E3,"0") &amp; "-0",
            TEXT(E3,"0") &amp; "-" &amp; TEXT(F3,"0")
        )
    )
)</f>
        <v>105-0</v>
      </c>
      <c r="H3" s="2">
        <v>0</v>
      </c>
      <c r="I3" s="2">
        <v>299</v>
      </c>
      <c r="J3" s="2">
        <v>299</v>
      </c>
      <c r="K3" t="s">
        <v>282</v>
      </c>
      <c r="L3" t="s">
        <v>44</v>
      </c>
    </row>
    <row r="4" spans="2:12" hidden="1" x14ac:dyDescent="0.3">
      <c r="B4" s="2" t="s">
        <v>282</v>
      </c>
      <c r="C4" s="2" t="s">
        <v>284</v>
      </c>
      <c r="D4" s="2"/>
      <c r="E4" s="2">
        <v>63</v>
      </c>
      <c r="F4" s="2">
        <v>0</v>
      </c>
      <c r="G4" s="2" t="str">
        <f t="shared" si="0"/>
        <v>63-0</v>
      </c>
      <c r="H4" s="2">
        <v>0</v>
      </c>
      <c r="I4" s="2">
        <v>1</v>
      </c>
      <c r="J4" s="2">
        <v>1</v>
      </c>
      <c r="K4" t="s">
        <v>282</v>
      </c>
      <c r="L4" t="s">
        <v>284</v>
      </c>
    </row>
    <row r="5" spans="2:12" hidden="1" x14ac:dyDescent="0.3">
      <c r="B5" s="2" t="s">
        <v>282</v>
      </c>
      <c r="C5" s="2" t="s">
        <v>286</v>
      </c>
      <c r="D5" s="2" t="s">
        <v>287</v>
      </c>
      <c r="E5" s="2">
        <v>61</v>
      </c>
      <c r="F5" s="2">
        <v>993</v>
      </c>
      <c r="G5" s="2" t="str">
        <f t="shared" si="0"/>
        <v>61-993</v>
      </c>
      <c r="H5" s="2">
        <v>300</v>
      </c>
      <c r="I5" s="2">
        <v>3</v>
      </c>
      <c r="J5" s="2">
        <v>3</v>
      </c>
      <c r="K5" t="s">
        <v>282</v>
      </c>
      <c r="L5" t="s">
        <v>310</v>
      </c>
    </row>
    <row r="6" spans="2:12" hidden="1" x14ac:dyDescent="0.3">
      <c r="B6" s="2" t="s">
        <v>282</v>
      </c>
      <c r="C6" s="2" t="s">
        <v>286</v>
      </c>
      <c r="D6" s="2" t="s">
        <v>273</v>
      </c>
      <c r="E6" s="2">
        <v>61</v>
      </c>
      <c r="F6" s="2">
        <v>888</v>
      </c>
      <c r="G6" s="2" t="str">
        <f t="shared" si="0"/>
        <v>61-888</v>
      </c>
      <c r="H6" s="2">
        <v>100</v>
      </c>
      <c r="I6" s="2">
        <v>1</v>
      </c>
      <c r="J6" s="2">
        <v>1</v>
      </c>
      <c r="K6" t="s">
        <v>282</v>
      </c>
      <c r="L6" t="s">
        <v>310</v>
      </c>
    </row>
    <row r="7" spans="2:12" hidden="1" x14ac:dyDescent="0.3">
      <c r="B7" s="2" t="s">
        <v>282</v>
      </c>
      <c r="C7" s="2" t="s">
        <v>286</v>
      </c>
      <c r="D7" s="2" t="s">
        <v>273</v>
      </c>
      <c r="E7" s="2">
        <v>61</v>
      </c>
      <c r="F7" s="2">
        <v>931</v>
      </c>
      <c r="G7" s="2" t="str">
        <f t="shared" si="0"/>
        <v>61-931</v>
      </c>
      <c r="H7" s="2">
        <v>100</v>
      </c>
      <c r="I7" s="2">
        <v>1</v>
      </c>
      <c r="J7" s="2">
        <v>1</v>
      </c>
      <c r="K7" t="s">
        <v>282</v>
      </c>
      <c r="L7" t="s">
        <v>310</v>
      </c>
    </row>
    <row r="8" spans="2:12" hidden="1" x14ac:dyDescent="0.3">
      <c r="B8" s="2" t="s">
        <v>282</v>
      </c>
      <c r="C8" s="2" t="s">
        <v>286</v>
      </c>
      <c r="D8" s="2" t="s">
        <v>273</v>
      </c>
      <c r="E8" s="2">
        <v>61</v>
      </c>
      <c r="F8" s="2">
        <v>932</v>
      </c>
      <c r="G8" s="2" t="str">
        <f t="shared" si="0"/>
        <v>61-932</v>
      </c>
      <c r="H8" s="2">
        <v>100</v>
      </c>
      <c r="I8" s="2">
        <v>1</v>
      </c>
      <c r="J8" s="2">
        <v>1</v>
      </c>
      <c r="K8" t="s">
        <v>282</v>
      </c>
      <c r="L8" t="s">
        <v>310</v>
      </c>
    </row>
    <row r="9" spans="2:12" hidden="1" x14ac:dyDescent="0.3">
      <c r="B9" s="2" t="s">
        <v>282</v>
      </c>
      <c r="C9" s="2" t="s">
        <v>286</v>
      </c>
      <c r="D9" s="2"/>
      <c r="E9" s="2">
        <v>61</v>
      </c>
      <c r="F9" s="2">
        <v>0</v>
      </c>
      <c r="G9" s="2" t="str">
        <f t="shared" si="0"/>
        <v>61-0</v>
      </c>
      <c r="H9" s="2">
        <v>0</v>
      </c>
      <c r="I9" s="2">
        <v>7</v>
      </c>
      <c r="J9" s="2">
        <v>7</v>
      </c>
      <c r="K9" t="s">
        <v>282</v>
      </c>
      <c r="L9" t="s">
        <v>337</v>
      </c>
    </row>
    <row r="10" spans="2:12" hidden="1" x14ac:dyDescent="0.3">
      <c r="B10" s="2" t="s">
        <v>282</v>
      </c>
      <c r="C10" s="2" t="s">
        <v>284</v>
      </c>
      <c r="D10" s="2" t="s">
        <v>285</v>
      </c>
      <c r="E10" s="2">
        <v>63</v>
      </c>
      <c r="F10" s="2">
        <v>959</v>
      </c>
      <c r="G10" s="2" t="str">
        <f t="shared" si="0"/>
        <v>63-959</v>
      </c>
      <c r="H10" s="2">
        <v>32.5</v>
      </c>
      <c r="I10" s="2">
        <v>1</v>
      </c>
      <c r="J10" s="2">
        <v>1</v>
      </c>
      <c r="K10" t="s">
        <v>282</v>
      </c>
      <c r="L10" t="s">
        <v>338</v>
      </c>
    </row>
    <row r="11" spans="2:12" hidden="1" x14ac:dyDescent="0.3">
      <c r="B11" s="2" t="s">
        <v>282</v>
      </c>
      <c r="C11" s="2" t="s">
        <v>286</v>
      </c>
      <c r="D11" s="2" t="s">
        <v>285</v>
      </c>
      <c r="E11" s="2">
        <v>61</v>
      </c>
      <c r="F11" s="2">
        <v>975</v>
      </c>
      <c r="G11" s="2" t="str">
        <f t="shared" si="0"/>
        <v>61-975</v>
      </c>
      <c r="H11" s="2">
        <v>200</v>
      </c>
      <c r="I11" s="2">
        <v>1</v>
      </c>
      <c r="J11" s="2">
        <v>1</v>
      </c>
      <c r="K11" t="s">
        <v>282</v>
      </c>
      <c r="L11" t="s">
        <v>338</v>
      </c>
    </row>
    <row r="12" spans="2:12" hidden="1" x14ac:dyDescent="0.3">
      <c r="B12" s="2" t="s">
        <v>104</v>
      </c>
      <c r="C12" s="2" t="s">
        <v>288</v>
      </c>
      <c r="D12" s="2" t="s">
        <v>285</v>
      </c>
      <c r="E12" s="2">
        <v>73</v>
      </c>
      <c r="F12" s="2">
        <v>883</v>
      </c>
      <c r="G12" s="2" t="str">
        <f t="shared" si="0"/>
        <v>73-883</v>
      </c>
      <c r="H12" s="2">
        <v>1000</v>
      </c>
      <c r="I12" s="2">
        <v>1</v>
      </c>
      <c r="J12" s="2">
        <v>1</v>
      </c>
      <c r="K12" t="s">
        <v>104</v>
      </c>
      <c r="L12" t="s">
        <v>338</v>
      </c>
    </row>
    <row r="13" spans="2:12" hidden="1" x14ac:dyDescent="0.3">
      <c r="B13" s="2" t="s">
        <v>104</v>
      </c>
      <c r="C13" s="2" t="s">
        <v>288</v>
      </c>
      <c r="D13" s="2"/>
      <c r="E13" s="2">
        <v>73</v>
      </c>
      <c r="F13" s="2">
        <v>0</v>
      </c>
      <c r="G13" s="2" t="str">
        <f t="shared" si="0"/>
        <v>73-0</v>
      </c>
      <c r="H13" s="2">
        <v>0</v>
      </c>
      <c r="I13" s="2">
        <v>1</v>
      </c>
      <c r="J13" s="2">
        <v>1</v>
      </c>
      <c r="K13" t="s">
        <v>104</v>
      </c>
      <c r="L13" t="s">
        <v>338</v>
      </c>
    </row>
    <row r="14" spans="2:12" hidden="1" x14ac:dyDescent="0.3">
      <c r="B14" s="2" t="s">
        <v>63</v>
      </c>
      <c r="C14" s="2" t="s">
        <v>289</v>
      </c>
      <c r="D14" s="2" t="s">
        <v>269</v>
      </c>
      <c r="E14" s="2">
        <v>93</v>
      </c>
      <c r="F14" s="2">
        <v>2342</v>
      </c>
      <c r="G14" s="2" t="str">
        <f t="shared" si="0"/>
        <v>93-2342</v>
      </c>
      <c r="H14" s="2">
        <v>30</v>
      </c>
      <c r="I14" s="2">
        <v>1</v>
      </c>
      <c r="J14" s="2">
        <v>1</v>
      </c>
      <c r="K14" t="s">
        <v>104</v>
      </c>
      <c r="L14" t="s">
        <v>328</v>
      </c>
    </row>
    <row r="15" spans="2:12" hidden="1" x14ac:dyDescent="0.3">
      <c r="B15" s="2" t="s">
        <v>63</v>
      </c>
      <c r="C15" s="2" t="s">
        <v>293</v>
      </c>
      <c r="D15" s="2" t="s">
        <v>269</v>
      </c>
      <c r="E15" s="2">
        <v>144</v>
      </c>
      <c r="F15" s="2">
        <v>2342</v>
      </c>
      <c r="G15" s="2" t="str">
        <f t="shared" si="0"/>
        <v>144-2342</v>
      </c>
      <c r="H15" s="2">
        <v>599.49</v>
      </c>
      <c r="I15" s="2">
        <v>8</v>
      </c>
      <c r="J15" s="2">
        <v>8</v>
      </c>
      <c r="K15" t="s">
        <v>104</v>
      </c>
      <c r="L15" t="s">
        <v>328</v>
      </c>
    </row>
    <row r="16" spans="2:12" hidden="1" x14ac:dyDescent="0.3">
      <c r="B16" s="2" t="s">
        <v>103</v>
      </c>
      <c r="C16" s="2" t="s">
        <v>289</v>
      </c>
      <c r="D16" s="2" t="s">
        <v>269</v>
      </c>
      <c r="E16" s="2">
        <v>77</v>
      </c>
      <c r="F16" s="2">
        <v>2342</v>
      </c>
      <c r="G16" s="2" t="str">
        <f t="shared" si="0"/>
        <v>77-2342</v>
      </c>
      <c r="H16" s="2">
        <v>120</v>
      </c>
      <c r="I16" s="2">
        <v>1</v>
      </c>
      <c r="J16" s="2">
        <v>1</v>
      </c>
      <c r="K16" t="s">
        <v>104</v>
      </c>
      <c r="L16" t="s">
        <v>328</v>
      </c>
    </row>
    <row r="17" spans="2:12" hidden="1" x14ac:dyDescent="0.3">
      <c r="B17" s="2"/>
      <c r="C17" s="2"/>
      <c r="D17" s="2" t="s">
        <v>269</v>
      </c>
      <c r="E17" s="2"/>
      <c r="F17" s="2">
        <v>2342</v>
      </c>
      <c r="G17" s="2" t="str">
        <f t="shared" si="0"/>
        <v>0-2342</v>
      </c>
      <c r="H17" s="2">
        <v>820</v>
      </c>
      <c r="I17" s="2">
        <v>16</v>
      </c>
      <c r="J17" s="2">
        <v>17</v>
      </c>
      <c r="K17" t="s">
        <v>104</v>
      </c>
      <c r="L17" t="s">
        <v>328</v>
      </c>
    </row>
    <row r="18" spans="2:12" hidden="1" x14ac:dyDescent="0.3">
      <c r="B18" s="2" t="s">
        <v>63</v>
      </c>
      <c r="C18" s="2" t="s">
        <v>293</v>
      </c>
      <c r="D18" s="2" t="s">
        <v>281</v>
      </c>
      <c r="E18" s="2">
        <v>144</v>
      </c>
      <c r="F18" s="2">
        <v>1924</v>
      </c>
      <c r="G18" s="2" t="str">
        <f t="shared" si="0"/>
        <v>144-1924</v>
      </c>
      <c r="H18" s="2">
        <v>1200</v>
      </c>
      <c r="I18" s="2">
        <v>1</v>
      </c>
      <c r="J18" s="2">
        <v>1</v>
      </c>
      <c r="K18" t="s">
        <v>67</v>
      </c>
      <c r="L18" t="s">
        <v>326</v>
      </c>
    </row>
    <row r="19" spans="2:12" hidden="1" x14ac:dyDescent="0.3">
      <c r="B19" s="2" t="s">
        <v>67</v>
      </c>
      <c r="C19" s="2" t="s">
        <v>289</v>
      </c>
      <c r="D19" s="2" t="s">
        <v>281</v>
      </c>
      <c r="E19" s="2">
        <v>82</v>
      </c>
      <c r="F19" s="2">
        <v>1924</v>
      </c>
      <c r="G19" s="2" t="str">
        <f t="shared" si="0"/>
        <v>82-1924</v>
      </c>
      <c r="H19" s="2">
        <v>72360</v>
      </c>
      <c r="I19" s="2">
        <v>71</v>
      </c>
      <c r="J19" s="2">
        <v>181500</v>
      </c>
      <c r="K19" t="s">
        <v>67</v>
      </c>
      <c r="L19" t="s">
        <v>326</v>
      </c>
    </row>
    <row r="20" spans="2:12" hidden="1" x14ac:dyDescent="0.3">
      <c r="B20" s="2" t="s">
        <v>67</v>
      </c>
      <c r="C20" s="2" t="s">
        <v>301</v>
      </c>
      <c r="D20" s="2" t="s">
        <v>281</v>
      </c>
      <c r="E20" s="2">
        <v>148</v>
      </c>
      <c r="F20" s="2">
        <v>1924</v>
      </c>
      <c r="G20" s="2" t="str">
        <f t="shared" si="0"/>
        <v>148-1924</v>
      </c>
      <c r="H20" s="2">
        <v>48031.66</v>
      </c>
      <c r="I20" s="2">
        <v>70</v>
      </c>
      <c r="J20" s="2">
        <v>70</v>
      </c>
      <c r="K20" t="s">
        <v>67</v>
      </c>
      <c r="L20" t="s">
        <v>326</v>
      </c>
    </row>
    <row r="21" spans="2:12" hidden="1" x14ac:dyDescent="0.3">
      <c r="B21" s="2"/>
      <c r="C21" s="2"/>
      <c r="D21" s="2" t="s">
        <v>281</v>
      </c>
      <c r="E21" s="2"/>
      <c r="F21" s="2">
        <v>1924</v>
      </c>
      <c r="G21" s="2" t="str">
        <f t="shared" si="0"/>
        <v>0-1924</v>
      </c>
      <c r="H21" s="2">
        <v>5000</v>
      </c>
      <c r="I21" s="2">
        <v>4</v>
      </c>
      <c r="J21" s="2">
        <v>12500</v>
      </c>
      <c r="K21" t="s">
        <v>67</v>
      </c>
      <c r="L21" t="s">
        <v>326</v>
      </c>
    </row>
    <row r="22" spans="2:12" hidden="1" x14ac:dyDescent="0.3">
      <c r="B22" s="2" t="s">
        <v>67</v>
      </c>
      <c r="C22" s="2" t="s">
        <v>289</v>
      </c>
      <c r="D22" s="2" t="s">
        <v>291</v>
      </c>
      <c r="E22" s="2">
        <v>82</v>
      </c>
      <c r="F22" s="2">
        <v>223</v>
      </c>
      <c r="G22" s="2" t="str">
        <f t="shared" si="0"/>
        <v>82-223</v>
      </c>
      <c r="H22" s="2">
        <v>15300</v>
      </c>
      <c r="I22" s="2">
        <v>12</v>
      </c>
      <c r="J22" s="2">
        <v>17000</v>
      </c>
      <c r="K22" t="s">
        <v>67</v>
      </c>
      <c r="L22" t="s">
        <v>329</v>
      </c>
    </row>
    <row r="23" spans="2:12" hidden="1" x14ac:dyDescent="0.3">
      <c r="B23" s="2" t="s">
        <v>67</v>
      </c>
      <c r="C23" s="2" t="s">
        <v>301</v>
      </c>
      <c r="D23" s="2" t="s">
        <v>291</v>
      </c>
      <c r="E23" s="2">
        <v>148</v>
      </c>
      <c r="F23" s="2">
        <v>223</v>
      </c>
      <c r="G23" s="2" t="str">
        <f t="shared" si="0"/>
        <v>148-223</v>
      </c>
      <c r="H23" s="2">
        <v>3000</v>
      </c>
      <c r="I23" s="2">
        <v>4</v>
      </c>
      <c r="J23" s="2">
        <v>4</v>
      </c>
      <c r="K23" t="s">
        <v>67</v>
      </c>
      <c r="L23" t="s">
        <v>329</v>
      </c>
    </row>
    <row r="24" spans="2:12" hidden="1" x14ac:dyDescent="0.3">
      <c r="B24" s="2" t="s">
        <v>67</v>
      </c>
      <c r="C24" s="2" t="s">
        <v>289</v>
      </c>
      <c r="D24" s="2" t="s">
        <v>280</v>
      </c>
      <c r="E24" s="2">
        <v>82</v>
      </c>
      <c r="F24" s="2">
        <v>1895</v>
      </c>
      <c r="G24" s="2" t="str">
        <f t="shared" si="0"/>
        <v>82-1895</v>
      </c>
      <c r="H24" s="2">
        <v>87495</v>
      </c>
      <c r="I24" s="2">
        <v>95</v>
      </c>
      <c r="J24" s="2">
        <v>151301</v>
      </c>
      <c r="K24" t="s">
        <v>67</v>
      </c>
      <c r="L24" t="s">
        <v>330</v>
      </c>
    </row>
    <row r="25" spans="2:12" hidden="1" x14ac:dyDescent="0.3">
      <c r="B25" s="2" t="s">
        <v>67</v>
      </c>
      <c r="C25" s="2" t="s">
        <v>293</v>
      </c>
      <c r="D25" s="2" t="s">
        <v>280</v>
      </c>
      <c r="E25" s="2">
        <v>81</v>
      </c>
      <c r="F25" s="2">
        <v>1895</v>
      </c>
      <c r="G25" s="2" t="str">
        <f t="shared" si="0"/>
        <v>81-1895</v>
      </c>
      <c r="H25" s="2">
        <v>1800</v>
      </c>
      <c r="I25" s="2">
        <v>1</v>
      </c>
      <c r="J25" s="2">
        <v>3000</v>
      </c>
      <c r="K25" t="s">
        <v>67</v>
      </c>
      <c r="L25" t="s">
        <v>330</v>
      </c>
    </row>
    <row r="26" spans="2:12" hidden="1" x14ac:dyDescent="0.3">
      <c r="B26" s="2" t="s">
        <v>67</v>
      </c>
      <c r="C26" s="2" t="s">
        <v>301</v>
      </c>
      <c r="D26" s="2" t="s">
        <v>280</v>
      </c>
      <c r="E26" s="2">
        <v>148</v>
      </c>
      <c r="F26" s="2">
        <v>1895</v>
      </c>
      <c r="G26" s="2" t="str">
        <f t="shared" si="0"/>
        <v>148-1895</v>
      </c>
      <c r="H26" s="2">
        <v>250271.75</v>
      </c>
      <c r="I26" s="2">
        <v>182</v>
      </c>
      <c r="J26" s="2">
        <v>182</v>
      </c>
      <c r="K26" t="s">
        <v>67</v>
      </c>
      <c r="L26" t="s">
        <v>330</v>
      </c>
    </row>
    <row r="27" spans="2:12" hidden="1" x14ac:dyDescent="0.3">
      <c r="B27" s="2"/>
      <c r="C27" s="2"/>
      <c r="D27" s="2" t="s">
        <v>280</v>
      </c>
      <c r="E27" s="2"/>
      <c r="F27" s="2">
        <v>1895</v>
      </c>
      <c r="G27" s="2" t="str">
        <f t="shared" si="0"/>
        <v>0-1895</v>
      </c>
      <c r="H27" s="2">
        <v>7340</v>
      </c>
      <c r="I27" s="2">
        <v>5</v>
      </c>
      <c r="J27" s="2">
        <v>11400</v>
      </c>
      <c r="K27" t="s">
        <v>67</v>
      </c>
      <c r="L27" t="s">
        <v>330</v>
      </c>
    </row>
    <row r="28" spans="2:12" hidden="1" x14ac:dyDescent="0.3">
      <c r="B28" s="2" t="s">
        <v>67</v>
      </c>
      <c r="C28" s="2" t="s">
        <v>294</v>
      </c>
      <c r="D28" s="2" t="s">
        <v>300</v>
      </c>
      <c r="E28" s="2">
        <v>83</v>
      </c>
      <c r="F28" s="2">
        <v>917</v>
      </c>
      <c r="G28" s="2" t="str">
        <f t="shared" si="0"/>
        <v>83-917</v>
      </c>
      <c r="H28" s="2">
        <v>1230</v>
      </c>
      <c r="I28" s="2">
        <v>1</v>
      </c>
      <c r="J28" s="2">
        <v>1</v>
      </c>
      <c r="K28" t="s">
        <v>67</v>
      </c>
      <c r="L28" t="s">
        <v>334</v>
      </c>
    </row>
    <row r="29" spans="2:12" hidden="1" x14ac:dyDescent="0.3">
      <c r="B29" s="2" t="s">
        <v>67</v>
      </c>
      <c r="C29" s="2" t="s">
        <v>294</v>
      </c>
      <c r="D29" s="2" t="s">
        <v>340</v>
      </c>
      <c r="E29" s="2">
        <v>83</v>
      </c>
      <c r="F29" s="2">
        <v>911</v>
      </c>
      <c r="G29" s="2" t="str">
        <f t="shared" si="0"/>
        <v>83-911</v>
      </c>
      <c r="H29" s="2">
        <v>970</v>
      </c>
      <c r="I29" s="2">
        <v>1</v>
      </c>
      <c r="J29" s="2">
        <v>1</v>
      </c>
      <c r="K29" t="s">
        <v>67</v>
      </c>
      <c r="L29" t="s">
        <v>335</v>
      </c>
    </row>
    <row r="30" spans="2:12" hidden="1" x14ac:dyDescent="0.3">
      <c r="B30" s="2" t="s">
        <v>67</v>
      </c>
      <c r="C30" s="2" t="s">
        <v>294</v>
      </c>
      <c r="D30" s="2" t="s">
        <v>78</v>
      </c>
      <c r="E30" s="2">
        <v>83</v>
      </c>
      <c r="F30" s="2">
        <v>912</v>
      </c>
      <c r="G30" s="2" t="str">
        <f t="shared" si="0"/>
        <v>83-912</v>
      </c>
      <c r="H30" s="2">
        <v>976.5</v>
      </c>
      <c r="I30" s="2">
        <v>1</v>
      </c>
      <c r="J30" s="2">
        <v>1</v>
      </c>
      <c r="K30" t="s">
        <v>67</v>
      </c>
      <c r="L30" t="s">
        <v>335</v>
      </c>
    </row>
    <row r="31" spans="2:12" hidden="1" x14ac:dyDescent="0.3">
      <c r="B31" s="2" t="s">
        <v>67</v>
      </c>
      <c r="C31" s="2" t="s">
        <v>294</v>
      </c>
      <c r="D31" s="2" t="s">
        <v>78</v>
      </c>
      <c r="E31" s="2">
        <v>83</v>
      </c>
      <c r="F31" s="2">
        <v>985</v>
      </c>
      <c r="G31" s="2" t="str">
        <f t="shared" si="0"/>
        <v>83-985</v>
      </c>
      <c r="H31" s="2">
        <v>1230</v>
      </c>
      <c r="I31" s="2">
        <v>1</v>
      </c>
      <c r="J31" s="2">
        <v>1</v>
      </c>
      <c r="K31" t="s">
        <v>67</v>
      </c>
      <c r="L31" t="s">
        <v>335</v>
      </c>
    </row>
    <row r="32" spans="2:12" hidden="1" x14ac:dyDescent="0.3">
      <c r="B32" s="2" t="s">
        <v>306</v>
      </c>
      <c r="C32" s="2" t="s">
        <v>284</v>
      </c>
      <c r="D32" s="2" t="s">
        <v>24</v>
      </c>
      <c r="E32" s="2">
        <v>157</v>
      </c>
      <c r="F32" s="2">
        <v>1916</v>
      </c>
      <c r="G32" s="2" t="str">
        <f t="shared" si="0"/>
        <v>157-1916</v>
      </c>
      <c r="H32" s="2">
        <v>3227.04</v>
      </c>
      <c r="I32" s="2">
        <v>32</v>
      </c>
      <c r="J32" s="2">
        <v>32</v>
      </c>
      <c r="K32" t="s">
        <v>67</v>
      </c>
      <c r="L32" t="s">
        <v>284</v>
      </c>
    </row>
    <row r="33" spans="2:12" hidden="1" x14ac:dyDescent="0.3">
      <c r="B33" s="2" t="s">
        <v>63</v>
      </c>
      <c r="C33" s="2" t="s">
        <v>289</v>
      </c>
      <c r="D33" s="2" t="s">
        <v>24</v>
      </c>
      <c r="E33" s="2">
        <v>93</v>
      </c>
      <c r="F33" s="2">
        <v>1916</v>
      </c>
      <c r="G33" s="2" t="str">
        <f t="shared" si="0"/>
        <v>93-1916</v>
      </c>
      <c r="H33" s="2">
        <v>130</v>
      </c>
      <c r="I33" s="2">
        <v>4</v>
      </c>
      <c r="J33" s="2">
        <v>4</v>
      </c>
      <c r="K33" t="s">
        <v>67</v>
      </c>
      <c r="L33" t="s">
        <v>284</v>
      </c>
    </row>
    <row r="34" spans="2:12" hidden="1" x14ac:dyDescent="0.3">
      <c r="B34" s="2" t="s">
        <v>63</v>
      </c>
      <c r="C34" s="2" t="s">
        <v>286</v>
      </c>
      <c r="D34" s="2" t="s">
        <v>24</v>
      </c>
      <c r="E34" s="2">
        <v>92</v>
      </c>
      <c r="F34" s="2">
        <v>1916</v>
      </c>
      <c r="G34" s="2" t="str">
        <f t="shared" si="0"/>
        <v>92-1916</v>
      </c>
      <c r="H34" s="2">
        <v>60</v>
      </c>
      <c r="I34" s="2">
        <v>1</v>
      </c>
      <c r="J34" s="2">
        <v>1</v>
      </c>
      <c r="K34" t="s">
        <v>67</v>
      </c>
      <c r="L34" t="s">
        <v>284</v>
      </c>
    </row>
    <row r="35" spans="2:12" hidden="1" x14ac:dyDescent="0.3">
      <c r="B35" s="2" t="s">
        <v>63</v>
      </c>
      <c r="C35" s="2" t="s">
        <v>293</v>
      </c>
      <c r="D35" s="2" t="s">
        <v>24</v>
      </c>
      <c r="E35" s="2">
        <v>144</v>
      </c>
      <c r="F35" s="2">
        <v>1916</v>
      </c>
      <c r="G35" s="2" t="str">
        <f t="shared" ref="G35:G66" si="1">IF(
    AND(OR(E35="",E35=0), OR(F35="",F35=0)),
    "0-0",
    IF(OR(E35="",E35=0),
        "0-" &amp; TEXT(F35,"0"),
        IF(OR(F35="",F35=0),
            TEXT(E35,"0") &amp; "-0",
            TEXT(E35,"0") &amp; "-" &amp; TEXT(F35,"0")
        )
    )
)</f>
        <v>144-1916</v>
      </c>
      <c r="H35" s="2">
        <v>1265.1600000000001</v>
      </c>
      <c r="I35" s="2">
        <v>44</v>
      </c>
      <c r="J35" s="2">
        <v>73</v>
      </c>
      <c r="K35" t="s">
        <v>67</v>
      </c>
      <c r="L35" t="s">
        <v>284</v>
      </c>
    </row>
    <row r="36" spans="2:12" hidden="1" x14ac:dyDescent="0.3">
      <c r="B36" s="2" t="s">
        <v>67</v>
      </c>
      <c r="C36" s="2" t="s">
        <v>289</v>
      </c>
      <c r="D36" s="2" t="s">
        <v>24</v>
      </c>
      <c r="E36" s="2">
        <v>82</v>
      </c>
      <c r="F36" s="2">
        <v>1916</v>
      </c>
      <c r="G36" s="2" t="str">
        <f t="shared" si="1"/>
        <v>82-1916</v>
      </c>
      <c r="H36" s="2">
        <v>55</v>
      </c>
      <c r="I36" s="2">
        <v>3</v>
      </c>
      <c r="J36" s="2">
        <v>3</v>
      </c>
      <c r="K36" t="s">
        <v>67</v>
      </c>
      <c r="L36" t="s">
        <v>284</v>
      </c>
    </row>
    <row r="37" spans="2:12" hidden="1" x14ac:dyDescent="0.3">
      <c r="B37" s="2" t="s">
        <v>67</v>
      </c>
      <c r="C37" s="2" t="s">
        <v>301</v>
      </c>
      <c r="D37" s="2" t="s">
        <v>24</v>
      </c>
      <c r="E37" s="2">
        <v>148</v>
      </c>
      <c r="F37" s="2">
        <v>1916</v>
      </c>
      <c r="G37" s="2" t="str">
        <f t="shared" si="1"/>
        <v>148-1916</v>
      </c>
      <c r="H37" s="2">
        <v>408.8</v>
      </c>
      <c r="I37" s="2">
        <v>18</v>
      </c>
      <c r="J37" s="2">
        <v>18</v>
      </c>
      <c r="K37" t="s">
        <v>67</v>
      </c>
      <c r="L37" t="s">
        <v>284</v>
      </c>
    </row>
    <row r="38" spans="2:12" hidden="1" x14ac:dyDescent="0.3">
      <c r="B38" s="2"/>
      <c r="C38" s="2"/>
      <c r="D38" s="2" t="s">
        <v>24</v>
      </c>
      <c r="E38" s="2"/>
      <c r="F38" s="2">
        <v>1916</v>
      </c>
      <c r="G38" s="2" t="str">
        <f t="shared" si="1"/>
        <v>0-1916</v>
      </c>
      <c r="H38" s="2">
        <v>350.1</v>
      </c>
      <c r="I38" s="2">
        <v>13</v>
      </c>
      <c r="J38" s="2">
        <v>42</v>
      </c>
      <c r="K38" t="s">
        <v>67</v>
      </c>
      <c r="L38" t="s">
        <v>284</v>
      </c>
    </row>
    <row r="39" spans="2:12" hidden="1" x14ac:dyDescent="0.3">
      <c r="B39" s="2"/>
      <c r="C39" s="2"/>
      <c r="D39" s="2" t="s">
        <v>24</v>
      </c>
      <c r="E39" s="2"/>
      <c r="F39" s="2">
        <v>2316</v>
      </c>
      <c r="G39" s="2" t="str">
        <f t="shared" si="1"/>
        <v>0-2316</v>
      </c>
      <c r="H39" s="2">
        <v>104.5</v>
      </c>
      <c r="I39" s="2">
        <v>3</v>
      </c>
      <c r="J39" s="2">
        <v>3</v>
      </c>
      <c r="K39" t="s">
        <v>67</v>
      </c>
      <c r="L39" t="s">
        <v>284</v>
      </c>
    </row>
    <row r="40" spans="2:12" hidden="1" x14ac:dyDescent="0.3">
      <c r="B40" s="2" t="s">
        <v>67</v>
      </c>
      <c r="C40" s="2" t="s">
        <v>289</v>
      </c>
      <c r="D40" s="2" t="s">
        <v>274</v>
      </c>
      <c r="E40" s="2">
        <v>82</v>
      </c>
      <c r="F40" s="2">
        <v>2324</v>
      </c>
      <c r="G40" s="2" t="str">
        <f t="shared" si="1"/>
        <v>82-2324</v>
      </c>
      <c r="H40" s="2">
        <v>300</v>
      </c>
      <c r="I40" s="2">
        <v>1</v>
      </c>
      <c r="J40" s="2">
        <v>600</v>
      </c>
      <c r="K40" t="s">
        <v>67</v>
      </c>
      <c r="L40" t="s">
        <v>331</v>
      </c>
    </row>
    <row r="41" spans="2:12" hidden="1" x14ac:dyDescent="0.3">
      <c r="B41" s="2" t="s">
        <v>67</v>
      </c>
      <c r="C41" s="2" t="s">
        <v>292</v>
      </c>
      <c r="D41" s="2" t="s">
        <v>274</v>
      </c>
      <c r="E41" s="2">
        <v>84</v>
      </c>
      <c r="F41" s="2">
        <v>2324</v>
      </c>
      <c r="G41" s="2" t="str">
        <f t="shared" si="1"/>
        <v>84-2324</v>
      </c>
      <c r="H41" s="2">
        <v>1000</v>
      </c>
      <c r="I41" s="2">
        <v>1</v>
      </c>
      <c r="J41" s="2">
        <v>1</v>
      </c>
      <c r="K41" t="s">
        <v>67</v>
      </c>
      <c r="L41" t="s">
        <v>331</v>
      </c>
    </row>
    <row r="42" spans="2:12" hidden="1" x14ac:dyDescent="0.3">
      <c r="B42" s="2" t="s">
        <v>67</v>
      </c>
      <c r="C42" s="2" t="s">
        <v>294</v>
      </c>
      <c r="D42" s="2" t="s">
        <v>274</v>
      </c>
      <c r="E42" s="2">
        <v>83</v>
      </c>
      <c r="F42" s="2">
        <v>872</v>
      </c>
      <c r="G42" s="2" t="str">
        <f t="shared" si="1"/>
        <v>83-872</v>
      </c>
      <c r="H42" s="2">
        <v>3700</v>
      </c>
      <c r="I42" s="2">
        <v>1</v>
      </c>
      <c r="J42" s="2">
        <v>1</v>
      </c>
      <c r="K42" t="s">
        <v>67</v>
      </c>
      <c r="L42" t="s">
        <v>331</v>
      </c>
    </row>
    <row r="43" spans="2:12" hidden="1" x14ac:dyDescent="0.3">
      <c r="B43" s="2" t="s">
        <v>67</v>
      </c>
      <c r="C43" s="2" t="s">
        <v>294</v>
      </c>
      <c r="D43" s="2" t="s">
        <v>274</v>
      </c>
      <c r="E43" s="2">
        <v>83</v>
      </c>
      <c r="F43" s="2">
        <v>875</v>
      </c>
      <c r="G43" s="2" t="str">
        <f t="shared" si="1"/>
        <v>83-875</v>
      </c>
      <c r="H43" s="2">
        <v>3400</v>
      </c>
      <c r="I43" s="2">
        <v>1</v>
      </c>
      <c r="J43" s="2">
        <v>1</v>
      </c>
      <c r="K43" t="s">
        <v>67</v>
      </c>
      <c r="L43" t="s">
        <v>331</v>
      </c>
    </row>
    <row r="44" spans="2:12" hidden="1" x14ac:dyDescent="0.3">
      <c r="B44" s="2" t="s">
        <v>67</v>
      </c>
      <c r="C44" s="2" t="s">
        <v>294</v>
      </c>
      <c r="D44" s="2" t="s">
        <v>274</v>
      </c>
      <c r="E44" s="2">
        <v>83</v>
      </c>
      <c r="F44" s="2">
        <v>881</v>
      </c>
      <c r="G44" s="2" t="str">
        <f t="shared" si="1"/>
        <v>83-881</v>
      </c>
      <c r="H44" s="2">
        <v>1500</v>
      </c>
      <c r="I44" s="2">
        <v>1</v>
      </c>
      <c r="J44" s="2">
        <v>1</v>
      </c>
      <c r="K44" t="s">
        <v>67</v>
      </c>
      <c r="L44" t="s">
        <v>331</v>
      </c>
    </row>
    <row r="45" spans="2:12" hidden="1" x14ac:dyDescent="0.3">
      <c r="B45" s="2" t="s">
        <v>67</v>
      </c>
      <c r="C45" s="2" t="s">
        <v>294</v>
      </c>
      <c r="D45" s="2" t="s">
        <v>274</v>
      </c>
      <c r="E45" s="2">
        <v>83</v>
      </c>
      <c r="F45" s="2">
        <v>890</v>
      </c>
      <c r="G45" s="2" t="str">
        <f t="shared" si="1"/>
        <v>83-890</v>
      </c>
      <c r="H45" s="2">
        <v>3400</v>
      </c>
      <c r="I45" s="2">
        <v>1</v>
      </c>
      <c r="J45" s="2">
        <v>1</v>
      </c>
      <c r="K45" t="s">
        <v>67</v>
      </c>
      <c r="L45" t="s">
        <v>331</v>
      </c>
    </row>
    <row r="46" spans="2:12" hidden="1" x14ac:dyDescent="0.3">
      <c r="B46" s="2" t="s">
        <v>67</v>
      </c>
      <c r="C46" s="2" t="s">
        <v>294</v>
      </c>
      <c r="D46" s="2" t="s">
        <v>274</v>
      </c>
      <c r="E46" s="2">
        <v>83</v>
      </c>
      <c r="F46" s="2">
        <v>891</v>
      </c>
      <c r="G46" s="2" t="str">
        <f t="shared" si="1"/>
        <v>83-891</v>
      </c>
      <c r="H46" s="2">
        <v>3400</v>
      </c>
      <c r="I46" s="2">
        <v>1</v>
      </c>
      <c r="J46" s="2">
        <v>1</v>
      </c>
      <c r="K46" t="s">
        <v>67</v>
      </c>
      <c r="L46" t="s">
        <v>331</v>
      </c>
    </row>
    <row r="47" spans="2:12" hidden="1" x14ac:dyDescent="0.3">
      <c r="B47" s="2" t="s">
        <v>67</v>
      </c>
      <c r="C47" s="2" t="s">
        <v>294</v>
      </c>
      <c r="D47" s="2" t="s">
        <v>274</v>
      </c>
      <c r="E47" s="2">
        <v>83</v>
      </c>
      <c r="F47" s="2">
        <v>893</v>
      </c>
      <c r="G47" s="2" t="str">
        <f t="shared" si="1"/>
        <v>83-893</v>
      </c>
      <c r="H47" s="2">
        <v>5200</v>
      </c>
      <c r="I47" s="2">
        <v>1</v>
      </c>
      <c r="J47" s="2">
        <v>1</v>
      </c>
      <c r="K47" t="s">
        <v>67</v>
      </c>
      <c r="L47" t="s">
        <v>331</v>
      </c>
    </row>
    <row r="48" spans="2:12" hidden="1" x14ac:dyDescent="0.3">
      <c r="B48" s="2" t="s">
        <v>67</v>
      </c>
      <c r="C48" s="2" t="s">
        <v>294</v>
      </c>
      <c r="D48" s="2" t="s">
        <v>274</v>
      </c>
      <c r="E48" s="2">
        <v>83</v>
      </c>
      <c r="F48" s="2">
        <v>894</v>
      </c>
      <c r="G48" s="2" t="str">
        <f t="shared" si="1"/>
        <v>83-894</v>
      </c>
      <c r="H48" s="2">
        <v>1200</v>
      </c>
      <c r="I48" s="2">
        <v>1</v>
      </c>
      <c r="J48" s="2">
        <v>1</v>
      </c>
      <c r="K48" t="s">
        <v>67</v>
      </c>
      <c r="L48" t="s">
        <v>331</v>
      </c>
    </row>
    <row r="49" spans="2:12" hidden="1" x14ac:dyDescent="0.3">
      <c r="B49" s="2" t="s">
        <v>67</v>
      </c>
      <c r="C49" s="2" t="s">
        <v>294</v>
      </c>
      <c r="D49" s="2" t="s">
        <v>274</v>
      </c>
      <c r="E49" s="2">
        <v>83</v>
      </c>
      <c r="F49" s="2">
        <v>895</v>
      </c>
      <c r="G49" s="2" t="str">
        <f t="shared" si="1"/>
        <v>83-895</v>
      </c>
      <c r="H49" s="2">
        <v>2000</v>
      </c>
      <c r="I49" s="2">
        <v>1</v>
      </c>
      <c r="J49" s="2">
        <v>1</v>
      </c>
      <c r="K49" t="s">
        <v>67</v>
      </c>
      <c r="L49" t="s">
        <v>331</v>
      </c>
    </row>
    <row r="50" spans="2:12" hidden="1" x14ac:dyDescent="0.3">
      <c r="B50" s="2" t="s">
        <v>67</v>
      </c>
      <c r="C50" s="2" t="s">
        <v>294</v>
      </c>
      <c r="D50" s="2" t="s">
        <v>274</v>
      </c>
      <c r="E50" s="2">
        <v>83</v>
      </c>
      <c r="F50" s="2">
        <v>896</v>
      </c>
      <c r="G50" s="2" t="str">
        <f t="shared" si="1"/>
        <v>83-896</v>
      </c>
      <c r="H50" s="2">
        <v>800</v>
      </c>
      <c r="I50" s="2">
        <v>1</v>
      </c>
      <c r="J50" s="2">
        <v>1</v>
      </c>
      <c r="K50" t="s">
        <v>67</v>
      </c>
      <c r="L50" t="s">
        <v>331</v>
      </c>
    </row>
    <row r="51" spans="2:12" hidden="1" x14ac:dyDescent="0.3">
      <c r="B51" s="2" t="s">
        <v>67</v>
      </c>
      <c r="C51" s="2" t="s">
        <v>294</v>
      </c>
      <c r="D51" s="2" t="s">
        <v>274</v>
      </c>
      <c r="E51" s="2">
        <v>83</v>
      </c>
      <c r="F51" s="2">
        <v>897</v>
      </c>
      <c r="G51" s="2" t="str">
        <f t="shared" si="1"/>
        <v>83-897</v>
      </c>
      <c r="H51" s="2">
        <v>800</v>
      </c>
      <c r="I51" s="2">
        <v>1</v>
      </c>
      <c r="J51" s="2">
        <v>1</v>
      </c>
      <c r="K51" t="s">
        <v>67</v>
      </c>
      <c r="L51" t="s">
        <v>331</v>
      </c>
    </row>
    <row r="52" spans="2:12" hidden="1" x14ac:dyDescent="0.3">
      <c r="B52" s="2" t="s">
        <v>67</v>
      </c>
      <c r="C52" s="2" t="s">
        <v>294</v>
      </c>
      <c r="D52" s="2" t="s">
        <v>274</v>
      </c>
      <c r="E52" s="2">
        <v>83</v>
      </c>
      <c r="F52" s="2">
        <v>898</v>
      </c>
      <c r="G52" s="2" t="str">
        <f t="shared" si="1"/>
        <v>83-898</v>
      </c>
      <c r="H52" s="2">
        <v>800</v>
      </c>
      <c r="I52" s="2">
        <v>1</v>
      </c>
      <c r="J52" s="2">
        <v>1</v>
      </c>
      <c r="K52" t="s">
        <v>67</v>
      </c>
      <c r="L52" t="s">
        <v>331</v>
      </c>
    </row>
    <row r="53" spans="2:12" hidden="1" x14ac:dyDescent="0.3">
      <c r="B53" s="2" t="s">
        <v>67</v>
      </c>
      <c r="C53" s="2" t="s">
        <v>294</v>
      </c>
      <c r="D53" s="2" t="s">
        <v>274</v>
      </c>
      <c r="E53" s="2">
        <v>83</v>
      </c>
      <c r="F53" s="2">
        <v>899</v>
      </c>
      <c r="G53" s="2" t="str">
        <f t="shared" si="1"/>
        <v>83-899</v>
      </c>
      <c r="H53" s="2">
        <v>1800</v>
      </c>
      <c r="I53" s="2">
        <v>1</v>
      </c>
      <c r="J53" s="2">
        <v>1</v>
      </c>
      <c r="K53" t="s">
        <v>67</v>
      </c>
      <c r="L53" t="s">
        <v>331</v>
      </c>
    </row>
    <row r="54" spans="2:12" hidden="1" x14ac:dyDescent="0.3">
      <c r="B54" s="2" t="s">
        <v>67</v>
      </c>
      <c r="C54" s="2" t="s">
        <v>294</v>
      </c>
      <c r="D54" s="2" t="s">
        <v>274</v>
      </c>
      <c r="E54" s="2">
        <v>83</v>
      </c>
      <c r="F54" s="2">
        <v>901</v>
      </c>
      <c r="G54" s="2" t="str">
        <f t="shared" si="1"/>
        <v>83-901</v>
      </c>
      <c r="H54" s="2">
        <v>920</v>
      </c>
      <c r="I54" s="2">
        <v>1</v>
      </c>
      <c r="J54" s="2">
        <v>1</v>
      </c>
      <c r="K54" t="s">
        <v>67</v>
      </c>
      <c r="L54" t="s">
        <v>331</v>
      </c>
    </row>
    <row r="55" spans="2:12" hidden="1" x14ac:dyDescent="0.3">
      <c r="B55" s="2" t="s">
        <v>67</v>
      </c>
      <c r="C55" s="2" t="s">
        <v>294</v>
      </c>
      <c r="D55" s="2" t="s">
        <v>274</v>
      </c>
      <c r="E55" s="2">
        <v>83</v>
      </c>
      <c r="F55" s="2">
        <v>918</v>
      </c>
      <c r="G55" s="2" t="str">
        <f t="shared" si="1"/>
        <v>83-918</v>
      </c>
      <c r="H55" s="2">
        <v>1400</v>
      </c>
      <c r="I55" s="2">
        <v>1</v>
      </c>
      <c r="J55" s="2">
        <v>1</v>
      </c>
      <c r="K55" t="s">
        <v>67</v>
      </c>
      <c r="L55" t="s">
        <v>331</v>
      </c>
    </row>
    <row r="56" spans="2:12" hidden="1" x14ac:dyDescent="0.3">
      <c r="B56" s="2" t="s">
        <v>67</v>
      </c>
      <c r="C56" s="2" t="s">
        <v>294</v>
      </c>
      <c r="D56" s="2" t="s">
        <v>274</v>
      </c>
      <c r="E56" s="2">
        <v>83</v>
      </c>
      <c r="F56" s="2">
        <v>919</v>
      </c>
      <c r="G56" s="2" t="str">
        <f t="shared" si="1"/>
        <v>83-919</v>
      </c>
      <c r="H56" s="2">
        <v>1400</v>
      </c>
      <c r="I56" s="2">
        <v>1</v>
      </c>
      <c r="J56" s="2">
        <v>1</v>
      </c>
      <c r="K56" t="s">
        <v>67</v>
      </c>
      <c r="L56" t="s">
        <v>331</v>
      </c>
    </row>
    <row r="57" spans="2:12" hidden="1" x14ac:dyDescent="0.3">
      <c r="B57" s="2" t="s">
        <v>67</v>
      </c>
      <c r="C57" s="2" t="s">
        <v>294</v>
      </c>
      <c r="D57" s="2" t="s">
        <v>274</v>
      </c>
      <c r="E57" s="2">
        <v>83</v>
      </c>
      <c r="F57" s="2">
        <v>920</v>
      </c>
      <c r="G57" s="2" t="str">
        <f t="shared" si="1"/>
        <v>83-920</v>
      </c>
      <c r="H57" s="2">
        <v>1000</v>
      </c>
      <c r="I57" s="2">
        <v>1</v>
      </c>
      <c r="J57" s="2">
        <v>1</v>
      </c>
      <c r="K57" t="s">
        <v>67</v>
      </c>
      <c r="L57" t="s">
        <v>331</v>
      </c>
    </row>
    <row r="58" spans="2:12" hidden="1" x14ac:dyDescent="0.3">
      <c r="B58" s="2" t="s">
        <v>67</v>
      </c>
      <c r="C58" s="2" t="s">
        <v>294</v>
      </c>
      <c r="D58" s="2" t="s">
        <v>274</v>
      </c>
      <c r="E58" s="2">
        <v>83</v>
      </c>
      <c r="F58" s="2">
        <v>922</v>
      </c>
      <c r="G58" s="2" t="str">
        <f t="shared" si="1"/>
        <v>83-922</v>
      </c>
      <c r="H58" s="2">
        <v>660</v>
      </c>
      <c r="I58" s="2">
        <v>1</v>
      </c>
      <c r="J58" s="2">
        <v>1</v>
      </c>
      <c r="K58" t="s">
        <v>67</v>
      </c>
      <c r="L58" t="s">
        <v>331</v>
      </c>
    </row>
    <row r="59" spans="2:12" hidden="1" x14ac:dyDescent="0.3">
      <c r="B59" s="2" t="s">
        <v>67</v>
      </c>
      <c r="C59" s="2" t="s">
        <v>294</v>
      </c>
      <c r="D59" s="2" t="s">
        <v>274</v>
      </c>
      <c r="E59" s="2">
        <v>83</v>
      </c>
      <c r="F59" s="2">
        <v>923</v>
      </c>
      <c r="G59" s="2" t="str">
        <f t="shared" si="1"/>
        <v>83-923</v>
      </c>
      <c r="H59" s="2">
        <v>600</v>
      </c>
      <c r="I59" s="2">
        <v>1</v>
      </c>
      <c r="J59" s="2">
        <v>1</v>
      </c>
      <c r="K59" t="s">
        <v>67</v>
      </c>
      <c r="L59" t="s">
        <v>331</v>
      </c>
    </row>
    <row r="60" spans="2:12" hidden="1" x14ac:dyDescent="0.3">
      <c r="B60" s="2" t="s">
        <v>67</v>
      </c>
      <c r="C60" s="2" t="s">
        <v>294</v>
      </c>
      <c r="D60" s="2" t="s">
        <v>274</v>
      </c>
      <c r="E60" s="2">
        <v>83</v>
      </c>
      <c r="F60" s="2">
        <v>924</v>
      </c>
      <c r="G60" s="2" t="str">
        <f t="shared" si="1"/>
        <v>83-924</v>
      </c>
      <c r="H60" s="2">
        <v>2200</v>
      </c>
      <c r="I60" s="2">
        <v>1</v>
      </c>
      <c r="J60" s="2">
        <v>1</v>
      </c>
      <c r="K60" t="s">
        <v>67</v>
      </c>
      <c r="L60" t="s">
        <v>331</v>
      </c>
    </row>
    <row r="61" spans="2:12" hidden="1" x14ac:dyDescent="0.3">
      <c r="B61" s="2" t="s">
        <v>67</v>
      </c>
      <c r="C61" s="2" t="s">
        <v>294</v>
      </c>
      <c r="D61" s="2" t="s">
        <v>274</v>
      </c>
      <c r="E61" s="2">
        <v>83</v>
      </c>
      <c r="F61" s="2">
        <v>925</v>
      </c>
      <c r="G61" s="2" t="str">
        <f t="shared" si="1"/>
        <v>83-925</v>
      </c>
      <c r="H61" s="2">
        <v>800</v>
      </c>
      <c r="I61" s="2">
        <v>1</v>
      </c>
      <c r="J61" s="2">
        <v>1</v>
      </c>
      <c r="K61" t="s">
        <v>67</v>
      </c>
      <c r="L61" t="s">
        <v>331</v>
      </c>
    </row>
    <row r="62" spans="2:12" hidden="1" x14ac:dyDescent="0.3">
      <c r="B62" s="2" t="s">
        <v>67</v>
      </c>
      <c r="C62" s="2" t="s">
        <v>294</v>
      </c>
      <c r="D62" s="2" t="s">
        <v>274</v>
      </c>
      <c r="E62" s="2">
        <v>83</v>
      </c>
      <c r="F62" s="2">
        <v>926</v>
      </c>
      <c r="G62" s="2" t="str">
        <f t="shared" si="1"/>
        <v>83-926</v>
      </c>
      <c r="H62" s="2">
        <v>800</v>
      </c>
      <c r="I62" s="2">
        <v>1</v>
      </c>
      <c r="J62" s="2">
        <v>1</v>
      </c>
      <c r="K62" t="s">
        <v>67</v>
      </c>
      <c r="L62" t="s">
        <v>331</v>
      </c>
    </row>
    <row r="63" spans="2:12" hidden="1" x14ac:dyDescent="0.3">
      <c r="B63" s="2" t="s">
        <v>67</v>
      </c>
      <c r="C63" s="2" t="s">
        <v>294</v>
      </c>
      <c r="D63" s="2" t="s">
        <v>274</v>
      </c>
      <c r="E63" s="2">
        <v>83</v>
      </c>
      <c r="F63" s="2">
        <v>927</v>
      </c>
      <c r="G63" s="2" t="str">
        <f t="shared" si="1"/>
        <v>83-927</v>
      </c>
      <c r="H63" s="2">
        <v>800</v>
      </c>
      <c r="I63" s="2">
        <v>1</v>
      </c>
      <c r="J63" s="2">
        <v>1</v>
      </c>
      <c r="K63" t="s">
        <v>67</v>
      </c>
      <c r="L63" t="s">
        <v>331</v>
      </c>
    </row>
    <row r="64" spans="2:12" hidden="1" x14ac:dyDescent="0.3">
      <c r="B64" s="2" t="s">
        <v>67</v>
      </c>
      <c r="C64" s="2" t="s">
        <v>294</v>
      </c>
      <c r="D64" s="2" t="s">
        <v>274</v>
      </c>
      <c r="E64" s="2">
        <v>83</v>
      </c>
      <c r="F64" s="2">
        <v>928</v>
      </c>
      <c r="G64" s="2" t="str">
        <f t="shared" si="1"/>
        <v>83-928</v>
      </c>
      <c r="H64" s="2">
        <v>2400</v>
      </c>
      <c r="I64" s="2">
        <v>1</v>
      </c>
      <c r="J64" s="2">
        <v>1</v>
      </c>
      <c r="K64" t="s">
        <v>67</v>
      </c>
      <c r="L64" t="s">
        <v>331</v>
      </c>
    </row>
    <row r="65" spans="2:12" hidden="1" x14ac:dyDescent="0.3">
      <c r="B65" s="2" t="s">
        <v>67</v>
      </c>
      <c r="C65" s="2" t="s">
        <v>294</v>
      </c>
      <c r="D65" s="2" t="s">
        <v>274</v>
      </c>
      <c r="E65" s="2">
        <v>83</v>
      </c>
      <c r="F65" s="2">
        <v>929</v>
      </c>
      <c r="G65" s="2" t="str">
        <f t="shared" si="1"/>
        <v>83-929</v>
      </c>
      <c r="H65" s="2">
        <v>1400</v>
      </c>
      <c r="I65" s="2">
        <v>1</v>
      </c>
      <c r="J65" s="2">
        <v>1</v>
      </c>
      <c r="K65" t="s">
        <v>67</v>
      </c>
      <c r="L65" t="s">
        <v>331</v>
      </c>
    </row>
    <row r="66" spans="2:12" hidden="1" x14ac:dyDescent="0.3">
      <c r="B66" s="2" t="s">
        <v>67</v>
      </c>
      <c r="C66" s="2" t="s">
        <v>294</v>
      </c>
      <c r="D66" s="2" t="s">
        <v>274</v>
      </c>
      <c r="E66" s="2">
        <v>83</v>
      </c>
      <c r="F66" s="2">
        <v>930</v>
      </c>
      <c r="G66" s="2" t="str">
        <f t="shared" si="1"/>
        <v>83-930</v>
      </c>
      <c r="H66" s="2">
        <v>1400</v>
      </c>
      <c r="I66" s="2">
        <v>1</v>
      </c>
      <c r="J66" s="2">
        <v>1</v>
      </c>
      <c r="K66" t="s">
        <v>67</v>
      </c>
      <c r="L66" t="s">
        <v>331</v>
      </c>
    </row>
    <row r="67" spans="2:12" hidden="1" x14ac:dyDescent="0.3">
      <c r="B67" s="2" t="s">
        <v>67</v>
      </c>
      <c r="C67" s="2" t="s">
        <v>294</v>
      </c>
      <c r="D67" s="2" t="s">
        <v>274</v>
      </c>
      <c r="E67" s="2">
        <v>83</v>
      </c>
      <c r="F67" s="2">
        <v>947</v>
      </c>
      <c r="G67" s="2" t="str">
        <f t="shared" ref="G67:G98" si="2">IF(
    AND(OR(E67="",E67=0), OR(F67="",F67=0)),
    "0-0",
    IF(OR(E67="",E67=0),
        "0-" &amp; TEXT(F67,"0"),
        IF(OR(F67="",F67=0),
            TEXT(E67,"0") &amp; "-0",
            TEXT(E67,"0") &amp; "-" &amp; TEXT(F67,"0")
        )
    )
)</f>
        <v>83-947</v>
      </c>
      <c r="H67" s="2">
        <v>1575</v>
      </c>
      <c r="I67" s="2">
        <v>1</v>
      </c>
      <c r="J67" s="2">
        <v>1</v>
      </c>
      <c r="K67" t="s">
        <v>67</v>
      </c>
      <c r="L67" t="s">
        <v>331</v>
      </c>
    </row>
    <row r="68" spans="2:12" hidden="1" x14ac:dyDescent="0.3">
      <c r="B68" s="2" t="s">
        <v>67</v>
      </c>
      <c r="C68" s="2" t="s">
        <v>294</v>
      </c>
      <c r="D68" s="2" t="s">
        <v>274</v>
      </c>
      <c r="E68" s="2">
        <v>83</v>
      </c>
      <c r="F68" s="2">
        <v>948</v>
      </c>
      <c r="G68" s="2" t="str">
        <f t="shared" si="2"/>
        <v>83-948</v>
      </c>
      <c r="H68" s="2">
        <v>1200</v>
      </c>
      <c r="I68" s="2">
        <v>1</v>
      </c>
      <c r="J68" s="2">
        <v>1</v>
      </c>
      <c r="K68" t="s">
        <v>67</v>
      </c>
      <c r="L68" t="s">
        <v>331</v>
      </c>
    </row>
    <row r="69" spans="2:12" hidden="1" x14ac:dyDescent="0.3">
      <c r="B69" s="2" t="s">
        <v>67</v>
      </c>
      <c r="C69" s="2" t="s">
        <v>294</v>
      </c>
      <c r="D69" s="2" t="s">
        <v>274</v>
      </c>
      <c r="E69" s="2">
        <v>83</v>
      </c>
      <c r="F69" s="2">
        <v>958</v>
      </c>
      <c r="G69" s="2" t="str">
        <f t="shared" si="2"/>
        <v>83-958</v>
      </c>
      <c r="H69" s="2">
        <v>3100</v>
      </c>
      <c r="I69" s="2">
        <v>1</v>
      </c>
      <c r="J69" s="2">
        <v>1</v>
      </c>
      <c r="K69" t="s">
        <v>67</v>
      </c>
      <c r="L69" t="s">
        <v>331</v>
      </c>
    </row>
    <row r="70" spans="2:12" hidden="1" x14ac:dyDescent="0.3">
      <c r="B70" s="2" t="s">
        <v>67</v>
      </c>
      <c r="C70" s="2" t="s">
        <v>294</v>
      </c>
      <c r="D70" s="2" t="s">
        <v>274</v>
      </c>
      <c r="E70" s="2">
        <v>83</v>
      </c>
      <c r="F70" s="2">
        <v>962</v>
      </c>
      <c r="G70" s="2" t="str">
        <f t="shared" si="2"/>
        <v>83-962</v>
      </c>
      <c r="H70" s="2">
        <v>600</v>
      </c>
      <c r="I70" s="2">
        <v>1</v>
      </c>
      <c r="J70" s="2">
        <v>1</v>
      </c>
      <c r="K70" t="s">
        <v>67</v>
      </c>
      <c r="L70" t="s">
        <v>331</v>
      </c>
    </row>
    <row r="71" spans="2:12" hidden="1" x14ac:dyDescent="0.3">
      <c r="B71" s="2" t="s">
        <v>67</v>
      </c>
      <c r="C71" s="2" t="s">
        <v>294</v>
      </c>
      <c r="D71" s="2" t="s">
        <v>274</v>
      </c>
      <c r="E71" s="2">
        <v>83</v>
      </c>
      <c r="F71" s="2">
        <v>964</v>
      </c>
      <c r="G71" s="2" t="str">
        <f t="shared" si="2"/>
        <v>83-964</v>
      </c>
      <c r="H71" s="2">
        <v>600</v>
      </c>
      <c r="I71" s="2">
        <v>1</v>
      </c>
      <c r="J71" s="2">
        <v>1</v>
      </c>
      <c r="K71" t="s">
        <v>67</v>
      </c>
      <c r="L71" t="s">
        <v>331</v>
      </c>
    </row>
    <row r="72" spans="2:12" hidden="1" x14ac:dyDescent="0.3">
      <c r="B72" s="2" t="s">
        <v>67</v>
      </c>
      <c r="C72" s="2" t="s">
        <v>294</v>
      </c>
      <c r="D72" s="2" t="s">
        <v>274</v>
      </c>
      <c r="E72" s="2">
        <v>83</v>
      </c>
      <c r="F72" s="2">
        <v>965</v>
      </c>
      <c r="G72" s="2" t="str">
        <f t="shared" si="2"/>
        <v>83-965</v>
      </c>
      <c r="H72" s="2">
        <v>930</v>
      </c>
      <c r="I72" s="2">
        <v>1</v>
      </c>
      <c r="J72" s="2">
        <v>1</v>
      </c>
      <c r="K72" t="s">
        <v>67</v>
      </c>
      <c r="L72" t="s">
        <v>331</v>
      </c>
    </row>
    <row r="73" spans="2:12" hidden="1" x14ac:dyDescent="0.3">
      <c r="B73" s="2" t="s">
        <v>67</v>
      </c>
      <c r="C73" s="2" t="s">
        <v>294</v>
      </c>
      <c r="D73" s="2" t="s">
        <v>274</v>
      </c>
      <c r="E73" s="2">
        <v>83</v>
      </c>
      <c r="F73" s="2">
        <v>968</v>
      </c>
      <c r="G73" s="2" t="str">
        <f t="shared" si="2"/>
        <v>83-968</v>
      </c>
      <c r="H73" s="2">
        <v>1200</v>
      </c>
      <c r="I73" s="2">
        <v>1</v>
      </c>
      <c r="J73" s="2">
        <v>1</v>
      </c>
      <c r="K73" t="s">
        <v>67</v>
      </c>
      <c r="L73" t="s">
        <v>331</v>
      </c>
    </row>
    <row r="74" spans="2:12" hidden="1" x14ac:dyDescent="0.3">
      <c r="B74" s="2" t="s">
        <v>67</v>
      </c>
      <c r="C74" s="2" t="s">
        <v>294</v>
      </c>
      <c r="D74" s="2" t="s">
        <v>274</v>
      </c>
      <c r="E74" s="2">
        <v>83</v>
      </c>
      <c r="F74" s="2">
        <v>969</v>
      </c>
      <c r="G74" s="2" t="str">
        <f t="shared" si="2"/>
        <v>83-969</v>
      </c>
      <c r="H74" s="2">
        <v>1200</v>
      </c>
      <c r="I74" s="2">
        <v>1</v>
      </c>
      <c r="J74" s="2">
        <v>1</v>
      </c>
      <c r="K74" t="s">
        <v>67</v>
      </c>
      <c r="L74" t="s">
        <v>331</v>
      </c>
    </row>
    <row r="75" spans="2:12" hidden="1" x14ac:dyDescent="0.3">
      <c r="B75" s="2" t="s">
        <v>67</v>
      </c>
      <c r="C75" s="2" t="s">
        <v>294</v>
      </c>
      <c r="D75" s="2" t="s">
        <v>274</v>
      </c>
      <c r="E75" s="2">
        <v>83</v>
      </c>
      <c r="F75" s="2">
        <v>970</v>
      </c>
      <c r="G75" s="2" t="str">
        <f t="shared" si="2"/>
        <v>83-970</v>
      </c>
      <c r="H75" s="2">
        <v>600</v>
      </c>
      <c r="I75" s="2">
        <v>1</v>
      </c>
      <c r="J75" s="2">
        <v>1</v>
      </c>
      <c r="K75" t="s">
        <v>67</v>
      </c>
      <c r="L75" t="s">
        <v>331</v>
      </c>
    </row>
    <row r="76" spans="2:12" hidden="1" x14ac:dyDescent="0.3">
      <c r="B76" s="2" t="s">
        <v>67</v>
      </c>
      <c r="C76" s="2" t="s">
        <v>294</v>
      </c>
      <c r="D76" s="2" t="s">
        <v>274</v>
      </c>
      <c r="E76" s="2">
        <v>83</v>
      </c>
      <c r="F76" s="2">
        <v>973</v>
      </c>
      <c r="G76" s="2" t="str">
        <f t="shared" si="2"/>
        <v>83-973</v>
      </c>
      <c r="H76" s="2">
        <v>1200</v>
      </c>
      <c r="I76" s="2">
        <v>1</v>
      </c>
      <c r="J76" s="2">
        <v>1</v>
      </c>
      <c r="K76" t="s">
        <v>67</v>
      </c>
      <c r="L76" t="s">
        <v>331</v>
      </c>
    </row>
    <row r="77" spans="2:12" hidden="1" x14ac:dyDescent="0.3">
      <c r="B77" s="2" t="s">
        <v>67</v>
      </c>
      <c r="C77" s="2" t="s">
        <v>301</v>
      </c>
      <c r="D77" s="2" t="s">
        <v>274</v>
      </c>
      <c r="E77" s="2">
        <v>148</v>
      </c>
      <c r="F77" s="2">
        <v>2324</v>
      </c>
      <c r="G77" s="2" t="str">
        <f t="shared" si="2"/>
        <v>148-2324</v>
      </c>
      <c r="H77" s="2">
        <v>363904.1</v>
      </c>
      <c r="I77" s="2">
        <v>303</v>
      </c>
      <c r="J77" s="2">
        <v>303</v>
      </c>
      <c r="K77" t="s">
        <v>67</v>
      </c>
      <c r="L77" t="s">
        <v>331</v>
      </c>
    </row>
    <row r="78" spans="2:12" hidden="1" x14ac:dyDescent="0.3">
      <c r="B78" s="2"/>
      <c r="C78" s="2"/>
      <c r="D78" s="2" t="s">
        <v>274</v>
      </c>
      <c r="E78" s="2"/>
      <c r="F78" s="2">
        <v>2324</v>
      </c>
      <c r="G78" s="2" t="str">
        <f t="shared" si="2"/>
        <v>0-2324</v>
      </c>
      <c r="H78" s="2">
        <v>6530.51</v>
      </c>
      <c r="I78" s="2">
        <v>5</v>
      </c>
      <c r="J78" s="2">
        <v>5</v>
      </c>
      <c r="K78" t="s">
        <v>67</v>
      </c>
      <c r="L78" t="s">
        <v>331</v>
      </c>
    </row>
    <row r="79" spans="2:12" hidden="1" x14ac:dyDescent="0.3">
      <c r="B79" s="2" t="s">
        <v>67</v>
      </c>
      <c r="C79" s="2" t="s">
        <v>294</v>
      </c>
      <c r="D79" s="2" t="s">
        <v>295</v>
      </c>
      <c r="E79" s="2">
        <v>83</v>
      </c>
      <c r="F79" s="2">
        <v>946</v>
      </c>
      <c r="G79" s="2" t="str">
        <f t="shared" si="2"/>
        <v>83-946</v>
      </c>
      <c r="H79" s="2">
        <v>2080</v>
      </c>
      <c r="I79" s="2">
        <v>1</v>
      </c>
      <c r="J79" s="2">
        <v>1</v>
      </c>
      <c r="K79" t="s">
        <v>67</v>
      </c>
      <c r="L79" t="s">
        <v>336</v>
      </c>
    </row>
    <row r="80" spans="2:12" hidden="1" x14ac:dyDescent="0.3">
      <c r="B80" s="2" t="s">
        <v>67</v>
      </c>
      <c r="C80" s="2" t="s">
        <v>294</v>
      </c>
      <c r="D80" s="2" t="s">
        <v>296</v>
      </c>
      <c r="E80" s="2">
        <v>83</v>
      </c>
      <c r="F80" s="2">
        <v>984</v>
      </c>
      <c r="G80" s="2" t="str">
        <f t="shared" si="2"/>
        <v>83-984</v>
      </c>
      <c r="H80" s="2">
        <v>1241</v>
      </c>
      <c r="I80" s="2">
        <v>1</v>
      </c>
      <c r="J80" s="2">
        <v>1</v>
      </c>
      <c r="K80" t="s">
        <v>67</v>
      </c>
      <c r="L80" t="s">
        <v>336</v>
      </c>
    </row>
    <row r="81" spans="2:12" hidden="1" x14ac:dyDescent="0.3">
      <c r="B81" s="2" t="s">
        <v>67</v>
      </c>
      <c r="C81" s="2" t="s">
        <v>294</v>
      </c>
      <c r="D81" s="2" t="s">
        <v>297</v>
      </c>
      <c r="E81" s="2">
        <v>83</v>
      </c>
      <c r="F81" s="2">
        <v>944</v>
      </c>
      <c r="G81" s="2" t="str">
        <f t="shared" si="2"/>
        <v>83-944</v>
      </c>
      <c r="H81" s="2">
        <v>910</v>
      </c>
      <c r="I81" s="2">
        <v>1</v>
      </c>
      <c r="J81" s="2">
        <v>1</v>
      </c>
      <c r="K81" t="s">
        <v>67</v>
      </c>
      <c r="L81" t="s">
        <v>336</v>
      </c>
    </row>
    <row r="82" spans="2:12" hidden="1" x14ac:dyDescent="0.3">
      <c r="B82" s="2" t="s">
        <v>67</v>
      </c>
      <c r="C82" s="2" t="s">
        <v>294</v>
      </c>
      <c r="D82" s="2" t="s">
        <v>297</v>
      </c>
      <c r="E82" s="2">
        <v>83</v>
      </c>
      <c r="F82" s="2">
        <v>945</v>
      </c>
      <c r="G82" s="2" t="str">
        <f t="shared" si="2"/>
        <v>83-945</v>
      </c>
      <c r="H82" s="2">
        <v>800</v>
      </c>
      <c r="I82" s="2">
        <v>1</v>
      </c>
      <c r="J82" s="2">
        <v>1</v>
      </c>
      <c r="K82" t="s">
        <v>67</v>
      </c>
      <c r="L82" t="s">
        <v>336</v>
      </c>
    </row>
    <row r="83" spans="2:12" hidden="1" x14ac:dyDescent="0.3">
      <c r="B83" s="2" t="s">
        <v>67</v>
      </c>
      <c r="C83" s="2" t="s">
        <v>294</v>
      </c>
      <c r="D83" s="2" t="s">
        <v>297</v>
      </c>
      <c r="E83" s="2">
        <v>83</v>
      </c>
      <c r="F83" s="2">
        <v>960</v>
      </c>
      <c r="G83" s="2" t="str">
        <f t="shared" si="2"/>
        <v>83-960</v>
      </c>
      <c r="H83" s="2">
        <v>830</v>
      </c>
      <c r="I83" s="2">
        <v>1</v>
      </c>
      <c r="J83" s="2">
        <v>1</v>
      </c>
      <c r="K83" t="s">
        <v>67</v>
      </c>
      <c r="L83" t="s">
        <v>336</v>
      </c>
    </row>
    <row r="84" spans="2:12" hidden="1" x14ac:dyDescent="0.3">
      <c r="B84" s="2" t="s">
        <v>67</v>
      </c>
      <c r="C84" s="2" t="s">
        <v>294</v>
      </c>
      <c r="D84" s="2" t="s">
        <v>298</v>
      </c>
      <c r="E84" s="2">
        <v>83</v>
      </c>
      <c r="F84" s="2">
        <v>914</v>
      </c>
      <c r="G84" s="2" t="str">
        <f t="shared" si="2"/>
        <v>83-914</v>
      </c>
      <c r="H84" s="2">
        <v>209.66</v>
      </c>
      <c r="I84" s="2">
        <v>1</v>
      </c>
      <c r="J84" s="2">
        <v>1</v>
      </c>
      <c r="K84" t="s">
        <v>67</v>
      </c>
      <c r="L84" t="s">
        <v>336</v>
      </c>
    </row>
    <row r="85" spans="2:12" hidden="1" x14ac:dyDescent="0.3">
      <c r="B85" s="2" t="s">
        <v>67</v>
      </c>
      <c r="C85" s="2" t="s">
        <v>294</v>
      </c>
      <c r="D85" s="2" t="s">
        <v>298</v>
      </c>
      <c r="E85" s="2">
        <v>83</v>
      </c>
      <c r="F85" s="2">
        <v>915</v>
      </c>
      <c r="G85" s="2" t="str">
        <f t="shared" si="2"/>
        <v>83-915</v>
      </c>
      <c r="H85" s="2">
        <v>720</v>
      </c>
      <c r="I85" s="2">
        <v>1</v>
      </c>
      <c r="J85" s="2">
        <v>1</v>
      </c>
      <c r="K85" t="s">
        <v>67</v>
      </c>
      <c r="L85" t="s">
        <v>336</v>
      </c>
    </row>
    <row r="86" spans="2:12" hidden="1" x14ac:dyDescent="0.3">
      <c r="B86" s="2" t="s">
        <v>67</v>
      </c>
      <c r="C86" s="2" t="s">
        <v>294</v>
      </c>
      <c r="D86" s="2" t="s">
        <v>298</v>
      </c>
      <c r="E86" s="2">
        <v>83</v>
      </c>
      <c r="F86" s="2">
        <v>916</v>
      </c>
      <c r="G86" s="2" t="str">
        <f t="shared" si="2"/>
        <v>83-916</v>
      </c>
      <c r="H86" s="2">
        <v>720</v>
      </c>
      <c r="I86" s="2">
        <v>1</v>
      </c>
      <c r="J86" s="2">
        <v>1</v>
      </c>
      <c r="K86" t="s">
        <v>67</v>
      </c>
      <c r="L86" t="s">
        <v>336</v>
      </c>
    </row>
    <row r="87" spans="2:12" hidden="1" x14ac:dyDescent="0.3">
      <c r="B87" s="2" t="s">
        <v>67</v>
      </c>
      <c r="C87" s="2" t="s">
        <v>294</v>
      </c>
      <c r="D87" s="2" t="s">
        <v>299</v>
      </c>
      <c r="E87" s="2">
        <v>83</v>
      </c>
      <c r="F87" s="2">
        <v>983</v>
      </c>
      <c r="G87" s="2" t="str">
        <f t="shared" si="2"/>
        <v>83-983</v>
      </c>
      <c r="H87" s="2">
        <v>400</v>
      </c>
      <c r="I87" s="2">
        <v>1</v>
      </c>
      <c r="J87" s="2">
        <v>1</v>
      </c>
      <c r="K87" t="s">
        <v>67</v>
      </c>
      <c r="L87" t="s">
        <v>336</v>
      </c>
    </row>
    <row r="88" spans="2:12" hidden="1" x14ac:dyDescent="0.3">
      <c r="B88" s="2" t="s">
        <v>67</v>
      </c>
      <c r="C88" s="2" t="s">
        <v>293</v>
      </c>
      <c r="D88" s="2"/>
      <c r="E88" s="2">
        <v>81</v>
      </c>
      <c r="F88" s="2">
        <v>0</v>
      </c>
      <c r="G88" s="2" t="str">
        <f t="shared" si="2"/>
        <v>81-0</v>
      </c>
      <c r="H88" s="2">
        <v>0</v>
      </c>
      <c r="I88" s="2">
        <v>3</v>
      </c>
      <c r="J88" s="2">
        <v>3</v>
      </c>
      <c r="K88" t="s">
        <v>67</v>
      </c>
      <c r="L88" t="s">
        <v>337</v>
      </c>
    </row>
    <row r="89" spans="2:12" hidden="1" x14ac:dyDescent="0.3">
      <c r="B89" s="2" t="s">
        <v>67</v>
      </c>
      <c r="C89" s="2" t="s">
        <v>294</v>
      </c>
      <c r="D89" s="2"/>
      <c r="E89" s="2">
        <v>83</v>
      </c>
      <c r="F89" s="2">
        <v>0</v>
      </c>
      <c r="G89" s="2" t="str">
        <f t="shared" si="2"/>
        <v>83-0</v>
      </c>
      <c r="H89" s="2">
        <v>0</v>
      </c>
      <c r="I89" s="2">
        <v>48</v>
      </c>
      <c r="J89" s="2">
        <v>48</v>
      </c>
      <c r="K89" t="s">
        <v>67</v>
      </c>
      <c r="L89" t="s">
        <v>337</v>
      </c>
    </row>
    <row r="90" spans="2:12" hidden="1" x14ac:dyDescent="0.3">
      <c r="B90" s="2" t="s">
        <v>67</v>
      </c>
      <c r="C90" s="2" t="s">
        <v>293</v>
      </c>
      <c r="D90" s="2" t="s">
        <v>285</v>
      </c>
      <c r="E90" s="2">
        <v>81</v>
      </c>
      <c r="F90" s="2">
        <v>889</v>
      </c>
      <c r="G90" s="2" t="str">
        <f t="shared" si="2"/>
        <v>81-889</v>
      </c>
      <c r="H90" s="2">
        <v>32.5</v>
      </c>
      <c r="I90" s="2">
        <v>1</v>
      </c>
      <c r="J90" s="2">
        <v>1</v>
      </c>
      <c r="K90" t="s">
        <v>67</v>
      </c>
      <c r="L90" t="s">
        <v>338</v>
      </c>
    </row>
    <row r="91" spans="2:12" hidden="1" x14ac:dyDescent="0.3">
      <c r="B91" s="2" t="s">
        <v>67</v>
      </c>
      <c r="C91" s="2" t="s">
        <v>293</v>
      </c>
      <c r="D91" s="2" t="s">
        <v>285</v>
      </c>
      <c r="E91" s="2">
        <v>81</v>
      </c>
      <c r="F91" s="2">
        <v>900</v>
      </c>
      <c r="G91" s="2" t="str">
        <f t="shared" si="2"/>
        <v>81-900</v>
      </c>
      <c r="H91" s="2">
        <v>100</v>
      </c>
      <c r="I91" s="2">
        <v>1</v>
      </c>
      <c r="J91" s="2">
        <v>1</v>
      </c>
      <c r="K91" t="s">
        <v>67</v>
      </c>
      <c r="L91" t="s">
        <v>338</v>
      </c>
    </row>
    <row r="92" spans="2:12" hidden="1" x14ac:dyDescent="0.3">
      <c r="B92" s="2" t="s">
        <v>67</v>
      </c>
      <c r="C92" s="2" t="s">
        <v>293</v>
      </c>
      <c r="D92" s="2" t="s">
        <v>285</v>
      </c>
      <c r="E92" s="2">
        <v>81</v>
      </c>
      <c r="F92" s="2">
        <v>961</v>
      </c>
      <c r="G92" s="2" t="str">
        <f t="shared" si="2"/>
        <v>81-961</v>
      </c>
      <c r="H92" s="2">
        <v>20</v>
      </c>
      <c r="I92" s="2">
        <v>1</v>
      </c>
      <c r="J92" s="2">
        <v>1</v>
      </c>
      <c r="K92" t="s">
        <v>67</v>
      </c>
      <c r="L92" t="s">
        <v>338</v>
      </c>
    </row>
    <row r="93" spans="2:12" hidden="1" x14ac:dyDescent="0.3">
      <c r="B93" s="2" t="s">
        <v>67</v>
      </c>
      <c r="C93" s="2" t="s">
        <v>289</v>
      </c>
      <c r="D93" s="2" t="s">
        <v>290</v>
      </c>
      <c r="E93" s="2">
        <v>82</v>
      </c>
      <c r="F93" s="2">
        <v>1788</v>
      </c>
      <c r="G93" s="2" t="str">
        <f t="shared" si="2"/>
        <v>82-1788</v>
      </c>
      <c r="H93" s="2">
        <v>7710</v>
      </c>
      <c r="I93" s="2">
        <v>24</v>
      </c>
      <c r="J93" s="2">
        <v>27000</v>
      </c>
      <c r="K93" t="s">
        <v>67</v>
      </c>
      <c r="L93" t="s">
        <v>339</v>
      </c>
    </row>
    <row r="94" spans="2:12" hidden="1" x14ac:dyDescent="0.3">
      <c r="B94" s="2" t="s">
        <v>67</v>
      </c>
      <c r="C94" s="2" t="s">
        <v>301</v>
      </c>
      <c r="D94" s="2" t="s">
        <v>302</v>
      </c>
      <c r="E94" s="2">
        <v>148</v>
      </c>
      <c r="F94" s="2">
        <v>2261</v>
      </c>
      <c r="G94" s="2" t="str">
        <f t="shared" si="2"/>
        <v>148-2261</v>
      </c>
      <c r="H94" s="2">
        <v>5890</v>
      </c>
      <c r="I94" s="2">
        <v>17</v>
      </c>
      <c r="J94" s="2">
        <v>17</v>
      </c>
      <c r="K94" t="s">
        <v>67</v>
      </c>
      <c r="L94" t="s">
        <v>332</v>
      </c>
    </row>
    <row r="95" spans="2:12" hidden="1" x14ac:dyDescent="0.3">
      <c r="B95" s="2" t="s">
        <v>67</v>
      </c>
      <c r="C95" s="2" t="s">
        <v>289</v>
      </c>
      <c r="D95" s="2" t="s">
        <v>268</v>
      </c>
      <c r="E95" s="2">
        <v>82</v>
      </c>
      <c r="F95" s="2">
        <v>2264</v>
      </c>
      <c r="G95" s="2" t="str">
        <f t="shared" si="2"/>
        <v>82-2264</v>
      </c>
      <c r="H95" s="2">
        <v>3669</v>
      </c>
      <c r="I95" s="2">
        <v>8</v>
      </c>
      <c r="J95" s="2">
        <v>11551</v>
      </c>
      <c r="K95" t="s">
        <v>67</v>
      </c>
      <c r="L95" t="s">
        <v>333</v>
      </c>
    </row>
    <row r="96" spans="2:12" hidden="1" x14ac:dyDescent="0.3">
      <c r="B96" s="2" t="s">
        <v>67</v>
      </c>
      <c r="C96" s="2" t="s">
        <v>301</v>
      </c>
      <c r="D96" s="2" t="s">
        <v>268</v>
      </c>
      <c r="E96" s="2">
        <v>148</v>
      </c>
      <c r="F96" s="2">
        <v>2264</v>
      </c>
      <c r="G96" s="2" t="str">
        <f t="shared" si="2"/>
        <v>148-2264</v>
      </c>
      <c r="H96" s="2">
        <v>14735.98</v>
      </c>
      <c r="I96" s="2">
        <v>36</v>
      </c>
      <c r="J96" s="2">
        <v>36</v>
      </c>
      <c r="K96" t="s">
        <v>67</v>
      </c>
      <c r="L96" t="s">
        <v>333</v>
      </c>
    </row>
    <row r="97" spans="2:12" hidden="1" x14ac:dyDescent="0.3">
      <c r="B97" s="2"/>
      <c r="C97" s="2"/>
      <c r="D97" s="2" t="s">
        <v>268</v>
      </c>
      <c r="E97" s="2"/>
      <c r="F97" s="2">
        <v>2264</v>
      </c>
      <c r="G97" s="2" t="str">
        <f t="shared" si="2"/>
        <v>0-2264</v>
      </c>
      <c r="H97" s="2">
        <v>900</v>
      </c>
      <c r="I97" s="2">
        <v>4</v>
      </c>
      <c r="J97" s="2">
        <v>3000</v>
      </c>
      <c r="K97" t="s">
        <v>67</v>
      </c>
      <c r="L97" t="s">
        <v>333</v>
      </c>
    </row>
    <row r="98" spans="2:12" hidden="1" x14ac:dyDescent="0.3">
      <c r="B98" s="2" t="s">
        <v>63</v>
      </c>
      <c r="C98" s="2" t="s">
        <v>286</v>
      </c>
      <c r="D98" s="2" t="s">
        <v>272</v>
      </c>
      <c r="E98" s="2">
        <v>92</v>
      </c>
      <c r="F98" s="2">
        <v>2315</v>
      </c>
      <c r="G98" s="2" t="str">
        <f t="shared" si="2"/>
        <v>92-2315</v>
      </c>
      <c r="H98" s="2">
        <v>1500</v>
      </c>
      <c r="I98" s="2">
        <v>1</v>
      </c>
      <c r="J98" s="2">
        <v>1</v>
      </c>
      <c r="K98" t="s">
        <v>65</v>
      </c>
      <c r="L98" t="s">
        <v>327</v>
      </c>
    </row>
    <row r="99" spans="2:12" hidden="1" x14ac:dyDescent="0.3">
      <c r="B99" s="2" t="s">
        <v>63</v>
      </c>
      <c r="C99" s="2" t="s">
        <v>293</v>
      </c>
      <c r="D99" s="2" t="s">
        <v>272</v>
      </c>
      <c r="E99" s="2">
        <v>144</v>
      </c>
      <c r="F99" s="2">
        <v>2315</v>
      </c>
      <c r="G99" s="2" t="str">
        <f t="shared" ref="G99:G130" si="3">IF(
    AND(OR(E99="",E99=0), OR(F99="",F99=0)),
    "0-0",
    IF(OR(E99="",E99=0),
        "0-" &amp; TEXT(F99,"0"),
        IF(OR(F99="",F99=0),
            TEXT(E99,"0") &amp; "-0",
            TEXT(E99,"0") &amp; "-" &amp; TEXT(F99,"0")
        )
    )
)</f>
        <v>144-2315</v>
      </c>
      <c r="H99" s="2">
        <v>2040</v>
      </c>
      <c r="I99" s="2">
        <v>1</v>
      </c>
      <c r="J99" s="2">
        <v>1</v>
      </c>
      <c r="K99" t="s">
        <v>65</v>
      </c>
      <c r="L99" t="s">
        <v>327</v>
      </c>
    </row>
    <row r="100" spans="2:12" hidden="1" x14ac:dyDescent="0.3">
      <c r="B100" s="2" t="s">
        <v>65</v>
      </c>
      <c r="C100" s="2" t="s">
        <v>303</v>
      </c>
      <c r="D100" s="2" t="s">
        <v>285</v>
      </c>
      <c r="E100" s="2">
        <v>89</v>
      </c>
      <c r="F100" s="2">
        <v>950</v>
      </c>
      <c r="G100" s="2" t="str">
        <f t="shared" si="3"/>
        <v>89-950</v>
      </c>
      <c r="H100" s="2">
        <v>423.73</v>
      </c>
      <c r="I100" s="2">
        <v>1</v>
      </c>
      <c r="J100" s="2">
        <v>1</v>
      </c>
      <c r="K100" t="s">
        <v>65</v>
      </c>
      <c r="L100" t="s">
        <v>327</v>
      </c>
    </row>
    <row r="101" spans="2:12" hidden="1" x14ac:dyDescent="0.3">
      <c r="B101" s="2" t="s">
        <v>65</v>
      </c>
      <c r="C101" s="2" t="s">
        <v>303</v>
      </c>
      <c r="D101" s="2" t="s">
        <v>285</v>
      </c>
      <c r="E101" s="2">
        <v>89</v>
      </c>
      <c r="F101" s="2">
        <v>951</v>
      </c>
      <c r="G101" s="2" t="str">
        <f t="shared" si="3"/>
        <v>89-951</v>
      </c>
      <c r="H101" s="2">
        <v>423.73</v>
      </c>
      <c r="I101" s="2">
        <v>1</v>
      </c>
      <c r="J101" s="2">
        <v>1</v>
      </c>
      <c r="K101" t="s">
        <v>65</v>
      </c>
      <c r="L101" t="s">
        <v>327</v>
      </c>
    </row>
    <row r="102" spans="2:12" hidden="1" x14ac:dyDescent="0.3">
      <c r="B102" s="2" t="s">
        <v>65</v>
      </c>
      <c r="C102" s="2" t="s">
        <v>303</v>
      </c>
      <c r="D102" s="2" t="s">
        <v>285</v>
      </c>
      <c r="E102" s="2">
        <v>89</v>
      </c>
      <c r="F102" s="2">
        <v>954</v>
      </c>
      <c r="G102" s="2" t="str">
        <f t="shared" si="3"/>
        <v>89-954</v>
      </c>
      <c r="H102" s="2">
        <v>438.73</v>
      </c>
      <c r="I102" s="2">
        <v>1</v>
      </c>
      <c r="J102" s="2">
        <v>1</v>
      </c>
      <c r="K102" t="s">
        <v>65</v>
      </c>
      <c r="L102" t="s">
        <v>327</v>
      </c>
    </row>
    <row r="103" spans="2:12" hidden="1" x14ac:dyDescent="0.3">
      <c r="B103" s="2" t="s">
        <v>65</v>
      </c>
      <c r="C103" s="2" t="s">
        <v>303</v>
      </c>
      <c r="D103" s="2" t="s">
        <v>285</v>
      </c>
      <c r="E103" s="2">
        <v>89</v>
      </c>
      <c r="F103" s="2">
        <v>955</v>
      </c>
      <c r="G103" s="2" t="str">
        <f t="shared" si="3"/>
        <v>89-955</v>
      </c>
      <c r="H103" s="2">
        <v>847.46</v>
      </c>
      <c r="I103" s="2">
        <v>2</v>
      </c>
      <c r="J103" s="2">
        <v>2</v>
      </c>
      <c r="K103" t="s">
        <v>65</v>
      </c>
      <c r="L103" t="s">
        <v>327</v>
      </c>
    </row>
    <row r="104" spans="2:12" hidden="1" x14ac:dyDescent="0.3">
      <c r="B104" s="2" t="s">
        <v>65</v>
      </c>
      <c r="C104" s="2" t="s">
        <v>303</v>
      </c>
      <c r="D104" s="2" t="s">
        <v>285</v>
      </c>
      <c r="E104" s="2">
        <v>89</v>
      </c>
      <c r="F104" s="2">
        <v>966</v>
      </c>
      <c r="G104" s="2" t="str">
        <f t="shared" si="3"/>
        <v>89-966</v>
      </c>
      <c r="H104" s="2">
        <v>300</v>
      </c>
      <c r="I104" s="2">
        <v>1</v>
      </c>
      <c r="J104" s="2">
        <v>1</v>
      </c>
      <c r="K104" t="s">
        <v>65</v>
      </c>
      <c r="L104" t="s">
        <v>327</v>
      </c>
    </row>
    <row r="105" spans="2:12" hidden="1" x14ac:dyDescent="0.3">
      <c r="B105" s="2" t="s">
        <v>65</v>
      </c>
      <c r="C105" s="2" t="s">
        <v>303</v>
      </c>
      <c r="D105" s="2" t="s">
        <v>285</v>
      </c>
      <c r="E105" s="2">
        <v>89</v>
      </c>
      <c r="F105" s="2">
        <v>971</v>
      </c>
      <c r="G105" s="2" t="str">
        <f t="shared" si="3"/>
        <v>89-971</v>
      </c>
      <c r="H105" s="2">
        <v>650</v>
      </c>
      <c r="I105" s="2">
        <v>1</v>
      </c>
      <c r="J105" s="2">
        <v>1</v>
      </c>
      <c r="K105" t="s">
        <v>65</v>
      </c>
      <c r="L105" t="s">
        <v>327</v>
      </c>
    </row>
    <row r="106" spans="2:12" hidden="1" x14ac:dyDescent="0.3">
      <c r="B106" s="2" t="s">
        <v>65</v>
      </c>
      <c r="C106" s="2" t="s">
        <v>303</v>
      </c>
      <c r="D106" s="2" t="s">
        <v>285</v>
      </c>
      <c r="E106" s="2">
        <v>89</v>
      </c>
      <c r="F106" s="2">
        <v>974</v>
      </c>
      <c r="G106" s="2" t="str">
        <f t="shared" si="3"/>
        <v>89-974</v>
      </c>
      <c r="H106" s="2">
        <v>20</v>
      </c>
      <c r="I106" s="2">
        <v>1</v>
      </c>
      <c r="J106" s="2">
        <v>1</v>
      </c>
      <c r="K106" t="s">
        <v>65</v>
      </c>
      <c r="L106" t="s">
        <v>327</v>
      </c>
    </row>
    <row r="107" spans="2:12" hidden="1" x14ac:dyDescent="0.3">
      <c r="B107" s="2" t="s">
        <v>65</v>
      </c>
      <c r="C107" s="2" t="s">
        <v>303</v>
      </c>
      <c r="D107" s="2" t="s">
        <v>285</v>
      </c>
      <c r="E107" s="2">
        <v>89</v>
      </c>
      <c r="F107" s="2">
        <v>976</v>
      </c>
      <c r="G107" s="2" t="str">
        <f t="shared" si="3"/>
        <v>89-976</v>
      </c>
      <c r="H107" s="2">
        <v>423.73</v>
      </c>
      <c r="I107" s="2">
        <v>1</v>
      </c>
      <c r="J107" s="2">
        <v>1</v>
      </c>
      <c r="K107" t="s">
        <v>65</v>
      </c>
      <c r="L107" t="s">
        <v>327</v>
      </c>
    </row>
    <row r="108" spans="2:12" hidden="1" x14ac:dyDescent="0.3">
      <c r="B108" s="2" t="s">
        <v>65</v>
      </c>
      <c r="C108" s="2" t="s">
        <v>303</v>
      </c>
      <c r="D108" s="2" t="s">
        <v>285</v>
      </c>
      <c r="E108" s="2">
        <v>89</v>
      </c>
      <c r="F108" s="2">
        <v>977</v>
      </c>
      <c r="G108" s="2" t="str">
        <f t="shared" si="3"/>
        <v>89-977</v>
      </c>
      <c r="H108" s="2">
        <v>500</v>
      </c>
      <c r="I108" s="2">
        <v>1</v>
      </c>
      <c r="J108" s="2">
        <v>1</v>
      </c>
      <c r="K108" t="s">
        <v>65</v>
      </c>
      <c r="L108" t="s">
        <v>327</v>
      </c>
    </row>
    <row r="109" spans="2:12" hidden="1" x14ac:dyDescent="0.3">
      <c r="B109" s="2" t="s">
        <v>65</v>
      </c>
      <c r="C109" s="2" t="s">
        <v>303</v>
      </c>
      <c r="D109" s="2" t="s">
        <v>285</v>
      </c>
      <c r="E109" s="2">
        <v>89</v>
      </c>
      <c r="F109" s="2">
        <v>978</v>
      </c>
      <c r="G109" s="2" t="str">
        <f t="shared" si="3"/>
        <v>89-978</v>
      </c>
      <c r="H109" s="2">
        <v>500</v>
      </c>
      <c r="I109" s="2">
        <v>1</v>
      </c>
      <c r="J109" s="2">
        <v>1</v>
      </c>
      <c r="K109" t="s">
        <v>65</v>
      </c>
      <c r="L109" t="s">
        <v>327</v>
      </c>
    </row>
    <row r="110" spans="2:12" hidden="1" x14ac:dyDescent="0.3">
      <c r="B110" s="2" t="s">
        <v>65</v>
      </c>
      <c r="C110" s="2" t="s">
        <v>303</v>
      </c>
      <c r="D110" s="2" t="s">
        <v>285</v>
      </c>
      <c r="E110" s="2">
        <v>89</v>
      </c>
      <c r="F110" s="2">
        <v>980</v>
      </c>
      <c r="G110" s="2" t="str">
        <f t="shared" si="3"/>
        <v>89-980</v>
      </c>
      <c r="H110" s="2">
        <v>980</v>
      </c>
      <c r="I110" s="2">
        <v>1</v>
      </c>
      <c r="J110" s="2">
        <v>1</v>
      </c>
      <c r="K110" t="s">
        <v>65</v>
      </c>
      <c r="L110" t="s">
        <v>327</v>
      </c>
    </row>
    <row r="111" spans="2:12" hidden="1" x14ac:dyDescent="0.3">
      <c r="B111" s="2" t="s">
        <v>65</v>
      </c>
      <c r="C111" s="2" t="s">
        <v>303</v>
      </c>
      <c r="D111" s="2" t="s">
        <v>272</v>
      </c>
      <c r="E111" s="2">
        <v>89</v>
      </c>
      <c r="F111" s="2">
        <v>2315</v>
      </c>
      <c r="G111" s="2" t="str">
        <f t="shared" si="3"/>
        <v>89-2315</v>
      </c>
      <c r="H111" s="2">
        <v>265246.38</v>
      </c>
      <c r="I111" s="2">
        <v>246</v>
      </c>
      <c r="J111" s="2">
        <v>246</v>
      </c>
      <c r="K111" t="s">
        <v>65</v>
      </c>
      <c r="L111" t="s">
        <v>327</v>
      </c>
    </row>
    <row r="112" spans="2:12" hidden="1" x14ac:dyDescent="0.3">
      <c r="B112" s="2" t="s">
        <v>65</v>
      </c>
      <c r="C112" s="2" t="s">
        <v>303</v>
      </c>
      <c r="D112" s="2"/>
      <c r="E112" s="2">
        <v>89</v>
      </c>
      <c r="F112" s="2">
        <v>0</v>
      </c>
      <c r="G112" s="2" t="str">
        <f t="shared" si="3"/>
        <v>89-0</v>
      </c>
      <c r="H112" s="2">
        <v>0</v>
      </c>
      <c r="I112" s="2">
        <v>12</v>
      </c>
      <c r="J112" s="2">
        <v>12</v>
      </c>
      <c r="K112" t="s">
        <v>65</v>
      </c>
      <c r="L112" t="s">
        <v>327</v>
      </c>
    </row>
    <row r="113" spans="2:12" hidden="1" x14ac:dyDescent="0.3">
      <c r="B113" s="2"/>
      <c r="C113" s="2"/>
      <c r="D113" s="2" t="s">
        <v>272</v>
      </c>
      <c r="E113" s="2"/>
      <c r="F113" s="2">
        <v>2315</v>
      </c>
      <c r="G113" s="2" t="str">
        <f t="shared" si="3"/>
        <v>0-2315</v>
      </c>
      <c r="H113" s="2">
        <v>7583.38</v>
      </c>
      <c r="I113" s="2">
        <v>5</v>
      </c>
      <c r="J113" s="2">
        <v>5</v>
      </c>
      <c r="K113" t="s">
        <v>65</v>
      </c>
      <c r="L113" t="s">
        <v>327</v>
      </c>
    </row>
    <row r="114" spans="2:12" hidden="1" x14ac:dyDescent="0.3">
      <c r="B114" s="2"/>
      <c r="C114" s="2"/>
      <c r="D114" s="2" t="s">
        <v>275</v>
      </c>
      <c r="E114" s="2"/>
      <c r="F114" s="2">
        <v>2344</v>
      </c>
      <c r="G114" s="2" t="str">
        <f t="shared" si="3"/>
        <v>0-2344</v>
      </c>
      <c r="H114" s="2">
        <v>-2961.2</v>
      </c>
      <c r="I114" s="2">
        <v>18</v>
      </c>
      <c r="J114" s="2">
        <v>18</v>
      </c>
      <c r="K114" t="s">
        <v>337</v>
      </c>
      <c r="L114" t="s">
        <v>337</v>
      </c>
    </row>
    <row r="115" spans="2:12" hidden="1" x14ac:dyDescent="0.3">
      <c r="B115" s="2"/>
      <c r="C115" s="2"/>
      <c r="D115" s="2" t="s">
        <v>277</v>
      </c>
      <c r="E115" s="2"/>
      <c r="F115" s="2">
        <v>2323</v>
      </c>
      <c r="G115" s="2" t="str">
        <f t="shared" si="3"/>
        <v>0-2323</v>
      </c>
      <c r="H115" s="2">
        <v>894.19</v>
      </c>
      <c r="I115" s="2">
        <v>1</v>
      </c>
      <c r="J115" s="2">
        <v>1</v>
      </c>
      <c r="K115" t="s">
        <v>337</v>
      </c>
      <c r="L115" t="s">
        <v>337</v>
      </c>
    </row>
    <row r="116" spans="2:12" hidden="1" x14ac:dyDescent="0.3">
      <c r="B116" s="2"/>
      <c r="C116" s="2"/>
      <c r="D116" s="2"/>
      <c r="E116" s="2"/>
      <c r="F116" s="2">
        <v>0</v>
      </c>
      <c r="G116" s="2" t="str">
        <f t="shared" si="3"/>
        <v>0-0</v>
      </c>
      <c r="H116" s="2">
        <v>0</v>
      </c>
      <c r="I116" s="2">
        <v>2</v>
      </c>
      <c r="J116" s="2">
        <v>2</v>
      </c>
      <c r="K116" t="s">
        <v>337</v>
      </c>
      <c r="L116" t="s">
        <v>337</v>
      </c>
    </row>
    <row r="117" spans="2:12" hidden="1" x14ac:dyDescent="0.3">
      <c r="B117" s="2" t="s">
        <v>306</v>
      </c>
      <c r="C117" s="2" t="s">
        <v>311</v>
      </c>
      <c r="D117" s="2" t="s">
        <v>9</v>
      </c>
      <c r="E117" s="2">
        <v>153</v>
      </c>
      <c r="F117" s="2">
        <v>2314</v>
      </c>
      <c r="G117" s="2" t="str">
        <f t="shared" si="3"/>
        <v>153-2314</v>
      </c>
      <c r="H117" s="2">
        <v>300</v>
      </c>
      <c r="I117" s="2">
        <v>1</v>
      </c>
      <c r="J117" s="2">
        <v>1</v>
      </c>
      <c r="K117" t="s">
        <v>0</v>
      </c>
      <c r="L117" t="s">
        <v>322</v>
      </c>
    </row>
    <row r="118" spans="2:12" hidden="1" x14ac:dyDescent="0.3">
      <c r="B118" s="2" t="s">
        <v>0</v>
      </c>
      <c r="C118" s="2" t="s">
        <v>288</v>
      </c>
      <c r="D118" s="2" t="s">
        <v>9</v>
      </c>
      <c r="E118" s="2">
        <v>103</v>
      </c>
      <c r="F118" s="2">
        <v>2314</v>
      </c>
      <c r="G118" s="2" t="str">
        <f t="shared" si="3"/>
        <v>103-2314</v>
      </c>
      <c r="H118" s="2">
        <v>109304.69</v>
      </c>
      <c r="I118" s="2">
        <v>184</v>
      </c>
      <c r="J118" s="2">
        <v>184</v>
      </c>
      <c r="K118" t="s">
        <v>0</v>
      </c>
      <c r="L118" t="s">
        <v>322</v>
      </c>
    </row>
    <row r="119" spans="2:12" hidden="1" x14ac:dyDescent="0.3">
      <c r="B119" s="2" t="s">
        <v>0</v>
      </c>
      <c r="C119" s="2" t="s">
        <v>288</v>
      </c>
      <c r="D119" s="2" t="s">
        <v>285</v>
      </c>
      <c r="E119" s="2">
        <v>103</v>
      </c>
      <c r="F119" s="2">
        <v>873</v>
      </c>
      <c r="G119" s="2" t="str">
        <f t="shared" si="3"/>
        <v>103-873</v>
      </c>
      <c r="H119" s="2">
        <v>450</v>
      </c>
      <c r="I119" s="2">
        <v>1</v>
      </c>
      <c r="J119" s="2">
        <v>1</v>
      </c>
      <c r="K119" t="s">
        <v>0</v>
      </c>
      <c r="L119" t="s">
        <v>322</v>
      </c>
    </row>
    <row r="120" spans="2:12" hidden="1" x14ac:dyDescent="0.3">
      <c r="B120" s="2" t="s">
        <v>0</v>
      </c>
      <c r="C120" s="2" t="s">
        <v>288</v>
      </c>
      <c r="D120" s="2" t="s">
        <v>285</v>
      </c>
      <c r="E120" s="2">
        <v>103</v>
      </c>
      <c r="F120" s="2">
        <v>882</v>
      </c>
      <c r="G120" s="2" t="str">
        <f t="shared" si="3"/>
        <v>103-882</v>
      </c>
      <c r="H120" s="2">
        <v>1500</v>
      </c>
      <c r="I120" s="2">
        <v>2</v>
      </c>
      <c r="J120" s="2">
        <v>2</v>
      </c>
      <c r="K120" t="s">
        <v>0</v>
      </c>
      <c r="L120" t="s">
        <v>322</v>
      </c>
    </row>
    <row r="121" spans="2:12" hidden="1" x14ac:dyDescent="0.3">
      <c r="B121" s="2" t="s">
        <v>0</v>
      </c>
      <c r="C121" s="2" t="s">
        <v>288</v>
      </c>
      <c r="D121" s="2" t="s">
        <v>285</v>
      </c>
      <c r="E121" s="2">
        <v>103</v>
      </c>
      <c r="F121" s="2">
        <v>892</v>
      </c>
      <c r="G121" s="2" t="str">
        <f t="shared" si="3"/>
        <v>103-892</v>
      </c>
      <c r="H121" s="2">
        <v>450</v>
      </c>
      <c r="I121" s="2">
        <v>1</v>
      </c>
      <c r="J121" s="2">
        <v>1</v>
      </c>
      <c r="K121" t="s">
        <v>0</v>
      </c>
      <c r="L121" t="s">
        <v>322</v>
      </c>
    </row>
    <row r="122" spans="2:12" hidden="1" x14ac:dyDescent="0.3">
      <c r="B122" s="2" t="s">
        <v>0</v>
      </c>
      <c r="C122" s="2" t="s">
        <v>288</v>
      </c>
      <c r="D122" s="2" t="s">
        <v>285</v>
      </c>
      <c r="E122" s="2">
        <v>103</v>
      </c>
      <c r="F122" s="2">
        <v>902</v>
      </c>
      <c r="G122" s="2" t="str">
        <f t="shared" si="3"/>
        <v>103-902</v>
      </c>
      <c r="H122" s="2">
        <v>450</v>
      </c>
      <c r="I122" s="2">
        <v>1</v>
      </c>
      <c r="J122" s="2">
        <v>1</v>
      </c>
      <c r="K122" t="s">
        <v>0</v>
      </c>
      <c r="L122" t="s">
        <v>322</v>
      </c>
    </row>
    <row r="123" spans="2:12" hidden="1" x14ac:dyDescent="0.3">
      <c r="B123" s="2" t="s">
        <v>0</v>
      </c>
      <c r="C123" s="2" t="s">
        <v>288</v>
      </c>
      <c r="D123" s="2" t="s">
        <v>285</v>
      </c>
      <c r="E123" s="2">
        <v>103</v>
      </c>
      <c r="F123" s="2">
        <v>903</v>
      </c>
      <c r="G123" s="2" t="str">
        <f t="shared" si="3"/>
        <v>103-903</v>
      </c>
      <c r="H123" s="2">
        <v>390</v>
      </c>
      <c r="I123" s="2">
        <v>1</v>
      </c>
      <c r="J123" s="2">
        <v>1</v>
      </c>
      <c r="K123" t="s">
        <v>0</v>
      </c>
      <c r="L123" t="s">
        <v>322</v>
      </c>
    </row>
    <row r="124" spans="2:12" hidden="1" x14ac:dyDescent="0.3">
      <c r="B124" s="2" t="s">
        <v>0</v>
      </c>
      <c r="C124" s="2" t="s">
        <v>288</v>
      </c>
      <c r="D124" s="2" t="s">
        <v>285</v>
      </c>
      <c r="E124" s="2">
        <v>103</v>
      </c>
      <c r="F124" s="2">
        <v>909</v>
      </c>
      <c r="G124" s="2" t="str">
        <f t="shared" si="3"/>
        <v>103-909</v>
      </c>
      <c r="H124" s="2">
        <v>210</v>
      </c>
      <c r="I124" s="2">
        <v>1</v>
      </c>
      <c r="J124" s="2">
        <v>1</v>
      </c>
      <c r="K124" t="s">
        <v>0</v>
      </c>
      <c r="L124" t="s">
        <v>322</v>
      </c>
    </row>
    <row r="125" spans="2:12" hidden="1" x14ac:dyDescent="0.3">
      <c r="B125" s="2" t="s">
        <v>0</v>
      </c>
      <c r="C125" s="2" t="s">
        <v>288</v>
      </c>
      <c r="D125" s="2" t="s">
        <v>285</v>
      </c>
      <c r="E125" s="2">
        <v>103</v>
      </c>
      <c r="F125" s="2">
        <v>913</v>
      </c>
      <c r="G125" s="2" t="str">
        <f t="shared" si="3"/>
        <v>103-913</v>
      </c>
      <c r="H125" s="2">
        <v>600</v>
      </c>
      <c r="I125" s="2">
        <v>2</v>
      </c>
      <c r="J125" s="2">
        <v>2</v>
      </c>
      <c r="K125" t="s">
        <v>0</v>
      </c>
      <c r="L125" t="s">
        <v>322</v>
      </c>
    </row>
    <row r="126" spans="2:12" hidden="1" x14ac:dyDescent="0.3">
      <c r="B126" s="2" t="s">
        <v>0</v>
      </c>
      <c r="C126" s="2" t="s">
        <v>288</v>
      </c>
      <c r="D126" s="2" t="s">
        <v>285</v>
      </c>
      <c r="E126" s="2">
        <v>103</v>
      </c>
      <c r="F126" s="2">
        <v>921</v>
      </c>
      <c r="G126" s="2" t="str">
        <f t="shared" si="3"/>
        <v>103-921</v>
      </c>
      <c r="H126" s="2">
        <v>1200</v>
      </c>
      <c r="I126" s="2">
        <v>2</v>
      </c>
      <c r="J126" s="2">
        <v>2</v>
      </c>
      <c r="K126" t="s">
        <v>0</v>
      </c>
      <c r="L126" t="s">
        <v>322</v>
      </c>
    </row>
    <row r="127" spans="2:12" hidden="1" x14ac:dyDescent="0.3">
      <c r="B127" s="2" t="s">
        <v>0</v>
      </c>
      <c r="C127" s="2" t="s">
        <v>288</v>
      </c>
      <c r="D127" s="2" t="s">
        <v>285</v>
      </c>
      <c r="E127" s="2">
        <v>103</v>
      </c>
      <c r="F127" s="2">
        <v>952</v>
      </c>
      <c r="G127" s="2" t="str">
        <f t="shared" si="3"/>
        <v>103-952</v>
      </c>
      <c r="H127" s="2">
        <v>150</v>
      </c>
      <c r="I127" s="2">
        <v>1</v>
      </c>
      <c r="J127" s="2">
        <v>1</v>
      </c>
      <c r="K127" t="s">
        <v>0</v>
      </c>
      <c r="L127" t="s">
        <v>322</v>
      </c>
    </row>
    <row r="128" spans="2:12" hidden="1" x14ac:dyDescent="0.3">
      <c r="B128" s="2" t="s">
        <v>0</v>
      </c>
      <c r="C128" s="2" t="s">
        <v>288</v>
      </c>
      <c r="D128" s="2" t="s">
        <v>285</v>
      </c>
      <c r="E128" s="2">
        <v>103</v>
      </c>
      <c r="F128" s="2">
        <v>956</v>
      </c>
      <c r="G128" s="2" t="str">
        <f t="shared" si="3"/>
        <v>103-956</v>
      </c>
      <c r="H128" s="2">
        <v>150</v>
      </c>
      <c r="I128" s="2">
        <v>1</v>
      </c>
      <c r="J128" s="2">
        <v>1</v>
      </c>
      <c r="K128" t="s">
        <v>0</v>
      </c>
      <c r="L128" t="s">
        <v>322</v>
      </c>
    </row>
    <row r="129" spans="2:12" hidden="1" x14ac:dyDescent="0.3">
      <c r="B129" s="2" t="s">
        <v>0</v>
      </c>
      <c r="C129" s="2" t="s">
        <v>288</v>
      </c>
      <c r="D129" s="2"/>
      <c r="E129" s="2">
        <v>103</v>
      </c>
      <c r="F129" s="2">
        <v>0</v>
      </c>
      <c r="G129" s="2" t="str">
        <f t="shared" si="3"/>
        <v>103-0</v>
      </c>
      <c r="H129" s="2">
        <v>0</v>
      </c>
      <c r="I129" s="2">
        <v>14</v>
      </c>
      <c r="J129" s="2">
        <v>14</v>
      </c>
      <c r="K129" t="s">
        <v>0</v>
      </c>
      <c r="L129" t="s">
        <v>322</v>
      </c>
    </row>
    <row r="130" spans="2:12" hidden="1" x14ac:dyDescent="0.3">
      <c r="B130" s="2" t="s">
        <v>63</v>
      </c>
      <c r="C130" s="2" t="s">
        <v>293</v>
      </c>
      <c r="D130" s="2" t="s">
        <v>9</v>
      </c>
      <c r="E130" s="2">
        <v>144</v>
      </c>
      <c r="F130" s="2">
        <v>2314</v>
      </c>
      <c r="G130" s="2" t="str">
        <f t="shared" si="3"/>
        <v>144-2314</v>
      </c>
      <c r="H130" s="2">
        <v>1653</v>
      </c>
      <c r="I130" s="2">
        <v>3</v>
      </c>
      <c r="J130" s="2">
        <v>10</v>
      </c>
      <c r="K130" t="s">
        <v>0</v>
      </c>
      <c r="L130" t="s">
        <v>322</v>
      </c>
    </row>
    <row r="131" spans="2:12" hidden="1" x14ac:dyDescent="0.3">
      <c r="B131" s="2"/>
      <c r="C131" s="2"/>
      <c r="D131" s="2" t="s">
        <v>9</v>
      </c>
      <c r="E131" s="2"/>
      <c r="F131" s="2">
        <v>2314</v>
      </c>
      <c r="G131" s="2" t="str">
        <f t="shared" ref="G131:G162" si="4">IF(
    AND(OR(E131="",E131=0), OR(F131="",F131=0)),
    "0-0",
    IF(OR(E131="",E131=0),
        "0-" &amp; TEXT(F131,"0"),
        IF(OR(F131="",F131=0),
            TEXT(E131,"0") &amp; "-0",
            TEXT(E131,"0") &amp; "-" &amp; TEXT(F131,"0")
        )
    )
)</f>
        <v>0-2314</v>
      </c>
      <c r="H131" s="2">
        <v>900</v>
      </c>
      <c r="I131" s="2">
        <v>4</v>
      </c>
      <c r="J131" s="2">
        <v>4</v>
      </c>
      <c r="K131" t="s">
        <v>0</v>
      </c>
      <c r="L131" t="s">
        <v>322</v>
      </c>
    </row>
    <row r="132" spans="2:12" hidden="1" x14ac:dyDescent="0.3">
      <c r="B132" s="2" t="s">
        <v>0</v>
      </c>
      <c r="C132" s="2" t="s">
        <v>288</v>
      </c>
      <c r="D132" s="2" t="s">
        <v>305</v>
      </c>
      <c r="E132" s="2">
        <v>103</v>
      </c>
      <c r="F132" s="2">
        <v>2322</v>
      </c>
      <c r="G132" s="2" t="str">
        <f t="shared" si="4"/>
        <v>103-2322</v>
      </c>
      <c r="H132" s="2">
        <v>6880</v>
      </c>
      <c r="I132" s="2">
        <v>12</v>
      </c>
      <c r="J132" s="2">
        <v>12</v>
      </c>
      <c r="K132" t="s">
        <v>0</v>
      </c>
      <c r="L132" t="s">
        <v>324</v>
      </c>
    </row>
    <row r="133" spans="2:12" hidden="1" x14ac:dyDescent="0.3">
      <c r="B133" s="2" t="s">
        <v>0</v>
      </c>
      <c r="C133" s="2" t="s">
        <v>288</v>
      </c>
      <c r="D133" s="2" t="s">
        <v>304</v>
      </c>
      <c r="E133" s="2">
        <v>103</v>
      </c>
      <c r="F133" s="2">
        <v>218</v>
      </c>
      <c r="G133" s="2" t="str">
        <f t="shared" si="4"/>
        <v>103-218</v>
      </c>
      <c r="H133" s="2">
        <v>6555.93</v>
      </c>
      <c r="I133" s="2">
        <v>13</v>
      </c>
      <c r="J133" s="2">
        <v>13</v>
      </c>
      <c r="K133" t="s">
        <v>0</v>
      </c>
      <c r="L133" t="s">
        <v>325</v>
      </c>
    </row>
    <row r="134" spans="2:12" x14ac:dyDescent="0.3">
      <c r="B134" s="2" t="s">
        <v>306</v>
      </c>
      <c r="C134" s="2" t="s">
        <v>307</v>
      </c>
      <c r="D134" s="2" t="s">
        <v>279</v>
      </c>
      <c r="E134" s="2">
        <v>151</v>
      </c>
      <c r="F134" s="2">
        <v>2274</v>
      </c>
      <c r="G134" s="2" t="str">
        <f t="shared" si="4"/>
        <v>151-2274</v>
      </c>
      <c r="H134" s="2">
        <v>19429.169999999998</v>
      </c>
      <c r="I134" s="2">
        <v>246</v>
      </c>
      <c r="J134" s="2">
        <v>246</v>
      </c>
      <c r="K134" t="s">
        <v>351</v>
      </c>
      <c r="L134" t="s">
        <v>349</v>
      </c>
    </row>
    <row r="135" spans="2:12" x14ac:dyDescent="0.3">
      <c r="B135" s="2" t="s">
        <v>306</v>
      </c>
      <c r="C135" s="2" t="s">
        <v>307</v>
      </c>
      <c r="D135" s="2"/>
      <c r="E135" s="2">
        <v>151</v>
      </c>
      <c r="F135" s="2">
        <v>0</v>
      </c>
      <c r="G135" s="2" t="str">
        <f t="shared" si="4"/>
        <v>151-0</v>
      </c>
      <c r="H135" s="2">
        <v>0</v>
      </c>
      <c r="I135" s="2">
        <v>1</v>
      </c>
      <c r="J135" s="2">
        <v>1</v>
      </c>
      <c r="K135" t="s">
        <v>351</v>
      </c>
      <c r="L135" t="s">
        <v>349</v>
      </c>
    </row>
    <row r="136" spans="2:12" x14ac:dyDescent="0.3">
      <c r="B136" s="2" t="s">
        <v>306</v>
      </c>
      <c r="C136" s="2" t="s">
        <v>308</v>
      </c>
      <c r="D136" s="2" t="s">
        <v>279</v>
      </c>
      <c r="E136" s="2">
        <v>149</v>
      </c>
      <c r="F136" s="2">
        <v>2274</v>
      </c>
      <c r="G136" s="2" t="str">
        <f t="shared" si="4"/>
        <v>149-2274</v>
      </c>
      <c r="H136" s="2">
        <v>6764.64</v>
      </c>
      <c r="I136" s="2">
        <v>149</v>
      </c>
      <c r="J136" s="2">
        <v>149</v>
      </c>
      <c r="K136" t="s">
        <v>351</v>
      </c>
      <c r="L136" t="s">
        <v>349</v>
      </c>
    </row>
    <row r="137" spans="2:12" x14ac:dyDescent="0.3">
      <c r="B137" s="2" t="s">
        <v>306</v>
      </c>
      <c r="C137" s="2" t="s">
        <v>309</v>
      </c>
      <c r="D137" s="2" t="s">
        <v>279</v>
      </c>
      <c r="E137" s="2">
        <v>150</v>
      </c>
      <c r="F137" s="2">
        <v>2274</v>
      </c>
      <c r="G137" s="2" t="str">
        <f t="shared" si="4"/>
        <v>150-2274</v>
      </c>
      <c r="H137" s="2">
        <v>88.5</v>
      </c>
      <c r="I137" s="2">
        <v>1</v>
      </c>
      <c r="J137" s="2">
        <v>1</v>
      </c>
      <c r="K137" t="s">
        <v>351</v>
      </c>
      <c r="L137" t="s">
        <v>349</v>
      </c>
    </row>
    <row r="138" spans="2:12" x14ac:dyDescent="0.3">
      <c r="B138" s="2" t="s">
        <v>282</v>
      </c>
      <c r="C138" s="2" t="s">
        <v>44</v>
      </c>
      <c r="D138" s="2" t="s">
        <v>279</v>
      </c>
      <c r="E138" s="2">
        <v>105</v>
      </c>
      <c r="F138" s="2">
        <v>874</v>
      </c>
      <c r="G138" s="2" t="str">
        <f t="shared" si="4"/>
        <v>105-874</v>
      </c>
      <c r="H138" s="2">
        <v>563.85</v>
      </c>
      <c r="I138" s="2">
        <v>24</v>
      </c>
      <c r="J138" s="2">
        <v>24</v>
      </c>
      <c r="K138" t="s">
        <v>351</v>
      </c>
      <c r="L138" t="s">
        <v>349</v>
      </c>
    </row>
    <row r="139" spans="2:12" x14ac:dyDescent="0.3">
      <c r="B139" s="2" t="s">
        <v>282</v>
      </c>
      <c r="C139" s="2" t="s">
        <v>44</v>
      </c>
      <c r="D139" s="2" t="s">
        <v>279</v>
      </c>
      <c r="E139" s="2">
        <v>105</v>
      </c>
      <c r="F139" s="2">
        <v>906</v>
      </c>
      <c r="G139" s="2" t="str">
        <f t="shared" si="4"/>
        <v>105-906</v>
      </c>
      <c r="H139" s="2">
        <v>83.53</v>
      </c>
      <c r="I139" s="2">
        <v>1</v>
      </c>
      <c r="J139" s="2">
        <v>1</v>
      </c>
      <c r="K139" t="s">
        <v>351</v>
      </c>
      <c r="L139" t="s">
        <v>349</v>
      </c>
    </row>
    <row r="140" spans="2:12" x14ac:dyDescent="0.3">
      <c r="B140" s="2" t="s">
        <v>282</v>
      </c>
      <c r="C140" s="2" t="s">
        <v>44</v>
      </c>
      <c r="D140" s="2" t="s">
        <v>279</v>
      </c>
      <c r="E140" s="2">
        <v>105</v>
      </c>
      <c r="F140" s="2">
        <v>910</v>
      </c>
      <c r="G140" s="2" t="str">
        <f t="shared" si="4"/>
        <v>105-910</v>
      </c>
      <c r="H140" s="2">
        <v>44.97</v>
      </c>
      <c r="I140" s="2">
        <v>1</v>
      </c>
      <c r="J140" s="2">
        <v>1</v>
      </c>
      <c r="K140" t="s">
        <v>351</v>
      </c>
      <c r="L140" t="s">
        <v>349</v>
      </c>
    </row>
    <row r="141" spans="2:12" x14ac:dyDescent="0.3">
      <c r="B141" s="2" t="s">
        <v>282</v>
      </c>
      <c r="C141" s="2" t="s">
        <v>44</v>
      </c>
      <c r="D141" s="2" t="s">
        <v>279</v>
      </c>
      <c r="E141" s="2">
        <v>105</v>
      </c>
      <c r="F141" s="2">
        <v>949</v>
      </c>
      <c r="G141" s="2" t="str">
        <f t="shared" si="4"/>
        <v>105-949</v>
      </c>
      <c r="H141" s="2">
        <v>488.73</v>
      </c>
      <c r="I141" s="2">
        <v>2</v>
      </c>
      <c r="J141" s="2">
        <v>2</v>
      </c>
      <c r="K141" t="s">
        <v>351</v>
      </c>
      <c r="L141" t="s">
        <v>349</v>
      </c>
    </row>
    <row r="142" spans="2:12" x14ac:dyDescent="0.3">
      <c r="B142" s="2" t="s">
        <v>282</v>
      </c>
      <c r="C142" s="2" t="s">
        <v>44</v>
      </c>
      <c r="D142" s="2" t="s">
        <v>279</v>
      </c>
      <c r="E142" s="2">
        <v>105</v>
      </c>
      <c r="F142" s="2">
        <v>953</v>
      </c>
      <c r="G142" s="2" t="str">
        <f t="shared" si="4"/>
        <v>105-953</v>
      </c>
      <c r="H142" s="2">
        <v>447.73</v>
      </c>
      <c r="I142" s="2">
        <v>1</v>
      </c>
      <c r="J142" s="2">
        <v>1</v>
      </c>
      <c r="K142" t="s">
        <v>351</v>
      </c>
      <c r="L142" t="s">
        <v>349</v>
      </c>
    </row>
    <row r="143" spans="2:12" x14ac:dyDescent="0.3">
      <c r="B143" s="2" t="s">
        <v>282</v>
      </c>
      <c r="C143" s="2" t="s">
        <v>44</v>
      </c>
      <c r="D143" s="2" t="s">
        <v>279</v>
      </c>
      <c r="E143" s="2">
        <v>105</v>
      </c>
      <c r="F143" s="2">
        <v>957</v>
      </c>
      <c r="G143" s="2" t="str">
        <f t="shared" si="4"/>
        <v>105-957</v>
      </c>
      <c r="H143" s="2">
        <v>30</v>
      </c>
      <c r="I143" s="2">
        <v>1</v>
      </c>
      <c r="J143" s="2">
        <v>1</v>
      </c>
      <c r="K143" t="s">
        <v>351</v>
      </c>
      <c r="L143" t="s">
        <v>349</v>
      </c>
    </row>
    <row r="144" spans="2:12" x14ac:dyDescent="0.3">
      <c r="B144" s="2" t="s">
        <v>282</v>
      </c>
      <c r="C144" s="2" t="s">
        <v>44</v>
      </c>
      <c r="D144" s="2" t="s">
        <v>279</v>
      </c>
      <c r="E144" s="2">
        <v>105</v>
      </c>
      <c r="F144" s="2">
        <v>963</v>
      </c>
      <c r="G144" s="2" t="str">
        <f t="shared" si="4"/>
        <v>105-963</v>
      </c>
      <c r="H144" s="2">
        <v>1</v>
      </c>
      <c r="I144" s="2">
        <v>1</v>
      </c>
      <c r="J144" s="2">
        <v>1</v>
      </c>
      <c r="K144" t="s">
        <v>351</v>
      </c>
      <c r="L144" t="s">
        <v>349</v>
      </c>
    </row>
    <row r="145" spans="2:12" x14ac:dyDescent="0.3">
      <c r="B145" s="2" t="s">
        <v>282</v>
      </c>
      <c r="C145" s="2" t="s">
        <v>44</v>
      </c>
      <c r="D145" s="2" t="s">
        <v>279</v>
      </c>
      <c r="E145" s="2">
        <v>105</v>
      </c>
      <c r="F145" s="2">
        <v>972</v>
      </c>
      <c r="G145" s="2" t="str">
        <f t="shared" si="4"/>
        <v>105-972</v>
      </c>
      <c r="H145" s="2">
        <v>308</v>
      </c>
      <c r="I145" s="2">
        <v>1</v>
      </c>
      <c r="J145" s="2">
        <v>1</v>
      </c>
      <c r="K145" t="s">
        <v>351</v>
      </c>
      <c r="L145" t="s">
        <v>349</v>
      </c>
    </row>
    <row r="146" spans="2:12" x14ac:dyDescent="0.3">
      <c r="B146" s="2" t="s">
        <v>282</v>
      </c>
      <c r="C146" s="2" t="s">
        <v>44</v>
      </c>
      <c r="D146" s="2" t="s">
        <v>279</v>
      </c>
      <c r="E146" s="2">
        <v>105</v>
      </c>
      <c r="F146" s="2">
        <v>981</v>
      </c>
      <c r="G146" s="2" t="str">
        <f t="shared" si="4"/>
        <v>105-981</v>
      </c>
      <c r="H146" s="2">
        <v>12.75</v>
      </c>
      <c r="I146" s="2">
        <v>1</v>
      </c>
      <c r="J146" s="2">
        <v>1</v>
      </c>
      <c r="K146" t="s">
        <v>351</v>
      </c>
      <c r="L146" t="s">
        <v>349</v>
      </c>
    </row>
    <row r="147" spans="2:12" x14ac:dyDescent="0.3">
      <c r="B147" s="2" t="s">
        <v>282</v>
      </c>
      <c r="C147" s="2" t="s">
        <v>44</v>
      </c>
      <c r="D147" s="2" t="s">
        <v>279</v>
      </c>
      <c r="E147" s="2">
        <v>105</v>
      </c>
      <c r="F147" s="2">
        <v>982</v>
      </c>
      <c r="G147" s="2" t="str">
        <f t="shared" si="4"/>
        <v>105-982</v>
      </c>
      <c r="H147" s="2">
        <v>107.37</v>
      </c>
      <c r="I147" s="2">
        <v>1</v>
      </c>
      <c r="J147" s="2">
        <v>1</v>
      </c>
      <c r="K147" t="s">
        <v>351</v>
      </c>
      <c r="L147" t="s">
        <v>349</v>
      </c>
    </row>
    <row r="148" spans="2:12" x14ac:dyDescent="0.3">
      <c r="B148" s="2" t="s">
        <v>282</v>
      </c>
      <c r="C148" s="2" t="s">
        <v>44</v>
      </c>
      <c r="D148" s="2" t="s">
        <v>279</v>
      </c>
      <c r="E148" s="2">
        <v>105</v>
      </c>
      <c r="F148" s="2">
        <v>990</v>
      </c>
      <c r="G148" s="2" t="str">
        <f t="shared" si="4"/>
        <v>105-990</v>
      </c>
      <c r="H148" s="2">
        <v>171</v>
      </c>
      <c r="I148" s="2">
        <v>1</v>
      </c>
      <c r="J148" s="2">
        <v>1</v>
      </c>
      <c r="K148" t="s">
        <v>351</v>
      </c>
      <c r="L148" t="s">
        <v>349</v>
      </c>
    </row>
    <row r="149" spans="2:12" x14ac:dyDescent="0.3">
      <c r="B149" s="2" t="s">
        <v>282</v>
      </c>
      <c r="C149" s="2" t="s">
        <v>44</v>
      </c>
      <c r="D149" s="2" t="s">
        <v>279</v>
      </c>
      <c r="E149" s="2">
        <v>105</v>
      </c>
      <c r="F149" s="2">
        <v>992</v>
      </c>
      <c r="G149" s="2" t="str">
        <f t="shared" si="4"/>
        <v>105-992</v>
      </c>
      <c r="H149" s="2">
        <v>97</v>
      </c>
      <c r="I149" s="2">
        <v>2</v>
      </c>
      <c r="J149" s="2">
        <v>2</v>
      </c>
      <c r="K149" t="s">
        <v>351</v>
      </c>
      <c r="L149" t="s">
        <v>349</v>
      </c>
    </row>
    <row r="150" spans="2:12" x14ac:dyDescent="0.3">
      <c r="B150" s="2"/>
      <c r="C150" s="2"/>
      <c r="D150" s="2" t="s">
        <v>279</v>
      </c>
      <c r="E150" s="2"/>
      <c r="F150" s="2">
        <v>2274</v>
      </c>
      <c r="G150" s="2" t="str">
        <f t="shared" si="4"/>
        <v>0-2274</v>
      </c>
      <c r="H150" s="2">
        <v>18</v>
      </c>
      <c r="I150" s="2">
        <v>1</v>
      </c>
      <c r="J150" s="2">
        <v>1</v>
      </c>
      <c r="K150" t="s">
        <v>351</v>
      </c>
      <c r="L150" t="s">
        <v>349</v>
      </c>
    </row>
    <row r="151" spans="2:12" x14ac:dyDescent="0.3">
      <c r="B151" s="2"/>
      <c r="C151" s="2"/>
      <c r="D151" s="2" t="s">
        <v>279</v>
      </c>
      <c r="E151" s="2"/>
      <c r="F151" s="2">
        <v>2317</v>
      </c>
      <c r="G151" s="2" t="str">
        <f t="shared" si="4"/>
        <v>0-2317</v>
      </c>
      <c r="H151" s="2">
        <v>288.39999999999998</v>
      </c>
      <c r="I151" s="2">
        <v>8</v>
      </c>
      <c r="J151" s="2">
        <v>8</v>
      </c>
      <c r="K151" t="s">
        <v>351</v>
      </c>
      <c r="L151" t="s">
        <v>349</v>
      </c>
    </row>
    <row r="152" spans="2:12" x14ac:dyDescent="0.3">
      <c r="B152" s="2" t="s">
        <v>306</v>
      </c>
      <c r="C152" s="2" t="s">
        <v>308</v>
      </c>
      <c r="D152" s="2" t="s">
        <v>278</v>
      </c>
      <c r="E152" s="2">
        <v>149</v>
      </c>
      <c r="F152" s="2">
        <v>216</v>
      </c>
      <c r="G152" s="2" t="str">
        <f t="shared" si="4"/>
        <v>149-216</v>
      </c>
      <c r="H152" s="2">
        <v>1683395.27</v>
      </c>
      <c r="I152" s="2">
        <v>1504</v>
      </c>
      <c r="J152" s="2">
        <v>1504</v>
      </c>
      <c r="K152" t="s">
        <v>351</v>
      </c>
      <c r="L152" t="s">
        <v>350</v>
      </c>
    </row>
    <row r="153" spans="2:12" x14ac:dyDescent="0.3">
      <c r="B153" s="2" t="s">
        <v>306</v>
      </c>
      <c r="C153" s="2" t="s">
        <v>308</v>
      </c>
      <c r="D153" s="2"/>
      <c r="E153" s="2">
        <v>149</v>
      </c>
      <c r="F153" s="2">
        <v>0</v>
      </c>
      <c r="G153" s="2" t="str">
        <f t="shared" si="4"/>
        <v>149-0</v>
      </c>
      <c r="H153" s="2">
        <v>0</v>
      </c>
      <c r="I153" s="2">
        <v>1</v>
      </c>
      <c r="J153" s="2">
        <v>1</v>
      </c>
      <c r="K153" t="s">
        <v>351</v>
      </c>
      <c r="L153" t="s">
        <v>350</v>
      </c>
    </row>
    <row r="154" spans="2:12" x14ac:dyDescent="0.3">
      <c r="B154" s="2" t="s">
        <v>63</v>
      </c>
      <c r="C154" s="2" t="s">
        <v>293</v>
      </c>
      <c r="D154" s="2" t="s">
        <v>278</v>
      </c>
      <c r="E154" s="2">
        <v>144</v>
      </c>
      <c r="F154" s="2">
        <v>216</v>
      </c>
      <c r="G154" s="2" t="str">
        <f t="shared" si="4"/>
        <v>144-216</v>
      </c>
      <c r="H154" s="2">
        <v>1224.52</v>
      </c>
      <c r="I154" s="2">
        <v>1</v>
      </c>
      <c r="J154" s="2">
        <v>1</v>
      </c>
      <c r="K154" t="s">
        <v>351</v>
      </c>
      <c r="L154" t="s">
        <v>350</v>
      </c>
    </row>
    <row r="155" spans="2:12" x14ac:dyDescent="0.3">
      <c r="B155" s="2" t="s">
        <v>282</v>
      </c>
      <c r="C155" s="2" t="s">
        <v>44</v>
      </c>
      <c r="D155" s="2" t="s">
        <v>278</v>
      </c>
      <c r="E155" s="2">
        <v>105</v>
      </c>
      <c r="F155" s="2">
        <v>216</v>
      </c>
      <c r="G155" s="2" t="str">
        <f t="shared" si="4"/>
        <v>105-216</v>
      </c>
      <c r="H155" s="2">
        <v>940.29</v>
      </c>
      <c r="I155" s="2">
        <v>2</v>
      </c>
      <c r="J155" s="2">
        <v>2</v>
      </c>
      <c r="K155" t="s">
        <v>351</v>
      </c>
      <c r="L155" t="s">
        <v>350</v>
      </c>
    </row>
    <row r="156" spans="2:12" x14ac:dyDescent="0.3">
      <c r="B156" s="2" t="s">
        <v>282</v>
      </c>
      <c r="C156" s="2" t="s">
        <v>44</v>
      </c>
      <c r="D156" s="2" t="s">
        <v>278</v>
      </c>
      <c r="E156" s="2">
        <v>105</v>
      </c>
      <c r="F156" s="2">
        <v>871</v>
      </c>
      <c r="G156" s="2" t="str">
        <f t="shared" si="4"/>
        <v>105-871</v>
      </c>
      <c r="H156" s="2">
        <v>14653.17</v>
      </c>
      <c r="I156" s="2">
        <v>14</v>
      </c>
      <c r="J156" s="2">
        <v>14</v>
      </c>
      <c r="K156" t="s">
        <v>351</v>
      </c>
      <c r="L156" t="s">
        <v>350</v>
      </c>
    </row>
    <row r="157" spans="2:12" x14ac:dyDescent="0.3">
      <c r="B157" s="2" t="s">
        <v>282</v>
      </c>
      <c r="C157" s="2" t="s">
        <v>44</v>
      </c>
      <c r="D157" s="2" t="s">
        <v>278</v>
      </c>
      <c r="E157" s="2">
        <v>105</v>
      </c>
      <c r="F157" s="2">
        <v>877</v>
      </c>
      <c r="G157" s="2" t="str">
        <f t="shared" si="4"/>
        <v>105-877</v>
      </c>
      <c r="H157" s="2">
        <v>83683.3</v>
      </c>
      <c r="I157" s="2">
        <v>96</v>
      </c>
      <c r="J157" s="2">
        <v>96</v>
      </c>
      <c r="K157" t="s">
        <v>351</v>
      </c>
      <c r="L157" t="s">
        <v>350</v>
      </c>
    </row>
    <row r="158" spans="2:12" x14ac:dyDescent="0.3">
      <c r="B158" s="2" t="s">
        <v>282</v>
      </c>
      <c r="C158" s="2" t="s">
        <v>44</v>
      </c>
      <c r="D158" s="2" t="s">
        <v>278</v>
      </c>
      <c r="E158" s="2">
        <v>105</v>
      </c>
      <c r="F158" s="2">
        <v>886</v>
      </c>
      <c r="G158" s="2" t="str">
        <f t="shared" si="4"/>
        <v>105-886</v>
      </c>
      <c r="H158" s="2">
        <v>182.75</v>
      </c>
      <c r="I158" s="2">
        <v>1</v>
      </c>
      <c r="J158" s="2">
        <v>1</v>
      </c>
      <c r="K158" t="s">
        <v>351</v>
      </c>
      <c r="L158" t="s">
        <v>350</v>
      </c>
    </row>
    <row r="159" spans="2:12" x14ac:dyDescent="0.3">
      <c r="B159" s="2" t="s">
        <v>282</v>
      </c>
      <c r="C159" s="2" t="s">
        <v>44</v>
      </c>
      <c r="D159" s="2" t="s">
        <v>278</v>
      </c>
      <c r="E159" s="2">
        <v>105</v>
      </c>
      <c r="F159" s="2">
        <v>905</v>
      </c>
      <c r="G159" s="2" t="str">
        <f t="shared" si="4"/>
        <v>105-905</v>
      </c>
      <c r="H159" s="2">
        <v>4737.62</v>
      </c>
      <c r="I159" s="2">
        <v>1</v>
      </c>
      <c r="J159" s="2">
        <v>1</v>
      </c>
      <c r="K159" t="s">
        <v>351</v>
      </c>
      <c r="L159" t="s">
        <v>350</v>
      </c>
    </row>
    <row r="160" spans="2:12" x14ac:dyDescent="0.3">
      <c r="B160" s="2" t="s">
        <v>282</v>
      </c>
      <c r="C160" s="2" t="s">
        <v>44</v>
      </c>
      <c r="D160" s="2" t="s">
        <v>278</v>
      </c>
      <c r="E160" s="2">
        <v>105</v>
      </c>
      <c r="F160" s="2">
        <v>908</v>
      </c>
      <c r="G160" s="2" t="str">
        <f t="shared" si="4"/>
        <v>105-908</v>
      </c>
      <c r="H160" s="2">
        <v>2551.0300000000002</v>
      </c>
      <c r="I160" s="2">
        <v>1</v>
      </c>
      <c r="J160" s="2">
        <v>1</v>
      </c>
      <c r="K160" t="s">
        <v>351</v>
      </c>
      <c r="L160" t="s">
        <v>350</v>
      </c>
    </row>
    <row r="161" spans="2:12" x14ac:dyDescent="0.3">
      <c r="B161" s="2" t="s">
        <v>282</v>
      </c>
      <c r="C161" s="2" t="s">
        <v>44</v>
      </c>
      <c r="D161" s="2" t="s">
        <v>278</v>
      </c>
      <c r="E161" s="2">
        <v>105</v>
      </c>
      <c r="F161" s="2">
        <v>934</v>
      </c>
      <c r="G161" s="2" t="str">
        <f t="shared" si="4"/>
        <v>105-934</v>
      </c>
      <c r="H161" s="2">
        <v>60.04</v>
      </c>
      <c r="I161" s="2">
        <v>4</v>
      </c>
      <c r="J161" s="2">
        <v>4</v>
      </c>
      <c r="K161" t="s">
        <v>351</v>
      </c>
      <c r="L161" t="s">
        <v>350</v>
      </c>
    </row>
    <row r="162" spans="2:12" x14ac:dyDescent="0.3">
      <c r="B162" s="2" t="s">
        <v>282</v>
      </c>
      <c r="C162" s="2" t="s">
        <v>44</v>
      </c>
      <c r="D162" s="2" t="s">
        <v>278</v>
      </c>
      <c r="E162" s="2">
        <v>105</v>
      </c>
      <c r="F162" s="2">
        <v>936</v>
      </c>
      <c r="G162" s="2" t="str">
        <f t="shared" si="4"/>
        <v>105-936</v>
      </c>
      <c r="H162" s="2">
        <v>975.75</v>
      </c>
      <c r="I162" s="2">
        <v>3</v>
      </c>
      <c r="J162" s="2">
        <v>3</v>
      </c>
      <c r="K162" t="s">
        <v>351</v>
      </c>
      <c r="L162" t="s">
        <v>350</v>
      </c>
    </row>
    <row r="163" spans="2:12" x14ac:dyDescent="0.3">
      <c r="B163" s="2" t="s">
        <v>282</v>
      </c>
      <c r="C163" s="2" t="s">
        <v>44</v>
      </c>
      <c r="D163" s="2" t="s">
        <v>278</v>
      </c>
      <c r="E163" s="2">
        <v>105</v>
      </c>
      <c r="F163" s="2">
        <v>938</v>
      </c>
      <c r="G163" s="2" t="str">
        <f t="shared" ref="G163:G193" si="5">IF(
    AND(OR(E163="",E163=0), OR(F163="",F163=0)),
    "0-0",
    IF(OR(E163="",E163=0),
        "0-" &amp; TEXT(F163,"0"),
        IF(OR(F163="",F163=0),
            TEXT(E163,"0") &amp; "-0",
            TEXT(E163,"0") &amp; "-" &amp; TEXT(F163,"0")
        )
    )
)</f>
        <v>105-938</v>
      </c>
      <c r="H163" s="2">
        <v>373.05</v>
      </c>
      <c r="I163" s="2">
        <v>2</v>
      </c>
      <c r="J163" s="2">
        <v>2</v>
      </c>
      <c r="K163" t="s">
        <v>351</v>
      </c>
      <c r="L163" t="s">
        <v>350</v>
      </c>
    </row>
    <row r="164" spans="2:12" x14ac:dyDescent="0.3">
      <c r="B164" s="2" t="s">
        <v>282</v>
      </c>
      <c r="C164" s="2" t="s">
        <v>44</v>
      </c>
      <c r="D164" s="2" t="s">
        <v>278</v>
      </c>
      <c r="E164" s="2">
        <v>105</v>
      </c>
      <c r="F164" s="2">
        <v>940</v>
      </c>
      <c r="G164" s="2" t="str">
        <f t="shared" si="5"/>
        <v>105-940</v>
      </c>
      <c r="H164" s="2">
        <v>2941.83</v>
      </c>
      <c r="I164" s="2">
        <v>4</v>
      </c>
      <c r="J164" s="2">
        <v>4</v>
      </c>
      <c r="K164" t="s">
        <v>351</v>
      </c>
      <c r="L164" t="s">
        <v>350</v>
      </c>
    </row>
    <row r="165" spans="2:12" x14ac:dyDescent="0.3">
      <c r="B165" s="2" t="s">
        <v>282</v>
      </c>
      <c r="C165" s="2" t="s">
        <v>44</v>
      </c>
      <c r="D165" s="2" t="s">
        <v>278</v>
      </c>
      <c r="E165" s="2">
        <v>105</v>
      </c>
      <c r="F165" s="2">
        <v>941</v>
      </c>
      <c r="G165" s="2" t="str">
        <f t="shared" si="5"/>
        <v>105-941</v>
      </c>
      <c r="H165" s="2">
        <v>525.17999999999995</v>
      </c>
      <c r="I165" s="2">
        <v>1</v>
      </c>
      <c r="J165" s="2">
        <v>1</v>
      </c>
      <c r="K165" t="s">
        <v>351</v>
      </c>
      <c r="L165" t="s">
        <v>350</v>
      </c>
    </row>
    <row r="166" spans="2:12" x14ac:dyDescent="0.3">
      <c r="B166" s="2" t="s">
        <v>282</v>
      </c>
      <c r="C166" s="2" t="s">
        <v>44</v>
      </c>
      <c r="D166" s="2" t="s">
        <v>278</v>
      </c>
      <c r="E166" s="2">
        <v>105</v>
      </c>
      <c r="F166" s="2">
        <v>942</v>
      </c>
      <c r="G166" s="2" t="str">
        <f t="shared" si="5"/>
        <v>105-942</v>
      </c>
      <c r="H166" s="2">
        <v>1127.8800000000001</v>
      </c>
      <c r="I166" s="2">
        <v>2</v>
      </c>
      <c r="J166" s="2">
        <v>2</v>
      </c>
      <c r="K166" t="s">
        <v>351</v>
      </c>
      <c r="L166" t="s">
        <v>350</v>
      </c>
    </row>
    <row r="167" spans="2:12" x14ac:dyDescent="0.3">
      <c r="B167" s="2" t="s">
        <v>282</v>
      </c>
      <c r="C167" s="2" t="s">
        <v>44</v>
      </c>
      <c r="D167" s="2" t="s">
        <v>283</v>
      </c>
      <c r="E167" s="2">
        <v>105</v>
      </c>
      <c r="F167" s="2">
        <v>967</v>
      </c>
      <c r="G167" s="2" t="str">
        <f t="shared" si="5"/>
        <v>105-967</v>
      </c>
      <c r="H167" s="2">
        <v>1885.17</v>
      </c>
      <c r="I167" s="2">
        <v>1</v>
      </c>
      <c r="J167" s="2">
        <v>1</v>
      </c>
      <c r="K167" t="s">
        <v>351</v>
      </c>
      <c r="L167" t="s">
        <v>350</v>
      </c>
    </row>
    <row r="168" spans="2:12" x14ac:dyDescent="0.3">
      <c r="B168" s="2"/>
      <c r="C168" s="2"/>
      <c r="D168" s="2" t="s">
        <v>278</v>
      </c>
      <c r="E168" s="2"/>
      <c r="F168" s="2">
        <v>216</v>
      </c>
      <c r="G168" s="2" t="str">
        <f t="shared" si="5"/>
        <v>0-216</v>
      </c>
      <c r="H168" s="2">
        <v>35689.449999999997</v>
      </c>
      <c r="I168" s="2">
        <v>24</v>
      </c>
      <c r="J168" s="2">
        <v>24</v>
      </c>
      <c r="K168" t="s">
        <v>351</v>
      </c>
      <c r="L168" t="s">
        <v>350</v>
      </c>
    </row>
    <row r="169" spans="2:12" x14ac:dyDescent="0.3">
      <c r="B169" s="2" t="s">
        <v>306</v>
      </c>
      <c r="C169" s="2" t="s">
        <v>308</v>
      </c>
      <c r="D169" s="2" t="s">
        <v>276</v>
      </c>
      <c r="E169" s="2">
        <v>149</v>
      </c>
      <c r="F169" s="2">
        <v>1786</v>
      </c>
      <c r="G169" s="2" t="str">
        <f t="shared" si="5"/>
        <v>149-1786</v>
      </c>
      <c r="H169" s="2">
        <v>1622.55</v>
      </c>
      <c r="I169" s="2">
        <v>246</v>
      </c>
      <c r="J169" s="2">
        <v>246</v>
      </c>
      <c r="K169" t="s">
        <v>351</v>
      </c>
      <c r="L169" t="s">
        <v>348</v>
      </c>
    </row>
    <row r="170" spans="2:12" x14ac:dyDescent="0.3">
      <c r="B170" s="2" t="s">
        <v>306</v>
      </c>
      <c r="C170" s="2" t="s">
        <v>309</v>
      </c>
      <c r="D170" s="2" t="s">
        <v>276</v>
      </c>
      <c r="E170" s="2">
        <v>150</v>
      </c>
      <c r="F170" s="2">
        <v>1786</v>
      </c>
      <c r="G170" s="2" t="str">
        <f t="shared" si="5"/>
        <v>150-1786</v>
      </c>
      <c r="H170" s="2">
        <v>1086974.06</v>
      </c>
      <c r="I170" s="2">
        <v>978</v>
      </c>
      <c r="J170" s="2">
        <v>978</v>
      </c>
      <c r="K170" t="s">
        <v>351</v>
      </c>
      <c r="L170" t="s">
        <v>348</v>
      </c>
    </row>
    <row r="171" spans="2:12" x14ac:dyDescent="0.3">
      <c r="B171" s="2" t="s">
        <v>306</v>
      </c>
      <c r="C171" s="2" t="s">
        <v>309</v>
      </c>
      <c r="D171" s="2"/>
      <c r="E171" s="2">
        <v>150</v>
      </c>
      <c r="F171" s="2">
        <v>0</v>
      </c>
      <c r="G171" s="2" t="str">
        <f t="shared" si="5"/>
        <v>150-0</v>
      </c>
      <c r="H171" s="2">
        <v>0</v>
      </c>
      <c r="I171" s="2">
        <v>1</v>
      </c>
      <c r="J171" s="2">
        <v>1</v>
      </c>
      <c r="K171" t="s">
        <v>351</v>
      </c>
      <c r="L171" t="s">
        <v>348</v>
      </c>
    </row>
    <row r="172" spans="2:12" x14ac:dyDescent="0.3">
      <c r="B172" s="2" t="s">
        <v>0</v>
      </c>
      <c r="C172" s="2" t="s">
        <v>288</v>
      </c>
      <c r="D172" s="2" t="s">
        <v>276</v>
      </c>
      <c r="E172" s="2">
        <v>103</v>
      </c>
      <c r="F172" s="2">
        <v>1786</v>
      </c>
      <c r="G172" s="2" t="str">
        <f t="shared" si="5"/>
        <v>103-1786</v>
      </c>
      <c r="H172" s="2">
        <v>291403.58</v>
      </c>
      <c r="I172" s="2">
        <v>266</v>
      </c>
      <c r="J172" s="2">
        <v>266</v>
      </c>
      <c r="K172" t="s">
        <v>351</v>
      </c>
      <c r="L172" t="s">
        <v>348</v>
      </c>
    </row>
    <row r="173" spans="2:12" x14ac:dyDescent="0.3">
      <c r="B173" s="2" t="s">
        <v>63</v>
      </c>
      <c r="C173" s="2" t="s">
        <v>293</v>
      </c>
      <c r="D173" s="2" t="s">
        <v>276</v>
      </c>
      <c r="E173" s="2">
        <v>144</v>
      </c>
      <c r="F173" s="2">
        <v>1786</v>
      </c>
      <c r="G173" s="2" t="str">
        <f t="shared" si="5"/>
        <v>144-1786</v>
      </c>
      <c r="H173" s="2">
        <v>5933.56</v>
      </c>
      <c r="I173" s="2">
        <v>2</v>
      </c>
      <c r="J173" s="2">
        <v>2</v>
      </c>
      <c r="K173" t="s">
        <v>351</v>
      </c>
      <c r="L173" t="s">
        <v>348</v>
      </c>
    </row>
    <row r="174" spans="2:12" x14ac:dyDescent="0.3">
      <c r="B174" s="2" t="s">
        <v>282</v>
      </c>
      <c r="C174" s="2" t="s">
        <v>44</v>
      </c>
      <c r="D174" s="2" t="s">
        <v>276</v>
      </c>
      <c r="E174" s="2">
        <v>105</v>
      </c>
      <c r="F174" s="2">
        <v>870</v>
      </c>
      <c r="G174" s="2" t="str">
        <f t="shared" si="5"/>
        <v>105-870</v>
      </c>
      <c r="H174" s="2">
        <v>55977.58</v>
      </c>
      <c r="I174" s="2">
        <v>95</v>
      </c>
      <c r="J174" s="2">
        <v>95</v>
      </c>
      <c r="K174" t="s">
        <v>351</v>
      </c>
      <c r="L174" t="s">
        <v>348</v>
      </c>
    </row>
    <row r="175" spans="2:12" x14ac:dyDescent="0.3">
      <c r="B175" s="2" t="s">
        <v>282</v>
      </c>
      <c r="C175" s="2" t="s">
        <v>44</v>
      </c>
      <c r="D175" s="2" t="s">
        <v>276</v>
      </c>
      <c r="E175" s="2">
        <v>105</v>
      </c>
      <c r="F175" s="2">
        <v>878</v>
      </c>
      <c r="G175" s="2" t="str">
        <f t="shared" si="5"/>
        <v>105-878</v>
      </c>
      <c r="H175" s="2">
        <v>12319.24</v>
      </c>
      <c r="I175" s="2">
        <v>14</v>
      </c>
      <c r="J175" s="2">
        <v>14</v>
      </c>
      <c r="K175" t="s">
        <v>351</v>
      </c>
      <c r="L175" t="s">
        <v>348</v>
      </c>
    </row>
    <row r="176" spans="2:12" x14ac:dyDescent="0.3">
      <c r="B176" s="2" t="s">
        <v>282</v>
      </c>
      <c r="C176" s="2" t="s">
        <v>44</v>
      </c>
      <c r="D176" s="2" t="s">
        <v>276</v>
      </c>
      <c r="E176" s="2">
        <v>105</v>
      </c>
      <c r="F176" s="2">
        <v>885</v>
      </c>
      <c r="G176" s="2" t="str">
        <f t="shared" si="5"/>
        <v>105-885</v>
      </c>
      <c r="H176" s="2">
        <v>2130.25</v>
      </c>
      <c r="I176" s="2">
        <v>2</v>
      </c>
      <c r="J176" s="2">
        <v>2</v>
      </c>
      <c r="K176" t="s">
        <v>351</v>
      </c>
      <c r="L176" t="s">
        <v>348</v>
      </c>
    </row>
    <row r="177" spans="2:12" x14ac:dyDescent="0.3">
      <c r="B177" s="2" t="s">
        <v>282</v>
      </c>
      <c r="C177" s="2" t="s">
        <v>44</v>
      </c>
      <c r="D177" s="2" t="s">
        <v>276</v>
      </c>
      <c r="E177" s="2">
        <v>105</v>
      </c>
      <c r="F177" s="2">
        <v>887</v>
      </c>
      <c r="G177" s="2" t="str">
        <f t="shared" si="5"/>
        <v>105-887</v>
      </c>
      <c r="H177" s="2">
        <v>109.06</v>
      </c>
      <c r="I177" s="2">
        <v>1</v>
      </c>
      <c r="J177" s="2">
        <v>1</v>
      </c>
      <c r="K177" t="s">
        <v>351</v>
      </c>
      <c r="L177" t="s">
        <v>348</v>
      </c>
    </row>
    <row r="178" spans="2:12" x14ac:dyDescent="0.3">
      <c r="B178" s="2" t="s">
        <v>282</v>
      </c>
      <c r="C178" s="2" t="s">
        <v>44</v>
      </c>
      <c r="D178" s="2" t="s">
        <v>276</v>
      </c>
      <c r="E178" s="2">
        <v>105</v>
      </c>
      <c r="F178" s="2">
        <v>904</v>
      </c>
      <c r="G178" s="2" t="str">
        <f t="shared" si="5"/>
        <v>105-904</v>
      </c>
      <c r="H178" s="2">
        <v>2961.31</v>
      </c>
      <c r="I178" s="2">
        <v>1</v>
      </c>
      <c r="J178" s="2">
        <v>1</v>
      </c>
      <c r="K178" t="s">
        <v>351</v>
      </c>
      <c r="L178" t="s">
        <v>348</v>
      </c>
    </row>
    <row r="179" spans="2:12" x14ac:dyDescent="0.3">
      <c r="B179" s="2" t="s">
        <v>282</v>
      </c>
      <c r="C179" s="2" t="s">
        <v>44</v>
      </c>
      <c r="D179" s="2" t="s">
        <v>276</v>
      </c>
      <c r="E179" s="2">
        <v>105</v>
      </c>
      <c r="F179" s="2">
        <v>907</v>
      </c>
      <c r="G179" s="2" t="str">
        <f t="shared" si="5"/>
        <v>105-907</v>
      </c>
      <c r="H179" s="2">
        <v>1594.55</v>
      </c>
      <c r="I179" s="2">
        <v>1</v>
      </c>
      <c r="J179" s="2">
        <v>1</v>
      </c>
      <c r="K179" t="s">
        <v>351</v>
      </c>
      <c r="L179" t="s">
        <v>348</v>
      </c>
    </row>
    <row r="180" spans="2:12" x14ac:dyDescent="0.3">
      <c r="B180" s="2" t="s">
        <v>282</v>
      </c>
      <c r="C180" s="2" t="s">
        <v>44</v>
      </c>
      <c r="D180" s="2" t="s">
        <v>276</v>
      </c>
      <c r="E180" s="2">
        <v>105</v>
      </c>
      <c r="F180" s="2">
        <v>933</v>
      </c>
      <c r="G180" s="2" t="str">
        <f t="shared" si="5"/>
        <v>105-933</v>
      </c>
      <c r="H180" s="2">
        <v>31.14</v>
      </c>
      <c r="I180" s="2">
        <v>3</v>
      </c>
      <c r="J180" s="2">
        <v>3</v>
      </c>
      <c r="K180" t="s">
        <v>351</v>
      </c>
      <c r="L180" t="s">
        <v>348</v>
      </c>
    </row>
    <row r="181" spans="2:12" x14ac:dyDescent="0.3">
      <c r="B181" s="2" t="s">
        <v>282</v>
      </c>
      <c r="C181" s="2" t="s">
        <v>44</v>
      </c>
      <c r="D181" s="2" t="s">
        <v>276</v>
      </c>
      <c r="E181" s="2">
        <v>105</v>
      </c>
      <c r="F181" s="2">
        <v>935</v>
      </c>
      <c r="G181" s="2" t="str">
        <f t="shared" si="5"/>
        <v>105-935</v>
      </c>
      <c r="H181" s="2">
        <v>1303.3599999999999</v>
      </c>
      <c r="I181" s="2">
        <v>4</v>
      </c>
      <c r="J181" s="2">
        <v>4</v>
      </c>
      <c r="K181" t="s">
        <v>351</v>
      </c>
      <c r="L181" t="s">
        <v>348</v>
      </c>
    </row>
    <row r="182" spans="2:12" x14ac:dyDescent="0.3">
      <c r="B182" s="2" t="s">
        <v>282</v>
      </c>
      <c r="C182" s="2" t="s">
        <v>44</v>
      </c>
      <c r="D182" s="2" t="s">
        <v>276</v>
      </c>
      <c r="E182" s="2">
        <v>105</v>
      </c>
      <c r="F182" s="2">
        <v>937</v>
      </c>
      <c r="G182" s="2" t="str">
        <f t="shared" si="5"/>
        <v>105-937</v>
      </c>
      <c r="H182" s="2">
        <v>1303.3599999999999</v>
      </c>
      <c r="I182" s="2">
        <v>4</v>
      </c>
      <c r="J182" s="2">
        <v>4</v>
      </c>
      <c r="K182" t="s">
        <v>351</v>
      </c>
      <c r="L182" t="s">
        <v>348</v>
      </c>
    </row>
    <row r="183" spans="2:12" x14ac:dyDescent="0.3">
      <c r="B183" s="2" t="s">
        <v>282</v>
      </c>
      <c r="C183" s="2" t="s">
        <v>44</v>
      </c>
      <c r="D183" s="2" t="s">
        <v>276</v>
      </c>
      <c r="E183" s="2">
        <v>105</v>
      </c>
      <c r="F183" s="2">
        <v>939</v>
      </c>
      <c r="G183" s="2" t="str">
        <f t="shared" si="5"/>
        <v>105-939</v>
      </c>
      <c r="H183" s="2">
        <v>2163.5100000000002</v>
      </c>
      <c r="I183" s="2">
        <v>3</v>
      </c>
      <c r="J183" s="2">
        <v>3</v>
      </c>
      <c r="K183" t="s">
        <v>351</v>
      </c>
      <c r="L183" t="s">
        <v>348</v>
      </c>
    </row>
    <row r="184" spans="2:12" x14ac:dyDescent="0.3">
      <c r="B184" s="2" t="s">
        <v>282</v>
      </c>
      <c r="C184" s="2" t="s">
        <v>44</v>
      </c>
      <c r="D184" s="2" t="s">
        <v>276</v>
      </c>
      <c r="E184" s="2">
        <v>105</v>
      </c>
      <c r="F184" s="2">
        <v>943</v>
      </c>
      <c r="G184" s="2" t="str">
        <f t="shared" si="5"/>
        <v>105-943</v>
      </c>
      <c r="H184" s="2">
        <v>20.99</v>
      </c>
      <c r="I184" s="2">
        <v>1</v>
      </c>
      <c r="J184" s="2">
        <v>1</v>
      </c>
      <c r="K184" t="s">
        <v>351</v>
      </c>
      <c r="L184" t="s">
        <v>348</v>
      </c>
    </row>
    <row r="185" spans="2:12" x14ac:dyDescent="0.3">
      <c r="B185" s="2" t="s">
        <v>282</v>
      </c>
      <c r="C185" s="2" t="s">
        <v>44</v>
      </c>
      <c r="D185" s="2" t="s">
        <v>276</v>
      </c>
      <c r="E185" s="2">
        <v>105</v>
      </c>
      <c r="F185" s="2">
        <v>979</v>
      </c>
      <c r="G185" s="2" t="str">
        <f t="shared" si="5"/>
        <v>105-979</v>
      </c>
      <c r="H185" s="2">
        <v>391.08</v>
      </c>
      <c r="I185" s="2">
        <v>1</v>
      </c>
      <c r="J185" s="2">
        <v>1</v>
      </c>
      <c r="K185" t="s">
        <v>351</v>
      </c>
      <c r="L185" t="s">
        <v>348</v>
      </c>
    </row>
    <row r="186" spans="2:12" x14ac:dyDescent="0.3">
      <c r="B186" s="2"/>
      <c r="C186" s="2"/>
      <c r="D186" s="2" t="s">
        <v>276</v>
      </c>
      <c r="E186" s="2"/>
      <c r="F186" s="2">
        <v>1786</v>
      </c>
      <c r="G186" s="2" t="str">
        <f t="shared" si="5"/>
        <v>0-1786</v>
      </c>
      <c r="H186" s="2">
        <v>32637.42</v>
      </c>
      <c r="I186" s="2">
        <v>21</v>
      </c>
      <c r="J186" s="2">
        <v>21</v>
      </c>
      <c r="K186" t="s">
        <v>351</v>
      </c>
      <c r="L186" t="s">
        <v>348</v>
      </c>
    </row>
    <row r="187" spans="2:12" x14ac:dyDescent="0.3">
      <c r="B187" s="2" t="s">
        <v>306</v>
      </c>
      <c r="C187" s="2" t="s">
        <v>310</v>
      </c>
      <c r="D187" s="2" t="s">
        <v>273</v>
      </c>
      <c r="E187" s="2">
        <v>154</v>
      </c>
      <c r="F187" s="2">
        <v>224</v>
      </c>
      <c r="G187" s="2" t="str">
        <f t="shared" si="5"/>
        <v>154-224</v>
      </c>
      <c r="H187" s="2">
        <v>9210</v>
      </c>
      <c r="I187" s="2">
        <v>80</v>
      </c>
      <c r="J187" s="2">
        <v>80</v>
      </c>
      <c r="K187" t="s">
        <v>351</v>
      </c>
      <c r="L187" t="s">
        <v>310</v>
      </c>
    </row>
    <row r="188" spans="2:12" x14ac:dyDescent="0.3">
      <c r="B188" s="2" t="s">
        <v>63</v>
      </c>
      <c r="C188" s="2" t="s">
        <v>293</v>
      </c>
      <c r="D188" s="2" t="s">
        <v>273</v>
      </c>
      <c r="E188" s="2">
        <v>144</v>
      </c>
      <c r="F188" s="2">
        <v>224</v>
      </c>
      <c r="G188" s="2" t="str">
        <f t="shared" si="5"/>
        <v>144-224</v>
      </c>
      <c r="H188" s="2">
        <v>300</v>
      </c>
      <c r="I188" s="2">
        <v>1</v>
      </c>
      <c r="J188" s="2">
        <v>1</v>
      </c>
      <c r="K188" t="s">
        <v>351</v>
      </c>
      <c r="L188" t="s">
        <v>310</v>
      </c>
    </row>
    <row r="189" spans="2:12" x14ac:dyDescent="0.3">
      <c r="B189" s="2"/>
      <c r="C189" s="2"/>
      <c r="D189" s="2" t="s">
        <v>273</v>
      </c>
      <c r="E189" s="2"/>
      <c r="F189" s="2">
        <v>2320</v>
      </c>
      <c r="G189" s="2" t="str">
        <f t="shared" si="5"/>
        <v>0-2320</v>
      </c>
      <c r="H189" s="2">
        <v>300</v>
      </c>
      <c r="I189" s="2">
        <v>3</v>
      </c>
      <c r="J189" s="2">
        <v>3</v>
      </c>
      <c r="K189" t="s">
        <v>351</v>
      </c>
      <c r="L189" t="s">
        <v>310</v>
      </c>
    </row>
    <row r="190" spans="2:12" x14ac:dyDescent="0.3">
      <c r="B190" s="2" t="s">
        <v>306</v>
      </c>
      <c r="C190" s="2" t="s">
        <v>311</v>
      </c>
      <c r="D190" s="2" t="s">
        <v>271</v>
      </c>
      <c r="E190" s="2">
        <v>153</v>
      </c>
      <c r="F190" s="2">
        <v>2276</v>
      </c>
      <c r="G190" s="2" t="str">
        <f t="shared" si="5"/>
        <v>153-2276</v>
      </c>
      <c r="H190" s="2">
        <v>3126.2</v>
      </c>
      <c r="I190" s="2">
        <v>39</v>
      </c>
      <c r="J190" s="2">
        <v>39</v>
      </c>
      <c r="K190" t="s">
        <v>351</v>
      </c>
      <c r="L190" t="s">
        <v>311</v>
      </c>
    </row>
    <row r="191" spans="2:12" x14ac:dyDescent="0.3">
      <c r="B191" s="2"/>
      <c r="C191" s="2"/>
      <c r="D191" s="2" t="s">
        <v>271</v>
      </c>
      <c r="E191" s="2"/>
      <c r="F191" s="2">
        <v>2276</v>
      </c>
      <c r="G191" s="2" t="str">
        <f t="shared" si="5"/>
        <v>0-2276</v>
      </c>
      <c r="H191" s="2">
        <v>2460.81</v>
      </c>
      <c r="I191" s="2">
        <v>44</v>
      </c>
      <c r="J191" s="2">
        <v>44</v>
      </c>
      <c r="K191" t="s">
        <v>351</v>
      </c>
      <c r="L191" t="s">
        <v>311</v>
      </c>
    </row>
    <row r="192" spans="2:12" x14ac:dyDescent="0.3">
      <c r="B192" s="2" t="s">
        <v>306</v>
      </c>
      <c r="C192" s="2" t="s">
        <v>312</v>
      </c>
      <c r="D192" s="2" t="s">
        <v>270</v>
      </c>
      <c r="E192" s="2">
        <v>152</v>
      </c>
      <c r="F192" s="2">
        <v>2318</v>
      </c>
      <c r="G192" s="2" t="str">
        <f t="shared" si="5"/>
        <v>152-2318</v>
      </c>
      <c r="H192" s="2">
        <v>2792.07</v>
      </c>
      <c r="I192" s="2">
        <v>13</v>
      </c>
      <c r="J192" s="2">
        <v>13</v>
      </c>
      <c r="K192" t="s">
        <v>351</v>
      </c>
      <c r="L192" t="s">
        <v>312</v>
      </c>
    </row>
    <row r="193" spans="2:12" x14ac:dyDescent="0.3">
      <c r="B193" s="2"/>
      <c r="C193" s="2"/>
      <c r="D193" s="2" t="s">
        <v>270</v>
      </c>
      <c r="E193" s="2"/>
      <c r="F193" s="2">
        <v>2318</v>
      </c>
      <c r="G193" s="2" t="str">
        <f t="shared" si="5"/>
        <v>0-2318</v>
      </c>
      <c r="H193" s="2">
        <v>5551.94</v>
      </c>
      <c r="I193" s="2">
        <v>18</v>
      </c>
      <c r="J193" s="2">
        <v>18</v>
      </c>
      <c r="K193" t="s">
        <v>351</v>
      </c>
      <c r="L193" t="s">
        <v>312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Distribanalit-subcategoria-Prod</vt:lpstr>
      <vt:lpstr>Agrupaciones_llaves</vt:lpstr>
      <vt:lpstr>LlaveDistribucionVentas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u201823368 (Zuñiga Cordova, Johan Poul Hugo)</dc:creator>
  <cp:lastModifiedBy>u201823368 (Zuñiga Cordova, Johan Poul Hugo)</cp:lastModifiedBy>
  <dcterms:created xsi:type="dcterms:W3CDTF">2025-10-23T21:57:38Z</dcterms:created>
  <dcterms:modified xsi:type="dcterms:W3CDTF">2026-02-06T14:04:17Z</dcterms:modified>
</cp:coreProperties>
</file>