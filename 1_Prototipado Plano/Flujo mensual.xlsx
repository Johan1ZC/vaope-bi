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1_Prototipado Plano\"/>
    </mc:Choice>
  </mc:AlternateContent>
  <xr:revisionPtr revIDLastSave="0" documentId="8_{748F32D2-017D-4F5D-ABD3-F3D7A5720BFA}" xr6:coauthVersionLast="47" xr6:coauthVersionMax="47" xr10:uidLastSave="{00000000-0000-0000-0000-000000000000}"/>
  <bookViews>
    <workbookView xWindow="-28920" yWindow="-1110" windowWidth="29040" windowHeight="15720" xr2:uid="{A336A6BC-9373-418C-8266-F0477A4D4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1" i="1"/>
  <c r="O9" i="1"/>
  <c r="O8" i="1"/>
  <c r="O7" i="1"/>
  <c r="O6" i="1"/>
  <c r="O5" i="1"/>
  <c r="L18" i="1"/>
  <c r="K18" i="1"/>
  <c r="J18" i="1"/>
  <c r="I18" i="1"/>
  <c r="H18" i="1"/>
  <c r="E18" i="1"/>
  <c r="D18" i="1"/>
  <c r="N12" i="1"/>
  <c r="N18" i="1" s="1"/>
  <c r="L12" i="1"/>
  <c r="K12" i="1"/>
  <c r="J12" i="1"/>
  <c r="I12" i="1"/>
  <c r="H12" i="1"/>
  <c r="G12" i="1"/>
  <c r="G18" i="1" s="1"/>
  <c r="F12" i="1"/>
  <c r="F18" i="1" s="1"/>
  <c r="E12" i="1"/>
  <c r="D12" i="1"/>
  <c r="N10" i="1"/>
  <c r="M10" i="1"/>
  <c r="M12" i="1" s="1"/>
  <c r="M18" i="1" s="1"/>
  <c r="L10" i="1"/>
  <c r="K10" i="1"/>
  <c r="J10" i="1"/>
  <c r="I10" i="1"/>
  <c r="H10" i="1"/>
  <c r="G10" i="1"/>
  <c r="F10" i="1"/>
  <c r="E10" i="1"/>
  <c r="D10" i="1"/>
  <c r="C12" i="1"/>
  <c r="C18" i="1" s="1"/>
  <c r="C10" i="1"/>
  <c r="O10" i="1" l="1"/>
  <c r="O12" i="1" s="1"/>
  <c r="O18" i="1" s="1"/>
</calcChain>
</file>

<file path=xl/sharedStrings.xml><?xml version="1.0" encoding="utf-8"?>
<sst xmlns="http://schemas.openxmlformats.org/spreadsheetml/2006/main" count="28" uniqueCount="28">
  <si>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</si>
  <si>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</si>
  <si>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</si>
  <si>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</si>
  <si>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</si>
  <si>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</si>
  <si>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</si>
  <si>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</si>
  <si>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</si>
  <si>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</si>
  <si>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</si>
  <si>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</si>
  <si>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ITEM/MES</t>
  </si>
  <si>
    <t>MARGEN BRUTO</t>
  </si>
  <si>
    <t>MARGEN OPERATIVO</t>
  </si>
  <si>
    <t>Personal</t>
  </si>
  <si>
    <t>Gasto Administrativo</t>
  </si>
  <si>
    <t>Gasto Marketing</t>
  </si>
  <si>
    <t>Gasto Comercial</t>
  </si>
  <si>
    <t>Gastos Operativos</t>
  </si>
  <si>
    <t>Costo de venta</t>
  </si>
  <si>
    <t>VENTA NETA</t>
  </si>
  <si>
    <t>Venta comisionada</t>
  </si>
  <si>
    <t>Venta validada</t>
  </si>
  <si>
    <t>Venta impresos</t>
  </si>
  <si>
    <t>Venta alcance</t>
  </si>
  <si>
    <t>Venta comision PD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</si>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</sst>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600075</xdr:colOff>
      <xdr:row>4</xdr:row>
      <xdr:rowOff>180975</xdr:rowOff>
    </xdr:from>
    <xdr:to>
      <xdr:col>19</xdr:col>
      <xdr:colOff>647700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C4CDB9-8275-96F2-CA5C-854F9EF3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942975"/>
          <a:ext cx="2333625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A7CF-E287-44ED-93C0-6DD2DF9F241B}">
  <dimension ref="B4:O18"/>
  <sheetViews>
    <sheetView tabSelected="1" workbookViewId="0">
      <selection activeCell="B5" sqref="B5:B9"/>
    </sheetView>
  </sheetViews>
  <sheetFormatPr baseColWidth="10" defaultRowHeight="15" x14ac:dyDescent="0.25"/>
  <cols>
    <col min="2" max="2" width="19.140625" bestFit="1" customWidth="1"/>
  </cols>
  <sheetData>
    <row r="4" spans="2:15" x14ac:dyDescent="0.25">
      <c r="B4" s="2" t="s">
        <v>12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27</v>
      </c>
    </row>
    <row r="5" spans="2:15" x14ac:dyDescent="0.25">
      <c r="B5" s="1" t="s">
        <v>22</v>
      </c>
      <c r="C5" s="1">
        <v>100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>
        <f>+SUM(C5:N5)</f>
        <v>1200</v>
      </c>
    </row>
    <row r="6" spans="2:15" x14ac:dyDescent="0.25">
      <c r="B6" s="1" t="s">
        <v>23</v>
      </c>
      <c r="C6" s="1">
        <v>150</v>
      </c>
      <c r="D6" s="1">
        <v>150</v>
      </c>
      <c r="E6" s="1">
        <v>150</v>
      </c>
      <c r="F6" s="1">
        <v>150</v>
      </c>
      <c r="G6" s="1">
        <v>150</v>
      </c>
      <c r="H6" s="1">
        <v>150</v>
      </c>
      <c r="I6" s="1">
        <v>150</v>
      </c>
      <c r="J6" s="1">
        <v>150</v>
      </c>
      <c r="K6" s="1">
        <v>150</v>
      </c>
      <c r="L6" s="1">
        <v>150</v>
      </c>
      <c r="M6" s="1">
        <v>150</v>
      </c>
      <c r="N6" s="1">
        <v>150</v>
      </c>
      <c r="O6" s="1">
        <f>+SUM(C6:N6)</f>
        <v>1800</v>
      </c>
    </row>
    <row r="7" spans="2:15" x14ac:dyDescent="0.25">
      <c r="B7" s="1" t="s">
        <v>24</v>
      </c>
      <c r="C7" s="1">
        <v>200</v>
      </c>
      <c r="D7" s="1">
        <v>200</v>
      </c>
      <c r="E7" s="1">
        <v>200</v>
      </c>
      <c r="F7" s="1">
        <v>200</v>
      </c>
      <c r="G7" s="1">
        <v>200</v>
      </c>
      <c r="H7" s="1">
        <v>200</v>
      </c>
      <c r="I7" s="1">
        <v>200</v>
      </c>
      <c r="J7" s="1">
        <v>200</v>
      </c>
      <c r="K7" s="1">
        <v>200</v>
      </c>
      <c r="L7" s="1">
        <v>200</v>
      </c>
      <c r="M7" s="1">
        <v>200</v>
      </c>
      <c r="N7" s="1">
        <v>200</v>
      </c>
      <c r="O7" s="1">
        <f>+SUM(C7:N7)</f>
        <v>2400</v>
      </c>
    </row>
    <row r="8" spans="2:15" x14ac:dyDescent="0.25">
      <c r="B8" s="1" t="s">
        <v>25</v>
      </c>
      <c r="C8" s="1">
        <v>130</v>
      </c>
      <c r="D8" s="1">
        <v>130</v>
      </c>
      <c r="E8" s="1">
        <v>130</v>
      </c>
      <c r="F8" s="1">
        <v>130</v>
      </c>
      <c r="G8" s="1">
        <v>130</v>
      </c>
      <c r="H8" s="1">
        <v>130</v>
      </c>
      <c r="I8" s="1">
        <v>130</v>
      </c>
      <c r="J8" s="1">
        <v>130</v>
      </c>
      <c r="K8" s="1">
        <v>130</v>
      </c>
      <c r="L8" s="1">
        <v>130</v>
      </c>
      <c r="M8" s="1">
        <v>130</v>
      </c>
      <c r="N8" s="1">
        <v>130</v>
      </c>
      <c r="O8" s="1">
        <f>+SUM(C8:N8)</f>
        <v>1560</v>
      </c>
    </row>
    <row r="9" spans="2:15" x14ac:dyDescent="0.25">
      <c r="B9" s="1" t="s">
        <v>26</v>
      </c>
      <c r="C9" s="1">
        <v>180</v>
      </c>
      <c r="D9" s="1">
        <v>180</v>
      </c>
      <c r="E9" s="1">
        <v>180</v>
      </c>
      <c r="F9" s="1">
        <v>180</v>
      </c>
      <c r="G9" s="1">
        <v>180</v>
      </c>
      <c r="H9" s="1">
        <v>180</v>
      </c>
      <c r="I9" s="1">
        <v>180</v>
      </c>
      <c r="J9" s="1">
        <v>180</v>
      </c>
      <c r="K9" s="1">
        <v>180</v>
      </c>
      <c r="L9" s="1">
        <v>180</v>
      </c>
      <c r="M9" s="1">
        <v>180</v>
      </c>
      <c r="N9" s="1">
        <v>180</v>
      </c>
      <c r="O9" s="1">
        <f>+SUM(C9:N9)</f>
        <v>2160</v>
      </c>
    </row>
    <row r="10" spans="2:15" x14ac:dyDescent="0.25">
      <c r="B10" s="2" t="s">
        <v>21</v>
      </c>
      <c r="C10" s="2">
        <f>+SUM(C5:C9)</f>
        <v>760</v>
      </c>
      <c r="D10" s="2">
        <f t="shared" ref="D10:O10" si="0">+SUM(D5:D9)</f>
        <v>760</v>
      </c>
      <c r="E10" s="2">
        <f t="shared" si="0"/>
        <v>760</v>
      </c>
      <c r="F10" s="2">
        <f t="shared" si="0"/>
        <v>760</v>
      </c>
      <c r="G10" s="2">
        <f t="shared" si="0"/>
        <v>760</v>
      </c>
      <c r="H10" s="2">
        <f t="shared" si="0"/>
        <v>760</v>
      </c>
      <c r="I10" s="2">
        <f t="shared" si="0"/>
        <v>760</v>
      </c>
      <c r="J10" s="2">
        <f t="shared" si="0"/>
        <v>760</v>
      </c>
      <c r="K10" s="2">
        <f t="shared" si="0"/>
        <v>760</v>
      </c>
      <c r="L10" s="2">
        <f t="shared" si="0"/>
        <v>760</v>
      </c>
      <c r="M10" s="2">
        <f t="shared" si="0"/>
        <v>760</v>
      </c>
      <c r="N10" s="2">
        <f t="shared" si="0"/>
        <v>760</v>
      </c>
      <c r="O10" s="2">
        <f t="shared" si="0"/>
        <v>9120</v>
      </c>
    </row>
    <row r="11" spans="2:15" x14ac:dyDescent="0.25">
      <c r="B11" s="1" t="s">
        <v>20</v>
      </c>
      <c r="C11" s="1">
        <v>228</v>
      </c>
      <c r="D11" s="1">
        <v>228</v>
      </c>
      <c r="E11" s="1">
        <v>228</v>
      </c>
      <c r="F11" s="1">
        <v>228</v>
      </c>
      <c r="G11" s="1">
        <v>228</v>
      </c>
      <c r="H11" s="1">
        <v>228</v>
      </c>
      <c r="I11" s="1">
        <v>228</v>
      </c>
      <c r="J11" s="1">
        <v>228</v>
      </c>
      <c r="K11" s="1">
        <v>228</v>
      </c>
      <c r="L11" s="1">
        <v>228</v>
      </c>
      <c r="M11" s="1">
        <v>228</v>
      </c>
      <c r="N11" s="1">
        <v>228</v>
      </c>
      <c r="O11" s="1">
        <f>+SUM(C11:N11)</f>
        <v>2736</v>
      </c>
    </row>
    <row r="12" spans="2:15" x14ac:dyDescent="0.25">
      <c r="B12" s="2" t="s">
        <v>13</v>
      </c>
      <c r="C12" s="2">
        <f>+C10-C11</f>
        <v>532</v>
      </c>
      <c r="D12" s="2">
        <f t="shared" ref="D12:O12" si="1">+D10-D11</f>
        <v>532</v>
      </c>
      <c r="E12" s="2">
        <f t="shared" si="1"/>
        <v>532</v>
      </c>
      <c r="F12" s="2">
        <f t="shared" si="1"/>
        <v>532</v>
      </c>
      <c r="G12" s="2">
        <f t="shared" si="1"/>
        <v>532</v>
      </c>
      <c r="H12" s="2">
        <f t="shared" si="1"/>
        <v>532</v>
      </c>
      <c r="I12" s="2">
        <f t="shared" si="1"/>
        <v>532</v>
      </c>
      <c r="J12" s="2">
        <f t="shared" si="1"/>
        <v>532</v>
      </c>
      <c r="K12" s="2">
        <f t="shared" si="1"/>
        <v>532</v>
      </c>
      <c r="L12" s="2">
        <f t="shared" si="1"/>
        <v>532</v>
      </c>
      <c r="M12" s="2">
        <f t="shared" si="1"/>
        <v>532</v>
      </c>
      <c r="N12" s="2">
        <f t="shared" si="1"/>
        <v>532</v>
      </c>
      <c r="O12" s="2">
        <f t="shared" si="1"/>
        <v>6384</v>
      </c>
    </row>
    <row r="13" spans="2:15" x14ac:dyDescent="0.25">
      <c r="B13" s="1" t="s">
        <v>15</v>
      </c>
      <c r="C13" s="1">
        <v>50</v>
      </c>
      <c r="D13" s="1">
        <v>50</v>
      </c>
      <c r="E13" s="1">
        <v>50</v>
      </c>
      <c r="F13" s="1">
        <v>50</v>
      </c>
      <c r="G13" s="1">
        <v>50</v>
      </c>
      <c r="H13" s="1">
        <v>50</v>
      </c>
      <c r="I13" s="1">
        <v>50</v>
      </c>
      <c r="J13" s="1">
        <v>50</v>
      </c>
      <c r="K13" s="1">
        <v>50</v>
      </c>
      <c r="L13" s="1">
        <v>50</v>
      </c>
      <c r="M13" s="1">
        <v>50</v>
      </c>
      <c r="N13" s="1">
        <v>50</v>
      </c>
      <c r="O13" s="1">
        <f>+SUM(C13:N13)</f>
        <v>600</v>
      </c>
    </row>
    <row r="14" spans="2:15" x14ac:dyDescent="0.25">
      <c r="B14" s="1" t="s">
        <v>16</v>
      </c>
      <c r="C14" s="1">
        <v>75</v>
      </c>
      <c r="D14" s="1">
        <v>75</v>
      </c>
      <c r="E14" s="1">
        <v>75</v>
      </c>
      <c r="F14" s="1">
        <v>75</v>
      </c>
      <c r="G14" s="1">
        <v>75</v>
      </c>
      <c r="H14" s="1">
        <v>75</v>
      </c>
      <c r="I14" s="1">
        <v>75</v>
      </c>
      <c r="J14" s="1">
        <v>75</v>
      </c>
      <c r="K14" s="1">
        <v>75</v>
      </c>
      <c r="L14" s="1">
        <v>75</v>
      </c>
      <c r="M14" s="1">
        <v>75</v>
      </c>
      <c r="N14" s="1">
        <v>75</v>
      </c>
      <c r="O14" s="1">
        <f>+SUM(C14:N14)</f>
        <v>900</v>
      </c>
    </row>
    <row r="15" spans="2:15" x14ac:dyDescent="0.25">
      <c r="B15" s="1" t="s">
        <v>17</v>
      </c>
      <c r="C15" s="1">
        <v>36</v>
      </c>
      <c r="D15" s="1">
        <v>36</v>
      </c>
      <c r="E15" s="1">
        <v>36</v>
      </c>
      <c r="F15" s="1">
        <v>36</v>
      </c>
      <c r="G15" s="1">
        <v>36</v>
      </c>
      <c r="H15" s="1">
        <v>36</v>
      </c>
      <c r="I15" s="1">
        <v>36</v>
      </c>
      <c r="J15" s="1">
        <v>36</v>
      </c>
      <c r="K15" s="1">
        <v>36</v>
      </c>
      <c r="L15" s="1">
        <v>36</v>
      </c>
      <c r="M15" s="1">
        <v>36</v>
      </c>
      <c r="N15" s="1">
        <v>36</v>
      </c>
      <c r="O15" s="1">
        <f>+SUM(C15:N15)</f>
        <v>432</v>
      </c>
    </row>
    <row r="16" spans="2:15" x14ac:dyDescent="0.25">
      <c r="B16" s="1" t="s">
        <v>18</v>
      </c>
      <c r="C16" s="1">
        <v>25</v>
      </c>
      <c r="D16" s="1">
        <v>25</v>
      </c>
      <c r="E16" s="1">
        <v>25</v>
      </c>
      <c r="F16" s="1">
        <v>25</v>
      </c>
      <c r="G16" s="1">
        <v>25</v>
      </c>
      <c r="H16" s="1">
        <v>25</v>
      </c>
      <c r="I16" s="1">
        <v>25</v>
      </c>
      <c r="J16" s="1">
        <v>25</v>
      </c>
      <c r="K16" s="1">
        <v>25</v>
      </c>
      <c r="L16" s="1">
        <v>25</v>
      </c>
      <c r="M16" s="1">
        <v>25</v>
      </c>
      <c r="N16" s="1">
        <v>25</v>
      </c>
      <c r="O16" s="1">
        <f>+SUM(C16:N16)</f>
        <v>300</v>
      </c>
    </row>
    <row r="17" spans="2:15" x14ac:dyDescent="0.25">
      <c r="B17" s="1" t="s">
        <v>19</v>
      </c>
      <c r="C17" s="1">
        <v>30</v>
      </c>
      <c r="D17" s="1">
        <v>30</v>
      </c>
      <c r="E17" s="1">
        <v>30</v>
      </c>
      <c r="F17" s="1">
        <v>30</v>
      </c>
      <c r="G17" s="1">
        <v>30</v>
      </c>
      <c r="H17" s="1">
        <v>30</v>
      </c>
      <c r="I17" s="1">
        <v>30</v>
      </c>
      <c r="J17" s="1">
        <v>30</v>
      </c>
      <c r="K17" s="1">
        <v>30</v>
      </c>
      <c r="L17" s="1">
        <v>30</v>
      </c>
      <c r="M17" s="1">
        <v>30</v>
      </c>
      <c r="N17" s="1">
        <v>30</v>
      </c>
      <c r="O17" s="1">
        <f>+SUM(C17:N17)</f>
        <v>360</v>
      </c>
    </row>
    <row r="18" spans="2:15" x14ac:dyDescent="0.25">
      <c r="B18" s="2" t="s">
        <v>14</v>
      </c>
      <c r="C18" s="2">
        <f>+C12-(SUM(C13:C17))</f>
        <v>316</v>
      </c>
      <c r="D18" s="2">
        <f t="shared" ref="D18:O18" si="2">+D12-(SUM(D13:D17))</f>
        <v>316</v>
      </c>
      <c r="E18" s="2">
        <f t="shared" si="2"/>
        <v>316</v>
      </c>
      <c r="F18" s="2">
        <f t="shared" si="2"/>
        <v>316</v>
      </c>
      <c r="G18" s="2">
        <f t="shared" si="2"/>
        <v>316</v>
      </c>
      <c r="H18" s="2">
        <f t="shared" si="2"/>
        <v>316</v>
      </c>
      <c r="I18" s="2">
        <f t="shared" si="2"/>
        <v>316</v>
      </c>
      <c r="J18" s="2">
        <f t="shared" si="2"/>
        <v>316</v>
      </c>
      <c r="K18" s="2">
        <f t="shared" si="2"/>
        <v>316</v>
      </c>
      <c r="L18" s="2">
        <f t="shared" si="2"/>
        <v>316</v>
      </c>
      <c r="M18" s="2">
        <f t="shared" si="2"/>
        <v>316</v>
      </c>
      <c r="N18" s="2">
        <f t="shared" si="2"/>
        <v>316</v>
      </c>
      <c r="O18" s="2">
        <f t="shared" si="2"/>
        <v>3792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2025-09-03T17:52:12Z</dcterms:created>
  <dcterms:modified xsi:type="dcterms:W3CDTF">2025-09-03T18:36:11Z</dcterms:modified>
</cp:coreProperties>
</file>