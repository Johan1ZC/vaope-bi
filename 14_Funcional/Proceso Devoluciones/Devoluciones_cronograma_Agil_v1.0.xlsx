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OHAN\Desktop\vaope-bi\14_Funcional\Proceso Devoluciones\"/>
    </mc:Choice>
  </mc:AlternateContent>
  <xr:revisionPtr revIDLastSave="0" documentId="8_{3966362F-E4C2-47CC-8473-FFE9BD06CA7F}" xr6:coauthVersionLast="47" xr6:coauthVersionMax="47" xr10:uidLastSave="{00000000-0000-0000-0000-000000000000}"/>
  <bookViews>
    <workbookView xWindow="-108" yWindow="-108" windowWidth="23256" windowHeight="13896" firstSheet="1" activeTab="1" xr2:uid="{874EE092-DFBE-4733-8E84-3FB786537FDD}"/>
  </bookViews>
  <sheets>
    <sheet name="HABLAVAO_cronograma_PMBAgil" sheetId="1" state="hidden" r:id="rId1"/>
    <sheet name="Gantt" sheetId="5" r:id="rId2"/>
  </sheets>
  <definedNames>
    <definedName name="Hoy" localSheetId="1">TODAY()</definedName>
    <definedName name="Incremento_de_desplazamiento" localSheetId="1">Gantt!$C$7</definedName>
    <definedName name="Inicio_del_proyecto" localSheetId="1">Gantt!$C$6</definedName>
    <definedName name="_xlnm.Print_Titles" localSheetId="1">Gantt!$6:$9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 i="5" l="1"/>
  <c r="F34" i="5"/>
  <c r="G34" i="5"/>
  <c r="H34" i="5"/>
  <c r="E34" i="5"/>
  <c r="H11" i="5"/>
  <c r="E11" i="5"/>
  <c r="G12" i="5"/>
  <c r="F13" i="5" s="1"/>
  <c r="H27" i="5"/>
  <c r="E27" i="5"/>
  <c r="F11" i="5"/>
  <c r="F10" i="5" s="1"/>
  <c r="KX9" i="5"/>
  <c r="KW9" i="5"/>
  <c r="KV9" i="5"/>
  <c r="KU9" i="5"/>
  <c r="KT9" i="5"/>
  <c r="KS9" i="5"/>
  <c r="KR9" i="5"/>
  <c r="KQ9" i="5"/>
  <c r="KP9" i="5"/>
  <c r="KO9" i="5"/>
  <c r="KN9" i="5"/>
  <c r="KM9" i="5"/>
  <c r="KL9" i="5"/>
  <c r="KK9" i="5"/>
  <c r="KJ9" i="5"/>
  <c r="KI9" i="5"/>
  <c r="KH9" i="5"/>
  <c r="KG9" i="5"/>
  <c r="KF9" i="5"/>
  <c r="KE9" i="5"/>
  <c r="KD9" i="5"/>
  <c r="KC9" i="5"/>
  <c r="KB9" i="5"/>
  <c r="KA9" i="5"/>
  <c r="JZ9" i="5"/>
  <c r="JY9" i="5"/>
  <c r="JX9" i="5"/>
  <c r="JW9" i="5"/>
  <c r="JV9" i="5"/>
  <c r="JU9" i="5"/>
  <c r="JT9" i="5"/>
  <c r="JS9" i="5"/>
  <c r="JR9" i="5"/>
  <c r="JQ9" i="5"/>
  <c r="JP9" i="5"/>
  <c r="JO9" i="5"/>
  <c r="JN9" i="5"/>
  <c r="JM9" i="5"/>
  <c r="JL9" i="5"/>
  <c r="JK9" i="5"/>
  <c r="JJ9" i="5"/>
  <c r="JI9" i="5"/>
  <c r="JH9" i="5"/>
  <c r="JG9" i="5"/>
  <c r="JF9" i="5"/>
  <c r="JE9" i="5"/>
  <c r="JD9" i="5"/>
  <c r="JC9" i="5"/>
  <c r="JB9" i="5"/>
  <c r="JA9" i="5"/>
  <c r="IZ9" i="5"/>
  <c r="IY9" i="5"/>
  <c r="IX9" i="5"/>
  <c r="IW9" i="5"/>
  <c r="IV9" i="5"/>
  <c r="IU9" i="5"/>
  <c r="IT9" i="5"/>
  <c r="IS9" i="5"/>
  <c r="IR9" i="5"/>
  <c r="IQ9" i="5"/>
  <c r="IP9" i="5"/>
  <c r="IO9" i="5"/>
  <c r="IN9" i="5"/>
  <c r="IM9" i="5"/>
  <c r="IL9" i="5"/>
  <c r="IK9" i="5"/>
  <c r="IJ9" i="5"/>
  <c r="II9" i="5"/>
  <c r="IH9" i="5"/>
  <c r="IG9" i="5"/>
  <c r="IF9" i="5"/>
  <c r="IE9" i="5"/>
  <c r="ID9" i="5"/>
  <c r="IC9" i="5"/>
  <c r="IB9" i="5"/>
  <c r="IA9" i="5"/>
  <c r="HZ9" i="5"/>
  <c r="HY9" i="5"/>
  <c r="HX9" i="5"/>
  <c r="HW9" i="5"/>
  <c r="HV9" i="5"/>
  <c r="HU9" i="5"/>
  <c r="HT9" i="5"/>
  <c r="HS9" i="5"/>
  <c r="HR9" i="5"/>
  <c r="HQ9" i="5"/>
  <c r="HP9" i="5"/>
  <c r="HO9" i="5"/>
  <c r="HN9" i="5"/>
  <c r="HM9" i="5"/>
  <c r="HL9" i="5"/>
  <c r="HK9" i="5"/>
  <c r="HJ9" i="5"/>
  <c r="HI9" i="5"/>
  <c r="HH9" i="5"/>
  <c r="HG9" i="5"/>
  <c r="HF9" i="5"/>
  <c r="HE9" i="5"/>
  <c r="HD9" i="5"/>
  <c r="HC9" i="5"/>
  <c r="HB9" i="5"/>
  <c r="HA9" i="5"/>
  <c r="GZ9" i="5"/>
  <c r="GY9" i="5"/>
  <c r="GX9" i="5"/>
  <c r="GW9" i="5"/>
  <c r="GV9" i="5"/>
  <c r="GU9" i="5"/>
  <c r="GT9" i="5"/>
  <c r="GS9" i="5"/>
  <c r="GR9" i="5"/>
  <c r="GQ9" i="5"/>
  <c r="GP9" i="5"/>
  <c r="GO9" i="5"/>
  <c r="GN9" i="5"/>
  <c r="GM9" i="5"/>
  <c r="GL9" i="5"/>
  <c r="GK9" i="5"/>
  <c r="GJ9" i="5"/>
  <c r="GI9" i="5"/>
  <c r="GH9" i="5"/>
  <c r="GG9" i="5"/>
  <c r="GF9" i="5"/>
  <c r="GE9" i="5"/>
  <c r="GD9" i="5"/>
  <c r="GC9" i="5"/>
  <c r="GB9" i="5"/>
  <c r="GA9" i="5"/>
  <c r="FZ9" i="5"/>
  <c r="FY9" i="5"/>
  <c r="FX9" i="5"/>
  <c r="FW9" i="5"/>
  <c r="FV9" i="5"/>
  <c r="FU9" i="5"/>
  <c r="FT9" i="5"/>
  <c r="FS9" i="5"/>
  <c r="FR9" i="5"/>
  <c r="FQ9" i="5"/>
  <c r="FP9" i="5"/>
  <c r="FO9" i="5"/>
  <c r="FN9" i="5"/>
  <c r="FM9" i="5"/>
  <c r="FL9" i="5"/>
  <c r="FK9" i="5"/>
  <c r="FJ9" i="5"/>
  <c r="FI9" i="5"/>
  <c r="FH9" i="5"/>
  <c r="FG9" i="5"/>
  <c r="FF9" i="5"/>
  <c r="FE9" i="5"/>
  <c r="FD9" i="5"/>
  <c r="FC9" i="5"/>
  <c r="FB9" i="5"/>
  <c r="FA9" i="5"/>
  <c r="EZ9" i="5"/>
  <c r="EY9" i="5"/>
  <c r="EX9" i="5"/>
  <c r="EW9" i="5"/>
  <c r="EV9" i="5"/>
  <c r="EU9" i="5"/>
  <c r="ET9" i="5"/>
  <c r="ES9" i="5"/>
  <c r="ER9" i="5"/>
  <c r="EQ9" i="5"/>
  <c r="EP9" i="5"/>
  <c r="EO9" i="5"/>
  <c r="EN9" i="5"/>
  <c r="EM9" i="5"/>
  <c r="EL9" i="5"/>
  <c r="EK9" i="5"/>
  <c r="EJ9" i="5"/>
  <c r="EI9" i="5"/>
  <c r="EH9" i="5"/>
  <c r="EG9" i="5"/>
  <c r="EF9" i="5"/>
  <c r="EE9" i="5"/>
  <c r="ED9" i="5"/>
  <c r="EC9" i="5"/>
  <c r="EB9" i="5"/>
  <c r="EA9" i="5"/>
  <c r="DZ9" i="5"/>
  <c r="DY9" i="5"/>
  <c r="DX9" i="5"/>
  <c r="DW9" i="5"/>
  <c r="DV9" i="5"/>
  <c r="DU9" i="5"/>
  <c r="DT9" i="5"/>
  <c r="DS9" i="5"/>
  <c r="DR9" i="5"/>
  <c r="DQ9" i="5"/>
  <c r="DP9" i="5"/>
  <c r="DO9" i="5"/>
  <c r="DN9" i="5"/>
  <c r="DM9" i="5"/>
  <c r="DL9" i="5"/>
  <c r="DK9" i="5"/>
  <c r="DJ9" i="5"/>
  <c r="DI9" i="5"/>
  <c r="DH9" i="5"/>
  <c r="DG9" i="5"/>
  <c r="DF9" i="5"/>
  <c r="DE9" i="5"/>
  <c r="DD9" i="5"/>
  <c r="DC9" i="5"/>
  <c r="DB9" i="5"/>
  <c r="DA9" i="5"/>
  <c r="CZ9" i="5"/>
  <c r="CY9" i="5"/>
  <c r="CX9" i="5"/>
  <c r="CW9" i="5"/>
  <c r="CV9" i="5"/>
  <c r="CU9" i="5"/>
  <c r="CT9" i="5"/>
  <c r="CS9" i="5"/>
  <c r="CR9" i="5"/>
  <c r="CQ9" i="5"/>
  <c r="CP9" i="5"/>
  <c r="CO9" i="5"/>
  <c r="CN9" i="5"/>
  <c r="CM9" i="5"/>
  <c r="CL9" i="5"/>
  <c r="CK9" i="5"/>
  <c r="CJ9" i="5"/>
  <c r="CI9" i="5"/>
  <c r="CH9" i="5"/>
  <c r="CG9" i="5"/>
  <c r="CF9" i="5"/>
  <c r="CE9" i="5"/>
  <c r="CD9" i="5"/>
  <c r="CC9" i="5"/>
  <c r="CB9" i="5"/>
  <c r="CA9" i="5"/>
  <c r="BZ9" i="5"/>
  <c r="BY9" i="5"/>
  <c r="BX9" i="5"/>
  <c r="BW9" i="5"/>
  <c r="BV9" i="5"/>
  <c r="BU9" i="5"/>
  <c r="BT9" i="5"/>
  <c r="BS9" i="5"/>
  <c r="BR9" i="5"/>
  <c r="BQ9" i="5"/>
  <c r="BP9" i="5"/>
  <c r="BO9" i="5"/>
  <c r="BN9" i="5"/>
  <c r="BM9" i="5"/>
  <c r="BL9" i="5"/>
  <c r="BK9" i="5"/>
  <c r="BJ9" i="5"/>
  <c r="BI9" i="5"/>
  <c r="BH9" i="5"/>
  <c r="BG9" i="5"/>
  <c r="BF9" i="5"/>
  <c r="BE9" i="5"/>
  <c r="BD9" i="5"/>
  <c r="BC9" i="5"/>
  <c r="BB9" i="5"/>
  <c r="BA9" i="5"/>
  <c r="AZ9"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J9" i="5"/>
  <c r="H26" i="5" l="1"/>
  <c r="H10" i="5" s="1"/>
  <c r="E26" i="5"/>
  <c r="IZ13" i="5"/>
  <c r="JA13" i="5"/>
  <c r="Z13" i="5"/>
  <c r="JB13" i="5"/>
  <c r="FP13" i="5"/>
  <c r="AA13" i="5"/>
  <c r="JR13" i="5"/>
  <c r="FO13" i="5"/>
  <c r="CL13" i="5"/>
  <c r="CM13" i="5"/>
  <c r="IP13" i="5"/>
  <c r="IU13" i="5"/>
  <c r="IW13" i="5"/>
  <c r="CP13" i="5"/>
  <c r="DI13" i="5"/>
  <c r="CR13" i="5"/>
  <c r="GO13" i="5"/>
  <c r="GM13" i="5"/>
  <c r="FR13" i="5"/>
  <c r="Q13" i="5"/>
  <c r="AI13" i="5"/>
  <c r="DG13" i="5"/>
  <c r="FQ13" i="5"/>
  <c r="HX13" i="5"/>
  <c r="KU13" i="5"/>
  <c r="BE13" i="5"/>
  <c r="DQ13" i="5"/>
  <c r="FW13" i="5"/>
  <c r="IQ13" i="5"/>
  <c r="AG13" i="5"/>
  <c r="DR13" i="5"/>
  <c r="GQ13" i="5"/>
  <c r="JS13" i="5"/>
  <c r="AO13" i="5"/>
  <c r="EX13" i="5"/>
  <c r="DT13" i="5"/>
  <c r="GW13" i="5"/>
  <c r="JT13" i="5"/>
  <c r="BS13" i="5"/>
  <c r="CJ13" i="5"/>
  <c r="BF13" i="5"/>
  <c r="EK13" i="5"/>
  <c r="GZ13" i="5"/>
  <c r="JU13" i="5"/>
  <c r="BG13" i="5"/>
  <c r="EN13" i="5"/>
  <c r="HQ13" i="5"/>
  <c r="JY13" i="5"/>
  <c r="BJ13" i="5"/>
  <c r="EO13" i="5"/>
  <c r="HR13" i="5"/>
  <c r="KP13" i="5"/>
  <c r="EP13" i="5"/>
  <c r="HT13" i="5"/>
  <c r="KX13" i="5"/>
  <c r="HU13" i="5"/>
  <c r="KO13" i="5"/>
  <c r="JQ13" i="5"/>
  <c r="IO13" i="5"/>
  <c r="HN13" i="5"/>
  <c r="GK13" i="5"/>
  <c r="FF13" i="5"/>
  <c r="EI13" i="5"/>
  <c r="DF13" i="5"/>
  <c r="CF13" i="5"/>
  <c r="BC13" i="5"/>
  <c r="Y13" i="5"/>
  <c r="KN13" i="5"/>
  <c r="JP13" i="5"/>
  <c r="IM13" i="5"/>
  <c r="HH13" i="5"/>
  <c r="GH13" i="5"/>
  <c r="FE13" i="5"/>
  <c r="EG13" i="5"/>
  <c r="DE13" i="5"/>
  <c r="CA13" i="5"/>
  <c r="AZ13" i="5"/>
  <c r="V13" i="5"/>
  <c r="KL13" i="5"/>
  <c r="JN13" i="5"/>
  <c r="IJ13" i="5"/>
  <c r="HF13" i="5"/>
  <c r="GG13" i="5"/>
  <c r="FD13" i="5"/>
  <c r="EF13" i="5"/>
  <c r="DC13" i="5"/>
  <c r="BZ13" i="5"/>
  <c r="AY13" i="5"/>
  <c r="S13" i="5"/>
  <c r="KK13" i="5"/>
  <c r="JG13" i="5"/>
  <c r="IF13" i="5"/>
  <c r="HE13" i="5"/>
  <c r="GE13" i="5"/>
  <c r="FC13" i="5"/>
  <c r="EA13" i="5"/>
  <c r="DB13" i="5"/>
  <c r="BY13" i="5"/>
  <c r="AS13" i="5"/>
  <c r="R13" i="5"/>
  <c r="KH13" i="5"/>
  <c r="JD13" i="5"/>
  <c r="IE13" i="5"/>
  <c r="HB13" i="5"/>
  <c r="GA13" i="5"/>
  <c r="FB13" i="5"/>
  <c r="DW13" i="5"/>
  <c r="DA13" i="5"/>
  <c r="BV13" i="5"/>
  <c r="AQ13" i="5"/>
  <c r="P13" i="5"/>
  <c r="KE13" i="5"/>
  <c r="JC13" i="5"/>
  <c r="HZ13" i="5"/>
  <c r="HA13" i="5"/>
  <c r="FZ13" i="5"/>
  <c r="FA13" i="5"/>
  <c r="DV13" i="5"/>
  <c r="CY13" i="5"/>
  <c r="BT13" i="5"/>
  <c r="AP13" i="5"/>
  <c r="L13" i="5"/>
  <c r="JW13" i="5"/>
  <c r="HW13" i="5"/>
  <c r="GX13" i="5"/>
  <c r="FU13" i="5"/>
  <c r="EQ13" i="5"/>
  <c r="DS13" i="5"/>
  <c r="CQ13" i="5"/>
  <c r="BQ13" i="5"/>
  <c r="AJ13" i="5"/>
  <c r="KG13" i="5"/>
  <c r="JE13" i="5"/>
  <c r="IG13" i="5"/>
  <c r="HG13" i="5"/>
  <c r="GJ13" i="5"/>
  <c r="FJ13" i="5"/>
  <c r="EM13" i="5"/>
  <c r="DP13" i="5"/>
  <c r="CO13" i="5"/>
  <c r="BO13" i="5"/>
  <c r="AL13" i="5"/>
  <c r="J13" i="5"/>
  <c r="KF13" i="5"/>
  <c r="JF13" i="5"/>
  <c r="IK13" i="5"/>
  <c r="HO13" i="5"/>
  <c r="GP13" i="5"/>
  <c r="FS13" i="5"/>
  <c r="EZ13" i="5"/>
  <c r="DZ13" i="5"/>
  <c r="DD13" i="5"/>
  <c r="CI13" i="5"/>
  <c r="BI13" i="5"/>
  <c r="AN13" i="5"/>
  <c r="M13" i="5"/>
  <c r="AC13" i="5"/>
  <c r="AT13" i="5"/>
  <c r="BL13" i="5"/>
  <c r="CC13" i="5"/>
  <c r="CS13" i="5"/>
  <c r="DJ13" i="5"/>
  <c r="EB13" i="5"/>
  <c r="ES13" i="5"/>
  <c r="FK13" i="5"/>
  <c r="GB13" i="5"/>
  <c r="GS13" i="5"/>
  <c r="HJ13" i="5"/>
  <c r="IA13" i="5"/>
  <c r="IR13" i="5"/>
  <c r="JH13" i="5"/>
  <c r="KA13" i="5"/>
  <c r="KQ13" i="5"/>
  <c r="N13" i="5"/>
  <c r="AD13" i="5"/>
  <c r="AV13" i="5"/>
  <c r="BM13" i="5"/>
  <c r="CD13" i="5"/>
  <c r="CT13" i="5"/>
  <c r="DM13" i="5"/>
  <c r="ED13" i="5"/>
  <c r="ET13" i="5"/>
  <c r="FM13" i="5"/>
  <c r="GC13" i="5"/>
  <c r="GT13" i="5"/>
  <c r="HK13" i="5"/>
  <c r="IC13" i="5"/>
  <c r="IS13" i="5"/>
  <c r="JJ13" i="5"/>
  <c r="KB13" i="5"/>
  <c r="KR13" i="5"/>
  <c r="O13" i="5"/>
  <c r="AE13" i="5"/>
  <c r="AW13" i="5"/>
  <c r="BN13" i="5"/>
  <c r="CE13" i="5"/>
  <c r="CV13" i="5"/>
  <c r="DO13" i="5"/>
  <c r="EE13" i="5"/>
  <c r="EW13" i="5"/>
  <c r="FN13" i="5"/>
  <c r="GD13" i="5"/>
  <c r="GU13" i="5"/>
  <c r="HM13" i="5"/>
  <c r="ID13" i="5"/>
  <c r="IT13" i="5"/>
  <c r="JK13" i="5"/>
  <c r="KC13" i="5"/>
  <c r="KT13" i="5"/>
  <c r="BW13" i="5"/>
  <c r="BA13" i="5"/>
  <c r="AB13" i="5"/>
  <c r="G13" i="5"/>
  <c r="F14" i="5" s="1"/>
  <c r="G14" i="5" s="1"/>
  <c r="F15" i="5" s="1"/>
  <c r="G15" i="5" s="1"/>
  <c r="F16" i="5" s="1"/>
  <c r="G16" i="5" s="1"/>
  <c r="F17" i="5" s="1"/>
  <c r="G17" i="5" s="1"/>
  <c r="F18" i="5" s="1"/>
  <c r="G18" i="5" s="1"/>
  <c r="F19" i="5" s="1"/>
  <c r="T13" i="5"/>
  <c r="AF13" i="5"/>
  <c r="AR13" i="5"/>
  <c r="BD13" i="5"/>
  <c r="BP13" i="5"/>
  <c r="CB13" i="5"/>
  <c r="CN13" i="5"/>
  <c r="CZ13" i="5"/>
  <c r="DL13" i="5"/>
  <c r="DX13" i="5"/>
  <c r="EJ13" i="5"/>
  <c r="EV13" i="5"/>
  <c r="FH13" i="5"/>
  <c r="FT13" i="5"/>
  <c r="GF13" i="5"/>
  <c r="GR13" i="5"/>
  <c r="HD13" i="5"/>
  <c r="HP13" i="5"/>
  <c r="IB13" i="5"/>
  <c r="IN13" i="5"/>
  <c r="JL13" i="5"/>
  <c r="JX13" i="5"/>
  <c r="KJ13" i="5"/>
  <c r="KV13" i="5"/>
  <c r="U13" i="5"/>
  <c r="AH13" i="5"/>
  <c r="AU13" i="5"/>
  <c r="BH13" i="5"/>
  <c r="BU13" i="5"/>
  <c r="CH13" i="5"/>
  <c r="CU13" i="5"/>
  <c r="DH13" i="5"/>
  <c r="DU13" i="5"/>
  <c r="EH13" i="5"/>
  <c r="EU13" i="5"/>
  <c r="FI13" i="5"/>
  <c r="FV13" i="5"/>
  <c r="GI13" i="5"/>
  <c r="GV13" i="5"/>
  <c r="HI13" i="5"/>
  <c r="HV13" i="5"/>
  <c r="II13" i="5"/>
  <c r="IV13" i="5"/>
  <c r="JI13" i="5"/>
  <c r="JV13" i="5"/>
  <c r="KI13" i="5"/>
  <c r="KW13" i="5"/>
  <c r="K13" i="5"/>
  <c r="X13" i="5"/>
  <c r="AK13" i="5"/>
  <c r="AX13" i="5"/>
  <c r="BK13" i="5"/>
  <c r="BX13" i="5"/>
  <c r="CK13" i="5"/>
  <c r="CX13" i="5"/>
  <c r="DK13" i="5"/>
  <c r="DY13" i="5"/>
  <c r="EL13" i="5"/>
  <c r="EY13" i="5"/>
  <c r="FL13" i="5"/>
  <c r="FY13" i="5"/>
  <c r="GL13" i="5"/>
  <c r="GY13" i="5"/>
  <c r="HL13" i="5"/>
  <c r="HY13" i="5"/>
  <c r="IL13" i="5"/>
  <c r="IY13" i="5"/>
  <c r="JM13" i="5"/>
  <c r="JZ13" i="5"/>
  <c r="KM13" i="5"/>
  <c r="KS13" i="5"/>
  <c r="KD13" i="5"/>
  <c r="JO13" i="5"/>
  <c r="IX13" i="5"/>
  <c r="IH13" i="5"/>
  <c r="HS13" i="5"/>
  <c r="HC13" i="5"/>
  <c r="GN13" i="5"/>
  <c r="FX13" i="5"/>
  <c r="FG13" i="5"/>
  <c r="ER13" i="5"/>
  <c r="EC13" i="5"/>
  <c r="DN13" i="5"/>
  <c r="CW13" i="5"/>
  <c r="CG13" i="5"/>
  <c r="BR13" i="5"/>
  <c r="BB13" i="5"/>
  <c r="AM13" i="5"/>
  <c r="W13" i="5"/>
  <c r="E10" i="5" l="1"/>
  <c r="G19" i="5"/>
  <c r="F21" i="5" s="1"/>
  <c r="G21" i="5" l="1"/>
  <c r="F22" i="5" s="1"/>
  <c r="G22" i="5" s="1"/>
  <c r="F23" i="5" s="1"/>
  <c r="G23" i="5" s="1"/>
  <c r="F20" i="5"/>
  <c r="KG20" i="5" s="1"/>
  <c r="IQ20" i="5"/>
  <c r="U20" i="5" l="1"/>
  <c r="F24" i="5"/>
  <c r="G24" i="5" s="1"/>
  <c r="F25" i="5" s="1"/>
  <c r="G25" i="5" s="1"/>
  <c r="G11" i="5" s="1"/>
  <c r="JA20" i="5"/>
  <c r="DM20" i="5"/>
  <c r="IG20" i="5"/>
  <c r="IL20" i="5"/>
  <c r="IH20" i="5"/>
  <c r="HN20" i="5"/>
  <c r="HV20" i="5"/>
  <c r="JX20" i="5"/>
  <c r="AX20" i="5"/>
  <c r="FK20" i="5"/>
  <c r="CC20" i="5"/>
  <c r="AG20" i="5"/>
  <c r="DP20" i="5"/>
  <c r="HD20" i="5"/>
  <c r="N20" i="5"/>
  <c r="IE20" i="5"/>
  <c r="GF20" i="5"/>
  <c r="JN20" i="5"/>
  <c r="CQ20" i="5"/>
  <c r="BW20" i="5"/>
  <c r="KF20" i="5"/>
  <c r="BQ20" i="5"/>
  <c r="AJ20" i="5"/>
  <c r="JM20" i="5"/>
  <c r="EA20" i="5"/>
  <c r="CT20" i="5"/>
  <c r="FW20" i="5"/>
  <c r="DN20" i="5"/>
  <c r="EZ20" i="5"/>
  <c r="V20" i="5"/>
  <c r="HW20" i="5"/>
  <c r="DA20" i="5"/>
  <c r="JY20" i="5"/>
  <c r="JD20" i="5"/>
  <c r="HH20" i="5"/>
  <c r="BM20" i="5"/>
  <c r="DO20" i="5"/>
  <c r="GD20" i="5"/>
  <c r="HR20" i="5"/>
  <c r="EU20" i="5"/>
  <c r="IV20" i="5"/>
  <c r="GB20" i="5"/>
  <c r="DL20" i="5"/>
  <c r="EI20" i="5"/>
  <c r="DG20" i="5"/>
  <c r="BP20" i="5"/>
  <c r="BG20" i="5"/>
  <c r="GI20" i="5"/>
  <c r="CP20" i="5"/>
  <c r="CB20" i="5"/>
  <c r="BK20" i="5"/>
  <c r="AW20" i="5"/>
  <c r="KD20" i="5"/>
  <c r="AA20" i="5"/>
  <c r="HA20" i="5"/>
  <c r="GH20" i="5"/>
  <c r="HX20" i="5"/>
  <c r="IJ20" i="5"/>
  <c r="X20" i="5"/>
  <c r="JL20" i="5"/>
  <c r="KO20" i="5"/>
  <c r="GO20" i="5"/>
  <c r="FB20" i="5"/>
  <c r="BE20" i="5"/>
  <c r="CU20" i="5"/>
  <c r="HC20" i="5"/>
  <c r="DW20" i="5"/>
  <c r="CX20" i="5"/>
  <c r="KE20" i="5"/>
  <c r="JO20" i="5"/>
  <c r="FE20" i="5"/>
  <c r="T20" i="5"/>
  <c r="BJ20" i="5"/>
  <c r="FU20" i="5"/>
  <c r="BR20" i="5"/>
  <c r="BL20" i="5"/>
  <c r="KH20" i="5"/>
  <c r="IR20" i="5"/>
  <c r="JB20" i="5"/>
  <c r="EG20" i="5"/>
  <c r="FT20" i="5"/>
  <c r="EJ20" i="5"/>
  <c r="EP20" i="5"/>
  <c r="EL20" i="5"/>
  <c r="HG20" i="5"/>
  <c r="CD20" i="5"/>
  <c r="AZ20" i="5"/>
  <c r="EX20" i="5"/>
  <c r="HL20" i="5"/>
  <c r="EW20" i="5"/>
  <c r="J20" i="5"/>
  <c r="BD20" i="5"/>
  <c r="AM20" i="5"/>
  <c r="IS20" i="5"/>
  <c r="KT20" i="5"/>
  <c r="GG20" i="5"/>
  <c r="DK20" i="5"/>
  <c r="BB20" i="5"/>
  <c r="IC20" i="5"/>
  <c r="AU20" i="5"/>
  <c r="Z20" i="5"/>
  <c r="W20" i="5"/>
  <c r="JV20" i="5"/>
  <c r="KL20" i="5"/>
  <c r="KK20" i="5"/>
  <c r="ID20" i="5"/>
  <c r="BO20" i="5"/>
  <c r="AQ20" i="5"/>
  <c r="BN20" i="5"/>
  <c r="DI20" i="5"/>
  <c r="CW20" i="5"/>
  <c r="CR20" i="5"/>
  <c r="IN20" i="5"/>
  <c r="II20" i="5"/>
  <c r="BH20" i="5"/>
  <c r="GV20" i="5"/>
  <c r="FY20" i="5"/>
  <c r="HK20" i="5"/>
  <c r="CG20" i="5"/>
  <c r="Y20" i="5"/>
  <c r="GR20" i="5"/>
  <c r="KB20" i="5"/>
  <c r="EY20" i="5"/>
  <c r="GX20" i="5"/>
  <c r="HF20" i="5"/>
  <c r="AN20" i="5"/>
  <c r="KQ20" i="5"/>
  <c r="HT20" i="5"/>
  <c r="JT20" i="5"/>
  <c r="AF20" i="5"/>
  <c r="DT20" i="5"/>
  <c r="IT20" i="5"/>
  <c r="KX20" i="5"/>
  <c r="CZ20" i="5"/>
  <c r="JR20" i="5"/>
  <c r="P20" i="5"/>
  <c r="IO20" i="5"/>
  <c r="CK20" i="5"/>
  <c r="L20" i="5"/>
  <c r="CY20" i="5"/>
  <c r="DS20" i="5"/>
  <c r="JC20" i="5"/>
  <c r="AP20" i="5"/>
  <c r="JE20" i="5"/>
  <c r="FA20" i="5"/>
  <c r="BY20" i="5"/>
  <c r="AT20" i="5"/>
  <c r="KN20" i="5"/>
  <c r="JW20" i="5"/>
  <c r="ET20" i="5"/>
  <c r="BI20" i="5"/>
  <c r="R20" i="5"/>
  <c r="FI20" i="5"/>
  <c r="GU20" i="5"/>
  <c r="KJ20" i="5"/>
  <c r="AB20" i="5"/>
  <c r="FL20" i="5"/>
  <c r="JQ20" i="5"/>
  <c r="HE20" i="5"/>
  <c r="CN20" i="5"/>
  <c r="G20" i="5"/>
  <c r="HY20" i="5"/>
  <c r="GN20" i="5"/>
  <c r="DD20" i="5"/>
  <c r="BF20" i="5"/>
  <c r="KW20" i="5"/>
  <c r="DB20" i="5"/>
  <c r="EK20" i="5"/>
  <c r="CH20" i="5"/>
  <c r="IF20" i="5"/>
  <c r="O20" i="5"/>
  <c r="CS20" i="5"/>
  <c r="EC20" i="5"/>
  <c r="JH20" i="5"/>
  <c r="KU20" i="5"/>
  <c r="EE20" i="5"/>
  <c r="BX20" i="5"/>
  <c r="DZ20" i="5"/>
  <c r="AO20" i="5"/>
  <c r="IK20" i="5"/>
  <c r="HB20" i="5"/>
  <c r="DQ20" i="5"/>
  <c r="BU20" i="5"/>
  <c r="DR20" i="5"/>
  <c r="FC20" i="5"/>
  <c r="DC20" i="5"/>
  <c r="IX20" i="5"/>
  <c r="AY20" i="5"/>
  <c r="FJ20" i="5"/>
  <c r="FM20" i="5"/>
  <c r="FO20" i="5"/>
  <c r="DJ20" i="5"/>
  <c r="BC20" i="5"/>
  <c r="BA20" i="5"/>
  <c r="IW20" i="5"/>
  <c r="HO20" i="5"/>
  <c r="EQ20" i="5"/>
  <c r="CJ20" i="5"/>
  <c r="EH20" i="5"/>
  <c r="GM20" i="5"/>
  <c r="AV20" i="5"/>
  <c r="EM20" i="5"/>
  <c r="JP20" i="5"/>
  <c r="CM20" i="5"/>
  <c r="GK20" i="5"/>
  <c r="HU20" i="5"/>
  <c r="AS20" i="5"/>
  <c r="GW20" i="5"/>
  <c r="JU20" i="5"/>
  <c r="HM20" i="5"/>
  <c r="JK20" i="5"/>
  <c r="BZ20" i="5"/>
  <c r="GY20" i="5"/>
  <c r="HZ20" i="5"/>
  <c r="KM20" i="5"/>
  <c r="CO20" i="5"/>
  <c r="DX20" i="5"/>
  <c r="FH20" i="5"/>
  <c r="GT20" i="5"/>
  <c r="HJ20" i="5"/>
  <c r="IA20" i="5"/>
  <c r="KI20" i="5"/>
  <c r="CL20" i="5"/>
  <c r="GQ20" i="5"/>
  <c r="FR20" i="5"/>
  <c r="GA20" i="5"/>
  <c r="M20" i="5"/>
  <c r="GC20" i="5"/>
  <c r="Q20" i="5"/>
  <c r="HP20" i="5"/>
  <c r="JZ20" i="5"/>
  <c r="DY20" i="5"/>
  <c r="GZ20" i="5"/>
  <c r="FS20" i="5"/>
  <c r="FP20" i="5"/>
  <c r="JF20" i="5"/>
  <c r="BT20" i="5"/>
  <c r="DF20" i="5"/>
  <c r="EO20" i="5"/>
  <c r="FG20" i="5"/>
  <c r="GP20" i="5"/>
  <c r="HI20" i="5"/>
  <c r="JS20" i="5"/>
  <c r="BV20" i="5"/>
  <c r="FZ20" i="5"/>
  <c r="FD20" i="5"/>
  <c r="FN20" i="5"/>
  <c r="FQ20" i="5"/>
  <c r="GJ20" i="5"/>
  <c r="S20" i="5"/>
  <c r="HS20" i="5"/>
  <c r="ER20" i="5"/>
  <c r="KV20" i="5"/>
  <c r="DH20" i="5"/>
  <c r="CV20" i="5"/>
  <c r="GL20" i="5"/>
  <c r="KC20" i="5"/>
  <c r="AI20" i="5"/>
  <c r="BS20" i="5"/>
  <c r="CI20" i="5"/>
  <c r="DV20" i="5"/>
  <c r="FF20" i="5"/>
  <c r="FV20" i="5"/>
  <c r="IM20" i="5"/>
  <c r="AR20" i="5"/>
  <c r="EF20" i="5"/>
  <c r="KR20" i="5"/>
  <c r="ED20" i="5"/>
  <c r="EN20" i="5"/>
  <c r="KS20" i="5"/>
  <c r="ES20" i="5"/>
  <c r="AC20" i="5"/>
  <c r="HQ20" i="5"/>
  <c r="KA20" i="5"/>
  <c r="IZ20" i="5"/>
  <c r="CE20" i="5"/>
  <c r="IP20" i="5"/>
  <c r="AK20" i="5"/>
  <c r="JG20" i="5"/>
  <c r="AL20" i="5"/>
  <c r="JJ20" i="5"/>
  <c r="KP20" i="5"/>
  <c r="EB20" i="5"/>
  <c r="IY20" i="5"/>
  <c r="AH20" i="5"/>
  <c r="DE20" i="5"/>
  <c r="FX20" i="5"/>
  <c r="IU20" i="5"/>
  <c r="AE20" i="5"/>
  <c r="CF20" i="5"/>
  <c r="GS20" i="5"/>
  <c r="K20" i="5"/>
  <c r="EV20" i="5"/>
  <c r="GE20" i="5"/>
  <c r="AD20" i="5"/>
  <c r="IB20" i="5"/>
  <c r="CA20" i="5"/>
  <c r="JI20" i="5"/>
  <c r="DU20" i="5"/>
  <c r="G28" i="5" l="1"/>
  <c r="F29" i="5" s="1"/>
  <c r="G29" i="5" s="1"/>
  <c r="F30" i="5" s="1"/>
  <c r="G30" i="5" s="1"/>
  <c r="F31" i="5" s="1"/>
  <c r="G31" i="5" s="1"/>
  <c r="F32" i="5" s="1"/>
  <c r="G32" i="5" s="1"/>
  <c r="F33" i="5" s="1"/>
  <c r="G33" i="5" s="1"/>
  <c r="F27" i="5"/>
  <c r="IG27" i="5" l="1"/>
  <c r="CS27" i="5"/>
  <c r="EZ27" i="5"/>
  <c r="HP27" i="5"/>
  <c r="BA27" i="5"/>
  <c r="GZ27" i="5"/>
  <c r="AJ27" i="5"/>
  <c r="GI27" i="5"/>
  <c r="T27" i="5"/>
  <c r="KK27" i="5"/>
  <c r="BQ27" i="5"/>
  <c r="DU27" i="5"/>
  <c r="FV27" i="5"/>
  <c r="HX27" i="5"/>
  <c r="KB27" i="5"/>
  <c r="BG27" i="5"/>
  <c r="DO27" i="5"/>
  <c r="JD27" i="5"/>
  <c r="AF27" i="5"/>
  <c r="BE27" i="5"/>
  <c r="BD27" i="5"/>
  <c r="BC27" i="5"/>
  <c r="BB27" i="5"/>
  <c r="IY27" i="5"/>
  <c r="HU27" i="5"/>
  <c r="CG27" i="5"/>
  <c r="KN27" i="5"/>
  <c r="EM27" i="5"/>
  <c r="HB27" i="5"/>
  <c r="AL27" i="5"/>
  <c r="GL27" i="5"/>
  <c r="V27" i="5"/>
  <c r="FU27" i="5"/>
  <c r="JP27" i="5"/>
  <c r="AU27" i="5"/>
  <c r="CY27" i="5"/>
  <c r="FD27" i="5"/>
  <c r="HF27" i="5"/>
  <c r="JJ27" i="5"/>
  <c r="AP27" i="5"/>
  <c r="CW27" i="5"/>
  <c r="HS27" i="5"/>
  <c r="F26" i="5"/>
  <c r="R27" i="5"/>
  <c r="Q27" i="5"/>
  <c r="P27" i="5"/>
  <c r="KR27" i="5"/>
  <c r="HM27" i="5"/>
  <c r="JZ27" i="5"/>
  <c r="GV27" i="5"/>
  <c r="GW27" i="5"/>
  <c r="BI27" i="5"/>
  <c r="JN27" i="5"/>
  <c r="DM27" i="5"/>
  <c r="FX27" i="5"/>
  <c r="FI27" i="5"/>
  <c r="ES27" i="5"/>
  <c r="IF27" i="5"/>
  <c r="K27" i="5"/>
  <c r="KJ27" i="5"/>
  <c r="BP27" i="5"/>
  <c r="DR27" i="5"/>
  <c r="FS27" i="5"/>
  <c r="HW27" i="5"/>
  <c r="KE27" i="5"/>
  <c r="BJ27" i="5"/>
  <c r="ET27" i="5"/>
  <c r="GG27" i="5"/>
  <c r="EP27" i="5"/>
  <c r="HD27" i="5"/>
  <c r="O27" i="5"/>
  <c r="GK27" i="5"/>
  <c r="AW27" i="5"/>
  <c r="JA27" i="5"/>
  <c r="CZ27" i="5"/>
  <c r="FJ27" i="5"/>
  <c r="EU27" i="5"/>
  <c r="KT27" i="5"/>
  <c r="EE27" i="5"/>
  <c r="HK27" i="5"/>
  <c r="JO27" i="5"/>
  <c r="AT27" i="5"/>
  <c r="CX27" i="5"/>
  <c r="FB27" i="5"/>
  <c r="HE27" i="5"/>
  <c r="JL27" i="5"/>
  <c r="AR27" i="5"/>
  <c r="DI27" i="5"/>
  <c r="KP27" i="5"/>
  <c r="KS27" i="5"/>
  <c r="DJ27" i="5"/>
  <c r="DC27" i="5"/>
  <c r="FQ27" i="5"/>
  <c r="KO27" i="5"/>
  <c r="DE27" i="5"/>
  <c r="FN27" i="5"/>
  <c r="ID27" i="5"/>
  <c r="HO27" i="5"/>
  <c r="GX27" i="5"/>
  <c r="CI27" i="5"/>
  <c r="HJ27" i="5"/>
  <c r="AS27" i="5"/>
  <c r="IT27" i="5"/>
  <c r="CA27" i="5"/>
  <c r="HG27" i="5"/>
  <c r="KQ27" i="5"/>
  <c r="GE27" i="5"/>
  <c r="BS27" i="5"/>
  <c r="JX27" i="5"/>
  <c r="CL27" i="5"/>
  <c r="FH27" i="5"/>
  <c r="CO27" i="5"/>
  <c r="GP27" i="5"/>
  <c r="GF27" i="5"/>
  <c r="IK27" i="5"/>
  <c r="HT27" i="5"/>
  <c r="JQ27" i="5"/>
  <c r="AK27" i="5"/>
  <c r="EV27" i="5"/>
  <c r="EG27" i="5"/>
  <c r="DP27" i="5"/>
  <c r="FZ27" i="5"/>
  <c r="EI27" i="5"/>
  <c r="BV27" i="5"/>
  <c r="DH27" i="5"/>
  <c r="CJ27" i="5"/>
  <c r="BW27" i="5"/>
  <c r="IB27" i="5"/>
  <c r="KM27" i="5"/>
  <c r="FP27" i="5"/>
  <c r="HV27" i="5"/>
  <c r="Z27" i="5"/>
  <c r="CC27" i="5"/>
  <c r="JR27" i="5"/>
  <c r="GB27" i="5"/>
  <c r="J27" i="5"/>
  <c r="AQ27" i="5"/>
  <c r="IZ27" i="5"/>
  <c r="AO27" i="5"/>
  <c r="HN27" i="5"/>
  <c r="KI27" i="5"/>
  <c r="JT27" i="5"/>
  <c r="AH27" i="5"/>
  <c r="EY27" i="5"/>
  <c r="CR27" i="5"/>
  <c r="DK27" i="5"/>
  <c r="BF27" i="5"/>
  <c r="EO27" i="5"/>
  <c r="JU27" i="5"/>
  <c r="W27" i="5"/>
  <c r="EK27" i="5"/>
  <c r="EF27" i="5"/>
  <c r="S27" i="5"/>
  <c r="EC27" i="5"/>
  <c r="GN27" i="5"/>
  <c r="KD27" i="5"/>
  <c r="DL27" i="5"/>
  <c r="JB27" i="5"/>
  <c r="DQ27" i="5"/>
  <c r="GA27" i="5"/>
  <c r="IR27" i="5"/>
  <c r="IC27" i="5"/>
  <c r="HL27" i="5"/>
  <c r="DA27" i="5"/>
  <c r="JK27" i="5"/>
  <c r="CU27" i="5"/>
  <c r="HR27" i="5"/>
  <c r="GT27" i="5"/>
  <c r="AE27" i="5"/>
  <c r="AN27" i="5"/>
  <c r="KC27" i="5"/>
  <c r="BU27" i="5"/>
  <c r="DZ27" i="5"/>
  <c r="GM27" i="5"/>
  <c r="FW27" i="5"/>
  <c r="FG27" i="5"/>
  <c r="AD27" i="5"/>
  <c r="GR27" i="5"/>
  <c r="AB27" i="5"/>
  <c r="GO27" i="5"/>
  <c r="U27" i="5"/>
  <c r="ER27" i="5"/>
  <c r="DW27" i="5"/>
  <c r="CM27" i="5"/>
  <c r="FT27" i="5"/>
  <c r="GY27" i="5"/>
  <c r="AA27" i="5"/>
  <c r="FK27" i="5"/>
  <c r="JI27" i="5"/>
  <c r="KH27" i="5"/>
  <c r="HH27" i="5"/>
  <c r="EX27" i="5"/>
  <c r="AY27" i="5"/>
  <c r="JW27" i="5"/>
  <c r="IO27" i="5"/>
  <c r="KX27" i="5"/>
  <c r="BX27" i="5"/>
  <c r="JG27" i="5"/>
  <c r="IW27" i="5"/>
  <c r="IU27" i="5"/>
  <c r="FL27" i="5"/>
  <c r="EW27" i="5"/>
  <c r="JE27" i="5"/>
  <c r="Y27" i="5"/>
  <c r="BZ27" i="5"/>
  <c r="EH27" i="5"/>
  <c r="DS27" i="5"/>
  <c r="DB27" i="5"/>
  <c r="FE27" i="5"/>
  <c r="KG27" i="5"/>
  <c r="DN27" i="5"/>
  <c r="FC27" i="5"/>
  <c r="AI27" i="5"/>
  <c r="BT27" i="5"/>
  <c r="FO27" i="5"/>
  <c r="AX27" i="5"/>
  <c r="IS27" i="5"/>
  <c r="M27" i="5"/>
  <c r="BM27" i="5"/>
  <c r="DT27" i="5"/>
  <c r="DD27" i="5"/>
  <c r="CN27" i="5"/>
  <c r="EL27" i="5"/>
  <c r="JM27" i="5"/>
  <c r="CV27" i="5"/>
  <c r="KU27" i="5"/>
  <c r="EJ27" i="5"/>
  <c r="IL27" i="5"/>
  <c r="AG27" i="5"/>
  <c r="JY27" i="5"/>
  <c r="EA27" i="5"/>
  <c r="JV27" i="5"/>
  <c r="N27" i="5"/>
  <c r="IH27" i="5"/>
  <c r="HI27" i="5"/>
  <c r="KA27" i="5"/>
  <c r="AZ27" i="5"/>
  <c r="DF27" i="5"/>
  <c r="CP27" i="5"/>
  <c r="BY27" i="5"/>
  <c r="IX27" i="5"/>
  <c r="CH27" i="5"/>
  <c r="IV27" i="5"/>
  <c r="CD27" i="5"/>
  <c r="IP27" i="5"/>
  <c r="CE27" i="5"/>
  <c r="II27" i="5"/>
  <c r="HC27" i="5"/>
  <c r="GU27" i="5"/>
  <c r="IM27" i="5"/>
  <c r="FY27" i="5"/>
  <c r="IN27" i="5"/>
  <c r="AM27" i="5"/>
  <c r="CQ27" i="5"/>
  <c r="KV27" i="5"/>
  <c r="CB27" i="5"/>
  <c r="KF27" i="5"/>
  <c r="BK27" i="5"/>
  <c r="GS27" i="5"/>
  <c r="AC27" i="5"/>
  <c r="BH27" i="5"/>
  <c r="GJ27" i="5"/>
  <c r="ED27" i="5"/>
  <c r="FM27" i="5"/>
  <c r="IA27" i="5"/>
  <c r="KW27" i="5"/>
  <c r="BN27" i="5"/>
  <c r="AV27" i="5"/>
  <c r="FR27" i="5"/>
  <c r="GH27" i="5"/>
  <c r="EB27" i="5"/>
  <c r="DX27" i="5"/>
  <c r="CT27" i="5"/>
  <c r="FA27" i="5"/>
  <c r="L27" i="5"/>
  <c r="BO27" i="5"/>
  <c r="JC27" i="5"/>
  <c r="FF27" i="5"/>
  <c r="GQ27" i="5"/>
  <c r="X27" i="5"/>
  <c r="HQ27" i="5"/>
  <c r="CK27" i="5"/>
  <c r="KL27" i="5"/>
  <c r="HA27" i="5"/>
  <c r="JF27" i="5"/>
  <c r="EN27" i="5"/>
  <c r="GD27" i="5"/>
  <c r="IJ27" i="5"/>
  <c r="GC27" i="5"/>
  <c r="JH27" i="5"/>
  <c r="IQ27" i="5"/>
  <c r="HZ27" i="5"/>
  <c r="DV27" i="5"/>
  <c r="CF27" i="5"/>
  <c r="EQ27" i="5"/>
  <c r="JS27" i="5"/>
  <c r="BR27" i="5"/>
  <c r="IE27" i="5"/>
  <c r="BL27" i="5"/>
  <c r="HY27" i="5"/>
  <c r="DG27" i="5"/>
  <c r="DY27" i="5"/>
  <c r="F35" i="5"/>
  <c r="G35" i="5" l="1"/>
  <c r="F36" i="5" s="1"/>
  <c r="G36" i="5" s="1"/>
  <c r="CP34" i="5"/>
  <c r="KD34" i="5" l="1"/>
  <c r="AG34" i="5"/>
  <c r="DB34" i="5"/>
  <c r="CN34" i="5"/>
  <c r="GB34" i="5"/>
  <c r="DU34" i="5"/>
  <c r="AW34" i="5"/>
  <c r="FY34" i="5"/>
  <c r="ED34" i="5"/>
  <c r="IC34" i="5"/>
  <c r="BF34" i="5"/>
  <c r="BP34" i="5"/>
  <c r="DG34" i="5"/>
  <c r="CX34" i="5"/>
  <c r="HZ34" i="5"/>
  <c r="AF34" i="5"/>
  <c r="GM34" i="5"/>
  <c r="EC34" i="5"/>
  <c r="BQ34" i="5"/>
  <c r="IZ34" i="5"/>
  <c r="GD34" i="5"/>
  <c r="HN34" i="5"/>
  <c r="AO34" i="5"/>
  <c r="DM34" i="5"/>
  <c r="CO34" i="5"/>
  <c r="FM34" i="5"/>
  <c r="EB34" i="5"/>
  <c r="FQ34" i="5"/>
  <c r="KW34" i="5"/>
  <c r="S34" i="5"/>
  <c r="BO34" i="5"/>
  <c r="JR34" i="5"/>
  <c r="AQ34" i="5"/>
  <c r="AP34" i="5"/>
  <c r="FV34" i="5"/>
  <c r="HH34" i="5"/>
  <c r="HJ34" i="5"/>
  <c r="FA34" i="5"/>
  <c r="HE34" i="5"/>
  <c r="JL34" i="5"/>
  <c r="IO34" i="5"/>
  <c r="CY34" i="5"/>
  <c r="KL34" i="5"/>
  <c r="X34" i="5"/>
  <c r="GC34" i="5"/>
  <c r="JF34" i="5"/>
  <c r="JI34" i="5"/>
  <c r="KA34" i="5"/>
  <c r="DZ34" i="5"/>
  <c r="FN34" i="5"/>
  <c r="Q34" i="5"/>
  <c r="W34" i="5"/>
  <c r="KS34" i="5"/>
  <c r="GL34" i="5"/>
  <c r="JQ34" i="5"/>
  <c r="GP34" i="5"/>
  <c r="GT34" i="5"/>
  <c r="DY34" i="5"/>
  <c r="P34" i="5"/>
  <c r="CM34" i="5"/>
  <c r="HG34" i="5"/>
  <c r="BJ34" i="5"/>
  <c r="DD34" i="5"/>
  <c r="FK34" i="5"/>
  <c r="BU34" i="5"/>
  <c r="GA34" i="5"/>
  <c r="AV34" i="5"/>
  <c r="AX34" i="5"/>
  <c r="CC34" i="5"/>
  <c r="BT34" i="5"/>
  <c r="CZ34" i="5"/>
  <c r="KN34" i="5"/>
  <c r="DT34" i="5"/>
  <c r="AU34" i="5"/>
  <c r="ID34" i="5"/>
  <c r="EL34" i="5"/>
  <c r="AC34" i="5"/>
  <c r="HP34" i="5"/>
  <c r="AH34" i="5"/>
  <c r="FX34" i="5"/>
  <c r="V34" i="5"/>
  <c r="KM34" i="5"/>
  <c r="FL34" i="5"/>
  <c r="JJ34" i="5"/>
  <c r="FU34" i="5"/>
  <c r="KF34" i="5"/>
  <c r="KU34" i="5"/>
  <c r="HW34" i="5"/>
  <c r="IQ34" i="5"/>
  <c r="JV34" i="5"/>
  <c r="J34" i="5"/>
  <c r="DE34" i="5"/>
  <c r="KP34" i="5"/>
  <c r="EA34" i="5"/>
  <c r="JE34" i="5"/>
  <c r="DA34" i="5"/>
  <c r="FB34" i="5"/>
  <c r="IT34" i="5"/>
  <c r="KC34" i="5"/>
  <c r="FF34" i="5"/>
  <c r="AD34" i="5"/>
  <c r="EG34" i="5"/>
  <c r="BH34" i="5"/>
  <c r="FO34" i="5"/>
  <c r="FE34" i="5"/>
  <c r="GG34" i="5"/>
  <c r="CF34" i="5"/>
  <c r="AR34" i="5"/>
  <c r="IV34" i="5"/>
  <c r="EH34" i="5"/>
  <c r="JN34" i="5"/>
  <c r="CJ34" i="5"/>
  <c r="IB34" i="5"/>
  <c r="JT34" i="5"/>
  <c r="EY34" i="5"/>
  <c r="GX34" i="5"/>
  <c r="GN34" i="5"/>
  <c r="HI34" i="5"/>
  <c r="BV34" i="5"/>
  <c r="EJ34" i="5"/>
  <c r="IW34" i="5"/>
  <c r="T34" i="5"/>
  <c r="DC34" i="5"/>
  <c r="BS34" i="5"/>
  <c r="IX34" i="5"/>
  <c r="FZ34" i="5"/>
  <c r="GZ34" i="5"/>
  <c r="L34" i="5"/>
  <c r="BX34" i="5"/>
  <c r="CA34" i="5"/>
  <c r="U34" i="5"/>
  <c r="DX34" i="5"/>
  <c r="HK34" i="5"/>
  <c r="JM34" i="5"/>
  <c r="AL34" i="5"/>
  <c r="DR34" i="5"/>
  <c r="IJ34" i="5"/>
  <c r="AJ34" i="5"/>
  <c r="KE34" i="5"/>
  <c r="FC34" i="5"/>
  <c r="HR34" i="5"/>
  <c r="IN34" i="5"/>
  <c r="AM34" i="5"/>
  <c r="JC34" i="5"/>
  <c r="HO34" i="5"/>
  <c r="KJ34" i="5"/>
  <c r="BG34" i="5"/>
  <c r="BC34" i="5"/>
  <c r="CT34" i="5"/>
  <c r="GJ34" i="5"/>
  <c r="CL34" i="5"/>
  <c r="FG34" i="5"/>
  <c r="BE34" i="5"/>
  <c r="IR34" i="5"/>
  <c r="EQ34" i="5"/>
  <c r="BA34" i="5"/>
  <c r="CU34" i="5"/>
  <c r="AZ34" i="5"/>
  <c r="JO34" i="5"/>
  <c r="EK34" i="5"/>
  <c r="CG34" i="5"/>
  <c r="DF34" i="5"/>
  <c r="FP34" i="5"/>
  <c r="KB34" i="5"/>
  <c r="GH34" i="5"/>
  <c r="ER34" i="5"/>
  <c r="HS34" i="5"/>
  <c r="IK34" i="5"/>
  <c r="DK34" i="5"/>
  <c r="CR34" i="5"/>
  <c r="IA34" i="5"/>
  <c r="KO34" i="5"/>
  <c r="KQ34" i="5"/>
  <c r="EI34" i="5"/>
  <c r="GE34" i="5"/>
  <c r="KK34" i="5"/>
  <c r="HM34" i="5"/>
  <c r="JY34" i="5"/>
  <c r="KR34" i="5"/>
  <c r="FI34" i="5"/>
  <c r="K34" i="5"/>
  <c r="CS34" i="5"/>
  <c r="AT34" i="5"/>
  <c r="BW34" i="5"/>
  <c r="KV34" i="5"/>
  <c r="IF34" i="5"/>
  <c r="KX34" i="5"/>
  <c r="GU34" i="5"/>
  <c r="CK34" i="5"/>
  <c r="EF34" i="5"/>
  <c r="GS34" i="5"/>
  <c r="Z34" i="5"/>
  <c r="JP34" i="5"/>
  <c r="GW34" i="5"/>
  <c r="CH34" i="5"/>
  <c r="GV34" i="5"/>
  <c r="EO34" i="5"/>
  <c r="II34" i="5"/>
  <c r="AK34" i="5"/>
  <c r="JK34" i="5"/>
  <c r="BM34" i="5"/>
  <c r="JW34" i="5"/>
  <c r="IG34" i="5"/>
  <c r="FS34" i="5"/>
  <c r="O34" i="5"/>
  <c r="JU34" i="5"/>
  <c r="IY34" i="5"/>
  <c r="BD34" i="5"/>
  <c r="DS34" i="5"/>
  <c r="HX34" i="5"/>
  <c r="CV34" i="5"/>
  <c r="IH34" i="5"/>
  <c r="AB34" i="5"/>
  <c r="IU34" i="5"/>
  <c r="EP34" i="5"/>
  <c r="FT34" i="5"/>
  <c r="Y34" i="5"/>
  <c r="JS34" i="5"/>
  <c r="AE34" i="5"/>
  <c r="EM34" i="5"/>
  <c r="BK34" i="5"/>
  <c r="IS34" i="5"/>
  <c r="EZ34" i="5"/>
  <c r="DP34" i="5"/>
  <c r="DQ34" i="5"/>
  <c r="AS34" i="5"/>
  <c r="EV34" i="5"/>
  <c r="CB34" i="5"/>
  <c r="GF34" i="5"/>
  <c r="DI34" i="5"/>
  <c r="GI34" i="5"/>
  <c r="BI34" i="5"/>
  <c r="FR34" i="5"/>
  <c r="FJ34" i="5"/>
  <c r="BY34" i="5"/>
  <c r="BR34" i="5"/>
  <c r="EN34" i="5"/>
  <c r="HD34" i="5"/>
  <c r="FD34" i="5"/>
  <c r="DW34" i="5"/>
  <c r="CI34" i="5"/>
  <c r="HQ34" i="5"/>
  <c r="M34" i="5"/>
  <c r="EU34" i="5"/>
  <c r="CW34" i="5"/>
  <c r="KH34" i="5"/>
  <c r="DJ34" i="5"/>
  <c r="GR34" i="5"/>
  <c r="BL34" i="5"/>
  <c r="IM34" i="5"/>
  <c r="JA34" i="5"/>
  <c r="ES34" i="5"/>
  <c r="JB34" i="5"/>
  <c r="AA34" i="5"/>
  <c r="EE34" i="5"/>
  <c r="CE34" i="5"/>
  <c r="GY34" i="5"/>
  <c r="EW34" i="5"/>
  <c r="GQ34" i="5"/>
  <c r="FH34" i="5"/>
  <c r="DV34" i="5"/>
  <c r="KT34" i="5"/>
  <c r="JH34" i="5"/>
  <c r="HA34" i="5"/>
  <c r="JG34" i="5"/>
  <c r="JZ34" i="5"/>
  <c r="HC34" i="5"/>
  <c r="EX34" i="5"/>
  <c r="HY34" i="5"/>
  <c r="DO34" i="5"/>
  <c r="IE34" i="5"/>
  <c r="BN34" i="5"/>
  <c r="BB34" i="5"/>
  <c r="HB34" i="5"/>
  <c r="HF34" i="5"/>
  <c r="CD34" i="5"/>
  <c r="IL34" i="5"/>
  <c r="JD34" i="5"/>
  <c r="BZ34" i="5"/>
  <c r="DH34" i="5"/>
  <c r="HV34" i="5"/>
  <c r="R34" i="5"/>
  <c r="DL34" i="5"/>
  <c r="IP34" i="5"/>
  <c r="FW34" i="5"/>
  <c r="GO34" i="5"/>
  <c r="HL34" i="5"/>
  <c r="GK34" i="5"/>
  <c r="KG34" i="5"/>
  <c r="DN34" i="5"/>
  <c r="N34" i="5"/>
  <c r="ET34" i="5"/>
  <c r="HU34" i="5"/>
  <c r="KI34" i="5"/>
  <c r="AI34" i="5"/>
  <c r="HT34" i="5"/>
  <c r="CQ34" i="5"/>
  <c r="AY34" i="5"/>
  <c r="AN34" i="5"/>
  <c r="JX34" i="5"/>
  <c r="F37" i="5"/>
  <c r="G37" i="5" s="1"/>
  <c r="F38" i="5" s="1"/>
  <c r="G38" i="5" s="1"/>
  <c r="F39" i="5" s="1"/>
  <c r="G39" i="5" s="1"/>
  <c r="F40" i="5" s="1"/>
  <c r="G40" i="5" s="1"/>
  <c r="F41" i="5" s="1"/>
  <c r="G41" i="5" s="1"/>
  <c r="F42" i="5" s="1"/>
  <c r="G42" i="5" s="1"/>
  <c r="F43" i="5" s="1"/>
  <c r="G43" i="5" s="1"/>
  <c r="F44" i="5" s="1"/>
  <c r="G44" i="5" s="1"/>
  <c r="F45" i="5" s="1"/>
  <c r="G45" i="5" s="1"/>
  <c r="G26" i="5" s="1"/>
  <c r="G10" i="5" s="1"/>
</calcChain>
</file>

<file path=xl/sharedStrings.xml><?xml version="1.0" encoding="utf-8"?>
<sst xmlns="http://schemas.openxmlformats.org/spreadsheetml/2006/main" count="447" uniqueCount="197">
  <si>
    <t>ID</t>
  </si>
  <si>
    <t>Tarea</t>
  </si>
  <si>
    <t>Inicio</t>
  </si>
  <si>
    <t>Fin</t>
  </si>
  <si>
    <t>Predecesoras</t>
  </si>
  <si>
    <t>Responsable</t>
  </si>
  <si>
    <t>Sprint/Etapa</t>
  </si>
  <si>
    <t>BI</t>
  </si>
  <si>
    <t>Identificar interesados y registro de stakeholders</t>
  </si>
  <si>
    <t>Stakeholders</t>
  </si>
  <si>
    <t>Definir alcance y EDT/WBS</t>
  </si>
  <si>
    <t>BI+Py</t>
  </si>
  <si>
    <t>Alcance</t>
  </si>
  <si>
    <t>Cronograma</t>
  </si>
  <si>
    <t>Plan de costos (presupuesto y tracking)</t>
  </si>
  <si>
    <t>Costos</t>
  </si>
  <si>
    <t>Plan de calidad (criterios, DoD/DoR)</t>
  </si>
  <si>
    <t>Calidad</t>
  </si>
  <si>
    <t>Plan de recursos (roles, RACI, carga)</t>
  </si>
  <si>
    <t>Recursos</t>
  </si>
  <si>
    <t>Plan de riesgos (matriz y respuesta)</t>
  </si>
  <si>
    <t>Riesgos</t>
  </si>
  <si>
    <t>Plan de comunicaciones</t>
  </si>
  <si>
    <t>Comunicaciones</t>
  </si>
  <si>
    <t>Definir DoD/DoR de equipo</t>
  </si>
  <si>
    <t>Setup repo, CI y entorno (Playwright/BS4/FASTAPI)</t>
  </si>
  <si>
    <t>Py</t>
  </si>
  <si>
    <t>PoC scraper (listado+detalle) Fuente 1</t>
  </si>
  <si>
    <t>Modelo de datos y DDL (Postgres/MySQL)</t>
  </si>
  <si>
    <t>S1</t>
  </si>
  <si>
    <t>API /eventos (FastAPI)</t>
  </si>
  <si>
    <t>QA selectores y criterios de calidad</t>
  </si>
  <si>
    <t>Demo Sprint 1 + Retro + Actualizar riesgos</t>
  </si>
  <si>
    <t>S2</t>
  </si>
  <si>
    <t>Web filtros + mapa (Leaflet)</t>
  </si>
  <si>
    <t>Observabilidad (logs/metrics)</t>
  </si>
  <si>
    <t>QA performance y smoke tests</t>
  </si>
  <si>
    <t>Demo Sprint 2 + Retro + Actualizar riesgos</t>
  </si>
  <si>
    <t>Agregar segunda fuente o ampliaciones</t>
  </si>
  <si>
    <t>S3</t>
  </si>
  <si>
    <t>Alertas y plan de continuidad</t>
  </si>
  <si>
    <t>Endpoints extra (/lugares,/stats) + export CSV</t>
  </si>
  <si>
    <t>UAT con BI + ajustes finales</t>
  </si>
  <si>
    <t>Cierre: lecciones aprendidas + handover</t>
  </si>
  <si>
    <t>M1</t>
  </si>
  <si>
    <t>Hito: Charter y WBS aprobados</t>
  </si>
  <si>
    <t>M2</t>
  </si>
  <si>
    <t>Hito: PoC validado</t>
  </si>
  <si>
    <t>M3</t>
  </si>
  <si>
    <t>Hito: MVP listo</t>
  </si>
  <si>
    <t>M4</t>
  </si>
  <si>
    <t>Hito: Go-Live programado</t>
  </si>
  <si>
    <t>Sprint 1</t>
  </si>
  <si>
    <t>Sprint 2</t>
  </si>
  <si>
    <t>Sprint 3</t>
  </si>
  <si>
    <t>Duración(días hábiles)</t>
  </si>
  <si>
    <t>Área(PMBOK)</t>
  </si>
  <si>
    <t>1.1</t>
  </si>
  <si>
    <t>Acta de Constitución (Project Charter)</t>
  </si>
  <si>
    <t>2025-11-10</t>
  </si>
  <si>
    <t>2025-11-11</t>
  </si>
  <si>
    <t>Integración</t>
  </si>
  <si>
    <t>Planificación</t>
  </si>
  <si>
    <t>1.2</t>
  </si>
  <si>
    <t>2025-11-12</t>
  </si>
  <si>
    <t>1.3</t>
  </si>
  <si>
    <t>2025-11-13</t>
  </si>
  <si>
    <t>1.4</t>
  </si>
  <si>
    <t>Plan de gestión del cronograma</t>
  </si>
  <si>
    <t>2025-11-14</t>
  </si>
  <si>
    <t>1.5</t>
  </si>
  <si>
    <t>1.6</t>
  </si>
  <si>
    <t>1.7</t>
  </si>
  <si>
    <t>1.8</t>
  </si>
  <si>
    <t>1.9</t>
  </si>
  <si>
    <t>1.10</t>
  </si>
  <si>
    <t>Definir backlog (épicas, historias, criterios)</t>
  </si>
  <si>
    <t>1.11</t>
  </si>
  <si>
    <t>2025-11-17</t>
  </si>
  <si>
    <t>1.12</t>
  </si>
  <si>
    <t>2.1</t>
  </si>
  <si>
    <t>2025-11-19</t>
  </si>
  <si>
    <t>1.12;1.10</t>
  </si>
  <si>
    <t>2.2</t>
  </si>
  <si>
    <t>2.3</t>
  </si>
  <si>
    <t>2025-11-21</t>
  </si>
  <si>
    <t>2.1;2.2</t>
  </si>
  <si>
    <t>2.4</t>
  </si>
  <si>
    <t>Web MVP listado y detalle básico</t>
  </si>
  <si>
    <t>2025-11-25</t>
  </si>
  <si>
    <t>2.5</t>
  </si>
  <si>
    <t>2025-11-20</t>
  </si>
  <si>
    <t>2.6</t>
  </si>
  <si>
    <t>2025-11-26</t>
  </si>
  <si>
    <t>2.4;2.5</t>
  </si>
  <si>
    <t>3.1</t>
  </si>
  <si>
    <t>Scraper robusto (Playwright dinámico)</t>
  </si>
  <si>
    <t>2025-12-02</t>
  </si>
  <si>
    <t>3.2</t>
  </si>
  <si>
    <t>Paginación, rate limit, reintentos/backoff</t>
  </si>
  <si>
    <t>2025-12-04</t>
  </si>
  <si>
    <t>3.3</t>
  </si>
  <si>
    <t>Normalización fechas/regiones y geocoding</t>
  </si>
  <si>
    <t>2025-12-05</t>
  </si>
  <si>
    <t>3.4</t>
  </si>
  <si>
    <t>Filtros API (fecha, región, categoría)</t>
  </si>
  <si>
    <t>2025-12-10</t>
  </si>
  <si>
    <t>3.2;3.3</t>
  </si>
  <si>
    <t>3.5</t>
  </si>
  <si>
    <t>2025-12-15</t>
  </si>
  <si>
    <t>3.6</t>
  </si>
  <si>
    <t>2025-12-08</t>
  </si>
  <si>
    <t>3.7</t>
  </si>
  <si>
    <t>2025-12-17</t>
  </si>
  <si>
    <t>3.5;3.6</t>
  </si>
  <si>
    <t>3.8</t>
  </si>
  <si>
    <t>2025-12-18</t>
  </si>
  <si>
    <t>4.1</t>
  </si>
  <si>
    <t>2025-12-25</t>
  </si>
  <si>
    <t>4.2</t>
  </si>
  <si>
    <t>Orquestación (APScheduler/cron)</t>
  </si>
  <si>
    <t>2025-12-22</t>
  </si>
  <si>
    <t>4.3</t>
  </si>
  <si>
    <t>Detección de cambios y deduplicación</t>
  </si>
  <si>
    <t>2025-12-29</t>
  </si>
  <si>
    <t>4.4</t>
  </si>
  <si>
    <t>2025-12-31</t>
  </si>
  <si>
    <t>4.2;4.3</t>
  </si>
  <si>
    <t>4.5</t>
  </si>
  <si>
    <t>2025-12-30</t>
  </si>
  <si>
    <t>4.6</t>
  </si>
  <si>
    <t>Compliance robots/ToU + seguridad básica</t>
  </si>
  <si>
    <t>4.7</t>
  </si>
  <si>
    <t>2026-01-01</t>
  </si>
  <si>
    <t>4.5;4.6</t>
  </si>
  <si>
    <t>4.8</t>
  </si>
  <si>
    <t>2026-01-02</t>
  </si>
  <si>
    <t>Objetivo</t>
  </si>
  <si>
    <t>Inicio del Proyecto</t>
  </si>
  <si>
    <t>Nombre de la empresa</t>
  </si>
  <si>
    <t>Leyenda:</t>
  </si>
  <si>
    <t>Según lo previsto</t>
  </si>
  <si>
    <t>Riesgo bajo</t>
  </si>
  <si>
    <t>Riesgo medio</t>
  </si>
  <si>
    <t>Riesgo alto</t>
  </si>
  <si>
    <t>Sin asignar</t>
  </si>
  <si>
    <t>Responsable del proyecto</t>
  </si>
  <si>
    <t>Fecha de inicio del proyecto:</t>
  </si>
  <si>
    <t>Incremento de desplazamiento:</t>
  </si>
  <si>
    <t>Descripción del hito</t>
  </si>
  <si>
    <t>Categoría</t>
  </si>
  <si>
    <t>Asignado a</t>
  </si>
  <si>
    <t>Progreso</t>
  </si>
  <si>
    <t>Días</t>
  </si>
  <si>
    <t>Proyecto General</t>
  </si>
  <si>
    <t>*</t>
  </si>
  <si>
    <t>Johan Poul Zuñiga Cordova</t>
  </si>
  <si>
    <t>Web Habla Vao</t>
  </si>
  <si>
    <t>Vaope</t>
  </si>
  <si>
    <t>1. Capítulo 1 – Planificación</t>
  </si>
  <si>
    <t>Johan Poul Zuñiga Cordova / Oscar</t>
  </si>
  <si>
    <t>2. Capítulo 2: Implementación de la solución</t>
  </si>
  <si>
    <t>INTRODUCCIÓN</t>
  </si>
  <si>
    <t>OBJETIVO</t>
  </si>
  <si>
    <t>ALCANCE</t>
  </si>
  <si>
    <t>PROBLEMÁTICA ACTUAL DEL PROCESO DE DEVOLUCIONES</t>
  </si>
  <si>
    <t>ACTORES Y ROLES</t>
  </si>
  <si>
    <t>REGLAS DE NEGOCIO</t>
  </si>
  <si>
    <t>MAPA DE PROCESOS AS-IS</t>
  </si>
  <si>
    <t>MAPA DE PROCESOS TO-BE</t>
  </si>
  <si>
    <t>HISTORIAS DE USUARIO</t>
  </si>
  <si>
    <t>CASOS DE USO</t>
  </si>
  <si>
    <t>REQUISITOS FUNCIONALES</t>
  </si>
  <si>
    <t>REQUISITOS NO FUNCIONALES</t>
  </si>
  <si>
    <t>MODELO DE DATOS</t>
  </si>
  <si>
    <t>PROTOTIPADO</t>
  </si>
  <si>
    <t>2.1.1 HU2 Configuración de modalidad de devolución</t>
  </si>
  <si>
    <t>2.1.2 HU8 Notificación de modificación de devolución del evento</t>
  </si>
  <si>
    <t>2.1.3 HU9 Ver reglas del evento</t>
  </si>
  <si>
    <t>2.1.4 HU10 Módulo de pedidos devoluciones</t>
  </si>
  <si>
    <t>2.1.5 HU11 Selector de tickets para devolución</t>
  </si>
  <si>
    <t>2.1.6 HU12 Grilla de tickets a devolver</t>
  </si>
  <si>
    <t>2.2.1 HU13 Modal de Observaciones de la devolución</t>
  </si>
  <si>
    <t>2.2.2 HU14 Registro de transacción negativa</t>
  </si>
  <si>
    <t>2.2.3 HU15 Recalculo del total de la venta (Se resta los tickets a devolver)</t>
  </si>
  <si>
    <t>2.2.4 HU16 Registro de código de pago</t>
  </si>
  <si>
    <t>2.2.5 HU18 Tarea de devolución automática</t>
  </si>
  <si>
    <t>2.2.6 HU19 Tarea de envió a Contabilidad para devolución</t>
  </si>
  <si>
    <t>2.2.7 HU20 Tarea de envió a Finanzas para devolución</t>
  </si>
  <si>
    <t>2.2.8 HU21 Notificación de nuevas devoluciones a contabilidad y finanzas</t>
  </si>
  <si>
    <t>2.2.9 HU22 Vista de devoluciones Contabilidad</t>
  </si>
  <si>
    <t>2.2.9 HU23 Vista de devoluciones Finanzas</t>
  </si>
  <si>
    <t>2.2.9 HU24 Notificación de finalización al cliente</t>
  </si>
  <si>
    <t>Jesus Garcia</t>
  </si>
  <si>
    <t>Jesus Garcia / Johan Poul Zuñiga Cordova</t>
  </si>
  <si>
    <t>2.1 Sprint 1</t>
  </si>
  <si>
    <t>2.2 Sprint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</si>
</sst>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
    <numFmt numFmtId="165" formatCode="#,##0_ ;\-#,##0\ "/>
    <numFmt numFmtId="166" formatCode="#,##0.00_ ;\-#,##0.00\ "/>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rgb="FFFF0000"/>
      <name val="Times New Roman"/>
      <family val="1"/>
    </font>
    <font>
      <b/>
      <sz val="22"/>
      <color theme="1" tint="0.34998626667073579"/>
      <name val="Aptos Display"/>
      <family val="2"/>
      <scheme val="major"/>
    </font>
    <font>
      <b/>
      <sz val="10"/>
      <name val="Times New Roman"/>
      <family val="1"/>
    </font>
    <font>
      <sz val="10"/>
      <name val="Times New Roman"/>
      <family val="1"/>
    </font>
    <font>
      <sz val="10"/>
      <color theme="1"/>
      <name val="Times New Roman"/>
      <family val="1"/>
    </font>
    <font>
      <sz val="14"/>
      <color theme="1"/>
      <name val="Aptos Narrow"/>
      <family val="2"/>
      <scheme val="minor"/>
    </font>
    <font>
      <b/>
      <sz val="10"/>
      <color theme="0"/>
      <name val="Times New Roman"/>
      <family val="1"/>
    </font>
    <font>
      <b/>
      <sz val="10"/>
      <color theme="1"/>
      <name val="Times New Roman"/>
      <family val="1"/>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3999755851924192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499984740745262"/>
      </top>
      <bottom/>
      <diagonal/>
    </border>
    <border>
      <left style="thin">
        <color theme="0" tint="-0.34998626667073579"/>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7" fillId="0" borderId="0"/>
    <xf numFmtId="0" fontId="19" fillId="0" borderId="0" applyNumberFormat="0" applyFill="0" applyBorder="0" applyAlignment="0" applyProtection="0"/>
    <xf numFmtId="0" fontId="23" fillId="0" borderId="0" applyNumberFormat="0" applyFill="0" applyAlignment="0" applyProtection="0"/>
    <xf numFmtId="0" fontId="1" fillId="0" borderId="0" applyNumberFormat="0" applyFill="0" applyProtection="0">
      <alignment horizontal="right" vertical="center" indent="1"/>
    </xf>
    <xf numFmtId="14" fontId="1" fillId="0" borderId="0" applyFont="0" applyFill="0" applyBorder="0">
      <alignment horizontal="center" vertical="center"/>
    </xf>
    <xf numFmtId="9" fontId="1" fillId="0" borderId="0" applyFont="0" applyFill="0" applyBorder="0" applyProtection="0">
      <alignment horizontal="center" vertical="center"/>
    </xf>
    <xf numFmtId="165" fontId="1" fillId="0" borderId="0" applyFont="0" applyFill="0" applyBorder="0" applyProtection="0">
      <alignment horizontal="center" vertical="center"/>
    </xf>
  </cellStyleXfs>
  <cellXfs count="64">
    <xf numFmtId="0" fontId="0" fillId="0" borderId="0" xfId="0"/>
    <xf numFmtId="0" fontId="16" fillId="0" borderId="10" xfId="0" applyFont="1" applyBorder="1" applyAlignment="1">
      <alignment horizontal="center" vertical="top"/>
    </xf>
    <xf numFmtId="0" fontId="16" fillId="0" borderId="0" xfId="0" applyFont="1" applyAlignment="1">
      <alignment horizontal="center" vertical="top"/>
    </xf>
    <xf numFmtId="0" fontId="18" fillId="0" borderId="0" xfId="42" applyFont="1" applyAlignment="1">
      <alignment wrapText="1"/>
    </xf>
    <xf numFmtId="0" fontId="21" fillId="33" borderId="0" xfId="0" applyFont="1" applyFill="1"/>
    <xf numFmtId="0" fontId="22" fillId="0" borderId="0" xfId="0" applyFont="1"/>
    <xf numFmtId="0" fontId="20" fillId="0" borderId="0" xfId="43" applyFont="1" applyFill="1" applyBorder="1" applyAlignment="1">
      <alignment horizontal="left" vertical="center"/>
    </xf>
    <xf numFmtId="0" fontId="20" fillId="0" borderId="0" xfId="0" applyFont="1" applyAlignment="1">
      <alignment horizontal="left" vertical="center"/>
    </xf>
    <xf numFmtId="0" fontId="21" fillId="0" borderId="0" xfId="0" applyFont="1" applyAlignment="1">
      <alignment vertical="center"/>
    </xf>
    <xf numFmtId="0" fontId="21" fillId="0" borderId="0" xfId="0" applyFont="1" applyAlignment="1">
      <alignment horizontal="center" vertical="center"/>
    </xf>
    <xf numFmtId="0" fontId="22" fillId="0" borderId="0" xfId="0" applyFont="1" applyAlignment="1">
      <alignment vertical="center"/>
    </xf>
    <xf numFmtId="0" fontId="20" fillId="0" borderId="0" xfId="44" applyFont="1" applyFill="1" applyAlignment="1">
      <alignment horizontal="left" vertical="center" indent="2"/>
    </xf>
    <xf numFmtId="0" fontId="21" fillId="0" borderId="0" xfId="44" applyFont="1" applyFill="1" applyAlignment="1">
      <alignment horizontal="left" vertical="center" indent="2"/>
    </xf>
    <xf numFmtId="0" fontId="21" fillId="0" borderId="0" xfId="0" applyFont="1" applyAlignment="1">
      <alignment horizontal="left" vertical="center" indent="2"/>
    </xf>
    <xf numFmtId="0" fontId="21" fillId="0" borderId="0" xfId="0" applyFont="1"/>
    <xf numFmtId="0" fontId="21" fillId="0" borderId="0" xfId="0" applyFont="1" applyAlignment="1">
      <alignment horizontal="center"/>
    </xf>
    <xf numFmtId="0" fontId="21" fillId="0" borderId="0" xfId="0" applyFont="1" applyAlignment="1">
      <alignment horizontal="right" vertical="center"/>
    </xf>
    <xf numFmtId="0" fontId="20" fillId="0" borderId="0" xfId="0" applyFont="1" applyAlignment="1">
      <alignment horizontal="left" vertical="center" indent="2"/>
    </xf>
    <xf numFmtId="0" fontId="21" fillId="0" borderId="0" xfId="45" applyFont="1" applyFill="1" applyAlignment="1">
      <alignment horizontal="left" vertical="center" indent="2"/>
    </xf>
    <xf numFmtId="14" fontId="21" fillId="0" borderId="0" xfId="46" applyFont="1" applyFill="1" applyBorder="1" applyAlignment="1">
      <alignment horizontal="left" vertical="center"/>
    </xf>
    <xf numFmtId="0" fontId="21" fillId="0" borderId="0" xfId="0" applyFont="1" applyAlignment="1">
      <alignment horizontal="left" vertical="center"/>
    </xf>
    <xf numFmtId="0" fontId="21" fillId="0" borderId="12" xfId="0" applyFont="1" applyBorder="1"/>
    <xf numFmtId="164" fontId="21" fillId="39" borderId="13" xfId="0" applyNumberFormat="1" applyFont="1" applyFill="1" applyBorder="1" applyAlignment="1">
      <alignment horizontal="center" vertical="center"/>
    </xf>
    <xf numFmtId="164" fontId="21" fillId="39" borderId="14" xfId="0" applyNumberFormat="1" applyFont="1" applyFill="1" applyBorder="1" applyAlignment="1">
      <alignment horizontal="center" vertical="center"/>
    </xf>
    <xf numFmtId="164" fontId="21" fillId="39" borderId="0" xfId="0" applyNumberFormat="1" applyFont="1" applyFill="1" applyAlignment="1">
      <alignment horizontal="center" vertical="center"/>
    </xf>
    <xf numFmtId="0" fontId="24" fillId="40" borderId="0" xfId="0" applyFont="1" applyFill="1" applyAlignment="1">
      <alignment horizontal="left" vertical="center" indent="1"/>
    </xf>
    <xf numFmtId="0" fontId="24" fillId="40" borderId="0" xfId="0" applyFont="1" applyFill="1" applyAlignment="1">
      <alignment horizontal="center" vertical="center" wrapText="1"/>
    </xf>
    <xf numFmtId="0" fontId="24" fillId="0" borderId="12" xfId="0" applyFont="1" applyBorder="1" applyAlignment="1">
      <alignment horizontal="center" vertical="center" wrapText="1"/>
    </xf>
    <xf numFmtId="0" fontId="21" fillId="39" borderId="15" xfId="0" applyFont="1" applyFill="1" applyBorder="1" applyAlignment="1">
      <alignment horizontal="center" vertical="center" shrinkToFit="1"/>
    </xf>
    <xf numFmtId="0" fontId="18" fillId="0" borderId="0" xfId="42" applyFont="1"/>
    <xf numFmtId="0" fontId="24" fillId="41" borderId="0" xfId="0" applyFont="1" applyFill="1" applyAlignment="1">
      <alignment horizontal="left" vertical="center" wrapText="1" indent="2"/>
    </xf>
    <xf numFmtId="9" fontId="24" fillId="41" borderId="0" xfId="47" applyFont="1" applyFill="1" applyBorder="1">
      <alignment horizontal="center" vertical="center"/>
    </xf>
    <xf numFmtId="0" fontId="24" fillId="41" borderId="0" xfId="0" applyFont="1" applyFill="1" applyAlignment="1">
      <alignment horizontal="center" vertical="center" wrapText="1"/>
    </xf>
    <xf numFmtId="14" fontId="24" fillId="41" borderId="0" xfId="46" applyFont="1" applyFill="1" applyBorder="1">
      <alignment horizontal="center" vertical="center"/>
    </xf>
    <xf numFmtId="166" fontId="24" fillId="41" borderId="0" xfId="48" applyNumberFormat="1" applyFont="1" applyFill="1" applyBorder="1">
      <alignment horizontal="center" vertical="center"/>
    </xf>
    <xf numFmtId="0" fontId="18" fillId="0" borderId="0" xfId="42" applyFont="1" applyAlignment="1">
      <alignment horizontal="center"/>
      <extLst>
        <ext xmlns:xfpb="http://schemas.microsoft.com/office/spreadsheetml/2022/featurepropertybag" uri="{C7286773-470A-42A8-94C5-96B5CB345126}">
          <xfpb:xfComplement i="0"/>
        </ext>
      </extLst>
    </xf>
    <xf numFmtId="0" fontId="24" fillId="42" borderId="0" xfId="0" applyFont="1" applyFill="1" applyAlignment="1">
      <alignment horizontal="left" vertical="center" wrapText="1" indent="2"/>
    </xf>
    <xf numFmtId="9" fontId="24" fillId="42" borderId="0" xfId="47" applyFont="1" applyFill="1" applyBorder="1">
      <alignment horizontal="center" vertical="center"/>
    </xf>
    <xf numFmtId="0" fontId="24" fillId="42" borderId="0" xfId="0" applyFont="1" applyFill="1" applyAlignment="1">
      <alignment horizontal="center" vertical="center" wrapText="1"/>
    </xf>
    <xf numFmtId="14" fontId="24" fillId="42" borderId="0" xfId="46" applyFont="1" applyFill="1" applyBorder="1">
      <alignment horizontal="center" vertical="center"/>
    </xf>
    <xf numFmtId="166" fontId="24" fillId="42" borderId="0" xfId="48" applyNumberFormat="1" applyFont="1" applyFill="1" applyBorder="1">
      <alignment horizontal="center" vertical="center"/>
    </xf>
    <xf numFmtId="0" fontId="20" fillId="43" borderId="0" xfId="0" applyFont="1" applyFill="1" applyAlignment="1">
      <alignment horizontal="left" vertical="center" wrapText="1" indent="2"/>
    </xf>
    <xf numFmtId="9" fontId="22" fillId="43" borderId="0" xfId="47" applyFont="1" applyFill="1" applyBorder="1">
      <alignment horizontal="center" vertical="center"/>
    </xf>
    <xf numFmtId="0" fontId="22" fillId="43" borderId="0" xfId="0" applyFont="1" applyFill="1" applyAlignment="1">
      <alignment horizontal="center" vertical="center" wrapText="1"/>
    </xf>
    <xf numFmtId="9" fontId="25" fillId="43" borderId="0" xfId="47" applyFont="1" applyFill="1" applyBorder="1">
      <alignment horizontal="center" vertical="center"/>
    </xf>
    <xf numFmtId="14" fontId="22" fillId="43" borderId="0" xfId="46" applyFont="1" applyFill="1" applyBorder="1">
      <alignment horizontal="center" vertical="center"/>
    </xf>
    <xf numFmtId="166" fontId="22" fillId="43" borderId="0" xfId="48" applyNumberFormat="1" applyFont="1" applyFill="1" applyBorder="1">
      <alignment horizontal="center" vertical="center"/>
    </xf>
    <xf numFmtId="0" fontId="20" fillId="0" borderId="0" xfId="0" applyFont="1" applyAlignment="1">
      <alignment horizontal="left" vertical="center" wrapText="1" indent="4"/>
    </xf>
    <xf numFmtId="0" fontId="20" fillId="0" borderId="0" xfId="0" applyFont="1" applyAlignment="1">
      <alignment horizontal="center" vertical="center"/>
    </xf>
    <xf numFmtId="9" fontId="20" fillId="0" borderId="0" xfId="47" applyFont="1" applyFill="1" applyBorder="1">
      <alignment horizontal="center" vertical="center"/>
    </xf>
    <xf numFmtId="14" fontId="20" fillId="0" borderId="0" xfId="46" applyFont="1" applyFill="1" applyBorder="1">
      <alignment horizontal="center" vertical="center"/>
    </xf>
    <xf numFmtId="0" fontId="22" fillId="0" borderId="16" xfId="0" applyFont="1" applyBorder="1" applyAlignment="1">
      <alignment horizontal="center" vertical="center"/>
    </xf>
    <xf numFmtId="14" fontId="21" fillId="0" borderId="0" xfId="46" applyFont="1" applyFill="1" applyBorder="1">
      <alignment horizontal="center" vertical="center"/>
    </xf>
    <xf numFmtId="166" fontId="21" fillId="0" borderId="0" xfId="48" applyNumberFormat="1" applyFont="1" applyFill="1" applyBorder="1">
      <alignment horizontal="center" vertical="center"/>
    </xf>
    <xf numFmtId="0" fontId="22" fillId="0" borderId="0" xfId="0" applyFont="1" applyAlignment="1">
      <alignment horizontal="center"/>
    </xf>
    <xf numFmtId="9" fontId="20" fillId="43" borderId="0" xfId="47" applyFont="1" applyFill="1" applyBorder="1">
      <alignment horizontal="center" vertical="center"/>
    </xf>
    <xf numFmtId="17" fontId="20" fillId="0" borderId="11" xfId="0" applyNumberFormat="1" applyFont="1" applyBorder="1" applyAlignment="1">
      <alignment horizontal="center" vertical="center"/>
    </xf>
    <xf numFmtId="0" fontId="24" fillId="37" borderId="0" xfId="0" applyFont="1" applyFill="1" applyAlignment="1">
      <alignment horizontal="center" vertical="center"/>
    </xf>
    <xf numFmtId="0" fontId="20" fillId="38" borderId="0" xfId="0" applyFont="1" applyFill="1" applyAlignment="1">
      <alignment horizontal="center" vertical="center"/>
    </xf>
    <xf numFmtId="0" fontId="20" fillId="33" borderId="0" xfId="43" applyFont="1" applyFill="1" applyAlignment="1">
      <alignment horizontal="left" vertical="center" wrapText="1" indent="1"/>
    </xf>
    <xf numFmtId="0" fontId="21" fillId="33" borderId="0" xfId="0" applyFont="1" applyFill="1" applyAlignment="1">
      <alignment horizontal="center" vertical="center"/>
    </xf>
    <xf numFmtId="0" fontId="24" fillId="34" borderId="0" xfId="26" applyFont="1" applyFill="1" applyAlignment="1">
      <alignment horizontal="center" vertical="center"/>
    </xf>
    <xf numFmtId="0" fontId="24" fillId="35" borderId="0" xfId="0" applyFont="1" applyFill="1" applyAlignment="1">
      <alignment horizontal="center" vertical="center"/>
    </xf>
    <xf numFmtId="0" fontId="24" fillId="36" borderId="0" xfId="0" applyFont="1" applyFill="1" applyAlignment="1">
      <alignment horizontal="center" vertical="center"/>
    </xf>
  </cellXfs>
  <cellStyles count="49">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1 2" xfId="44" xr:uid="{D38A17EF-3EC3-4E8A-91BF-C33B94FF7ED3}"/>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Fecha" xfId="46" xr:uid="{3E2C28E8-F265-473F-9F33-3935343A919B}"/>
    <cellStyle name="Incorrecto" xfId="7" builtinId="27" customBuiltin="1"/>
    <cellStyle name="Millares [0] 2" xfId="48" xr:uid="{D9BA9BED-4900-4F09-A31A-B979DB5EDA09}"/>
    <cellStyle name="Neutral" xfId="8" builtinId="28" customBuiltin="1"/>
    <cellStyle name="Normal" xfId="0" builtinId="0"/>
    <cellStyle name="Notas" xfId="15" builtinId="10" customBuiltin="1"/>
    <cellStyle name="Porcentaje 2" xfId="47" xr:uid="{B30CA582-BF15-4340-BC17-8FF4DED26C08}"/>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3 2" xfId="45" xr:uid="{DBB8D767-58EE-470F-9814-A0F968519935}"/>
    <cellStyle name="Título 4" xfId="43" xr:uid="{EF645673-0FBE-47D0-B09D-85B8C18F0018}"/>
    <cellStyle name="Total" xfId="17" builtinId="25" customBuiltin="1"/>
    <cellStyle name="zHiddenText" xfId="42" xr:uid="{07C21BB8-4D3C-49FB-92FA-BAA7D90BC33F}"/>
  </cellStyles>
  <dxfs count="55">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0"/>
        <name val="Times New Roman"/>
        <family val="1"/>
        <scheme val="none"/>
      </font>
      <numFmt numFmtId="166" formatCode="#,##0.00_ ;\-#,##0.00\ "/>
    </dxf>
    <dxf>
      <font>
        <b/>
        <i val="0"/>
        <strike val="0"/>
        <condense val="0"/>
        <extend val="0"/>
        <outline val="0"/>
        <shadow val="0"/>
        <u val="none"/>
        <vertAlign val="baseline"/>
        <sz val="10"/>
        <color rgb="FFFF0000"/>
        <name val="Times New Roman"/>
        <family val="1"/>
        <scheme val="none"/>
      </font>
      <fill>
        <patternFill patternType="none">
          <fgColor indexed="64"/>
          <bgColor indexed="65"/>
        </patternFill>
      </fill>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alignment horizontal="center" vertical="center" textRotation="0" indent="0" justifyLastLine="0" shrinkToFit="0" readingOrder="0"/>
    </dxf>
    <dxf>
      <font>
        <strike val="0"/>
        <outline val="0"/>
        <shadow val="0"/>
        <u val="none"/>
        <vertAlign val="baseline"/>
        <sz val="10"/>
        <name val="Times New Roman"/>
        <family val="1"/>
        <scheme val="none"/>
      </font>
      <alignment horizontal="center" vertical="center" textRotation="0" wrapText="0" indent="0" justifyLastLine="0" shrinkToFit="0" readingOrder="0"/>
    </dxf>
    <dxf>
      <font>
        <strike val="0"/>
        <outline val="0"/>
        <shadow val="0"/>
        <u val="none"/>
        <vertAlign val="baseline"/>
        <sz val="10"/>
        <name val="Times New Roman"/>
        <family val="1"/>
        <scheme val="none"/>
      </font>
      <alignment horizontal="left" vertical="bottom" textRotation="0" wrapText="1" relativeIndent="1" justifyLastLine="0" shrinkToFit="0" readingOrder="0"/>
    </dxf>
    <dxf>
      <font>
        <strike val="0"/>
        <outline val="0"/>
        <shadow val="0"/>
        <u val="none"/>
        <vertAlign val="baseline"/>
        <sz val="10"/>
        <name val="Times New Roman"/>
        <family val="1"/>
        <scheme val="none"/>
      </font>
    </dxf>
    <dxf>
      <font>
        <b/>
        <strike val="0"/>
        <outline val="0"/>
        <shadow val="0"/>
        <u val="none"/>
        <vertAlign val="baseline"/>
        <sz val="10"/>
        <color theme="0"/>
        <name val="Times New Roman"/>
        <family val="1"/>
        <scheme val="none"/>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ListaTareasPendientes" pivot="0" count="9" xr9:uid="{7FCE7310-D5CD-4816-8D8E-4C6ACD20A9FB}">
      <tableStyleElement type="wholeTable" dxfId="54"/>
      <tableStyleElement type="headerRow" dxfId="53"/>
      <tableStyleElement type="totalRow" dxfId="52"/>
      <tableStyleElement type="firstColumn" dxfId="51"/>
      <tableStyleElement type="lastColumn" dxfId="50"/>
      <tableStyleElement type="firstRowStripe" dxfId="49"/>
      <tableStyleElement type="secondRowStripe" dxfId="48"/>
      <tableStyleElement type="firstColumnStripe" dxfId="47"/>
      <tableStyleElement type="secondColumn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70505-FEC9-48B0-A239-4032A6EEA912}" name="Hitos4352" displayName="Hitos4352" ref="B9:H45" totalsRowShown="0" headerRowDxfId="45" dataDxfId="44">
  <autoFilter ref="B9:H45" xr:uid="{DD82988E-1813-40AE-BDE7-9F0200A703CB}"/>
  <tableColumns count="7">
    <tableColumn id="1" xr3:uid="{6DD0CE5E-4E47-46A8-8FD5-3212AC0E35D9}" name="Descripción del hito" dataDxfId="43"/>
    <tableColumn id="2" xr3:uid="{90D4D82C-70C5-4938-9ADF-38E5842CC346}" name="Categoría" dataDxfId="42"/>
    <tableColumn id="3" xr3:uid="{6238DC8A-53CB-46F1-BDB0-3C6381EFE09D}" name="Asignado a" dataDxfId="41"/>
    <tableColumn id="4" xr3:uid="{28B4063D-3D97-4FA3-9B4A-863108CC7ED0}" name="Progreso" dataDxfId="40"/>
    <tableColumn id="5" xr3:uid="{B0B49910-9C42-4986-B0AE-26DB10E0FF0C}" name="Inicio" dataDxfId="39" dataCellStyle="Fecha"/>
    <tableColumn id="7" xr3:uid="{CA19EB92-A57B-4F17-AD3B-8B61B4DBC9DB}" name="Fin" dataDxfId="38" dataCellStyle="Fecha"/>
    <tableColumn id="6" xr3:uid="{73FE535A-4CF2-4536-8F89-2CA246D43823}" name="Días" dataDxfId="37"/>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B00-7087-4246-B5F9-6B4817717132}">
  <dimension ref="A1:I43"/>
  <sheetViews>
    <sheetView topLeftCell="A13" workbookViewId="0">
      <selection activeCell="B43" sqref="B43"/>
    </sheetView>
  </sheetViews>
  <sheetFormatPr baseColWidth="10" defaultRowHeight="14.4" x14ac:dyDescent="0.3"/>
  <cols>
    <col min="1" max="1" width="5" bestFit="1" customWidth="1"/>
    <col min="2" max="2" width="45" bestFit="1" customWidth="1"/>
    <col min="3" max="4" width="10.44140625" bestFit="1" customWidth="1"/>
    <col min="5" max="5" width="24.44140625" bestFit="1" customWidth="1"/>
    <col min="6" max="6" width="13" bestFit="1" customWidth="1"/>
    <col min="7" max="7" width="12.44140625" bestFit="1" customWidth="1"/>
    <col min="8" max="8" width="15.88671875" bestFit="1" customWidth="1"/>
    <col min="9" max="9" width="13.44140625" bestFit="1" customWidth="1"/>
  </cols>
  <sheetData>
    <row r="1" spans="1:9" x14ac:dyDescent="0.3">
      <c r="A1" s="1" t="s">
        <v>0</v>
      </c>
      <c r="B1" s="1" t="s">
        <v>1</v>
      </c>
      <c r="C1" s="1" t="s">
        <v>2</v>
      </c>
      <c r="D1" s="1" t="s">
        <v>3</v>
      </c>
      <c r="E1" s="1" t="s">
        <v>55</v>
      </c>
      <c r="F1" s="1" t="s">
        <v>4</v>
      </c>
      <c r="G1" s="1" t="s">
        <v>5</v>
      </c>
      <c r="H1" s="1" t="s">
        <v>56</v>
      </c>
      <c r="I1" s="1" t="s">
        <v>6</v>
      </c>
    </row>
    <row r="2" spans="1:9" x14ac:dyDescent="0.3">
      <c r="A2" s="2">
        <v>1</v>
      </c>
      <c r="B2" s="2" t="s">
        <v>138</v>
      </c>
      <c r="C2" s="2"/>
      <c r="D2" s="2"/>
      <c r="E2" s="2"/>
      <c r="F2" s="2"/>
      <c r="G2" s="2"/>
      <c r="H2" s="2"/>
      <c r="I2" s="2"/>
    </row>
    <row r="3" spans="1:9" x14ac:dyDescent="0.3">
      <c r="A3" t="s">
        <v>57</v>
      </c>
      <c r="B3" t="s">
        <v>58</v>
      </c>
      <c r="C3" t="s">
        <v>59</v>
      </c>
      <c r="D3" t="s">
        <v>60</v>
      </c>
      <c r="E3">
        <v>1</v>
      </c>
      <c r="G3" t="s">
        <v>7</v>
      </c>
      <c r="H3" t="s">
        <v>61</v>
      </c>
      <c r="I3" t="s">
        <v>62</v>
      </c>
    </row>
    <row r="4" spans="1:9" x14ac:dyDescent="0.3">
      <c r="A4" t="s">
        <v>63</v>
      </c>
      <c r="B4" t="s">
        <v>8</v>
      </c>
      <c r="C4" t="s">
        <v>60</v>
      </c>
      <c r="D4" t="s">
        <v>64</v>
      </c>
      <c r="E4">
        <v>1</v>
      </c>
      <c r="F4" t="s">
        <v>57</v>
      </c>
      <c r="G4" t="s">
        <v>7</v>
      </c>
      <c r="H4" t="s">
        <v>9</v>
      </c>
      <c r="I4" t="s">
        <v>62</v>
      </c>
    </row>
    <row r="5" spans="1:9" x14ac:dyDescent="0.3">
      <c r="A5" t="s">
        <v>65</v>
      </c>
      <c r="B5" t="s">
        <v>10</v>
      </c>
      <c r="C5" t="s">
        <v>60</v>
      </c>
      <c r="D5" t="s">
        <v>66</v>
      </c>
      <c r="E5">
        <v>2</v>
      </c>
      <c r="F5" t="s">
        <v>57</v>
      </c>
      <c r="G5" t="s">
        <v>11</v>
      </c>
      <c r="H5" t="s">
        <v>12</v>
      </c>
      <c r="I5" t="s">
        <v>62</v>
      </c>
    </row>
    <row r="6" spans="1:9" x14ac:dyDescent="0.3">
      <c r="A6" t="s">
        <v>67</v>
      </c>
      <c r="B6" t="s">
        <v>68</v>
      </c>
      <c r="C6" t="s">
        <v>66</v>
      </c>
      <c r="D6" t="s">
        <v>69</v>
      </c>
      <c r="E6">
        <v>1</v>
      </c>
      <c r="F6" t="s">
        <v>65</v>
      </c>
      <c r="G6" t="s">
        <v>7</v>
      </c>
      <c r="H6" t="s">
        <v>13</v>
      </c>
      <c r="I6" t="s">
        <v>62</v>
      </c>
    </row>
    <row r="7" spans="1:9" x14ac:dyDescent="0.3">
      <c r="A7" t="s">
        <v>70</v>
      </c>
      <c r="B7" t="s">
        <v>14</v>
      </c>
      <c r="C7" t="s">
        <v>66</v>
      </c>
      <c r="D7" t="s">
        <v>69</v>
      </c>
      <c r="E7">
        <v>1</v>
      </c>
      <c r="F7" t="s">
        <v>65</v>
      </c>
      <c r="G7" t="s">
        <v>7</v>
      </c>
      <c r="H7" t="s">
        <v>15</v>
      </c>
      <c r="I7" t="s">
        <v>62</v>
      </c>
    </row>
    <row r="8" spans="1:9" x14ac:dyDescent="0.3">
      <c r="A8" t="s">
        <v>71</v>
      </c>
      <c r="B8" t="s">
        <v>16</v>
      </c>
      <c r="C8" t="s">
        <v>66</v>
      </c>
      <c r="D8" t="s">
        <v>69</v>
      </c>
      <c r="E8">
        <v>1</v>
      </c>
      <c r="F8" t="s">
        <v>65</v>
      </c>
      <c r="G8" t="s">
        <v>7</v>
      </c>
      <c r="H8" t="s">
        <v>17</v>
      </c>
      <c r="I8" t="s">
        <v>62</v>
      </c>
    </row>
    <row r="9" spans="1:9" x14ac:dyDescent="0.3">
      <c r="A9" t="s">
        <v>72</v>
      </c>
      <c r="B9" t="s">
        <v>18</v>
      </c>
      <c r="C9" t="s">
        <v>66</v>
      </c>
      <c r="D9" t="s">
        <v>69</v>
      </c>
      <c r="E9">
        <v>1</v>
      </c>
      <c r="F9" t="s">
        <v>65</v>
      </c>
      <c r="G9" t="s">
        <v>7</v>
      </c>
      <c r="H9" t="s">
        <v>19</v>
      </c>
      <c r="I9" t="s">
        <v>62</v>
      </c>
    </row>
    <row r="10" spans="1:9" x14ac:dyDescent="0.3">
      <c r="A10" t="s">
        <v>73</v>
      </c>
      <c r="B10" t="s">
        <v>20</v>
      </c>
      <c r="C10" t="s">
        <v>66</v>
      </c>
      <c r="D10" t="s">
        <v>69</v>
      </c>
      <c r="E10">
        <v>1</v>
      </c>
      <c r="F10" t="s">
        <v>65</v>
      </c>
      <c r="G10" t="s">
        <v>7</v>
      </c>
      <c r="H10" t="s">
        <v>21</v>
      </c>
      <c r="I10" t="s">
        <v>62</v>
      </c>
    </row>
    <row r="11" spans="1:9" x14ac:dyDescent="0.3">
      <c r="A11" t="s">
        <v>74</v>
      </c>
      <c r="B11" t="s">
        <v>22</v>
      </c>
      <c r="C11" t="s">
        <v>64</v>
      </c>
      <c r="D11" t="s">
        <v>66</v>
      </c>
      <c r="E11">
        <v>1</v>
      </c>
      <c r="F11" t="s">
        <v>63</v>
      </c>
      <c r="G11" t="s">
        <v>7</v>
      </c>
      <c r="H11" t="s">
        <v>23</v>
      </c>
      <c r="I11" t="s">
        <v>62</v>
      </c>
    </row>
    <row r="12" spans="1:9" x14ac:dyDescent="0.3">
      <c r="A12" t="s">
        <v>75</v>
      </c>
      <c r="B12" t="s">
        <v>76</v>
      </c>
      <c r="C12" t="s">
        <v>66</v>
      </c>
      <c r="D12" t="s">
        <v>69</v>
      </c>
      <c r="E12">
        <v>1</v>
      </c>
      <c r="F12" t="s">
        <v>65</v>
      </c>
      <c r="G12" t="s">
        <v>11</v>
      </c>
      <c r="H12" t="s">
        <v>12</v>
      </c>
      <c r="I12" t="s">
        <v>62</v>
      </c>
    </row>
    <row r="13" spans="1:9" x14ac:dyDescent="0.3">
      <c r="A13" t="s">
        <v>77</v>
      </c>
      <c r="B13" t="s">
        <v>24</v>
      </c>
      <c r="C13" t="s">
        <v>69</v>
      </c>
      <c r="D13" t="s">
        <v>78</v>
      </c>
      <c r="E13">
        <v>1</v>
      </c>
      <c r="F13" t="s">
        <v>71</v>
      </c>
      <c r="G13" t="s">
        <v>11</v>
      </c>
      <c r="H13" t="s">
        <v>17</v>
      </c>
      <c r="I13" t="s">
        <v>62</v>
      </c>
    </row>
    <row r="14" spans="1:9" x14ac:dyDescent="0.3">
      <c r="A14" t="s">
        <v>79</v>
      </c>
      <c r="B14" t="s">
        <v>25</v>
      </c>
      <c r="C14" t="s">
        <v>60</v>
      </c>
      <c r="D14" t="s">
        <v>64</v>
      </c>
      <c r="E14">
        <v>1</v>
      </c>
      <c r="F14" t="s">
        <v>57</v>
      </c>
      <c r="G14" t="s">
        <v>26</v>
      </c>
      <c r="H14" t="s">
        <v>19</v>
      </c>
      <c r="I14" t="s">
        <v>62</v>
      </c>
    </row>
    <row r="15" spans="1:9" x14ac:dyDescent="0.3">
      <c r="A15">
        <v>2</v>
      </c>
      <c r="B15" t="s">
        <v>52</v>
      </c>
    </row>
    <row r="16" spans="1:9" x14ac:dyDescent="0.3">
      <c r="A16" t="s">
        <v>80</v>
      </c>
      <c r="B16" t="s">
        <v>27</v>
      </c>
      <c r="C16" t="s">
        <v>69</v>
      </c>
      <c r="D16" t="s">
        <v>81</v>
      </c>
      <c r="E16">
        <v>3</v>
      </c>
      <c r="F16" t="s">
        <v>82</v>
      </c>
      <c r="G16" t="s">
        <v>26</v>
      </c>
      <c r="H16" t="s">
        <v>12</v>
      </c>
      <c r="I16" t="s">
        <v>29</v>
      </c>
    </row>
    <row r="17" spans="1:9" x14ac:dyDescent="0.3">
      <c r="A17" t="s">
        <v>83</v>
      </c>
      <c r="B17" t="s">
        <v>28</v>
      </c>
      <c r="C17" t="s">
        <v>66</v>
      </c>
      <c r="D17" t="s">
        <v>78</v>
      </c>
      <c r="E17">
        <v>2</v>
      </c>
      <c r="F17" t="s">
        <v>65</v>
      </c>
      <c r="G17" t="s">
        <v>7</v>
      </c>
      <c r="H17" t="s">
        <v>12</v>
      </c>
      <c r="I17" t="s">
        <v>29</v>
      </c>
    </row>
    <row r="18" spans="1:9" x14ac:dyDescent="0.3">
      <c r="A18" t="s">
        <v>84</v>
      </c>
      <c r="B18" t="s">
        <v>30</v>
      </c>
      <c r="C18" t="s">
        <v>81</v>
      </c>
      <c r="D18" t="s">
        <v>85</v>
      </c>
      <c r="E18">
        <v>2</v>
      </c>
      <c r="F18" t="s">
        <v>86</v>
      </c>
      <c r="G18" t="s">
        <v>26</v>
      </c>
      <c r="H18" t="s">
        <v>13</v>
      </c>
      <c r="I18" t="s">
        <v>29</v>
      </c>
    </row>
    <row r="19" spans="1:9" x14ac:dyDescent="0.3">
      <c r="A19" t="s">
        <v>87</v>
      </c>
      <c r="B19" t="s">
        <v>88</v>
      </c>
      <c r="C19" t="s">
        <v>85</v>
      </c>
      <c r="D19" t="s">
        <v>89</v>
      </c>
      <c r="E19">
        <v>2</v>
      </c>
      <c r="F19" t="s">
        <v>84</v>
      </c>
      <c r="G19" t="s">
        <v>26</v>
      </c>
      <c r="H19" t="s">
        <v>12</v>
      </c>
      <c r="I19" t="s">
        <v>29</v>
      </c>
    </row>
    <row r="20" spans="1:9" x14ac:dyDescent="0.3">
      <c r="A20" t="s">
        <v>90</v>
      </c>
      <c r="B20" t="s">
        <v>31</v>
      </c>
      <c r="C20" t="s">
        <v>81</v>
      </c>
      <c r="D20" t="s">
        <v>91</v>
      </c>
      <c r="E20">
        <v>1</v>
      </c>
      <c r="F20" t="s">
        <v>80</v>
      </c>
      <c r="G20" t="s">
        <v>7</v>
      </c>
      <c r="H20" t="s">
        <v>17</v>
      </c>
      <c r="I20" t="s">
        <v>29</v>
      </c>
    </row>
    <row r="21" spans="1:9" x14ac:dyDescent="0.3">
      <c r="A21" t="s">
        <v>92</v>
      </c>
      <c r="B21" t="s">
        <v>32</v>
      </c>
      <c r="C21" t="s">
        <v>89</v>
      </c>
      <c r="D21" t="s">
        <v>93</v>
      </c>
      <c r="E21">
        <v>1</v>
      </c>
      <c r="F21" t="s">
        <v>94</v>
      </c>
      <c r="G21" t="s">
        <v>11</v>
      </c>
      <c r="H21" t="s">
        <v>21</v>
      </c>
      <c r="I21" t="s">
        <v>29</v>
      </c>
    </row>
    <row r="22" spans="1:9" x14ac:dyDescent="0.3">
      <c r="A22">
        <v>3</v>
      </c>
      <c r="B22" t="s">
        <v>53</v>
      </c>
    </row>
    <row r="23" spans="1:9" x14ac:dyDescent="0.3">
      <c r="A23" t="s">
        <v>95</v>
      </c>
      <c r="B23" t="s">
        <v>96</v>
      </c>
      <c r="C23" t="s">
        <v>93</v>
      </c>
      <c r="D23" t="s">
        <v>97</v>
      </c>
      <c r="E23">
        <v>4</v>
      </c>
      <c r="F23" t="s">
        <v>92</v>
      </c>
      <c r="G23" t="s">
        <v>26</v>
      </c>
      <c r="H23" t="s">
        <v>12</v>
      </c>
      <c r="I23" t="s">
        <v>33</v>
      </c>
    </row>
    <row r="24" spans="1:9" x14ac:dyDescent="0.3">
      <c r="A24" t="s">
        <v>98</v>
      </c>
      <c r="B24" t="s">
        <v>99</v>
      </c>
      <c r="C24" t="s">
        <v>97</v>
      </c>
      <c r="D24" t="s">
        <v>100</v>
      </c>
      <c r="E24">
        <v>2</v>
      </c>
      <c r="F24" t="s">
        <v>95</v>
      </c>
      <c r="G24" t="s">
        <v>26</v>
      </c>
      <c r="H24" t="s">
        <v>17</v>
      </c>
      <c r="I24" t="s">
        <v>33</v>
      </c>
    </row>
    <row r="25" spans="1:9" x14ac:dyDescent="0.3">
      <c r="A25" t="s">
        <v>101</v>
      </c>
      <c r="B25" t="s">
        <v>102</v>
      </c>
      <c r="C25" t="s">
        <v>97</v>
      </c>
      <c r="D25" t="s">
        <v>103</v>
      </c>
      <c r="E25">
        <v>3</v>
      </c>
      <c r="F25" t="s">
        <v>95</v>
      </c>
      <c r="G25" t="s">
        <v>11</v>
      </c>
      <c r="H25" t="s">
        <v>17</v>
      </c>
      <c r="I25" t="s">
        <v>33</v>
      </c>
    </row>
    <row r="26" spans="1:9" x14ac:dyDescent="0.3">
      <c r="A26" t="s">
        <v>104</v>
      </c>
      <c r="B26" t="s">
        <v>105</v>
      </c>
      <c r="C26" t="s">
        <v>103</v>
      </c>
      <c r="D26" t="s">
        <v>106</v>
      </c>
      <c r="E26">
        <v>3</v>
      </c>
      <c r="F26" t="s">
        <v>107</v>
      </c>
      <c r="G26" t="s">
        <v>26</v>
      </c>
      <c r="H26" t="s">
        <v>12</v>
      </c>
      <c r="I26" t="s">
        <v>33</v>
      </c>
    </row>
    <row r="27" spans="1:9" x14ac:dyDescent="0.3">
      <c r="A27" t="s">
        <v>108</v>
      </c>
      <c r="B27" t="s">
        <v>34</v>
      </c>
      <c r="C27" t="s">
        <v>106</v>
      </c>
      <c r="D27" t="s">
        <v>109</v>
      </c>
      <c r="E27">
        <v>3</v>
      </c>
      <c r="F27" t="s">
        <v>104</v>
      </c>
      <c r="G27" t="s">
        <v>26</v>
      </c>
      <c r="H27" t="s">
        <v>12</v>
      </c>
      <c r="I27" t="s">
        <v>33</v>
      </c>
    </row>
    <row r="28" spans="1:9" x14ac:dyDescent="0.3">
      <c r="A28" t="s">
        <v>110</v>
      </c>
      <c r="B28" t="s">
        <v>35</v>
      </c>
      <c r="C28" t="s">
        <v>100</v>
      </c>
      <c r="D28" t="s">
        <v>111</v>
      </c>
      <c r="E28">
        <v>2</v>
      </c>
      <c r="F28" t="s">
        <v>98</v>
      </c>
      <c r="G28" t="s">
        <v>26</v>
      </c>
      <c r="H28" t="s">
        <v>17</v>
      </c>
      <c r="I28" t="s">
        <v>33</v>
      </c>
    </row>
    <row r="29" spans="1:9" x14ac:dyDescent="0.3">
      <c r="A29" t="s">
        <v>112</v>
      </c>
      <c r="B29" t="s">
        <v>36</v>
      </c>
      <c r="C29" t="s">
        <v>109</v>
      </c>
      <c r="D29" t="s">
        <v>113</v>
      </c>
      <c r="E29">
        <v>2</v>
      </c>
      <c r="F29" t="s">
        <v>114</v>
      </c>
      <c r="G29" t="s">
        <v>7</v>
      </c>
      <c r="H29" t="s">
        <v>17</v>
      </c>
      <c r="I29" t="s">
        <v>33</v>
      </c>
    </row>
    <row r="30" spans="1:9" x14ac:dyDescent="0.3">
      <c r="A30" t="s">
        <v>115</v>
      </c>
      <c r="B30" t="s">
        <v>37</v>
      </c>
      <c r="C30" t="s">
        <v>113</v>
      </c>
      <c r="D30" t="s">
        <v>116</v>
      </c>
      <c r="E30">
        <v>1</v>
      </c>
      <c r="F30" t="s">
        <v>112</v>
      </c>
      <c r="G30" t="s">
        <v>11</v>
      </c>
      <c r="H30" t="s">
        <v>21</v>
      </c>
      <c r="I30" t="s">
        <v>33</v>
      </c>
    </row>
    <row r="31" spans="1:9" x14ac:dyDescent="0.3">
      <c r="A31">
        <v>4</v>
      </c>
      <c r="B31" t="s">
        <v>54</v>
      </c>
    </row>
    <row r="32" spans="1:9" x14ac:dyDescent="0.3">
      <c r="A32" t="s">
        <v>117</v>
      </c>
      <c r="B32" t="s">
        <v>38</v>
      </c>
      <c r="C32" t="s">
        <v>116</v>
      </c>
      <c r="D32" t="s">
        <v>118</v>
      </c>
      <c r="E32">
        <v>5</v>
      </c>
      <c r="F32" t="s">
        <v>115</v>
      </c>
      <c r="G32" t="s">
        <v>26</v>
      </c>
      <c r="H32" t="s">
        <v>12</v>
      </c>
      <c r="I32" t="s">
        <v>39</v>
      </c>
    </row>
    <row r="33" spans="1:9" x14ac:dyDescent="0.3">
      <c r="A33" t="s">
        <v>119</v>
      </c>
      <c r="B33" t="s">
        <v>120</v>
      </c>
      <c r="C33" t="s">
        <v>116</v>
      </c>
      <c r="D33" t="s">
        <v>121</v>
      </c>
      <c r="E33">
        <v>2</v>
      </c>
      <c r="F33" t="s">
        <v>115</v>
      </c>
      <c r="G33" t="s">
        <v>26</v>
      </c>
      <c r="H33" t="s">
        <v>13</v>
      </c>
      <c r="I33" t="s">
        <v>39</v>
      </c>
    </row>
    <row r="34" spans="1:9" x14ac:dyDescent="0.3">
      <c r="A34" t="s">
        <v>122</v>
      </c>
      <c r="B34" t="s">
        <v>123</v>
      </c>
      <c r="C34" t="s">
        <v>118</v>
      </c>
      <c r="D34" t="s">
        <v>124</v>
      </c>
      <c r="E34">
        <v>2</v>
      </c>
      <c r="F34" t="s">
        <v>117</v>
      </c>
      <c r="G34" t="s">
        <v>26</v>
      </c>
      <c r="H34" t="s">
        <v>17</v>
      </c>
      <c r="I34" t="s">
        <v>39</v>
      </c>
    </row>
    <row r="35" spans="1:9" x14ac:dyDescent="0.3">
      <c r="A35" t="s">
        <v>125</v>
      </c>
      <c r="B35" t="s">
        <v>40</v>
      </c>
      <c r="C35" t="s">
        <v>124</v>
      </c>
      <c r="D35" t="s">
        <v>126</v>
      </c>
      <c r="E35">
        <v>2</v>
      </c>
      <c r="F35" t="s">
        <v>127</v>
      </c>
      <c r="G35" t="s">
        <v>11</v>
      </c>
      <c r="H35" t="s">
        <v>21</v>
      </c>
      <c r="I35" t="s">
        <v>39</v>
      </c>
    </row>
    <row r="36" spans="1:9" x14ac:dyDescent="0.3">
      <c r="A36" t="s">
        <v>128</v>
      </c>
      <c r="B36" t="s">
        <v>41</v>
      </c>
      <c r="C36" t="s">
        <v>118</v>
      </c>
      <c r="D36" t="s">
        <v>129</v>
      </c>
      <c r="E36">
        <v>3</v>
      </c>
      <c r="F36" t="s">
        <v>117</v>
      </c>
      <c r="G36" t="s">
        <v>26</v>
      </c>
      <c r="H36" t="s">
        <v>12</v>
      </c>
      <c r="I36" t="s">
        <v>39</v>
      </c>
    </row>
    <row r="37" spans="1:9" x14ac:dyDescent="0.3">
      <c r="A37" t="s">
        <v>130</v>
      </c>
      <c r="B37" t="s">
        <v>131</v>
      </c>
      <c r="C37" t="s">
        <v>118</v>
      </c>
      <c r="D37" t="s">
        <v>124</v>
      </c>
      <c r="E37">
        <v>2</v>
      </c>
      <c r="F37" t="s">
        <v>117</v>
      </c>
      <c r="G37" t="s">
        <v>7</v>
      </c>
      <c r="H37" t="s">
        <v>17</v>
      </c>
      <c r="I37" t="s">
        <v>39</v>
      </c>
    </row>
    <row r="38" spans="1:9" x14ac:dyDescent="0.3">
      <c r="A38" t="s">
        <v>132</v>
      </c>
      <c r="B38" t="s">
        <v>42</v>
      </c>
      <c r="C38" t="s">
        <v>129</v>
      </c>
      <c r="D38" t="s">
        <v>133</v>
      </c>
      <c r="E38">
        <v>2</v>
      </c>
      <c r="F38" t="s">
        <v>134</v>
      </c>
      <c r="G38" t="s">
        <v>11</v>
      </c>
      <c r="H38" t="s">
        <v>17</v>
      </c>
      <c r="I38" t="s">
        <v>39</v>
      </c>
    </row>
    <row r="39" spans="1:9" x14ac:dyDescent="0.3">
      <c r="A39" t="s">
        <v>135</v>
      </c>
      <c r="B39" t="s">
        <v>43</v>
      </c>
      <c r="C39" t="s">
        <v>133</v>
      </c>
      <c r="D39" t="s">
        <v>136</v>
      </c>
      <c r="E39">
        <v>1</v>
      </c>
      <c r="F39" t="s">
        <v>132</v>
      </c>
      <c r="G39" t="s">
        <v>7</v>
      </c>
      <c r="H39" t="s">
        <v>61</v>
      </c>
      <c r="I39" t="s">
        <v>39</v>
      </c>
    </row>
    <row r="40" spans="1:9" x14ac:dyDescent="0.3">
      <c r="A40" t="s">
        <v>44</v>
      </c>
      <c r="B40" t="s">
        <v>45</v>
      </c>
      <c r="C40" t="s">
        <v>66</v>
      </c>
      <c r="D40" t="s">
        <v>66</v>
      </c>
      <c r="E40">
        <v>0</v>
      </c>
      <c r="F40" t="s">
        <v>65</v>
      </c>
      <c r="G40" t="s">
        <v>7</v>
      </c>
      <c r="H40" t="s">
        <v>61</v>
      </c>
      <c r="I40" t="s">
        <v>62</v>
      </c>
    </row>
    <row r="41" spans="1:9" x14ac:dyDescent="0.3">
      <c r="A41" t="s">
        <v>46</v>
      </c>
      <c r="B41" t="s">
        <v>47</v>
      </c>
      <c r="C41" t="s">
        <v>93</v>
      </c>
      <c r="D41" t="s">
        <v>93</v>
      </c>
      <c r="E41">
        <v>0</v>
      </c>
      <c r="F41" t="s">
        <v>92</v>
      </c>
      <c r="G41" t="s">
        <v>11</v>
      </c>
      <c r="H41" t="s">
        <v>61</v>
      </c>
      <c r="I41" t="s">
        <v>29</v>
      </c>
    </row>
    <row r="42" spans="1:9" x14ac:dyDescent="0.3">
      <c r="A42" t="s">
        <v>48</v>
      </c>
      <c r="B42" t="s">
        <v>49</v>
      </c>
      <c r="C42" t="s">
        <v>116</v>
      </c>
      <c r="D42" t="s">
        <v>116</v>
      </c>
      <c r="E42">
        <v>0</v>
      </c>
      <c r="F42" t="s">
        <v>115</v>
      </c>
      <c r="G42" t="s">
        <v>11</v>
      </c>
      <c r="H42" t="s">
        <v>61</v>
      </c>
      <c r="I42" t="s">
        <v>33</v>
      </c>
    </row>
    <row r="43" spans="1:9" x14ac:dyDescent="0.3">
      <c r="A43" t="s">
        <v>50</v>
      </c>
      <c r="B43" t="s">
        <v>51</v>
      </c>
      <c r="C43" t="s">
        <v>133</v>
      </c>
      <c r="D43" t="s">
        <v>133</v>
      </c>
      <c r="E43">
        <v>0</v>
      </c>
      <c r="F43" t="s">
        <v>132</v>
      </c>
      <c r="G43" t="s">
        <v>11</v>
      </c>
      <c r="H43" t="s">
        <v>61</v>
      </c>
      <c r="I43"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EE9A3-F317-464F-B284-331D4ABA39CA}">
  <sheetPr>
    <pageSetUpPr fitToPage="1"/>
  </sheetPr>
  <dimension ref="A2:KX45"/>
  <sheetViews>
    <sheetView showGridLines="0" tabSelected="1" showRuler="0" zoomScale="80" zoomScaleNormal="80" zoomScalePageLayoutView="70" workbookViewId="0">
      <pane xSplit="8" ySplit="9" topLeftCell="I10" activePane="bottomRight" state="frozen"/>
      <selection activeCell="B1" sqref="B1"/>
      <selection pane="topRight" activeCell="B1" sqref="B1"/>
      <selection pane="bottomLeft" activeCell="B1" sqref="B1"/>
      <selection pane="bottomRight" activeCell="G28" sqref="G28"/>
    </sheetView>
  </sheetViews>
  <sheetFormatPr baseColWidth="10" defaultColWidth="9.109375" defaultRowHeight="13.2" x14ac:dyDescent="0.25"/>
  <cols>
    <col min="1" max="1" width="4.6640625" style="29" customWidth="1"/>
    <col min="2" max="2" width="83.88671875" style="5" customWidth="1"/>
    <col min="3" max="3" width="20.88671875" style="5" customWidth="1"/>
    <col min="4" max="4" width="36.5546875" style="5" customWidth="1"/>
    <col min="5" max="5" width="14.33203125" style="5" bestFit="1" customWidth="1"/>
    <col min="6" max="6" width="15.44140625" style="54" bestFit="1" customWidth="1"/>
    <col min="7" max="7" width="15.88671875" style="54" bestFit="1" customWidth="1"/>
    <col min="8" max="8" width="10.44140625" style="5" customWidth="1"/>
    <col min="9" max="9" width="1.109375" style="5" customWidth="1"/>
    <col min="10" max="313" width="3.5546875" style="5" customWidth="1"/>
    <col min="314" max="314" width="7.88671875" style="5" bestFit="1" customWidth="1"/>
    <col min="315" max="341" width="3.5546875" style="5" customWidth="1"/>
    <col min="342" max="342" width="7.44140625" style="5" bestFit="1" customWidth="1"/>
    <col min="343" max="402" width="3.5546875" style="5" customWidth="1"/>
    <col min="403" max="403" width="7.6640625" style="5" bestFit="1" customWidth="1"/>
    <col min="404" max="432" width="3.5546875" style="5" customWidth="1"/>
    <col min="433" max="433" width="7.109375" style="5" bestFit="1" customWidth="1"/>
    <col min="434" max="463" width="3.5546875" style="5" customWidth="1"/>
    <col min="464" max="464" width="7.6640625" style="5" bestFit="1" customWidth="1"/>
    <col min="465" max="494" width="3.5546875" style="5" customWidth="1"/>
    <col min="495" max="495" width="7.109375" style="5" bestFit="1" customWidth="1"/>
    <col min="496" max="524" width="3.5546875" style="5" customWidth="1"/>
    <col min="525" max="16384" width="9.109375" style="5"/>
  </cols>
  <sheetData>
    <row r="2" spans="1:310" ht="25.5" customHeight="1" x14ac:dyDescent="0.25">
      <c r="A2" s="3"/>
      <c r="B2" s="59" t="s">
        <v>157</v>
      </c>
      <c r="C2" s="59"/>
      <c r="D2" s="59"/>
      <c r="E2" s="59"/>
      <c r="F2" s="59"/>
      <c r="G2" s="59"/>
      <c r="H2" s="59"/>
      <c r="I2" s="59"/>
      <c r="J2" s="60"/>
      <c r="K2" s="60"/>
      <c r="L2" s="60"/>
      <c r="M2" s="60"/>
      <c r="N2" s="60"/>
      <c r="O2" s="60"/>
      <c r="P2" s="60"/>
      <c r="Q2" s="60"/>
      <c r="R2" s="60"/>
      <c r="S2" s="60"/>
      <c r="T2" s="60"/>
      <c r="U2" s="60"/>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row>
    <row r="3" spans="1:310" ht="14.25" customHeight="1" x14ac:dyDescent="0.25">
      <c r="A3" s="3"/>
      <c r="B3" s="6" t="s">
        <v>58</v>
      </c>
      <c r="C3" s="7"/>
      <c r="D3" s="8"/>
      <c r="E3" s="8"/>
      <c r="F3" s="9"/>
      <c r="G3" s="9"/>
      <c r="H3" s="8"/>
      <c r="I3" s="8"/>
      <c r="J3" s="8"/>
      <c r="K3" s="10"/>
      <c r="L3" s="10"/>
      <c r="M3" s="10"/>
    </row>
    <row r="4" spans="1:310" x14ac:dyDescent="0.25">
      <c r="A4" s="3"/>
      <c r="B4" s="11" t="s">
        <v>139</v>
      </c>
      <c r="C4" s="12" t="s">
        <v>158</v>
      </c>
      <c r="D4" s="13"/>
      <c r="E4" s="14"/>
      <c r="F4" s="15"/>
      <c r="G4" s="15"/>
      <c r="H4" s="16" t="s">
        <v>140</v>
      </c>
      <c r="I4" s="14"/>
      <c r="J4" s="61" t="s">
        <v>141</v>
      </c>
      <c r="K4" s="61"/>
      <c r="L4" s="61"/>
      <c r="M4" s="61"/>
      <c r="O4" s="62" t="s">
        <v>142</v>
      </c>
      <c r="P4" s="62"/>
      <c r="Q4" s="62"/>
      <c r="R4" s="62"/>
      <c r="T4" s="63" t="s">
        <v>143</v>
      </c>
      <c r="U4" s="63"/>
      <c r="V4" s="63"/>
      <c r="W4" s="63"/>
      <c r="Y4" s="57" t="s">
        <v>144</v>
      </c>
      <c r="Z4" s="57"/>
      <c r="AA4" s="57"/>
      <c r="AB4" s="57"/>
      <c r="AD4" s="58" t="s">
        <v>145</v>
      </c>
      <c r="AE4" s="58"/>
      <c r="AF4" s="58"/>
      <c r="AG4" s="58"/>
    </row>
    <row r="5" spans="1:310" x14ac:dyDescent="0.25">
      <c r="A5" s="3"/>
      <c r="B5" s="17" t="s">
        <v>146</v>
      </c>
      <c r="C5" s="13" t="s">
        <v>194</v>
      </c>
      <c r="D5" s="13"/>
      <c r="E5" s="14"/>
      <c r="F5" s="15"/>
      <c r="G5" s="15"/>
      <c r="H5" s="14"/>
      <c r="I5" s="14"/>
    </row>
    <row r="6" spans="1:310" x14ac:dyDescent="0.25">
      <c r="A6" s="3"/>
      <c r="B6" s="18" t="s">
        <v>147</v>
      </c>
      <c r="C6" s="19">
        <v>46037</v>
      </c>
      <c r="D6" s="19"/>
      <c r="E6" s="14"/>
      <c r="F6" s="15"/>
      <c r="G6" s="15"/>
      <c r="H6" s="14"/>
      <c r="I6" s="14"/>
      <c r="J6" s="56">
        <v>45717</v>
      </c>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v>45748</v>
      </c>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v>45778</v>
      </c>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v>45809</v>
      </c>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v>45839</v>
      </c>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v>45870</v>
      </c>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v>45901</v>
      </c>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v>45931</v>
      </c>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c r="IO6" s="56"/>
      <c r="IP6" s="56"/>
      <c r="IQ6" s="56">
        <v>45962</v>
      </c>
      <c r="IR6" s="56"/>
      <c r="IS6" s="56"/>
      <c r="IT6" s="56"/>
      <c r="IU6" s="56"/>
      <c r="IV6" s="56"/>
      <c r="IW6" s="56"/>
      <c r="IX6" s="56"/>
      <c r="IY6" s="56"/>
      <c r="IZ6" s="56"/>
      <c r="JA6" s="56"/>
      <c r="JB6" s="56"/>
      <c r="JC6" s="56"/>
      <c r="JD6" s="56"/>
      <c r="JE6" s="56"/>
      <c r="JF6" s="56"/>
      <c r="JG6" s="56"/>
      <c r="JH6" s="56"/>
      <c r="JI6" s="56"/>
      <c r="JJ6" s="56"/>
      <c r="JK6" s="56"/>
      <c r="JL6" s="56"/>
      <c r="JM6" s="56"/>
      <c r="JN6" s="56"/>
      <c r="JO6" s="56"/>
      <c r="JP6" s="56"/>
      <c r="JQ6" s="56"/>
      <c r="JR6" s="56"/>
      <c r="JS6" s="56"/>
      <c r="JT6" s="56"/>
      <c r="JU6" s="56"/>
      <c r="JV6" s="56">
        <v>45992</v>
      </c>
      <c r="JW6" s="56"/>
      <c r="JX6" s="56"/>
      <c r="JY6" s="56"/>
      <c r="JZ6" s="56"/>
      <c r="KA6" s="56"/>
      <c r="KB6" s="56"/>
      <c r="KC6" s="56"/>
      <c r="KD6" s="56"/>
      <c r="KE6" s="56"/>
      <c r="KF6" s="56"/>
      <c r="KG6" s="56"/>
      <c r="KH6" s="56"/>
      <c r="KI6" s="56"/>
      <c r="KJ6" s="56"/>
      <c r="KK6" s="56"/>
      <c r="KL6" s="56"/>
      <c r="KM6" s="56"/>
      <c r="KN6" s="56"/>
      <c r="KO6" s="56"/>
      <c r="KP6" s="56"/>
      <c r="KQ6" s="56"/>
      <c r="KR6" s="56"/>
      <c r="KS6" s="56"/>
      <c r="KT6" s="56"/>
      <c r="KU6" s="56"/>
      <c r="KV6" s="56"/>
      <c r="KW6" s="56"/>
      <c r="KX6" s="56"/>
    </row>
    <row r="7" spans="1:310" x14ac:dyDescent="0.25">
      <c r="A7" s="3"/>
      <c r="B7" s="18" t="s">
        <v>148</v>
      </c>
      <c r="C7" s="20">
        <v>1</v>
      </c>
      <c r="D7" s="13"/>
      <c r="E7" s="14"/>
      <c r="F7" s="14"/>
      <c r="G7" s="14"/>
      <c r="H7" s="14"/>
      <c r="I7" s="21"/>
      <c r="J7" s="22">
        <v>45717</v>
      </c>
      <c r="K7" s="22">
        <v>45718</v>
      </c>
      <c r="L7" s="22">
        <v>45719</v>
      </c>
      <c r="M7" s="22">
        <v>45720</v>
      </c>
      <c r="N7" s="22">
        <v>45721</v>
      </c>
      <c r="O7" s="22">
        <v>45722</v>
      </c>
      <c r="P7" s="22">
        <v>45723</v>
      </c>
      <c r="Q7" s="22">
        <v>45724</v>
      </c>
      <c r="R7" s="22">
        <v>45725</v>
      </c>
      <c r="S7" s="22">
        <v>45726</v>
      </c>
      <c r="T7" s="22">
        <v>45727</v>
      </c>
      <c r="U7" s="22">
        <v>45728</v>
      </c>
      <c r="V7" s="22">
        <v>45729</v>
      </c>
      <c r="W7" s="22">
        <v>45730</v>
      </c>
      <c r="X7" s="22">
        <v>45731</v>
      </c>
      <c r="Y7" s="22">
        <v>45732</v>
      </c>
      <c r="Z7" s="22">
        <v>45733</v>
      </c>
      <c r="AA7" s="22">
        <v>45734</v>
      </c>
      <c r="AB7" s="22">
        <v>45735</v>
      </c>
      <c r="AC7" s="22">
        <v>45736</v>
      </c>
      <c r="AD7" s="22">
        <v>45737</v>
      </c>
      <c r="AE7" s="22">
        <v>45738</v>
      </c>
      <c r="AF7" s="22">
        <v>45739</v>
      </c>
      <c r="AG7" s="22">
        <v>45740</v>
      </c>
      <c r="AH7" s="22">
        <v>45741</v>
      </c>
      <c r="AI7" s="22">
        <v>45742</v>
      </c>
      <c r="AJ7" s="22">
        <v>45743</v>
      </c>
      <c r="AK7" s="22">
        <v>45744</v>
      </c>
      <c r="AL7" s="22">
        <v>45745</v>
      </c>
      <c r="AM7" s="22">
        <v>45746</v>
      </c>
      <c r="AN7" s="22">
        <v>45747</v>
      </c>
      <c r="AO7" s="22">
        <v>45748</v>
      </c>
      <c r="AP7" s="22">
        <v>45749</v>
      </c>
      <c r="AQ7" s="22">
        <v>45750</v>
      </c>
      <c r="AR7" s="22">
        <v>45751</v>
      </c>
      <c r="AS7" s="22">
        <v>45752</v>
      </c>
      <c r="AT7" s="22">
        <v>45753</v>
      </c>
      <c r="AU7" s="22">
        <v>45754</v>
      </c>
      <c r="AV7" s="22">
        <v>45755</v>
      </c>
      <c r="AW7" s="22">
        <v>45756</v>
      </c>
      <c r="AX7" s="22">
        <v>45757</v>
      </c>
      <c r="AY7" s="22">
        <v>45758</v>
      </c>
      <c r="AZ7" s="22">
        <v>45759</v>
      </c>
      <c r="BA7" s="22">
        <v>45760</v>
      </c>
      <c r="BB7" s="22">
        <v>45761</v>
      </c>
      <c r="BC7" s="22">
        <v>45762</v>
      </c>
      <c r="BD7" s="22">
        <v>45763</v>
      </c>
      <c r="BE7" s="22">
        <v>45764</v>
      </c>
      <c r="BF7" s="22">
        <v>45765</v>
      </c>
      <c r="BG7" s="22">
        <v>45766</v>
      </c>
      <c r="BH7" s="22">
        <v>45767</v>
      </c>
      <c r="BI7" s="22">
        <v>45768</v>
      </c>
      <c r="BJ7" s="22">
        <v>45769</v>
      </c>
      <c r="BK7" s="22">
        <v>45770</v>
      </c>
      <c r="BL7" s="22">
        <v>45771</v>
      </c>
      <c r="BM7" s="22">
        <v>45772</v>
      </c>
      <c r="BN7" s="22">
        <v>45773</v>
      </c>
      <c r="BO7" s="22">
        <v>45774</v>
      </c>
      <c r="BP7" s="22">
        <v>45775</v>
      </c>
      <c r="BQ7" s="22">
        <v>45776</v>
      </c>
      <c r="BR7" s="22">
        <v>45777</v>
      </c>
      <c r="BS7" s="22">
        <v>45778</v>
      </c>
      <c r="BT7" s="22">
        <v>45779</v>
      </c>
      <c r="BU7" s="22">
        <v>45780</v>
      </c>
      <c r="BV7" s="22">
        <v>45781</v>
      </c>
      <c r="BW7" s="22">
        <v>45782</v>
      </c>
      <c r="BX7" s="22">
        <v>45783</v>
      </c>
      <c r="BY7" s="22">
        <v>45784</v>
      </c>
      <c r="BZ7" s="22">
        <v>45785</v>
      </c>
      <c r="CA7" s="22">
        <v>45786</v>
      </c>
      <c r="CB7" s="22">
        <v>45787</v>
      </c>
      <c r="CC7" s="22">
        <v>45788</v>
      </c>
      <c r="CD7" s="22">
        <v>45789</v>
      </c>
      <c r="CE7" s="22">
        <v>45790</v>
      </c>
      <c r="CF7" s="22">
        <v>45791</v>
      </c>
      <c r="CG7" s="22">
        <v>45792</v>
      </c>
      <c r="CH7" s="22">
        <v>45793</v>
      </c>
      <c r="CI7" s="22">
        <v>45794</v>
      </c>
      <c r="CJ7" s="22">
        <v>45795</v>
      </c>
      <c r="CK7" s="22">
        <v>45796</v>
      </c>
      <c r="CL7" s="22">
        <v>45797</v>
      </c>
      <c r="CM7" s="22">
        <v>45798</v>
      </c>
      <c r="CN7" s="22">
        <v>45799</v>
      </c>
      <c r="CO7" s="22">
        <v>45800</v>
      </c>
      <c r="CP7" s="22">
        <v>45801</v>
      </c>
      <c r="CQ7" s="22">
        <v>45802</v>
      </c>
      <c r="CR7" s="22">
        <v>45803</v>
      </c>
      <c r="CS7" s="22">
        <v>45804</v>
      </c>
      <c r="CT7" s="22">
        <v>45805</v>
      </c>
      <c r="CU7" s="22">
        <v>45806</v>
      </c>
      <c r="CV7" s="22">
        <v>45807</v>
      </c>
      <c r="CW7" s="22">
        <v>45808</v>
      </c>
      <c r="CX7" s="22">
        <v>45809</v>
      </c>
      <c r="CY7" s="22">
        <v>45810</v>
      </c>
      <c r="CZ7" s="22">
        <v>45811</v>
      </c>
      <c r="DA7" s="22">
        <v>45812</v>
      </c>
      <c r="DB7" s="22">
        <v>45813</v>
      </c>
      <c r="DC7" s="22">
        <v>45814</v>
      </c>
      <c r="DD7" s="22">
        <v>45815</v>
      </c>
      <c r="DE7" s="22">
        <v>45816</v>
      </c>
      <c r="DF7" s="22">
        <v>45817</v>
      </c>
      <c r="DG7" s="22">
        <v>45818</v>
      </c>
      <c r="DH7" s="22">
        <v>45819</v>
      </c>
      <c r="DI7" s="22">
        <v>45820</v>
      </c>
      <c r="DJ7" s="22">
        <v>45821</v>
      </c>
      <c r="DK7" s="22">
        <v>45822</v>
      </c>
      <c r="DL7" s="22">
        <v>45823</v>
      </c>
      <c r="DM7" s="22">
        <v>45824</v>
      </c>
      <c r="DN7" s="22">
        <v>45825</v>
      </c>
      <c r="DO7" s="22">
        <v>45826</v>
      </c>
      <c r="DP7" s="22">
        <v>45827</v>
      </c>
      <c r="DQ7" s="22">
        <v>45828</v>
      </c>
      <c r="DR7" s="22">
        <v>45829</v>
      </c>
      <c r="DS7" s="22">
        <v>45830</v>
      </c>
      <c r="DT7" s="22">
        <v>45831</v>
      </c>
      <c r="DU7" s="22">
        <v>45832</v>
      </c>
      <c r="DV7" s="22">
        <v>45833</v>
      </c>
      <c r="DW7" s="22">
        <v>45834</v>
      </c>
      <c r="DX7" s="22">
        <v>45835</v>
      </c>
      <c r="DY7" s="22">
        <v>45836</v>
      </c>
      <c r="DZ7" s="22">
        <v>45837</v>
      </c>
      <c r="EA7" s="22">
        <v>45838</v>
      </c>
      <c r="EB7" s="22">
        <v>45839</v>
      </c>
      <c r="EC7" s="22">
        <v>45840</v>
      </c>
      <c r="ED7" s="22">
        <v>45841</v>
      </c>
      <c r="EE7" s="22">
        <v>45842</v>
      </c>
      <c r="EF7" s="22">
        <v>45843</v>
      </c>
      <c r="EG7" s="22">
        <v>45844</v>
      </c>
      <c r="EH7" s="22">
        <v>45845</v>
      </c>
      <c r="EI7" s="22">
        <v>45846</v>
      </c>
      <c r="EJ7" s="22">
        <v>45847</v>
      </c>
      <c r="EK7" s="22">
        <v>45848</v>
      </c>
      <c r="EL7" s="22">
        <v>45849</v>
      </c>
      <c r="EM7" s="22">
        <v>45850</v>
      </c>
      <c r="EN7" s="22">
        <v>45851</v>
      </c>
      <c r="EO7" s="22">
        <v>45852</v>
      </c>
      <c r="EP7" s="22">
        <v>45853</v>
      </c>
      <c r="EQ7" s="22">
        <v>45854</v>
      </c>
      <c r="ER7" s="22">
        <v>45855</v>
      </c>
      <c r="ES7" s="22">
        <v>45856</v>
      </c>
      <c r="ET7" s="22">
        <v>45857</v>
      </c>
      <c r="EU7" s="22">
        <v>45858</v>
      </c>
      <c r="EV7" s="22">
        <v>45859</v>
      </c>
      <c r="EW7" s="22">
        <v>45860</v>
      </c>
      <c r="EX7" s="22">
        <v>45861</v>
      </c>
      <c r="EY7" s="22">
        <v>45862</v>
      </c>
      <c r="EZ7" s="22">
        <v>45863</v>
      </c>
      <c r="FA7" s="22">
        <v>45864</v>
      </c>
      <c r="FB7" s="22">
        <v>45865</v>
      </c>
      <c r="FC7" s="22">
        <v>45866</v>
      </c>
      <c r="FD7" s="22">
        <v>45867</v>
      </c>
      <c r="FE7" s="22">
        <v>45868</v>
      </c>
      <c r="FF7" s="22">
        <v>45869</v>
      </c>
      <c r="FG7" s="22">
        <v>45870</v>
      </c>
      <c r="FH7" s="22">
        <v>45871</v>
      </c>
      <c r="FI7" s="22">
        <v>45872</v>
      </c>
      <c r="FJ7" s="22">
        <v>45873</v>
      </c>
      <c r="FK7" s="22">
        <v>45874</v>
      </c>
      <c r="FL7" s="22">
        <v>45875</v>
      </c>
      <c r="FM7" s="22">
        <v>45876</v>
      </c>
      <c r="FN7" s="22">
        <v>45877</v>
      </c>
      <c r="FO7" s="22">
        <v>45878</v>
      </c>
      <c r="FP7" s="22">
        <v>45879</v>
      </c>
      <c r="FQ7" s="22">
        <v>45880</v>
      </c>
      <c r="FR7" s="22">
        <v>45881</v>
      </c>
      <c r="FS7" s="22">
        <v>45882</v>
      </c>
      <c r="FT7" s="22">
        <v>45883</v>
      </c>
      <c r="FU7" s="22">
        <v>45884</v>
      </c>
      <c r="FV7" s="22">
        <v>45885</v>
      </c>
      <c r="FW7" s="22">
        <v>45886</v>
      </c>
      <c r="FX7" s="22">
        <v>45887</v>
      </c>
      <c r="FY7" s="22">
        <v>45888</v>
      </c>
      <c r="FZ7" s="22">
        <v>45889</v>
      </c>
      <c r="GA7" s="22">
        <v>45890</v>
      </c>
      <c r="GB7" s="22">
        <v>45891</v>
      </c>
      <c r="GC7" s="22">
        <v>45892</v>
      </c>
      <c r="GD7" s="22">
        <v>45893</v>
      </c>
      <c r="GE7" s="22">
        <v>45894</v>
      </c>
      <c r="GF7" s="22">
        <v>45895</v>
      </c>
      <c r="GG7" s="22">
        <v>45896</v>
      </c>
      <c r="GH7" s="22">
        <v>45897</v>
      </c>
      <c r="GI7" s="22">
        <v>45898</v>
      </c>
      <c r="GJ7" s="22">
        <v>45899</v>
      </c>
      <c r="GK7" s="22">
        <v>45900</v>
      </c>
      <c r="GL7" s="22">
        <v>45901</v>
      </c>
      <c r="GM7" s="22">
        <v>45902</v>
      </c>
      <c r="GN7" s="22">
        <v>45903</v>
      </c>
      <c r="GO7" s="22">
        <v>45904</v>
      </c>
      <c r="GP7" s="22">
        <v>45905</v>
      </c>
      <c r="GQ7" s="22">
        <v>45240</v>
      </c>
      <c r="GR7" s="22">
        <v>45241</v>
      </c>
      <c r="GS7" s="22">
        <v>45242</v>
      </c>
      <c r="GT7" s="22">
        <v>45243</v>
      </c>
      <c r="GU7" s="22">
        <v>45244</v>
      </c>
      <c r="GV7" s="22">
        <v>45245</v>
      </c>
      <c r="GW7" s="22">
        <v>45246</v>
      </c>
      <c r="GX7" s="22">
        <v>45247</v>
      </c>
      <c r="GY7" s="22">
        <v>45248</v>
      </c>
      <c r="GZ7" s="22">
        <v>45249</v>
      </c>
      <c r="HA7" s="22">
        <v>45250</v>
      </c>
      <c r="HB7" s="22">
        <v>45251</v>
      </c>
      <c r="HC7" s="22">
        <v>45252</v>
      </c>
      <c r="HD7" s="22">
        <v>45253</v>
      </c>
      <c r="HE7" s="22">
        <v>45254</v>
      </c>
      <c r="HF7" s="22">
        <v>45255</v>
      </c>
      <c r="HG7" s="22">
        <v>45256</v>
      </c>
      <c r="HH7" s="22">
        <v>45257</v>
      </c>
      <c r="HI7" s="22">
        <v>45258</v>
      </c>
      <c r="HJ7" s="22">
        <v>45259</v>
      </c>
      <c r="HK7" s="22">
        <v>45260</v>
      </c>
      <c r="HL7" s="22">
        <v>45261</v>
      </c>
      <c r="HM7" s="22">
        <v>45262</v>
      </c>
      <c r="HN7" s="22">
        <v>45263</v>
      </c>
      <c r="HO7" s="22">
        <v>45264</v>
      </c>
      <c r="HP7" s="22">
        <v>45265</v>
      </c>
      <c r="HQ7" s="22">
        <v>45266</v>
      </c>
      <c r="HR7" s="22">
        <v>45267</v>
      </c>
      <c r="HS7" s="22">
        <v>45268</v>
      </c>
      <c r="HT7" s="22">
        <v>45269</v>
      </c>
      <c r="HU7" s="22">
        <v>45270</v>
      </c>
      <c r="HV7" s="22">
        <v>45271</v>
      </c>
      <c r="HW7" s="22">
        <v>45272</v>
      </c>
      <c r="HX7" s="22">
        <v>45273</v>
      </c>
      <c r="HY7" s="22">
        <v>45274</v>
      </c>
      <c r="HZ7" s="22">
        <v>45275</v>
      </c>
      <c r="IA7" s="22">
        <v>45276</v>
      </c>
      <c r="IB7" s="22">
        <v>45277</v>
      </c>
      <c r="IC7" s="22">
        <v>45278</v>
      </c>
      <c r="ID7" s="22">
        <v>45279</v>
      </c>
      <c r="IE7" s="22">
        <v>45280</v>
      </c>
      <c r="IF7" s="22">
        <v>45281</v>
      </c>
      <c r="IG7" s="22">
        <v>45282</v>
      </c>
      <c r="IH7" s="22">
        <v>45283</v>
      </c>
      <c r="II7" s="22">
        <v>45284</v>
      </c>
      <c r="IJ7" s="22">
        <v>45285</v>
      </c>
      <c r="IK7" s="22">
        <v>45286</v>
      </c>
      <c r="IL7" s="22">
        <v>45287</v>
      </c>
      <c r="IM7" s="22">
        <v>45288</v>
      </c>
      <c r="IN7" s="22">
        <v>45289</v>
      </c>
      <c r="IO7" s="22">
        <v>45290</v>
      </c>
      <c r="IP7" s="22">
        <v>45291</v>
      </c>
      <c r="IQ7" s="22">
        <v>45292</v>
      </c>
      <c r="IR7" s="22">
        <v>45293</v>
      </c>
      <c r="IS7" s="22">
        <v>45294</v>
      </c>
      <c r="IT7" s="22">
        <v>45295</v>
      </c>
      <c r="IU7" s="22">
        <v>45296</v>
      </c>
      <c r="IV7" s="22">
        <v>45297</v>
      </c>
      <c r="IW7" s="22">
        <v>45298</v>
      </c>
      <c r="IX7" s="22">
        <v>45299</v>
      </c>
      <c r="IY7" s="22">
        <v>45300</v>
      </c>
      <c r="IZ7" s="22">
        <v>45301</v>
      </c>
      <c r="JA7" s="22">
        <v>45302</v>
      </c>
      <c r="JB7" s="22">
        <v>45303</v>
      </c>
      <c r="JC7" s="22">
        <v>45304</v>
      </c>
      <c r="JD7" s="22">
        <v>45305</v>
      </c>
      <c r="JE7" s="22">
        <v>45306</v>
      </c>
      <c r="JF7" s="22">
        <v>45307</v>
      </c>
      <c r="JG7" s="22">
        <v>45308</v>
      </c>
      <c r="JH7" s="22">
        <v>45309</v>
      </c>
      <c r="JI7" s="22">
        <v>45310</v>
      </c>
      <c r="JJ7" s="22">
        <v>45311</v>
      </c>
      <c r="JK7" s="22">
        <v>45312</v>
      </c>
      <c r="JL7" s="22">
        <v>45313</v>
      </c>
      <c r="JM7" s="22">
        <v>45314</v>
      </c>
      <c r="JN7" s="22">
        <v>45315</v>
      </c>
      <c r="JO7" s="22">
        <v>45316</v>
      </c>
      <c r="JP7" s="22">
        <v>45317</v>
      </c>
      <c r="JQ7" s="22">
        <v>45318</v>
      </c>
      <c r="JR7" s="22">
        <v>45319</v>
      </c>
      <c r="JS7" s="22">
        <v>45320</v>
      </c>
      <c r="JT7" s="22">
        <v>45321</v>
      </c>
      <c r="JU7" s="22">
        <v>45322</v>
      </c>
      <c r="JV7" s="22">
        <v>45323</v>
      </c>
      <c r="JW7" s="22">
        <v>45324</v>
      </c>
      <c r="JX7" s="22">
        <v>45325</v>
      </c>
      <c r="JY7" s="22">
        <v>45326</v>
      </c>
      <c r="JZ7" s="22">
        <v>45327</v>
      </c>
      <c r="KA7" s="22">
        <v>45328</v>
      </c>
      <c r="KB7" s="22">
        <v>45329</v>
      </c>
      <c r="KC7" s="22">
        <v>45330</v>
      </c>
      <c r="KD7" s="22">
        <v>45331</v>
      </c>
      <c r="KE7" s="22">
        <v>45332</v>
      </c>
      <c r="KF7" s="22">
        <v>45333</v>
      </c>
      <c r="KG7" s="22">
        <v>45334</v>
      </c>
      <c r="KH7" s="22">
        <v>45335</v>
      </c>
      <c r="KI7" s="22">
        <v>45336</v>
      </c>
      <c r="KJ7" s="22">
        <v>45337</v>
      </c>
      <c r="KK7" s="22">
        <v>45338</v>
      </c>
      <c r="KL7" s="22">
        <v>45339</v>
      </c>
      <c r="KM7" s="22">
        <v>45340</v>
      </c>
      <c r="KN7" s="22">
        <v>45341</v>
      </c>
      <c r="KO7" s="22">
        <v>45342</v>
      </c>
      <c r="KP7" s="22">
        <v>45343</v>
      </c>
      <c r="KQ7" s="22">
        <v>45344</v>
      </c>
      <c r="KR7" s="22">
        <v>45345</v>
      </c>
      <c r="KS7" s="22">
        <v>45346</v>
      </c>
      <c r="KT7" s="22">
        <v>45347</v>
      </c>
      <c r="KU7" s="22">
        <v>45348</v>
      </c>
      <c r="KV7" s="22">
        <v>45349</v>
      </c>
      <c r="KW7" s="22">
        <v>45350</v>
      </c>
      <c r="KX7" s="22">
        <v>45351</v>
      </c>
    </row>
    <row r="8" spans="1:310" x14ac:dyDescent="0.25">
      <c r="A8" s="3"/>
      <c r="B8" s="13"/>
      <c r="C8" s="13"/>
      <c r="D8" s="13"/>
      <c r="E8" s="14"/>
      <c r="F8" s="14"/>
      <c r="G8" s="14"/>
      <c r="H8" s="14"/>
      <c r="I8" s="21"/>
      <c r="J8" s="23"/>
      <c r="K8" s="24"/>
      <c r="L8" s="24"/>
      <c r="M8" s="23"/>
      <c r="N8" s="24"/>
      <c r="O8" s="24"/>
      <c r="P8" s="23"/>
      <c r="Q8" s="24"/>
      <c r="R8" s="24"/>
      <c r="S8" s="23"/>
      <c r="T8" s="24"/>
      <c r="U8" s="24"/>
      <c r="V8" s="23"/>
      <c r="W8" s="24"/>
      <c r="X8" s="24"/>
      <c r="Y8" s="23"/>
      <c r="Z8" s="24"/>
      <c r="AA8" s="24"/>
      <c r="AB8" s="23"/>
      <c r="AC8" s="24"/>
      <c r="AD8" s="24"/>
      <c r="AE8" s="23"/>
      <c r="AF8" s="24"/>
      <c r="AG8" s="24"/>
      <c r="AH8" s="23"/>
      <c r="AI8" s="24"/>
      <c r="AJ8" s="24"/>
      <c r="AK8" s="23"/>
      <c r="AL8" s="24"/>
      <c r="AM8" s="24"/>
      <c r="AN8" s="23"/>
      <c r="AO8" s="24"/>
      <c r="AP8" s="24"/>
      <c r="AQ8" s="23"/>
      <c r="AR8" s="24"/>
      <c r="AS8" s="24"/>
      <c r="AT8" s="23"/>
      <c r="AU8" s="24"/>
      <c r="AV8" s="24"/>
      <c r="AW8" s="23"/>
      <c r="AX8" s="24"/>
      <c r="AY8" s="24"/>
      <c r="AZ8" s="23"/>
      <c r="BA8" s="24"/>
      <c r="BB8" s="24"/>
      <c r="BC8" s="23"/>
      <c r="BD8" s="24"/>
      <c r="BE8" s="24"/>
      <c r="BF8" s="23"/>
      <c r="BG8" s="24"/>
      <c r="BH8" s="24"/>
      <c r="BI8" s="23"/>
      <c r="BJ8" s="24"/>
      <c r="BK8" s="24"/>
      <c r="BL8" s="23"/>
      <c r="BM8" s="24"/>
      <c r="BN8" s="24"/>
      <c r="BO8" s="23"/>
      <c r="BP8" s="24"/>
      <c r="BQ8" s="24"/>
      <c r="BR8" s="23"/>
      <c r="BS8" s="24"/>
      <c r="BT8" s="24"/>
      <c r="BU8" s="23"/>
      <c r="BV8" s="24"/>
      <c r="BW8" s="24"/>
      <c r="BX8" s="23"/>
      <c r="BY8" s="24"/>
      <c r="BZ8" s="24"/>
      <c r="CA8" s="23"/>
      <c r="CB8" s="24"/>
      <c r="CC8" s="24"/>
      <c r="CD8" s="23"/>
      <c r="CE8" s="24"/>
      <c r="CF8" s="24"/>
      <c r="CG8" s="23"/>
      <c r="CH8" s="24"/>
      <c r="CI8" s="24"/>
      <c r="CJ8" s="23"/>
      <c r="CK8" s="24"/>
      <c r="CL8" s="24"/>
      <c r="CM8" s="23"/>
      <c r="CN8" s="24"/>
      <c r="CO8" s="24"/>
      <c r="CP8" s="23"/>
      <c r="CQ8" s="24"/>
      <c r="CR8" s="24"/>
      <c r="CS8" s="23"/>
      <c r="CT8" s="24"/>
      <c r="CU8" s="24"/>
      <c r="CV8" s="23"/>
      <c r="CW8" s="24"/>
      <c r="CX8" s="24"/>
      <c r="CY8" s="23"/>
      <c r="CZ8" s="24"/>
      <c r="DA8" s="23"/>
      <c r="DB8" s="24"/>
      <c r="DC8" s="24"/>
      <c r="DD8" s="23"/>
      <c r="DE8" s="24"/>
      <c r="DF8" s="24"/>
      <c r="DG8" s="23"/>
      <c r="DH8" s="24"/>
      <c r="DI8" s="24"/>
      <c r="DJ8" s="23"/>
      <c r="DK8" s="24"/>
      <c r="DL8" s="24"/>
      <c r="DM8" s="23"/>
      <c r="DN8" s="24"/>
      <c r="DO8" s="24"/>
      <c r="DP8" s="23"/>
      <c r="DQ8" s="24"/>
      <c r="DR8" s="24"/>
      <c r="DS8" s="23"/>
      <c r="DT8" s="24"/>
      <c r="DU8" s="24"/>
      <c r="DV8" s="23"/>
      <c r="DW8" s="24"/>
      <c r="DX8" s="24"/>
      <c r="DY8" s="23"/>
      <c r="DZ8" s="24"/>
      <c r="EA8" s="24"/>
      <c r="EB8" s="23"/>
      <c r="EC8" s="24"/>
      <c r="ED8" s="24"/>
      <c r="EE8" s="23"/>
      <c r="EF8" s="24"/>
      <c r="EG8" s="24"/>
      <c r="EH8" s="23"/>
      <c r="EI8" s="24"/>
      <c r="EJ8" s="24"/>
      <c r="EK8" s="23"/>
      <c r="EL8" s="24"/>
      <c r="EM8" s="24"/>
      <c r="EN8" s="23"/>
      <c r="EO8" s="24"/>
      <c r="EP8" s="24"/>
      <c r="EQ8" s="23"/>
      <c r="ER8" s="24"/>
      <c r="ES8" s="24"/>
      <c r="ET8" s="23"/>
      <c r="EU8" s="24"/>
      <c r="EV8" s="24"/>
      <c r="EW8" s="23"/>
      <c r="EX8" s="24"/>
      <c r="EY8" s="24"/>
      <c r="EZ8" s="23"/>
      <c r="FA8" s="24"/>
      <c r="FB8" s="24"/>
      <c r="FC8" s="23"/>
      <c r="FD8" s="24"/>
      <c r="FE8" s="24"/>
      <c r="FF8" s="23"/>
      <c r="FG8" s="24"/>
      <c r="FH8" s="24"/>
      <c r="FI8" s="23"/>
      <c r="FJ8" s="24"/>
      <c r="FK8" s="24"/>
      <c r="FL8" s="23"/>
      <c r="FM8" s="24"/>
      <c r="FN8" s="24"/>
      <c r="FO8" s="23"/>
      <c r="FP8" s="24"/>
      <c r="FQ8" s="24"/>
      <c r="FR8" s="23"/>
      <c r="FS8" s="24"/>
      <c r="FT8" s="24"/>
      <c r="FU8" s="23"/>
      <c r="FV8" s="24"/>
      <c r="FW8" s="24"/>
      <c r="FX8" s="23"/>
      <c r="FY8" s="24"/>
      <c r="FZ8" s="24"/>
      <c r="GA8" s="23"/>
      <c r="GB8" s="24"/>
      <c r="GC8" s="24"/>
      <c r="GD8" s="23"/>
      <c r="GE8" s="24"/>
      <c r="GF8" s="24"/>
      <c r="GG8" s="23"/>
      <c r="GH8" s="24"/>
      <c r="GI8" s="24"/>
      <c r="GJ8" s="23"/>
      <c r="GK8" s="24"/>
      <c r="GL8" s="24"/>
      <c r="GM8" s="23"/>
      <c r="GN8" s="24"/>
      <c r="GO8" s="24"/>
      <c r="GP8" s="23"/>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c r="HQ8" s="24"/>
      <c r="HR8" s="24"/>
      <c r="HS8" s="24"/>
      <c r="HT8" s="24"/>
      <c r="HU8" s="24"/>
      <c r="HV8" s="24"/>
      <c r="HW8" s="24"/>
      <c r="HX8" s="24"/>
      <c r="HY8" s="24"/>
      <c r="HZ8" s="24"/>
      <c r="IA8" s="24"/>
      <c r="IB8" s="24"/>
      <c r="IC8" s="24"/>
      <c r="ID8" s="24"/>
      <c r="IE8" s="24"/>
      <c r="IF8" s="24"/>
      <c r="IG8" s="24"/>
      <c r="IH8" s="24"/>
      <c r="II8" s="24"/>
      <c r="IJ8" s="24"/>
      <c r="IK8" s="24"/>
      <c r="IL8" s="24"/>
      <c r="IM8" s="24"/>
      <c r="IN8" s="24"/>
      <c r="IO8" s="24"/>
      <c r="IP8" s="24"/>
      <c r="IQ8" s="24"/>
      <c r="IR8" s="24"/>
      <c r="IS8" s="24"/>
      <c r="IT8" s="24"/>
      <c r="IU8" s="24"/>
      <c r="IV8" s="24"/>
      <c r="IW8" s="24"/>
      <c r="IX8" s="24"/>
      <c r="IY8" s="24"/>
      <c r="IZ8" s="24"/>
      <c r="JA8" s="24"/>
      <c r="JB8" s="24"/>
      <c r="JC8" s="24"/>
      <c r="JD8" s="24"/>
      <c r="JE8" s="24"/>
      <c r="JF8" s="24"/>
      <c r="JG8" s="24"/>
      <c r="JH8" s="24"/>
      <c r="JI8" s="24"/>
      <c r="JJ8" s="24"/>
      <c r="JK8" s="24"/>
      <c r="JL8" s="24"/>
      <c r="JM8" s="24"/>
      <c r="JN8" s="24"/>
      <c r="JO8" s="24"/>
      <c r="JP8" s="24"/>
      <c r="JQ8" s="24"/>
      <c r="JR8" s="24"/>
      <c r="JS8" s="24"/>
      <c r="JT8" s="24"/>
      <c r="JU8" s="24"/>
      <c r="JV8" s="24"/>
      <c r="JW8" s="24"/>
      <c r="JX8" s="24"/>
      <c r="JY8" s="24"/>
      <c r="JZ8" s="24"/>
      <c r="KA8" s="24"/>
      <c r="KB8" s="24"/>
      <c r="KC8" s="24"/>
      <c r="KD8" s="24"/>
      <c r="KE8" s="24"/>
      <c r="KF8" s="24"/>
      <c r="KG8" s="24"/>
      <c r="KH8" s="24"/>
      <c r="KI8" s="24"/>
      <c r="KJ8" s="24"/>
      <c r="KK8" s="24"/>
      <c r="KL8" s="24"/>
      <c r="KM8" s="24"/>
      <c r="KN8" s="24"/>
      <c r="KO8" s="24"/>
      <c r="KP8" s="24"/>
      <c r="KQ8" s="24"/>
      <c r="KR8" s="24"/>
      <c r="KS8" s="24"/>
      <c r="KT8" s="24"/>
      <c r="KU8" s="24"/>
      <c r="KV8" s="24"/>
      <c r="KW8" s="24"/>
      <c r="KX8" s="24"/>
    </row>
    <row r="9" spans="1:310" x14ac:dyDescent="0.25">
      <c r="A9" s="3"/>
      <c r="B9" s="25" t="s">
        <v>149</v>
      </c>
      <c r="C9" s="26" t="s">
        <v>150</v>
      </c>
      <c r="D9" s="26" t="s">
        <v>151</v>
      </c>
      <c r="E9" s="26" t="s">
        <v>152</v>
      </c>
      <c r="F9" s="26" t="s">
        <v>2</v>
      </c>
      <c r="G9" s="26" t="s">
        <v>3</v>
      </c>
      <c r="H9" s="26" t="s">
        <v>153</v>
      </c>
      <c r="I9" s="27"/>
      <c r="J9" s="28" t="str">
        <f t="shared" ref="J9:BU9" si="0">LEFT(TEXT(J7,"ddd"),1)</f>
        <v>s</v>
      </c>
      <c r="K9" s="28" t="str">
        <f t="shared" si="0"/>
        <v>d</v>
      </c>
      <c r="L9" s="28" t="str">
        <f t="shared" si="0"/>
        <v>l</v>
      </c>
      <c r="M9" s="28" t="str">
        <f t="shared" si="0"/>
        <v>m</v>
      </c>
      <c r="N9" s="28" t="str">
        <f t="shared" si="0"/>
        <v>m</v>
      </c>
      <c r="O9" s="28" t="str">
        <f t="shared" si="0"/>
        <v>j</v>
      </c>
      <c r="P9" s="28" t="str">
        <f t="shared" si="0"/>
        <v>v</v>
      </c>
      <c r="Q9" s="28" t="str">
        <f t="shared" si="0"/>
        <v>s</v>
      </c>
      <c r="R9" s="28" t="str">
        <f t="shared" si="0"/>
        <v>d</v>
      </c>
      <c r="S9" s="28" t="str">
        <f t="shared" si="0"/>
        <v>l</v>
      </c>
      <c r="T9" s="28" t="str">
        <f t="shared" si="0"/>
        <v>m</v>
      </c>
      <c r="U9" s="28" t="str">
        <f t="shared" si="0"/>
        <v>m</v>
      </c>
      <c r="V9" s="28" t="str">
        <f t="shared" si="0"/>
        <v>j</v>
      </c>
      <c r="W9" s="28" t="str">
        <f t="shared" si="0"/>
        <v>v</v>
      </c>
      <c r="X9" s="28" t="str">
        <f t="shared" si="0"/>
        <v>s</v>
      </c>
      <c r="Y9" s="28" t="str">
        <f t="shared" si="0"/>
        <v>d</v>
      </c>
      <c r="Z9" s="28" t="str">
        <f t="shared" si="0"/>
        <v>l</v>
      </c>
      <c r="AA9" s="28" t="str">
        <f t="shared" si="0"/>
        <v>m</v>
      </c>
      <c r="AB9" s="28" t="str">
        <f t="shared" si="0"/>
        <v>m</v>
      </c>
      <c r="AC9" s="28" t="str">
        <f t="shared" si="0"/>
        <v>j</v>
      </c>
      <c r="AD9" s="28" t="str">
        <f t="shared" si="0"/>
        <v>v</v>
      </c>
      <c r="AE9" s="28" t="str">
        <f t="shared" si="0"/>
        <v>s</v>
      </c>
      <c r="AF9" s="28" t="str">
        <f t="shared" si="0"/>
        <v>d</v>
      </c>
      <c r="AG9" s="28" t="str">
        <f t="shared" si="0"/>
        <v>l</v>
      </c>
      <c r="AH9" s="28" t="str">
        <f t="shared" si="0"/>
        <v>m</v>
      </c>
      <c r="AI9" s="28" t="str">
        <f t="shared" si="0"/>
        <v>m</v>
      </c>
      <c r="AJ9" s="28" t="str">
        <f t="shared" si="0"/>
        <v>j</v>
      </c>
      <c r="AK9" s="28" t="str">
        <f t="shared" si="0"/>
        <v>v</v>
      </c>
      <c r="AL9" s="28" t="str">
        <f t="shared" si="0"/>
        <v>s</v>
      </c>
      <c r="AM9" s="28" t="str">
        <f t="shared" si="0"/>
        <v>d</v>
      </c>
      <c r="AN9" s="28" t="str">
        <f t="shared" si="0"/>
        <v>l</v>
      </c>
      <c r="AO9" s="28" t="str">
        <f t="shared" si="0"/>
        <v>m</v>
      </c>
      <c r="AP9" s="28" t="str">
        <f t="shared" si="0"/>
        <v>m</v>
      </c>
      <c r="AQ9" s="28" t="str">
        <f t="shared" si="0"/>
        <v>j</v>
      </c>
      <c r="AR9" s="28" t="str">
        <f t="shared" si="0"/>
        <v>v</v>
      </c>
      <c r="AS9" s="28" t="str">
        <f t="shared" si="0"/>
        <v>s</v>
      </c>
      <c r="AT9" s="28" t="str">
        <f t="shared" si="0"/>
        <v>d</v>
      </c>
      <c r="AU9" s="28" t="str">
        <f t="shared" si="0"/>
        <v>l</v>
      </c>
      <c r="AV9" s="28" t="str">
        <f t="shared" si="0"/>
        <v>m</v>
      </c>
      <c r="AW9" s="28" t="str">
        <f t="shared" si="0"/>
        <v>m</v>
      </c>
      <c r="AX9" s="28" t="str">
        <f t="shared" si="0"/>
        <v>j</v>
      </c>
      <c r="AY9" s="28" t="str">
        <f t="shared" si="0"/>
        <v>v</v>
      </c>
      <c r="AZ9" s="28" t="str">
        <f t="shared" si="0"/>
        <v>s</v>
      </c>
      <c r="BA9" s="28" t="str">
        <f t="shared" si="0"/>
        <v>d</v>
      </c>
      <c r="BB9" s="28" t="str">
        <f t="shared" si="0"/>
        <v>l</v>
      </c>
      <c r="BC9" s="28" t="str">
        <f t="shared" si="0"/>
        <v>m</v>
      </c>
      <c r="BD9" s="28" t="str">
        <f t="shared" si="0"/>
        <v>m</v>
      </c>
      <c r="BE9" s="28" t="str">
        <f t="shared" si="0"/>
        <v>j</v>
      </c>
      <c r="BF9" s="28" t="str">
        <f t="shared" si="0"/>
        <v>v</v>
      </c>
      <c r="BG9" s="28" t="str">
        <f t="shared" si="0"/>
        <v>s</v>
      </c>
      <c r="BH9" s="28" t="str">
        <f t="shared" si="0"/>
        <v>d</v>
      </c>
      <c r="BI9" s="28" t="str">
        <f t="shared" si="0"/>
        <v>l</v>
      </c>
      <c r="BJ9" s="28" t="str">
        <f t="shared" si="0"/>
        <v>m</v>
      </c>
      <c r="BK9" s="28" t="str">
        <f t="shared" si="0"/>
        <v>m</v>
      </c>
      <c r="BL9" s="28" t="str">
        <f t="shared" si="0"/>
        <v>j</v>
      </c>
      <c r="BM9" s="28" t="str">
        <f t="shared" si="0"/>
        <v>v</v>
      </c>
      <c r="BN9" s="28" t="str">
        <f t="shared" si="0"/>
        <v>s</v>
      </c>
      <c r="BO9" s="28" t="str">
        <f t="shared" si="0"/>
        <v>d</v>
      </c>
      <c r="BP9" s="28" t="str">
        <f t="shared" si="0"/>
        <v>l</v>
      </c>
      <c r="BQ9" s="28" t="str">
        <f t="shared" si="0"/>
        <v>m</v>
      </c>
      <c r="BR9" s="28" t="str">
        <f t="shared" si="0"/>
        <v>m</v>
      </c>
      <c r="BS9" s="28" t="str">
        <f t="shared" si="0"/>
        <v>j</v>
      </c>
      <c r="BT9" s="28" t="str">
        <f t="shared" si="0"/>
        <v>v</v>
      </c>
      <c r="BU9" s="28" t="str">
        <f t="shared" si="0"/>
        <v>s</v>
      </c>
      <c r="BV9" s="28" t="str">
        <f t="shared" ref="BV9:EG9" si="1">LEFT(TEXT(BV7,"ddd"),1)</f>
        <v>d</v>
      </c>
      <c r="BW9" s="28" t="str">
        <f t="shared" si="1"/>
        <v>l</v>
      </c>
      <c r="BX9" s="28" t="str">
        <f t="shared" si="1"/>
        <v>m</v>
      </c>
      <c r="BY9" s="28" t="str">
        <f t="shared" si="1"/>
        <v>m</v>
      </c>
      <c r="BZ9" s="28" t="str">
        <f t="shared" si="1"/>
        <v>j</v>
      </c>
      <c r="CA9" s="28" t="str">
        <f t="shared" si="1"/>
        <v>v</v>
      </c>
      <c r="CB9" s="28" t="str">
        <f t="shared" si="1"/>
        <v>s</v>
      </c>
      <c r="CC9" s="28" t="str">
        <f t="shared" si="1"/>
        <v>d</v>
      </c>
      <c r="CD9" s="28" t="str">
        <f t="shared" si="1"/>
        <v>l</v>
      </c>
      <c r="CE9" s="28" t="str">
        <f t="shared" si="1"/>
        <v>m</v>
      </c>
      <c r="CF9" s="28" t="str">
        <f t="shared" si="1"/>
        <v>m</v>
      </c>
      <c r="CG9" s="28" t="str">
        <f t="shared" si="1"/>
        <v>j</v>
      </c>
      <c r="CH9" s="28" t="str">
        <f t="shared" si="1"/>
        <v>v</v>
      </c>
      <c r="CI9" s="28" t="str">
        <f t="shared" si="1"/>
        <v>s</v>
      </c>
      <c r="CJ9" s="28" t="str">
        <f t="shared" si="1"/>
        <v>d</v>
      </c>
      <c r="CK9" s="28" t="str">
        <f t="shared" si="1"/>
        <v>l</v>
      </c>
      <c r="CL9" s="28" t="str">
        <f t="shared" si="1"/>
        <v>m</v>
      </c>
      <c r="CM9" s="28" t="str">
        <f t="shared" si="1"/>
        <v>m</v>
      </c>
      <c r="CN9" s="28" t="str">
        <f t="shared" si="1"/>
        <v>j</v>
      </c>
      <c r="CO9" s="28" t="str">
        <f t="shared" si="1"/>
        <v>v</v>
      </c>
      <c r="CP9" s="28" t="str">
        <f t="shared" si="1"/>
        <v>s</v>
      </c>
      <c r="CQ9" s="28" t="str">
        <f t="shared" si="1"/>
        <v>d</v>
      </c>
      <c r="CR9" s="28" t="str">
        <f t="shared" si="1"/>
        <v>l</v>
      </c>
      <c r="CS9" s="28" t="str">
        <f t="shared" si="1"/>
        <v>m</v>
      </c>
      <c r="CT9" s="28" t="str">
        <f t="shared" si="1"/>
        <v>m</v>
      </c>
      <c r="CU9" s="28" t="str">
        <f t="shared" si="1"/>
        <v>j</v>
      </c>
      <c r="CV9" s="28" t="str">
        <f t="shared" si="1"/>
        <v>v</v>
      </c>
      <c r="CW9" s="28" t="str">
        <f t="shared" si="1"/>
        <v>s</v>
      </c>
      <c r="CX9" s="28" t="str">
        <f t="shared" si="1"/>
        <v>d</v>
      </c>
      <c r="CY9" s="28" t="str">
        <f t="shared" si="1"/>
        <v>l</v>
      </c>
      <c r="CZ9" s="28" t="str">
        <f t="shared" si="1"/>
        <v>m</v>
      </c>
      <c r="DA9" s="28" t="str">
        <f t="shared" si="1"/>
        <v>m</v>
      </c>
      <c r="DB9" s="28" t="str">
        <f t="shared" si="1"/>
        <v>j</v>
      </c>
      <c r="DC9" s="28" t="str">
        <f t="shared" si="1"/>
        <v>v</v>
      </c>
      <c r="DD9" s="28" t="str">
        <f t="shared" si="1"/>
        <v>s</v>
      </c>
      <c r="DE9" s="28" t="str">
        <f t="shared" si="1"/>
        <v>d</v>
      </c>
      <c r="DF9" s="28" t="str">
        <f t="shared" si="1"/>
        <v>l</v>
      </c>
      <c r="DG9" s="28" t="str">
        <f t="shared" si="1"/>
        <v>m</v>
      </c>
      <c r="DH9" s="28" t="str">
        <f t="shared" si="1"/>
        <v>m</v>
      </c>
      <c r="DI9" s="28" t="str">
        <f t="shared" si="1"/>
        <v>j</v>
      </c>
      <c r="DJ9" s="28" t="str">
        <f t="shared" si="1"/>
        <v>v</v>
      </c>
      <c r="DK9" s="28" t="str">
        <f t="shared" si="1"/>
        <v>s</v>
      </c>
      <c r="DL9" s="28" t="str">
        <f t="shared" si="1"/>
        <v>d</v>
      </c>
      <c r="DM9" s="28" t="str">
        <f t="shared" si="1"/>
        <v>l</v>
      </c>
      <c r="DN9" s="28" t="str">
        <f t="shared" si="1"/>
        <v>m</v>
      </c>
      <c r="DO9" s="28" t="str">
        <f t="shared" si="1"/>
        <v>m</v>
      </c>
      <c r="DP9" s="28" t="str">
        <f t="shared" si="1"/>
        <v>j</v>
      </c>
      <c r="DQ9" s="28" t="str">
        <f t="shared" si="1"/>
        <v>v</v>
      </c>
      <c r="DR9" s="28" t="str">
        <f t="shared" si="1"/>
        <v>s</v>
      </c>
      <c r="DS9" s="28" t="str">
        <f t="shared" si="1"/>
        <v>d</v>
      </c>
      <c r="DT9" s="28" t="str">
        <f t="shared" si="1"/>
        <v>l</v>
      </c>
      <c r="DU9" s="28" t="str">
        <f t="shared" si="1"/>
        <v>m</v>
      </c>
      <c r="DV9" s="28" t="str">
        <f t="shared" si="1"/>
        <v>m</v>
      </c>
      <c r="DW9" s="28" t="str">
        <f t="shared" si="1"/>
        <v>j</v>
      </c>
      <c r="DX9" s="28" t="str">
        <f t="shared" si="1"/>
        <v>v</v>
      </c>
      <c r="DY9" s="28" t="str">
        <f t="shared" si="1"/>
        <v>s</v>
      </c>
      <c r="DZ9" s="28" t="str">
        <f t="shared" si="1"/>
        <v>d</v>
      </c>
      <c r="EA9" s="28" t="str">
        <f t="shared" si="1"/>
        <v>l</v>
      </c>
      <c r="EB9" s="28" t="str">
        <f t="shared" si="1"/>
        <v>m</v>
      </c>
      <c r="EC9" s="28" t="str">
        <f t="shared" si="1"/>
        <v>m</v>
      </c>
      <c r="ED9" s="28" t="str">
        <f t="shared" si="1"/>
        <v>j</v>
      </c>
      <c r="EE9" s="28" t="str">
        <f t="shared" si="1"/>
        <v>v</v>
      </c>
      <c r="EF9" s="28" t="str">
        <f t="shared" si="1"/>
        <v>s</v>
      </c>
      <c r="EG9" s="28" t="str">
        <f t="shared" si="1"/>
        <v>d</v>
      </c>
      <c r="EH9" s="28" t="str">
        <f t="shared" ref="EH9:GS9" si="2">LEFT(TEXT(EH7,"ddd"),1)</f>
        <v>l</v>
      </c>
      <c r="EI9" s="28" t="str">
        <f t="shared" si="2"/>
        <v>m</v>
      </c>
      <c r="EJ9" s="28" t="str">
        <f t="shared" si="2"/>
        <v>m</v>
      </c>
      <c r="EK9" s="28" t="str">
        <f t="shared" si="2"/>
        <v>j</v>
      </c>
      <c r="EL9" s="28" t="str">
        <f t="shared" si="2"/>
        <v>v</v>
      </c>
      <c r="EM9" s="28" t="str">
        <f t="shared" si="2"/>
        <v>s</v>
      </c>
      <c r="EN9" s="28" t="str">
        <f t="shared" si="2"/>
        <v>d</v>
      </c>
      <c r="EO9" s="28" t="str">
        <f t="shared" si="2"/>
        <v>l</v>
      </c>
      <c r="EP9" s="28" t="str">
        <f t="shared" si="2"/>
        <v>m</v>
      </c>
      <c r="EQ9" s="28" t="str">
        <f t="shared" si="2"/>
        <v>m</v>
      </c>
      <c r="ER9" s="28" t="str">
        <f t="shared" si="2"/>
        <v>j</v>
      </c>
      <c r="ES9" s="28" t="str">
        <f t="shared" si="2"/>
        <v>v</v>
      </c>
      <c r="ET9" s="28" t="str">
        <f t="shared" si="2"/>
        <v>s</v>
      </c>
      <c r="EU9" s="28" t="str">
        <f t="shared" si="2"/>
        <v>d</v>
      </c>
      <c r="EV9" s="28" t="str">
        <f t="shared" si="2"/>
        <v>l</v>
      </c>
      <c r="EW9" s="28" t="str">
        <f t="shared" si="2"/>
        <v>m</v>
      </c>
      <c r="EX9" s="28" t="str">
        <f t="shared" si="2"/>
        <v>m</v>
      </c>
      <c r="EY9" s="28" t="str">
        <f t="shared" si="2"/>
        <v>j</v>
      </c>
      <c r="EZ9" s="28" t="str">
        <f t="shared" si="2"/>
        <v>v</v>
      </c>
      <c r="FA9" s="28" t="str">
        <f t="shared" si="2"/>
        <v>s</v>
      </c>
      <c r="FB9" s="28" t="str">
        <f t="shared" si="2"/>
        <v>d</v>
      </c>
      <c r="FC9" s="28" t="str">
        <f t="shared" si="2"/>
        <v>l</v>
      </c>
      <c r="FD9" s="28" t="str">
        <f t="shared" si="2"/>
        <v>m</v>
      </c>
      <c r="FE9" s="28" t="str">
        <f t="shared" si="2"/>
        <v>m</v>
      </c>
      <c r="FF9" s="28" t="str">
        <f t="shared" si="2"/>
        <v>j</v>
      </c>
      <c r="FG9" s="28" t="str">
        <f t="shared" si="2"/>
        <v>v</v>
      </c>
      <c r="FH9" s="28" t="str">
        <f t="shared" si="2"/>
        <v>s</v>
      </c>
      <c r="FI9" s="28" t="str">
        <f t="shared" si="2"/>
        <v>d</v>
      </c>
      <c r="FJ9" s="28" t="str">
        <f t="shared" si="2"/>
        <v>l</v>
      </c>
      <c r="FK9" s="28" t="str">
        <f t="shared" si="2"/>
        <v>m</v>
      </c>
      <c r="FL9" s="28" t="str">
        <f t="shared" si="2"/>
        <v>m</v>
      </c>
      <c r="FM9" s="28" t="str">
        <f t="shared" si="2"/>
        <v>j</v>
      </c>
      <c r="FN9" s="28" t="str">
        <f t="shared" si="2"/>
        <v>v</v>
      </c>
      <c r="FO9" s="28" t="str">
        <f t="shared" si="2"/>
        <v>s</v>
      </c>
      <c r="FP9" s="28" t="str">
        <f t="shared" si="2"/>
        <v>d</v>
      </c>
      <c r="FQ9" s="28" t="str">
        <f t="shared" si="2"/>
        <v>l</v>
      </c>
      <c r="FR9" s="28" t="str">
        <f t="shared" si="2"/>
        <v>m</v>
      </c>
      <c r="FS9" s="28" t="str">
        <f t="shared" si="2"/>
        <v>m</v>
      </c>
      <c r="FT9" s="28" t="str">
        <f t="shared" si="2"/>
        <v>j</v>
      </c>
      <c r="FU9" s="28" t="str">
        <f t="shared" si="2"/>
        <v>v</v>
      </c>
      <c r="FV9" s="28" t="str">
        <f t="shared" si="2"/>
        <v>s</v>
      </c>
      <c r="FW9" s="28" t="str">
        <f t="shared" si="2"/>
        <v>d</v>
      </c>
      <c r="FX9" s="28" t="str">
        <f t="shared" si="2"/>
        <v>l</v>
      </c>
      <c r="FY9" s="28" t="str">
        <f t="shared" si="2"/>
        <v>m</v>
      </c>
      <c r="FZ9" s="28" t="str">
        <f t="shared" si="2"/>
        <v>m</v>
      </c>
      <c r="GA9" s="28" t="str">
        <f t="shared" si="2"/>
        <v>j</v>
      </c>
      <c r="GB9" s="28" t="str">
        <f t="shared" si="2"/>
        <v>v</v>
      </c>
      <c r="GC9" s="28" t="str">
        <f t="shared" si="2"/>
        <v>s</v>
      </c>
      <c r="GD9" s="28" t="str">
        <f t="shared" si="2"/>
        <v>d</v>
      </c>
      <c r="GE9" s="28" t="str">
        <f t="shared" si="2"/>
        <v>l</v>
      </c>
      <c r="GF9" s="28" t="str">
        <f t="shared" si="2"/>
        <v>m</v>
      </c>
      <c r="GG9" s="28" t="str">
        <f t="shared" si="2"/>
        <v>m</v>
      </c>
      <c r="GH9" s="28" t="str">
        <f t="shared" si="2"/>
        <v>j</v>
      </c>
      <c r="GI9" s="28" t="str">
        <f t="shared" si="2"/>
        <v>v</v>
      </c>
      <c r="GJ9" s="28" t="str">
        <f t="shared" si="2"/>
        <v>s</v>
      </c>
      <c r="GK9" s="28" t="str">
        <f t="shared" si="2"/>
        <v>d</v>
      </c>
      <c r="GL9" s="28" t="str">
        <f t="shared" si="2"/>
        <v>l</v>
      </c>
      <c r="GM9" s="28" t="str">
        <f t="shared" si="2"/>
        <v>m</v>
      </c>
      <c r="GN9" s="28" t="str">
        <f t="shared" si="2"/>
        <v>m</v>
      </c>
      <c r="GO9" s="28" t="str">
        <f t="shared" si="2"/>
        <v>j</v>
      </c>
      <c r="GP9" s="28" t="str">
        <f t="shared" si="2"/>
        <v>v</v>
      </c>
      <c r="GQ9" s="28" t="str">
        <f t="shared" si="2"/>
        <v>v</v>
      </c>
      <c r="GR9" s="28" t="str">
        <f t="shared" si="2"/>
        <v>s</v>
      </c>
      <c r="GS9" s="28" t="str">
        <f t="shared" si="2"/>
        <v>d</v>
      </c>
      <c r="GT9" s="28" t="str">
        <f t="shared" ref="GT9:JE9" si="3">LEFT(TEXT(GT7,"ddd"),1)</f>
        <v>l</v>
      </c>
      <c r="GU9" s="28" t="str">
        <f t="shared" si="3"/>
        <v>m</v>
      </c>
      <c r="GV9" s="28" t="str">
        <f t="shared" si="3"/>
        <v>m</v>
      </c>
      <c r="GW9" s="28" t="str">
        <f t="shared" si="3"/>
        <v>j</v>
      </c>
      <c r="GX9" s="28" t="str">
        <f t="shared" si="3"/>
        <v>v</v>
      </c>
      <c r="GY9" s="28" t="str">
        <f t="shared" si="3"/>
        <v>s</v>
      </c>
      <c r="GZ9" s="28" t="str">
        <f t="shared" si="3"/>
        <v>d</v>
      </c>
      <c r="HA9" s="28" t="str">
        <f t="shared" si="3"/>
        <v>l</v>
      </c>
      <c r="HB9" s="28" t="str">
        <f t="shared" si="3"/>
        <v>m</v>
      </c>
      <c r="HC9" s="28" t="str">
        <f t="shared" si="3"/>
        <v>m</v>
      </c>
      <c r="HD9" s="28" t="str">
        <f t="shared" si="3"/>
        <v>j</v>
      </c>
      <c r="HE9" s="28" t="str">
        <f t="shared" si="3"/>
        <v>v</v>
      </c>
      <c r="HF9" s="28" t="str">
        <f t="shared" si="3"/>
        <v>s</v>
      </c>
      <c r="HG9" s="28" t="str">
        <f t="shared" si="3"/>
        <v>d</v>
      </c>
      <c r="HH9" s="28" t="str">
        <f t="shared" si="3"/>
        <v>l</v>
      </c>
      <c r="HI9" s="28" t="str">
        <f t="shared" si="3"/>
        <v>m</v>
      </c>
      <c r="HJ9" s="28" t="str">
        <f t="shared" si="3"/>
        <v>m</v>
      </c>
      <c r="HK9" s="28" t="str">
        <f t="shared" si="3"/>
        <v>j</v>
      </c>
      <c r="HL9" s="28" t="str">
        <f t="shared" si="3"/>
        <v>v</v>
      </c>
      <c r="HM9" s="28" t="str">
        <f t="shared" si="3"/>
        <v>s</v>
      </c>
      <c r="HN9" s="28" t="str">
        <f t="shared" si="3"/>
        <v>d</v>
      </c>
      <c r="HO9" s="28" t="str">
        <f t="shared" si="3"/>
        <v>l</v>
      </c>
      <c r="HP9" s="28" t="str">
        <f t="shared" si="3"/>
        <v>m</v>
      </c>
      <c r="HQ9" s="28" t="str">
        <f t="shared" si="3"/>
        <v>m</v>
      </c>
      <c r="HR9" s="28" t="str">
        <f t="shared" si="3"/>
        <v>j</v>
      </c>
      <c r="HS9" s="28" t="str">
        <f t="shared" si="3"/>
        <v>v</v>
      </c>
      <c r="HT9" s="28" t="str">
        <f t="shared" si="3"/>
        <v>s</v>
      </c>
      <c r="HU9" s="28" t="str">
        <f t="shared" si="3"/>
        <v>d</v>
      </c>
      <c r="HV9" s="28" t="str">
        <f t="shared" si="3"/>
        <v>l</v>
      </c>
      <c r="HW9" s="28" t="str">
        <f t="shared" si="3"/>
        <v>m</v>
      </c>
      <c r="HX9" s="28" t="str">
        <f t="shared" si="3"/>
        <v>m</v>
      </c>
      <c r="HY9" s="28" t="str">
        <f t="shared" si="3"/>
        <v>j</v>
      </c>
      <c r="HZ9" s="28" t="str">
        <f t="shared" si="3"/>
        <v>v</v>
      </c>
      <c r="IA9" s="28" t="str">
        <f t="shared" si="3"/>
        <v>s</v>
      </c>
      <c r="IB9" s="28" t="str">
        <f t="shared" si="3"/>
        <v>d</v>
      </c>
      <c r="IC9" s="28" t="str">
        <f t="shared" si="3"/>
        <v>l</v>
      </c>
      <c r="ID9" s="28" t="str">
        <f t="shared" si="3"/>
        <v>m</v>
      </c>
      <c r="IE9" s="28" t="str">
        <f t="shared" si="3"/>
        <v>m</v>
      </c>
      <c r="IF9" s="28" t="str">
        <f t="shared" si="3"/>
        <v>j</v>
      </c>
      <c r="IG9" s="28" t="str">
        <f t="shared" si="3"/>
        <v>v</v>
      </c>
      <c r="IH9" s="28" t="str">
        <f t="shared" si="3"/>
        <v>s</v>
      </c>
      <c r="II9" s="28" t="str">
        <f t="shared" si="3"/>
        <v>d</v>
      </c>
      <c r="IJ9" s="28" t="str">
        <f t="shared" si="3"/>
        <v>l</v>
      </c>
      <c r="IK9" s="28" t="str">
        <f t="shared" si="3"/>
        <v>m</v>
      </c>
      <c r="IL9" s="28" t="str">
        <f t="shared" si="3"/>
        <v>m</v>
      </c>
      <c r="IM9" s="28" t="str">
        <f t="shared" si="3"/>
        <v>j</v>
      </c>
      <c r="IN9" s="28" t="str">
        <f t="shared" si="3"/>
        <v>v</v>
      </c>
      <c r="IO9" s="28" t="str">
        <f t="shared" si="3"/>
        <v>s</v>
      </c>
      <c r="IP9" s="28" t="str">
        <f t="shared" si="3"/>
        <v>d</v>
      </c>
      <c r="IQ9" s="28" t="str">
        <f t="shared" si="3"/>
        <v>l</v>
      </c>
      <c r="IR9" s="28" t="str">
        <f t="shared" si="3"/>
        <v>m</v>
      </c>
      <c r="IS9" s="28" t="str">
        <f t="shared" si="3"/>
        <v>m</v>
      </c>
      <c r="IT9" s="28" t="str">
        <f t="shared" si="3"/>
        <v>j</v>
      </c>
      <c r="IU9" s="28" t="str">
        <f t="shared" si="3"/>
        <v>v</v>
      </c>
      <c r="IV9" s="28" t="str">
        <f t="shared" si="3"/>
        <v>s</v>
      </c>
      <c r="IW9" s="28" t="str">
        <f t="shared" si="3"/>
        <v>d</v>
      </c>
      <c r="IX9" s="28" t="str">
        <f t="shared" si="3"/>
        <v>l</v>
      </c>
      <c r="IY9" s="28" t="str">
        <f t="shared" si="3"/>
        <v>m</v>
      </c>
      <c r="IZ9" s="28" t="str">
        <f t="shared" si="3"/>
        <v>m</v>
      </c>
      <c r="JA9" s="28" t="str">
        <f t="shared" si="3"/>
        <v>j</v>
      </c>
      <c r="JB9" s="28" t="str">
        <f t="shared" si="3"/>
        <v>v</v>
      </c>
      <c r="JC9" s="28" t="str">
        <f t="shared" si="3"/>
        <v>s</v>
      </c>
      <c r="JD9" s="28" t="str">
        <f t="shared" si="3"/>
        <v>d</v>
      </c>
      <c r="JE9" s="28" t="str">
        <f t="shared" si="3"/>
        <v>l</v>
      </c>
      <c r="JF9" s="28" t="str">
        <f t="shared" ref="JF9:KX9" si="4">LEFT(TEXT(JF7,"ddd"),1)</f>
        <v>m</v>
      </c>
      <c r="JG9" s="28" t="str">
        <f t="shared" si="4"/>
        <v>m</v>
      </c>
      <c r="JH9" s="28" t="str">
        <f t="shared" si="4"/>
        <v>j</v>
      </c>
      <c r="JI9" s="28" t="str">
        <f t="shared" si="4"/>
        <v>v</v>
      </c>
      <c r="JJ9" s="28" t="str">
        <f t="shared" si="4"/>
        <v>s</v>
      </c>
      <c r="JK9" s="28" t="str">
        <f t="shared" si="4"/>
        <v>d</v>
      </c>
      <c r="JL9" s="28" t="str">
        <f t="shared" si="4"/>
        <v>l</v>
      </c>
      <c r="JM9" s="28" t="str">
        <f t="shared" si="4"/>
        <v>m</v>
      </c>
      <c r="JN9" s="28" t="str">
        <f t="shared" si="4"/>
        <v>m</v>
      </c>
      <c r="JO9" s="28" t="str">
        <f t="shared" si="4"/>
        <v>j</v>
      </c>
      <c r="JP9" s="28" t="str">
        <f t="shared" si="4"/>
        <v>v</v>
      </c>
      <c r="JQ9" s="28" t="str">
        <f t="shared" si="4"/>
        <v>s</v>
      </c>
      <c r="JR9" s="28" t="str">
        <f t="shared" si="4"/>
        <v>d</v>
      </c>
      <c r="JS9" s="28" t="str">
        <f t="shared" si="4"/>
        <v>l</v>
      </c>
      <c r="JT9" s="28" t="str">
        <f t="shared" si="4"/>
        <v>m</v>
      </c>
      <c r="JU9" s="28" t="str">
        <f t="shared" si="4"/>
        <v>m</v>
      </c>
      <c r="JV9" s="28" t="str">
        <f t="shared" si="4"/>
        <v>j</v>
      </c>
      <c r="JW9" s="28" t="str">
        <f t="shared" si="4"/>
        <v>v</v>
      </c>
      <c r="JX9" s="28" t="str">
        <f t="shared" si="4"/>
        <v>s</v>
      </c>
      <c r="JY9" s="28" t="str">
        <f t="shared" si="4"/>
        <v>d</v>
      </c>
      <c r="JZ9" s="28" t="str">
        <f t="shared" si="4"/>
        <v>l</v>
      </c>
      <c r="KA9" s="28" t="str">
        <f t="shared" si="4"/>
        <v>m</v>
      </c>
      <c r="KB9" s="28" t="str">
        <f t="shared" si="4"/>
        <v>m</v>
      </c>
      <c r="KC9" s="28" t="str">
        <f t="shared" si="4"/>
        <v>j</v>
      </c>
      <c r="KD9" s="28" t="str">
        <f t="shared" si="4"/>
        <v>v</v>
      </c>
      <c r="KE9" s="28" t="str">
        <f t="shared" si="4"/>
        <v>s</v>
      </c>
      <c r="KF9" s="28" t="str">
        <f t="shared" si="4"/>
        <v>d</v>
      </c>
      <c r="KG9" s="28" t="str">
        <f t="shared" si="4"/>
        <v>l</v>
      </c>
      <c r="KH9" s="28" t="str">
        <f t="shared" si="4"/>
        <v>m</v>
      </c>
      <c r="KI9" s="28" t="str">
        <f t="shared" si="4"/>
        <v>m</v>
      </c>
      <c r="KJ9" s="28" t="str">
        <f t="shared" si="4"/>
        <v>j</v>
      </c>
      <c r="KK9" s="28" t="str">
        <f t="shared" si="4"/>
        <v>v</v>
      </c>
      <c r="KL9" s="28" t="str">
        <f t="shared" si="4"/>
        <v>s</v>
      </c>
      <c r="KM9" s="28" t="str">
        <f t="shared" si="4"/>
        <v>d</v>
      </c>
      <c r="KN9" s="28" t="str">
        <f t="shared" si="4"/>
        <v>l</v>
      </c>
      <c r="KO9" s="28" t="str">
        <f t="shared" si="4"/>
        <v>m</v>
      </c>
      <c r="KP9" s="28" t="str">
        <f t="shared" si="4"/>
        <v>m</v>
      </c>
      <c r="KQ9" s="28" t="str">
        <f t="shared" si="4"/>
        <v>j</v>
      </c>
      <c r="KR9" s="28" t="str">
        <f t="shared" si="4"/>
        <v>v</v>
      </c>
      <c r="KS9" s="28" t="str">
        <f t="shared" si="4"/>
        <v>s</v>
      </c>
      <c r="KT9" s="28" t="str">
        <f t="shared" si="4"/>
        <v>d</v>
      </c>
      <c r="KU9" s="28" t="str">
        <f t="shared" si="4"/>
        <v>l</v>
      </c>
      <c r="KV9" s="28" t="str">
        <f t="shared" si="4"/>
        <v>m</v>
      </c>
      <c r="KW9" s="28" t="str">
        <f t="shared" si="4"/>
        <v>m</v>
      </c>
      <c r="KX9" s="28" t="str">
        <f t="shared" si="4"/>
        <v>j</v>
      </c>
    </row>
    <row r="10" spans="1:310" x14ac:dyDescent="0.25">
      <c r="B10" s="30" t="s">
        <v>154</v>
      </c>
      <c r="C10" s="31" t="s">
        <v>144</v>
      </c>
      <c r="D10" s="32" t="s">
        <v>160</v>
      </c>
      <c r="E10" s="31">
        <f>+((E11*H11)+(E26*H26))/SUM(H11+H26)</f>
        <v>0.45161290322580644</v>
      </c>
      <c r="F10" s="33">
        <f>+F11</f>
        <v>46006</v>
      </c>
      <c r="G10" s="33">
        <f>+G26</f>
        <v>46388</v>
      </c>
      <c r="H10" s="34">
        <f>+SUM(H11+H26)</f>
        <v>31</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row>
    <row r="11" spans="1:310" x14ac:dyDescent="0.25">
      <c r="A11" s="35" t="s">
        <v>155</v>
      </c>
      <c r="B11" s="36" t="s">
        <v>159</v>
      </c>
      <c r="C11" s="37" t="s">
        <v>144</v>
      </c>
      <c r="D11" s="38" t="s">
        <v>160</v>
      </c>
      <c r="E11" s="37">
        <f>+((E12*H12)+(E13*H13)+(E14*H14)+(E15*H15)+(E16*H16)+(E17*H17)+(E18*H18)+(E19*H19)+(E20*H20)+(E21*H21)+(E22*H22)+(E23*H23))/SUM(H12:H23)</f>
        <v>1</v>
      </c>
      <c r="F11" s="39">
        <f>+F12</f>
        <v>46006</v>
      </c>
      <c r="G11" s="39">
        <f>+G25</f>
        <v>46019</v>
      </c>
      <c r="H11" s="40">
        <f>+SUM(H12:H25)</f>
        <v>14</v>
      </c>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row>
    <row r="12" spans="1:310" x14ac:dyDescent="0.25">
      <c r="B12" s="41" t="s">
        <v>162</v>
      </c>
      <c r="C12" s="42" t="s">
        <v>137</v>
      </c>
      <c r="D12" s="43" t="s">
        <v>156</v>
      </c>
      <c r="E12" s="44">
        <v>1</v>
      </c>
      <c r="F12" s="45">
        <v>46006</v>
      </c>
      <c r="G12" s="45">
        <f>+Hitos4352[[#This Row],[Inicio]]+Hitos4352[[#This Row],[Días]]</f>
        <v>46006.5</v>
      </c>
      <c r="H12" s="46">
        <v>0.5</v>
      </c>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row>
    <row r="13" spans="1:310" s="10" customFormat="1" x14ac:dyDescent="0.25">
      <c r="A13" s="3"/>
      <c r="B13" s="41" t="s">
        <v>163</v>
      </c>
      <c r="C13" s="42" t="s">
        <v>137</v>
      </c>
      <c r="D13" s="43" t="s">
        <v>156</v>
      </c>
      <c r="E13" s="44">
        <v>1</v>
      </c>
      <c r="F13" s="45">
        <f>+G12</f>
        <v>46006.5</v>
      </c>
      <c r="G13" s="45">
        <f>+Hitos4352[[#This Row],[Inicio]]+Hitos4352[[#This Row],[Días]]</f>
        <v>46007</v>
      </c>
      <c r="H13" s="46">
        <v>0.5</v>
      </c>
      <c r="I13" s="9"/>
      <c r="J13" s="51" t="str">
        <f t="shared" ref="J13:Y34" si="5">IF(AND($C13="Objetivo",J$7&gt;=$F13,J$7&lt;=$F13+$H13-1),2,IF(AND($C13="Hito",J$7&gt;=$F13,J$7&lt;=$F13+$H13-1),1,""))</f>
        <v/>
      </c>
      <c r="K13" s="51" t="str">
        <f t="shared" si="5"/>
        <v/>
      </c>
      <c r="L13" s="51" t="str">
        <f t="shared" si="5"/>
        <v/>
      </c>
      <c r="M13" s="51" t="str">
        <f t="shared" si="5"/>
        <v/>
      </c>
      <c r="N13" s="51" t="str">
        <f t="shared" si="5"/>
        <v/>
      </c>
      <c r="O13" s="51" t="str">
        <f t="shared" si="5"/>
        <v/>
      </c>
      <c r="P13" s="51" t="str">
        <f t="shared" si="5"/>
        <v/>
      </c>
      <c r="Q13" s="51" t="str">
        <f t="shared" si="5"/>
        <v/>
      </c>
      <c r="R13" s="51" t="str">
        <f t="shared" si="5"/>
        <v/>
      </c>
      <c r="S13" s="51" t="str">
        <f t="shared" si="5"/>
        <v/>
      </c>
      <c r="T13" s="51" t="str">
        <f t="shared" si="5"/>
        <v/>
      </c>
      <c r="U13" s="51" t="str">
        <f t="shared" si="5"/>
        <v/>
      </c>
      <c r="V13" s="51" t="str">
        <f t="shared" si="5"/>
        <v/>
      </c>
      <c r="W13" s="51" t="str">
        <f t="shared" si="5"/>
        <v/>
      </c>
      <c r="X13" s="51" t="str">
        <f t="shared" si="5"/>
        <v/>
      </c>
      <c r="Y13" s="51" t="str">
        <f t="shared" si="5"/>
        <v/>
      </c>
      <c r="Z13" s="51" t="str">
        <f t="shared" ref="Z13:CK20" si="6">IF(AND($C13="Objetivo",Z$7&gt;=$F13,Z$7&lt;=$F13+$H13-1),2,IF(AND($C13="Hito",Z$7&gt;=$F13,Z$7&lt;=$F13+$H13-1),1,""))</f>
        <v/>
      </c>
      <c r="AA13" s="51" t="str">
        <f t="shared" si="6"/>
        <v/>
      </c>
      <c r="AB13" s="51" t="str">
        <f t="shared" si="6"/>
        <v/>
      </c>
      <c r="AC13" s="51" t="str">
        <f t="shared" si="6"/>
        <v/>
      </c>
      <c r="AD13" s="51" t="str">
        <f t="shared" si="6"/>
        <v/>
      </c>
      <c r="AE13" s="51" t="str">
        <f t="shared" si="6"/>
        <v/>
      </c>
      <c r="AF13" s="51" t="str">
        <f t="shared" si="6"/>
        <v/>
      </c>
      <c r="AG13" s="51" t="str">
        <f t="shared" si="6"/>
        <v/>
      </c>
      <c r="AH13" s="51" t="str">
        <f t="shared" si="6"/>
        <v/>
      </c>
      <c r="AI13" s="51" t="str">
        <f t="shared" si="6"/>
        <v/>
      </c>
      <c r="AJ13" s="51" t="str">
        <f t="shared" si="6"/>
        <v/>
      </c>
      <c r="AK13" s="51" t="str">
        <f t="shared" si="6"/>
        <v/>
      </c>
      <c r="AL13" s="51" t="str">
        <f t="shared" si="6"/>
        <v/>
      </c>
      <c r="AM13" s="51" t="str">
        <f t="shared" si="6"/>
        <v/>
      </c>
      <c r="AN13" s="51" t="str">
        <f t="shared" si="6"/>
        <v/>
      </c>
      <c r="AO13" s="51" t="str">
        <f t="shared" si="6"/>
        <v/>
      </c>
      <c r="AP13" s="51" t="str">
        <f t="shared" si="6"/>
        <v/>
      </c>
      <c r="AQ13" s="51" t="str">
        <f t="shared" si="6"/>
        <v/>
      </c>
      <c r="AR13" s="51" t="str">
        <f t="shared" si="6"/>
        <v/>
      </c>
      <c r="AS13" s="51" t="str">
        <f t="shared" si="6"/>
        <v/>
      </c>
      <c r="AT13" s="51" t="str">
        <f t="shared" si="6"/>
        <v/>
      </c>
      <c r="AU13" s="51" t="str">
        <f t="shared" si="6"/>
        <v/>
      </c>
      <c r="AV13" s="51" t="str">
        <f t="shared" si="6"/>
        <v/>
      </c>
      <c r="AW13" s="51" t="str">
        <f t="shared" si="6"/>
        <v/>
      </c>
      <c r="AX13" s="51" t="str">
        <f t="shared" si="6"/>
        <v/>
      </c>
      <c r="AY13" s="51" t="str">
        <f t="shared" si="6"/>
        <v/>
      </c>
      <c r="AZ13" s="51" t="str">
        <f t="shared" si="6"/>
        <v/>
      </c>
      <c r="BA13" s="51" t="str">
        <f t="shared" si="6"/>
        <v/>
      </c>
      <c r="BB13" s="51" t="str">
        <f t="shared" si="6"/>
        <v/>
      </c>
      <c r="BC13" s="51" t="str">
        <f t="shared" si="6"/>
        <v/>
      </c>
      <c r="BD13" s="51" t="str">
        <f t="shared" si="6"/>
        <v/>
      </c>
      <c r="BE13" s="51" t="str">
        <f t="shared" si="6"/>
        <v/>
      </c>
      <c r="BF13" s="51" t="str">
        <f t="shared" si="6"/>
        <v/>
      </c>
      <c r="BG13" s="51" t="str">
        <f t="shared" si="6"/>
        <v/>
      </c>
      <c r="BH13" s="51" t="str">
        <f t="shared" si="6"/>
        <v/>
      </c>
      <c r="BI13" s="51" t="str">
        <f t="shared" si="6"/>
        <v/>
      </c>
      <c r="BJ13" s="51" t="str">
        <f t="shared" si="6"/>
        <v/>
      </c>
      <c r="BK13" s="51" t="str">
        <f t="shared" si="6"/>
        <v/>
      </c>
      <c r="BL13" s="51" t="str">
        <f t="shared" si="6"/>
        <v/>
      </c>
      <c r="BM13" s="51" t="str">
        <f t="shared" si="6"/>
        <v/>
      </c>
      <c r="BN13" s="51" t="str">
        <f t="shared" si="6"/>
        <v/>
      </c>
      <c r="BO13" s="51" t="str">
        <f t="shared" si="6"/>
        <v/>
      </c>
      <c r="BP13" s="51" t="str">
        <f t="shared" si="6"/>
        <v/>
      </c>
      <c r="BQ13" s="51" t="str">
        <f t="shared" si="6"/>
        <v/>
      </c>
      <c r="BR13" s="51" t="str">
        <f t="shared" si="6"/>
        <v/>
      </c>
      <c r="BS13" s="51" t="str">
        <f t="shared" si="6"/>
        <v/>
      </c>
      <c r="BT13" s="51" t="str">
        <f t="shared" si="6"/>
        <v/>
      </c>
      <c r="BU13" s="51" t="str">
        <f t="shared" si="6"/>
        <v/>
      </c>
      <c r="BV13" s="51" t="str">
        <f t="shared" si="6"/>
        <v/>
      </c>
      <c r="BW13" s="51" t="str">
        <f t="shared" si="6"/>
        <v/>
      </c>
      <c r="BX13" s="51" t="str">
        <f t="shared" si="6"/>
        <v/>
      </c>
      <c r="BY13" s="51" t="str">
        <f t="shared" si="6"/>
        <v/>
      </c>
      <c r="BZ13" s="51" t="str">
        <f t="shared" si="6"/>
        <v/>
      </c>
      <c r="CA13" s="51" t="str">
        <f t="shared" si="6"/>
        <v/>
      </c>
      <c r="CB13" s="51" t="str">
        <f t="shared" si="6"/>
        <v/>
      </c>
      <c r="CC13" s="51" t="str">
        <f t="shared" si="6"/>
        <v/>
      </c>
      <c r="CD13" s="51" t="str">
        <f t="shared" si="6"/>
        <v/>
      </c>
      <c r="CE13" s="51" t="str">
        <f t="shared" si="6"/>
        <v/>
      </c>
      <c r="CF13" s="51" t="str">
        <f t="shared" si="6"/>
        <v/>
      </c>
      <c r="CG13" s="51" t="str">
        <f t="shared" si="6"/>
        <v/>
      </c>
      <c r="CH13" s="51" t="str">
        <f t="shared" si="6"/>
        <v/>
      </c>
      <c r="CI13" s="51" t="str">
        <f t="shared" si="6"/>
        <v/>
      </c>
      <c r="CJ13" s="51" t="str">
        <f t="shared" si="6"/>
        <v/>
      </c>
      <c r="CK13" s="51" t="str">
        <f t="shared" si="6"/>
        <v/>
      </c>
      <c r="CL13" s="51" t="str">
        <f t="shared" ref="CL13:EW20" si="7">IF(AND($C13="Objetivo",CL$7&gt;=$F13,CL$7&lt;=$F13+$H13-1),2,IF(AND($C13="Hito",CL$7&gt;=$F13,CL$7&lt;=$F13+$H13-1),1,""))</f>
        <v/>
      </c>
      <c r="CM13" s="51" t="str">
        <f t="shared" si="7"/>
        <v/>
      </c>
      <c r="CN13" s="51" t="str">
        <f t="shared" si="7"/>
        <v/>
      </c>
      <c r="CO13" s="51" t="str">
        <f t="shared" si="7"/>
        <v/>
      </c>
      <c r="CP13" s="51" t="str">
        <f t="shared" si="7"/>
        <v/>
      </c>
      <c r="CQ13" s="51" t="str">
        <f t="shared" si="7"/>
        <v/>
      </c>
      <c r="CR13" s="51" t="str">
        <f t="shared" si="7"/>
        <v/>
      </c>
      <c r="CS13" s="51" t="str">
        <f t="shared" si="7"/>
        <v/>
      </c>
      <c r="CT13" s="51" t="str">
        <f t="shared" si="7"/>
        <v/>
      </c>
      <c r="CU13" s="51" t="str">
        <f t="shared" si="7"/>
        <v/>
      </c>
      <c r="CV13" s="51" t="str">
        <f t="shared" si="7"/>
        <v/>
      </c>
      <c r="CW13" s="51" t="str">
        <f t="shared" si="7"/>
        <v/>
      </c>
      <c r="CX13" s="51" t="str">
        <f t="shared" si="7"/>
        <v/>
      </c>
      <c r="CY13" s="51" t="str">
        <f t="shared" si="7"/>
        <v/>
      </c>
      <c r="CZ13" s="51" t="str">
        <f t="shared" si="7"/>
        <v/>
      </c>
      <c r="DA13" s="51" t="str">
        <f t="shared" si="7"/>
        <v/>
      </c>
      <c r="DB13" s="51" t="str">
        <f t="shared" si="7"/>
        <v/>
      </c>
      <c r="DC13" s="51" t="str">
        <f t="shared" si="7"/>
        <v/>
      </c>
      <c r="DD13" s="51" t="str">
        <f t="shared" si="7"/>
        <v/>
      </c>
      <c r="DE13" s="51" t="str">
        <f t="shared" si="7"/>
        <v/>
      </c>
      <c r="DF13" s="51" t="str">
        <f t="shared" si="7"/>
        <v/>
      </c>
      <c r="DG13" s="51" t="str">
        <f t="shared" si="7"/>
        <v/>
      </c>
      <c r="DH13" s="51" t="str">
        <f t="shared" si="7"/>
        <v/>
      </c>
      <c r="DI13" s="51" t="str">
        <f t="shared" si="7"/>
        <v/>
      </c>
      <c r="DJ13" s="51" t="str">
        <f t="shared" si="7"/>
        <v/>
      </c>
      <c r="DK13" s="51" t="str">
        <f t="shared" si="7"/>
        <v/>
      </c>
      <c r="DL13" s="51" t="str">
        <f t="shared" si="7"/>
        <v/>
      </c>
      <c r="DM13" s="51" t="str">
        <f t="shared" si="7"/>
        <v/>
      </c>
      <c r="DN13" s="51" t="str">
        <f t="shared" si="7"/>
        <v/>
      </c>
      <c r="DO13" s="51" t="str">
        <f t="shared" si="7"/>
        <v/>
      </c>
      <c r="DP13" s="51" t="str">
        <f t="shared" si="7"/>
        <v/>
      </c>
      <c r="DQ13" s="51" t="str">
        <f t="shared" si="7"/>
        <v/>
      </c>
      <c r="DR13" s="51" t="str">
        <f t="shared" si="7"/>
        <v/>
      </c>
      <c r="DS13" s="51" t="str">
        <f t="shared" si="7"/>
        <v/>
      </c>
      <c r="DT13" s="51" t="str">
        <f t="shared" si="7"/>
        <v/>
      </c>
      <c r="DU13" s="51" t="str">
        <f t="shared" si="7"/>
        <v/>
      </c>
      <c r="DV13" s="51" t="str">
        <f t="shared" si="7"/>
        <v/>
      </c>
      <c r="DW13" s="51" t="str">
        <f t="shared" si="7"/>
        <v/>
      </c>
      <c r="DX13" s="51" t="str">
        <f t="shared" si="7"/>
        <v/>
      </c>
      <c r="DY13" s="51" t="str">
        <f t="shared" si="7"/>
        <v/>
      </c>
      <c r="DZ13" s="51" t="str">
        <f t="shared" si="7"/>
        <v/>
      </c>
      <c r="EA13" s="51" t="str">
        <f t="shared" si="7"/>
        <v/>
      </c>
      <c r="EB13" s="51" t="str">
        <f t="shared" si="7"/>
        <v/>
      </c>
      <c r="EC13" s="51" t="str">
        <f t="shared" si="7"/>
        <v/>
      </c>
      <c r="ED13" s="51" t="str">
        <f t="shared" si="7"/>
        <v/>
      </c>
      <c r="EE13" s="51" t="str">
        <f t="shared" si="7"/>
        <v/>
      </c>
      <c r="EF13" s="51" t="str">
        <f t="shared" si="7"/>
        <v/>
      </c>
      <c r="EG13" s="51" t="str">
        <f t="shared" si="7"/>
        <v/>
      </c>
      <c r="EH13" s="51" t="str">
        <f t="shared" si="7"/>
        <v/>
      </c>
      <c r="EI13" s="51" t="str">
        <f t="shared" si="7"/>
        <v/>
      </c>
      <c r="EJ13" s="51" t="str">
        <f t="shared" si="7"/>
        <v/>
      </c>
      <c r="EK13" s="51" t="str">
        <f t="shared" si="7"/>
        <v/>
      </c>
      <c r="EL13" s="51" t="str">
        <f t="shared" si="7"/>
        <v/>
      </c>
      <c r="EM13" s="51" t="str">
        <f t="shared" si="7"/>
        <v/>
      </c>
      <c r="EN13" s="51" t="str">
        <f t="shared" si="7"/>
        <v/>
      </c>
      <c r="EO13" s="51" t="str">
        <f t="shared" si="7"/>
        <v/>
      </c>
      <c r="EP13" s="51" t="str">
        <f t="shared" si="7"/>
        <v/>
      </c>
      <c r="EQ13" s="51" t="str">
        <f t="shared" si="7"/>
        <v/>
      </c>
      <c r="ER13" s="51" t="str">
        <f t="shared" si="7"/>
        <v/>
      </c>
      <c r="ES13" s="51" t="str">
        <f t="shared" si="7"/>
        <v/>
      </c>
      <c r="ET13" s="51" t="str">
        <f t="shared" si="7"/>
        <v/>
      </c>
      <c r="EU13" s="51" t="str">
        <f t="shared" si="7"/>
        <v/>
      </c>
      <c r="EV13" s="51" t="str">
        <f t="shared" si="7"/>
        <v/>
      </c>
      <c r="EW13" s="51" t="str">
        <f t="shared" si="7"/>
        <v/>
      </c>
      <c r="EX13" s="51" t="str">
        <f t="shared" ref="EX13:HI20" si="8">IF(AND($C13="Objetivo",EX$7&gt;=$F13,EX$7&lt;=$F13+$H13-1),2,IF(AND($C13="Hito",EX$7&gt;=$F13,EX$7&lt;=$F13+$H13-1),1,""))</f>
        <v/>
      </c>
      <c r="EY13" s="51" t="str">
        <f t="shared" si="8"/>
        <v/>
      </c>
      <c r="EZ13" s="51" t="str">
        <f t="shared" si="8"/>
        <v/>
      </c>
      <c r="FA13" s="51" t="str">
        <f t="shared" si="8"/>
        <v/>
      </c>
      <c r="FB13" s="51" t="str">
        <f t="shared" si="8"/>
        <v/>
      </c>
      <c r="FC13" s="51" t="str">
        <f t="shared" si="8"/>
        <v/>
      </c>
      <c r="FD13" s="51" t="str">
        <f t="shared" si="8"/>
        <v/>
      </c>
      <c r="FE13" s="51" t="str">
        <f t="shared" si="8"/>
        <v/>
      </c>
      <c r="FF13" s="51" t="str">
        <f t="shared" si="8"/>
        <v/>
      </c>
      <c r="FG13" s="51" t="str">
        <f t="shared" si="8"/>
        <v/>
      </c>
      <c r="FH13" s="51" t="str">
        <f t="shared" si="8"/>
        <v/>
      </c>
      <c r="FI13" s="51" t="str">
        <f t="shared" si="8"/>
        <v/>
      </c>
      <c r="FJ13" s="51" t="str">
        <f t="shared" si="8"/>
        <v/>
      </c>
      <c r="FK13" s="51" t="str">
        <f t="shared" si="8"/>
        <v/>
      </c>
      <c r="FL13" s="51" t="str">
        <f t="shared" si="8"/>
        <v/>
      </c>
      <c r="FM13" s="51" t="str">
        <f t="shared" si="8"/>
        <v/>
      </c>
      <c r="FN13" s="51" t="str">
        <f t="shared" si="8"/>
        <v/>
      </c>
      <c r="FO13" s="51" t="str">
        <f t="shared" si="8"/>
        <v/>
      </c>
      <c r="FP13" s="51" t="str">
        <f t="shared" si="8"/>
        <v/>
      </c>
      <c r="FQ13" s="51" t="str">
        <f t="shared" si="8"/>
        <v/>
      </c>
      <c r="FR13" s="51" t="str">
        <f t="shared" si="8"/>
        <v/>
      </c>
      <c r="FS13" s="51" t="str">
        <f t="shared" si="8"/>
        <v/>
      </c>
      <c r="FT13" s="51" t="str">
        <f t="shared" si="8"/>
        <v/>
      </c>
      <c r="FU13" s="51" t="str">
        <f t="shared" si="8"/>
        <v/>
      </c>
      <c r="FV13" s="51" t="str">
        <f t="shared" si="8"/>
        <v/>
      </c>
      <c r="FW13" s="51" t="str">
        <f t="shared" si="8"/>
        <v/>
      </c>
      <c r="FX13" s="51" t="str">
        <f t="shared" si="8"/>
        <v/>
      </c>
      <c r="FY13" s="51" t="str">
        <f t="shared" si="8"/>
        <v/>
      </c>
      <c r="FZ13" s="51" t="str">
        <f t="shared" si="8"/>
        <v/>
      </c>
      <c r="GA13" s="51" t="str">
        <f t="shared" si="8"/>
        <v/>
      </c>
      <c r="GB13" s="51" t="str">
        <f t="shared" si="8"/>
        <v/>
      </c>
      <c r="GC13" s="51" t="str">
        <f t="shared" si="8"/>
        <v/>
      </c>
      <c r="GD13" s="51" t="str">
        <f t="shared" si="8"/>
        <v/>
      </c>
      <c r="GE13" s="51" t="str">
        <f t="shared" si="8"/>
        <v/>
      </c>
      <c r="GF13" s="51" t="str">
        <f t="shared" si="8"/>
        <v/>
      </c>
      <c r="GG13" s="51" t="str">
        <f t="shared" si="8"/>
        <v/>
      </c>
      <c r="GH13" s="51" t="str">
        <f t="shared" si="8"/>
        <v/>
      </c>
      <c r="GI13" s="51" t="str">
        <f t="shared" si="8"/>
        <v/>
      </c>
      <c r="GJ13" s="51" t="str">
        <f t="shared" si="8"/>
        <v/>
      </c>
      <c r="GK13" s="51" t="str">
        <f t="shared" si="8"/>
        <v/>
      </c>
      <c r="GL13" s="51" t="str">
        <f t="shared" si="8"/>
        <v/>
      </c>
      <c r="GM13" s="51" t="str">
        <f t="shared" si="8"/>
        <v/>
      </c>
      <c r="GN13" s="51" t="str">
        <f t="shared" si="8"/>
        <v/>
      </c>
      <c r="GO13" s="51" t="str">
        <f t="shared" si="8"/>
        <v/>
      </c>
      <c r="GP13" s="51" t="str">
        <f t="shared" si="8"/>
        <v/>
      </c>
      <c r="GQ13" s="51" t="str">
        <f t="shared" si="8"/>
        <v/>
      </c>
      <c r="GR13" s="51" t="str">
        <f t="shared" si="8"/>
        <v/>
      </c>
      <c r="GS13" s="51" t="str">
        <f t="shared" si="8"/>
        <v/>
      </c>
      <c r="GT13" s="51" t="str">
        <f t="shared" si="8"/>
        <v/>
      </c>
      <c r="GU13" s="51" t="str">
        <f t="shared" si="8"/>
        <v/>
      </c>
      <c r="GV13" s="51" t="str">
        <f t="shared" si="8"/>
        <v/>
      </c>
      <c r="GW13" s="51" t="str">
        <f t="shared" si="8"/>
        <v/>
      </c>
      <c r="GX13" s="51" t="str">
        <f t="shared" si="8"/>
        <v/>
      </c>
      <c r="GY13" s="51" t="str">
        <f t="shared" si="8"/>
        <v/>
      </c>
      <c r="GZ13" s="51" t="str">
        <f t="shared" si="8"/>
        <v/>
      </c>
      <c r="HA13" s="51" t="str">
        <f t="shared" si="8"/>
        <v/>
      </c>
      <c r="HB13" s="51" t="str">
        <f t="shared" si="8"/>
        <v/>
      </c>
      <c r="HC13" s="51" t="str">
        <f t="shared" si="8"/>
        <v/>
      </c>
      <c r="HD13" s="51" t="str">
        <f t="shared" si="8"/>
        <v/>
      </c>
      <c r="HE13" s="51" t="str">
        <f t="shared" si="8"/>
        <v/>
      </c>
      <c r="HF13" s="51" t="str">
        <f t="shared" si="8"/>
        <v/>
      </c>
      <c r="HG13" s="51" t="str">
        <f t="shared" si="8"/>
        <v/>
      </c>
      <c r="HH13" s="51" t="str">
        <f t="shared" si="8"/>
        <v/>
      </c>
      <c r="HI13" s="51" t="str">
        <f t="shared" si="8"/>
        <v/>
      </c>
      <c r="HJ13" s="51" t="str">
        <f t="shared" ref="HJ13:JU20" si="9">IF(AND($C13="Objetivo",HJ$7&gt;=$F13,HJ$7&lt;=$F13+$H13-1),2,IF(AND($C13="Hito",HJ$7&gt;=$F13,HJ$7&lt;=$F13+$H13-1),1,""))</f>
        <v/>
      </c>
      <c r="HK13" s="51" t="str">
        <f t="shared" si="9"/>
        <v/>
      </c>
      <c r="HL13" s="51" t="str">
        <f t="shared" si="9"/>
        <v/>
      </c>
      <c r="HM13" s="51" t="str">
        <f t="shared" si="9"/>
        <v/>
      </c>
      <c r="HN13" s="51" t="str">
        <f t="shared" si="9"/>
        <v/>
      </c>
      <c r="HO13" s="51" t="str">
        <f t="shared" si="9"/>
        <v/>
      </c>
      <c r="HP13" s="51" t="str">
        <f t="shared" si="9"/>
        <v/>
      </c>
      <c r="HQ13" s="51" t="str">
        <f t="shared" si="9"/>
        <v/>
      </c>
      <c r="HR13" s="51" t="str">
        <f t="shared" si="9"/>
        <v/>
      </c>
      <c r="HS13" s="51" t="str">
        <f t="shared" si="9"/>
        <v/>
      </c>
      <c r="HT13" s="51" t="str">
        <f t="shared" si="9"/>
        <v/>
      </c>
      <c r="HU13" s="51" t="str">
        <f t="shared" si="9"/>
        <v/>
      </c>
      <c r="HV13" s="51" t="str">
        <f t="shared" si="9"/>
        <v/>
      </c>
      <c r="HW13" s="51" t="str">
        <f t="shared" si="9"/>
        <v/>
      </c>
      <c r="HX13" s="51" t="str">
        <f t="shared" si="9"/>
        <v/>
      </c>
      <c r="HY13" s="51" t="str">
        <f t="shared" si="9"/>
        <v/>
      </c>
      <c r="HZ13" s="51" t="str">
        <f t="shared" si="9"/>
        <v/>
      </c>
      <c r="IA13" s="51" t="str">
        <f t="shared" si="9"/>
        <v/>
      </c>
      <c r="IB13" s="51" t="str">
        <f t="shared" si="9"/>
        <v/>
      </c>
      <c r="IC13" s="51" t="str">
        <f t="shared" si="9"/>
        <v/>
      </c>
      <c r="ID13" s="51" t="str">
        <f t="shared" si="9"/>
        <v/>
      </c>
      <c r="IE13" s="51" t="str">
        <f t="shared" si="9"/>
        <v/>
      </c>
      <c r="IF13" s="51" t="str">
        <f t="shared" si="9"/>
        <v/>
      </c>
      <c r="IG13" s="51" t="str">
        <f t="shared" si="9"/>
        <v/>
      </c>
      <c r="IH13" s="51" t="str">
        <f t="shared" si="9"/>
        <v/>
      </c>
      <c r="II13" s="51" t="str">
        <f t="shared" si="9"/>
        <v/>
      </c>
      <c r="IJ13" s="51" t="str">
        <f t="shared" si="9"/>
        <v/>
      </c>
      <c r="IK13" s="51" t="str">
        <f t="shared" si="9"/>
        <v/>
      </c>
      <c r="IL13" s="51" t="str">
        <f t="shared" si="9"/>
        <v/>
      </c>
      <c r="IM13" s="51" t="str">
        <f t="shared" si="9"/>
        <v/>
      </c>
      <c r="IN13" s="51" t="str">
        <f t="shared" si="9"/>
        <v/>
      </c>
      <c r="IO13" s="51" t="str">
        <f t="shared" si="9"/>
        <v/>
      </c>
      <c r="IP13" s="51" t="str">
        <f t="shared" si="9"/>
        <v/>
      </c>
      <c r="IQ13" s="51" t="str">
        <f t="shared" si="9"/>
        <v/>
      </c>
      <c r="IR13" s="51" t="str">
        <f t="shared" si="9"/>
        <v/>
      </c>
      <c r="IS13" s="51" t="str">
        <f t="shared" si="9"/>
        <v/>
      </c>
      <c r="IT13" s="51" t="str">
        <f t="shared" si="9"/>
        <v/>
      </c>
      <c r="IU13" s="51" t="str">
        <f t="shared" si="9"/>
        <v/>
      </c>
      <c r="IV13" s="51" t="str">
        <f t="shared" si="9"/>
        <v/>
      </c>
      <c r="IW13" s="51" t="str">
        <f t="shared" si="9"/>
        <v/>
      </c>
      <c r="IX13" s="51" t="str">
        <f t="shared" si="9"/>
        <v/>
      </c>
      <c r="IY13" s="51" t="str">
        <f t="shared" si="9"/>
        <v/>
      </c>
      <c r="IZ13" s="51" t="str">
        <f t="shared" si="9"/>
        <v/>
      </c>
      <c r="JA13" s="51" t="str">
        <f t="shared" si="9"/>
        <v/>
      </c>
      <c r="JB13" s="51" t="str">
        <f t="shared" si="9"/>
        <v/>
      </c>
      <c r="JC13" s="51" t="str">
        <f t="shared" si="9"/>
        <v/>
      </c>
      <c r="JD13" s="51" t="str">
        <f t="shared" si="9"/>
        <v/>
      </c>
      <c r="JE13" s="51" t="str">
        <f t="shared" si="9"/>
        <v/>
      </c>
      <c r="JF13" s="51" t="str">
        <f t="shared" si="9"/>
        <v/>
      </c>
      <c r="JG13" s="51" t="str">
        <f t="shared" si="9"/>
        <v/>
      </c>
      <c r="JH13" s="51" t="str">
        <f t="shared" si="9"/>
        <v/>
      </c>
      <c r="JI13" s="51" t="str">
        <f t="shared" si="9"/>
        <v/>
      </c>
      <c r="JJ13" s="51" t="str">
        <f t="shared" si="9"/>
        <v/>
      </c>
      <c r="JK13" s="51" t="str">
        <f t="shared" si="9"/>
        <v/>
      </c>
      <c r="JL13" s="51" t="str">
        <f t="shared" si="9"/>
        <v/>
      </c>
      <c r="JM13" s="51" t="str">
        <f t="shared" si="9"/>
        <v/>
      </c>
      <c r="JN13" s="51" t="str">
        <f t="shared" si="9"/>
        <v/>
      </c>
      <c r="JO13" s="51" t="str">
        <f t="shared" si="9"/>
        <v/>
      </c>
      <c r="JP13" s="51" t="str">
        <f t="shared" si="9"/>
        <v/>
      </c>
      <c r="JQ13" s="51" t="str">
        <f t="shared" si="9"/>
        <v/>
      </c>
      <c r="JR13" s="51" t="str">
        <f t="shared" si="9"/>
        <v/>
      </c>
      <c r="JS13" s="51" t="str">
        <f t="shared" si="9"/>
        <v/>
      </c>
      <c r="JT13" s="51" t="str">
        <f t="shared" si="9"/>
        <v/>
      </c>
      <c r="JU13" s="51" t="str">
        <f t="shared" si="9"/>
        <v/>
      </c>
      <c r="JV13" s="51" t="str">
        <f t="shared" ref="JV13:KX20" si="10">IF(AND($C13="Objetivo",JV$7&gt;=$F13,JV$7&lt;=$F13+$H13-1),2,IF(AND($C13="Hito",JV$7&gt;=$F13,JV$7&lt;=$F13+$H13-1),1,""))</f>
        <v/>
      </c>
      <c r="JW13" s="51" t="str">
        <f t="shared" si="10"/>
        <v/>
      </c>
      <c r="JX13" s="51" t="str">
        <f t="shared" si="10"/>
        <v/>
      </c>
      <c r="JY13" s="51" t="str">
        <f t="shared" si="10"/>
        <v/>
      </c>
      <c r="JZ13" s="51" t="str">
        <f t="shared" si="10"/>
        <v/>
      </c>
      <c r="KA13" s="51" t="str">
        <f t="shared" si="10"/>
        <v/>
      </c>
      <c r="KB13" s="51" t="str">
        <f t="shared" si="10"/>
        <v/>
      </c>
      <c r="KC13" s="51" t="str">
        <f t="shared" si="10"/>
        <v/>
      </c>
      <c r="KD13" s="51" t="str">
        <f t="shared" si="10"/>
        <v/>
      </c>
      <c r="KE13" s="51" t="str">
        <f t="shared" si="10"/>
        <v/>
      </c>
      <c r="KF13" s="51" t="str">
        <f t="shared" si="10"/>
        <v/>
      </c>
      <c r="KG13" s="51" t="str">
        <f t="shared" si="10"/>
        <v/>
      </c>
      <c r="KH13" s="51" t="str">
        <f t="shared" si="10"/>
        <v/>
      </c>
      <c r="KI13" s="51" t="str">
        <f t="shared" si="10"/>
        <v/>
      </c>
      <c r="KJ13" s="51" t="str">
        <f t="shared" si="10"/>
        <v/>
      </c>
      <c r="KK13" s="51" t="str">
        <f t="shared" si="10"/>
        <v/>
      </c>
      <c r="KL13" s="51" t="str">
        <f t="shared" si="10"/>
        <v/>
      </c>
      <c r="KM13" s="51" t="str">
        <f t="shared" si="10"/>
        <v/>
      </c>
      <c r="KN13" s="51" t="str">
        <f t="shared" si="10"/>
        <v/>
      </c>
      <c r="KO13" s="51" t="str">
        <f t="shared" si="10"/>
        <v/>
      </c>
      <c r="KP13" s="51" t="str">
        <f t="shared" si="10"/>
        <v/>
      </c>
      <c r="KQ13" s="51" t="str">
        <f t="shared" si="10"/>
        <v/>
      </c>
      <c r="KR13" s="51" t="str">
        <f t="shared" si="10"/>
        <v/>
      </c>
      <c r="KS13" s="51" t="str">
        <f t="shared" si="10"/>
        <v/>
      </c>
      <c r="KT13" s="51" t="str">
        <f t="shared" si="10"/>
        <v/>
      </c>
      <c r="KU13" s="51" t="str">
        <f t="shared" si="10"/>
        <v/>
      </c>
      <c r="KV13" s="51" t="str">
        <f t="shared" si="10"/>
        <v/>
      </c>
      <c r="KW13" s="51" t="str">
        <f t="shared" si="10"/>
        <v/>
      </c>
      <c r="KX13" s="51" t="str">
        <f t="shared" si="10"/>
        <v/>
      </c>
    </row>
    <row r="14" spans="1:310" s="10" customFormat="1" x14ac:dyDescent="0.25">
      <c r="A14" s="3"/>
      <c r="B14" s="41" t="s">
        <v>164</v>
      </c>
      <c r="C14" s="42" t="s">
        <v>141</v>
      </c>
      <c r="D14" s="43" t="s">
        <v>156</v>
      </c>
      <c r="E14" s="44">
        <v>1</v>
      </c>
      <c r="F14" s="45">
        <f t="shared" ref="F14:F19" si="11">+G13</f>
        <v>46007</v>
      </c>
      <c r="G14" s="45">
        <f>+Hitos4352[[#This Row],[Inicio]]+Hitos4352[[#This Row],[Días]]</f>
        <v>46007.5</v>
      </c>
      <c r="H14" s="46">
        <v>0.5</v>
      </c>
      <c r="I14" s="9"/>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c r="FM14" s="51"/>
      <c r="FN14" s="51"/>
      <c r="FO14" s="51"/>
      <c r="FP14" s="51"/>
      <c r="FQ14" s="51"/>
      <c r="FR14" s="51"/>
      <c r="FS14" s="51"/>
      <c r="FT14" s="51"/>
      <c r="FU14" s="51"/>
      <c r="FV14" s="51"/>
      <c r="FW14" s="51"/>
      <c r="FX14" s="51"/>
      <c r="FY14" s="51"/>
      <c r="FZ14" s="51"/>
      <c r="GA14" s="51"/>
      <c r="GB14" s="51"/>
      <c r="GC14" s="51"/>
      <c r="GD14" s="51"/>
      <c r="GE14" s="51"/>
      <c r="GF14" s="51"/>
      <c r="GG14" s="51"/>
      <c r="GH14" s="51"/>
      <c r="GI14" s="51"/>
      <c r="GJ14" s="51"/>
      <c r="GK14" s="51"/>
      <c r="GL14" s="51"/>
      <c r="GM14" s="51"/>
      <c r="GN14" s="51"/>
      <c r="GO14" s="51"/>
      <c r="GP14" s="51"/>
      <c r="GQ14" s="51"/>
      <c r="GR14" s="51"/>
      <c r="GS14" s="51"/>
      <c r="GT14" s="51"/>
      <c r="GU14" s="51"/>
      <c r="GV14" s="51"/>
      <c r="GW14" s="51"/>
      <c r="GX14" s="51"/>
      <c r="GY14" s="51"/>
      <c r="GZ14" s="51"/>
      <c r="HA14" s="51"/>
      <c r="HB14" s="51"/>
      <c r="HC14" s="51"/>
      <c r="HD14" s="51"/>
      <c r="HE14" s="51"/>
      <c r="HF14" s="51"/>
      <c r="HG14" s="51"/>
      <c r="HH14" s="51"/>
      <c r="HI14" s="51"/>
      <c r="HJ14" s="51"/>
      <c r="HK14" s="51"/>
      <c r="HL14" s="51"/>
      <c r="HM14" s="51"/>
      <c r="HN14" s="51"/>
      <c r="HO14" s="51"/>
      <c r="HP14" s="51"/>
      <c r="HQ14" s="51"/>
      <c r="HR14" s="51"/>
      <c r="HS14" s="51"/>
      <c r="HT14" s="51"/>
      <c r="HU14" s="51"/>
      <c r="HV14" s="51"/>
      <c r="HW14" s="51"/>
      <c r="HX14" s="51"/>
      <c r="HY14" s="51"/>
      <c r="HZ14" s="51"/>
      <c r="IA14" s="51"/>
      <c r="IB14" s="51"/>
      <c r="IC14" s="51"/>
      <c r="ID14" s="51"/>
      <c r="IE14" s="51"/>
      <c r="IF14" s="51"/>
      <c r="IG14" s="51"/>
      <c r="IH14" s="51"/>
      <c r="II14" s="51"/>
      <c r="IJ14" s="51"/>
      <c r="IK14" s="51"/>
      <c r="IL14" s="51"/>
      <c r="IM14" s="51"/>
      <c r="IN14" s="51"/>
      <c r="IO14" s="51"/>
      <c r="IP14" s="51"/>
      <c r="IQ14" s="51"/>
      <c r="IR14" s="51"/>
      <c r="IS14" s="51"/>
      <c r="IT14" s="51"/>
      <c r="IU14" s="51"/>
      <c r="IV14" s="51"/>
      <c r="IW14" s="51"/>
      <c r="IX14" s="51"/>
      <c r="IY14" s="51"/>
      <c r="IZ14" s="51"/>
      <c r="JA14" s="51"/>
      <c r="JB14" s="51"/>
      <c r="JC14" s="51"/>
      <c r="JD14" s="51"/>
      <c r="JE14" s="51"/>
      <c r="JF14" s="51"/>
      <c r="JG14" s="51"/>
      <c r="JH14" s="51"/>
      <c r="JI14" s="51"/>
      <c r="JJ14" s="51"/>
      <c r="JK14" s="51"/>
      <c r="JL14" s="51"/>
      <c r="JM14" s="51"/>
      <c r="JN14" s="51"/>
      <c r="JO14" s="51"/>
      <c r="JP14" s="51"/>
      <c r="JQ14" s="51"/>
      <c r="JR14" s="51"/>
      <c r="JS14" s="51"/>
      <c r="JT14" s="51"/>
      <c r="JU14" s="51"/>
      <c r="JV14" s="51"/>
      <c r="JW14" s="51"/>
      <c r="JX14" s="51"/>
      <c r="JY14" s="51"/>
      <c r="JZ14" s="51"/>
      <c r="KA14" s="51"/>
      <c r="KB14" s="51"/>
      <c r="KC14" s="51"/>
      <c r="KD14" s="51"/>
      <c r="KE14" s="51"/>
      <c r="KF14" s="51"/>
      <c r="KG14" s="51"/>
      <c r="KH14" s="51"/>
      <c r="KI14" s="51"/>
      <c r="KJ14" s="51"/>
      <c r="KK14" s="51"/>
      <c r="KL14" s="51"/>
      <c r="KM14" s="51"/>
      <c r="KN14" s="51"/>
      <c r="KO14" s="51"/>
      <c r="KP14" s="51"/>
      <c r="KQ14" s="51"/>
      <c r="KR14" s="51"/>
      <c r="KS14" s="51"/>
      <c r="KT14" s="51"/>
      <c r="KU14" s="51"/>
      <c r="KV14" s="51"/>
      <c r="KW14" s="51"/>
      <c r="KX14" s="51"/>
    </row>
    <row r="15" spans="1:310" s="10" customFormat="1" x14ac:dyDescent="0.25">
      <c r="A15" s="3"/>
      <c r="B15" s="41" t="s">
        <v>165</v>
      </c>
      <c r="C15" s="42" t="s">
        <v>141</v>
      </c>
      <c r="D15" s="43" t="s">
        <v>156</v>
      </c>
      <c r="E15" s="44">
        <v>1</v>
      </c>
      <c r="F15" s="45">
        <f t="shared" si="11"/>
        <v>46007.5</v>
      </c>
      <c r="G15" s="45">
        <f>+Hitos4352[[#This Row],[Inicio]]+Hitos4352[[#This Row],[Días]]</f>
        <v>46008</v>
      </c>
      <c r="H15" s="46">
        <v>0.5</v>
      </c>
      <c r="I15" s="9"/>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1"/>
      <c r="FT15" s="51"/>
      <c r="FU15" s="51"/>
      <c r="FV15" s="51"/>
      <c r="FW15" s="51"/>
      <c r="FX15" s="51"/>
      <c r="FY15" s="51"/>
      <c r="FZ15" s="51"/>
      <c r="GA15" s="51"/>
      <c r="GB15" s="51"/>
      <c r="GC15" s="51"/>
      <c r="GD15" s="51"/>
      <c r="GE15" s="51"/>
      <c r="GF15" s="51"/>
      <c r="GG15" s="51"/>
      <c r="GH15" s="51"/>
      <c r="GI15" s="51"/>
      <c r="GJ15" s="51"/>
      <c r="GK15" s="51"/>
      <c r="GL15" s="51"/>
      <c r="GM15" s="51"/>
      <c r="GN15" s="51"/>
      <c r="GO15" s="51"/>
      <c r="GP15" s="51"/>
      <c r="GQ15" s="51"/>
      <c r="GR15" s="51"/>
      <c r="GS15" s="51"/>
      <c r="GT15" s="51"/>
      <c r="GU15" s="51"/>
      <c r="GV15" s="51"/>
      <c r="GW15" s="51"/>
      <c r="GX15" s="51"/>
      <c r="GY15" s="51"/>
      <c r="GZ15" s="51"/>
      <c r="HA15" s="51"/>
      <c r="HB15" s="51"/>
      <c r="HC15" s="51"/>
      <c r="HD15" s="51"/>
      <c r="HE15" s="51"/>
      <c r="HF15" s="51"/>
      <c r="HG15" s="51"/>
      <c r="HH15" s="51"/>
      <c r="HI15" s="51"/>
      <c r="HJ15" s="51"/>
      <c r="HK15" s="51"/>
      <c r="HL15" s="51"/>
      <c r="HM15" s="51"/>
      <c r="HN15" s="51"/>
      <c r="HO15" s="51"/>
      <c r="HP15" s="51"/>
      <c r="HQ15" s="51"/>
      <c r="HR15" s="51"/>
      <c r="HS15" s="51"/>
      <c r="HT15" s="51"/>
      <c r="HU15" s="51"/>
      <c r="HV15" s="51"/>
      <c r="HW15" s="51"/>
      <c r="HX15" s="51"/>
      <c r="HY15" s="51"/>
      <c r="HZ15" s="51"/>
      <c r="IA15" s="51"/>
      <c r="IB15" s="51"/>
      <c r="IC15" s="51"/>
      <c r="ID15" s="51"/>
      <c r="IE15" s="51"/>
      <c r="IF15" s="51"/>
      <c r="IG15" s="51"/>
      <c r="IH15" s="51"/>
      <c r="II15" s="51"/>
      <c r="IJ15" s="51"/>
      <c r="IK15" s="51"/>
      <c r="IL15" s="51"/>
      <c r="IM15" s="51"/>
      <c r="IN15" s="51"/>
      <c r="IO15" s="51"/>
      <c r="IP15" s="51"/>
      <c r="IQ15" s="51"/>
      <c r="IR15" s="51"/>
      <c r="IS15" s="51"/>
      <c r="IT15" s="51"/>
      <c r="IU15" s="51"/>
      <c r="IV15" s="51"/>
      <c r="IW15" s="51"/>
      <c r="IX15" s="51"/>
      <c r="IY15" s="51"/>
      <c r="IZ15" s="51"/>
      <c r="JA15" s="51"/>
      <c r="JB15" s="51"/>
      <c r="JC15" s="51"/>
      <c r="JD15" s="51"/>
      <c r="JE15" s="51"/>
      <c r="JF15" s="51"/>
      <c r="JG15" s="51"/>
      <c r="JH15" s="51"/>
      <c r="JI15" s="51"/>
      <c r="JJ15" s="51"/>
      <c r="JK15" s="51"/>
      <c r="JL15" s="51"/>
      <c r="JM15" s="51"/>
      <c r="JN15" s="51"/>
      <c r="JO15" s="51"/>
      <c r="JP15" s="51"/>
      <c r="JQ15" s="51"/>
      <c r="JR15" s="51"/>
      <c r="JS15" s="51"/>
      <c r="JT15" s="51"/>
      <c r="JU15" s="51"/>
      <c r="JV15" s="51"/>
      <c r="JW15" s="51"/>
      <c r="JX15" s="51"/>
      <c r="JY15" s="51"/>
      <c r="JZ15" s="51"/>
      <c r="KA15" s="51"/>
      <c r="KB15" s="51"/>
      <c r="KC15" s="51"/>
      <c r="KD15" s="51"/>
      <c r="KE15" s="51"/>
      <c r="KF15" s="51"/>
      <c r="KG15" s="51"/>
      <c r="KH15" s="51"/>
      <c r="KI15" s="51"/>
      <c r="KJ15" s="51"/>
      <c r="KK15" s="51"/>
      <c r="KL15" s="51"/>
      <c r="KM15" s="51"/>
      <c r="KN15" s="51"/>
      <c r="KO15" s="51"/>
      <c r="KP15" s="51"/>
      <c r="KQ15" s="51"/>
      <c r="KR15" s="51"/>
      <c r="KS15" s="51"/>
      <c r="KT15" s="51"/>
      <c r="KU15" s="51"/>
      <c r="KV15" s="51"/>
      <c r="KW15" s="51"/>
      <c r="KX15" s="51"/>
    </row>
    <row r="16" spans="1:310" s="10" customFormat="1" x14ac:dyDescent="0.25">
      <c r="A16" s="3"/>
      <c r="B16" s="41" t="s">
        <v>166</v>
      </c>
      <c r="C16" s="42" t="s">
        <v>141</v>
      </c>
      <c r="D16" s="43" t="s">
        <v>156</v>
      </c>
      <c r="E16" s="44">
        <v>1</v>
      </c>
      <c r="F16" s="45">
        <f t="shared" si="11"/>
        <v>46008</v>
      </c>
      <c r="G16" s="45">
        <f>+Hitos4352[[#This Row],[Inicio]]+Hitos4352[[#This Row],[Días]]</f>
        <v>46008.5</v>
      </c>
      <c r="H16" s="46">
        <v>0.5</v>
      </c>
      <c r="I16" s="9"/>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c r="FM16" s="51"/>
      <c r="FN16" s="51"/>
      <c r="FO16" s="51"/>
      <c r="FP16" s="51"/>
      <c r="FQ16" s="51"/>
      <c r="FR16" s="51"/>
      <c r="FS16" s="51"/>
      <c r="FT16" s="51"/>
      <c r="FU16" s="51"/>
      <c r="FV16" s="51"/>
      <c r="FW16" s="51"/>
      <c r="FX16" s="51"/>
      <c r="FY16" s="51"/>
      <c r="FZ16" s="51"/>
      <c r="GA16" s="51"/>
      <c r="GB16" s="51"/>
      <c r="GC16" s="51"/>
      <c r="GD16" s="51"/>
      <c r="GE16" s="51"/>
      <c r="GF16" s="51"/>
      <c r="GG16" s="51"/>
      <c r="GH16" s="51"/>
      <c r="GI16" s="51"/>
      <c r="GJ16" s="51"/>
      <c r="GK16" s="51"/>
      <c r="GL16" s="51"/>
      <c r="GM16" s="51"/>
      <c r="GN16" s="51"/>
      <c r="GO16" s="51"/>
      <c r="GP16" s="51"/>
      <c r="GQ16" s="51"/>
      <c r="GR16" s="51"/>
      <c r="GS16" s="51"/>
      <c r="GT16" s="51"/>
      <c r="GU16" s="51"/>
      <c r="GV16" s="51"/>
      <c r="GW16" s="51"/>
      <c r="GX16" s="51"/>
      <c r="GY16" s="51"/>
      <c r="GZ16" s="51"/>
      <c r="HA16" s="51"/>
      <c r="HB16" s="51"/>
      <c r="HC16" s="51"/>
      <c r="HD16" s="51"/>
      <c r="HE16" s="51"/>
      <c r="HF16" s="51"/>
      <c r="HG16" s="51"/>
      <c r="HH16" s="51"/>
      <c r="HI16" s="51"/>
      <c r="HJ16" s="51"/>
      <c r="HK16" s="51"/>
      <c r="HL16" s="51"/>
      <c r="HM16" s="51"/>
      <c r="HN16" s="51"/>
      <c r="HO16" s="51"/>
      <c r="HP16" s="51"/>
      <c r="HQ16" s="51"/>
      <c r="HR16" s="51"/>
      <c r="HS16" s="51"/>
      <c r="HT16" s="51"/>
      <c r="HU16" s="51"/>
      <c r="HV16" s="51"/>
      <c r="HW16" s="51"/>
      <c r="HX16" s="51"/>
      <c r="HY16" s="51"/>
      <c r="HZ16" s="51"/>
      <c r="IA16" s="51"/>
      <c r="IB16" s="51"/>
      <c r="IC16" s="51"/>
      <c r="ID16" s="51"/>
      <c r="IE16" s="51"/>
      <c r="IF16" s="51"/>
      <c r="IG16" s="51"/>
      <c r="IH16" s="51"/>
      <c r="II16" s="51"/>
      <c r="IJ16" s="51"/>
      <c r="IK16" s="51"/>
      <c r="IL16" s="51"/>
      <c r="IM16" s="51"/>
      <c r="IN16" s="51"/>
      <c r="IO16" s="51"/>
      <c r="IP16" s="51"/>
      <c r="IQ16" s="51"/>
      <c r="IR16" s="51"/>
      <c r="IS16" s="51"/>
      <c r="IT16" s="51"/>
      <c r="IU16" s="51"/>
      <c r="IV16" s="51"/>
      <c r="IW16" s="51"/>
      <c r="IX16" s="51"/>
      <c r="IY16" s="51"/>
      <c r="IZ16" s="51"/>
      <c r="JA16" s="51"/>
      <c r="JB16" s="51"/>
      <c r="JC16" s="51"/>
      <c r="JD16" s="51"/>
      <c r="JE16" s="51"/>
      <c r="JF16" s="51"/>
      <c r="JG16" s="51"/>
      <c r="JH16" s="51"/>
      <c r="JI16" s="51"/>
      <c r="JJ16" s="51"/>
      <c r="JK16" s="51"/>
      <c r="JL16" s="51"/>
      <c r="JM16" s="51"/>
      <c r="JN16" s="51"/>
      <c r="JO16" s="51"/>
      <c r="JP16" s="51"/>
      <c r="JQ16" s="51"/>
      <c r="JR16" s="51"/>
      <c r="JS16" s="51"/>
      <c r="JT16" s="51"/>
      <c r="JU16" s="51"/>
      <c r="JV16" s="51"/>
      <c r="JW16" s="51"/>
      <c r="JX16" s="51"/>
      <c r="JY16" s="51"/>
      <c r="JZ16" s="51"/>
      <c r="KA16" s="51"/>
      <c r="KB16" s="51"/>
      <c r="KC16" s="51"/>
      <c r="KD16" s="51"/>
      <c r="KE16" s="51"/>
      <c r="KF16" s="51"/>
      <c r="KG16" s="51"/>
      <c r="KH16" s="51"/>
      <c r="KI16" s="51"/>
      <c r="KJ16" s="51"/>
      <c r="KK16" s="51"/>
      <c r="KL16" s="51"/>
      <c r="KM16" s="51"/>
      <c r="KN16" s="51"/>
      <c r="KO16" s="51"/>
      <c r="KP16" s="51"/>
      <c r="KQ16" s="51"/>
      <c r="KR16" s="51"/>
      <c r="KS16" s="51"/>
      <c r="KT16" s="51"/>
      <c r="KU16" s="51"/>
      <c r="KV16" s="51"/>
      <c r="KW16" s="51"/>
      <c r="KX16" s="51"/>
    </row>
    <row r="17" spans="1:310" s="10" customFormat="1" x14ac:dyDescent="0.25">
      <c r="A17" s="3"/>
      <c r="B17" s="41" t="s">
        <v>167</v>
      </c>
      <c r="C17" s="42" t="s">
        <v>141</v>
      </c>
      <c r="D17" s="43" t="s">
        <v>156</v>
      </c>
      <c r="E17" s="44">
        <v>1</v>
      </c>
      <c r="F17" s="45">
        <f t="shared" si="11"/>
        <v>46008.5</v>
      </c>
      <c r="G17" s="45">
        <f>+Hitos4352[[#This Row],[Inicio]]+Hitos4352[[#This Row],[Días]]</f>
        <v>46009</v>
      </c>
      <c r="H17" s="46">
        <v>0.5</v>
      </c>
      <c r="I17" s="9"/>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c r="EE17" s="51"/>
      <c r="EF17" s="51"/>
      <c r="EG17" s="51"/>
      <c r="EH17" s="51"/>
      <c r="EI17" s="51"/>
      <c r="EJ17" s="51"/>
      <c r="EK17" s="51"/>
      <c r="EL17" s="51"/>
      <c r="EM17" s="51"/>
      <c r="EN17" s="51"/>
      <c r="EO17" s="51"/>
      <c r="EP17" s="51"/>
      <c r="EQ17" s="51"/>
      <c r="ER17" s="51"/>
      <c r="ES17" s="51"/>
      <c r="ET17" s="51"/>
      <c r="EU17" s="51"/>
      <c r="EV17" s="51"/>
      <c r="EW17" s="51"/>
      <c r="EX17" s="51"/>
      <c r="EY17" s="51"/>
      <c r="EZ17" s="51"/>
      <c r="FA17" s="51"/>
      <c r="FB17" s="51"/>
      <c r="FC17" s="51"/>
      <c r="FD17" s="51"/>
      <c r="FE17" s="51"/>
      <c r="FF17" s="51"/>
      <c r="FG17" s="51"/>
      <c r="FH17" s="51"/>
      <c r="FI17" s="51"/>
      <c r="FJ17" s="51"/>
      <c r="FK17" s="51"/>
      <c r="FL17" s="51"/>
      <c r="FM17" s="51"/>
      <c r="FN17" s="51"/>
      <c r="FO17" s="51"/>
      <c r="FP17" s="51"/>
      <c r="FQ17" s="51"/>
      <c r="FR17" s="51"/>
      <c r="FS17" s="51"/>
      <c r="FT17" s="51"/>
      <c r="FU17" s="51"/>
      <c r="FV17" s="51"/>
      <c r="FW17" s="51"/>
      <c r="FX17" s="51"/>
      <c r="FY17" s="51"/>
      <c r="FZ17" s="51"/>
      <c r="GA17" s="51"/>
      <c r="GB17" s="51"/>
      <c r="GC17" s="51"/>
      <c r="GD17" s="51"/>
      <c r="GE17" s="51"/>
      <c r="GF17" s="51"/>
      <c r="GG17" s="51"/>
      <c r="GH17" s="51"/>
      <c r="GI17" s="51"/>
      <c r="GJ17" s="51"/>
      <c r="GK17" s="51"/>
      <c r="GL17" s="51"/>
      <c r="GM17" s="51"/>
      <c r="GN17" s="51"/>
      <c r="GO17" s="51"/>
      <c r="GP17" s="51"/>
      <c r="GQ17" s="51"/>
      <c r="GR17" s="51"/>
      <c r="GS17" s="51"/>
      <c r="GT17" s="51"/>
      <c r="GU17" s="51"/>
      <c r="GV17" s="51"/>
      <c r="GW17" s="51"/>
      <c r="GX17" s="51"/>
      <c r="GY17" s="51"/>
      <c r="GZ17" s="51"/>
      <c r="HA17" s="51"/>
      <c r="HB17" s="51"/>
      <c r="HC17" s="51"/>
      <c r="HD17" s="51"/>
      <c r="HE17" s="51"/>
      <c r="HF17" s="51"/>
      <c r="HG17" s="51"/>
      <c r="HH17" s="51"/>
      <c r="HI17" s="51"/>
      <c r="HJ17" s="51"/>
      <c r="HK17" s="51"/>
      <c r="HL17" s="51"/>
      <c r="HM17" s="51"/>
      <c r="HN17" s="51"/>
      <c r="HO17" s="51"/>
      <c r="HP17" s="51"/>
      <c r="HQ17" s="51"/>
      <c r="HR17" s="51"/>
      <c r="HS17" s="51"/>
      <c r="HT17" s="51"/>
      <c r="HU17" s="51"/>
      <c r="HV17" s="51"/>
      <c r="HW17" s="51"/>
      <c r="HX17" s="51"/>
      <c r="HY17" s="51"/>
      <c r="HZ17" s="51"/>
      <c r="IA17" s="51"/>
      <c r="IB17" s="51"/>
      <c r="IC17" s="51"/>
      <c r="ID17" s="51"/>
      <c r="IE17" s="51"/>
      <c r="IF17" s="51"/>
      <c r="IG17" s="51"/>
      <c r="IH17" s="51"/>
      <c r="II17" s="51"/>
      <c r="IJ17" s="51"/>
      <c r="IK17" s="51"/>
      <c r="IL17" s="51"/>
      <c r="IM17" s="51"/>
      <c r="IN17" s="51"/>
      <c r="IO17" s="51"/>
      <c r="IP17" s="51"/>
      <c r="IQ17" s="51"/>
      <c r="IR17" s="51"/>
      <c r="IS17" s="51"/>
      <c r="IT17" s="51"/>
      <c r="IU17" s="51"/>
      <c r="IV17" s="51"/>
      <c r="IW17" s="51"/>
      <c r="IX17" s="51"/>
      <c r="IY17" s="51"/>
      <c r="IZ17" s="51"/>
      <c r="JA17" s="51"/>
      <c r="JB17" s="51"/>
      <c r="JC17" s="51"/>
      <c r="JD17" s="51"/>
      <c r="JE17" s="51"/>
      <c r="JF17" s="51"/>
      <c r="JG17" s="51"/>
      <c r="JH17" s="51"/>
      <c r="JI17" s="51"/>
      <c r="JJ17" s="51"/>
      <c r="JK17" s="51"/>
      <c r="JL17" s="51"/>
      <c r="JM17" s="51"/>
      <c r="JN17" s="51"/>
      <c r="JO17" s="51"/>
      <c r="JP17" s="51"/>
      <c r="JQ17" s="51"/>
      <c r="JR17" s="51"/>
      <c r="JS17" s="51"/>
      <c r="JT17" s="51"/>
      <c r="JU17" s="51"/>
      <c r="JV17" s="51"/>
      <c r="JW17" s="51"/>
      <c r="JX17" s="51"/>
      <c r="JY17" s="51"/>
      <c r="JZ17" s="51"/>
      <c r="KA17" s="51"/>
      <c r="KB17" s="51"/>
      <c r="KC17" s="51"/>
      <c r="KD17" s="51"/>
      <c r="KE17" s="51"/>
      <c r="KF17" s="51"/>
      <c r="KG17" s="51"/>
      <c r="KH17" s="51"/>
      <c r="KI17" s="51"/>
      <c r="KJ17" s="51"/>
      <c r="KK17" s="51"/>
      <c r="KL17" s="51"/>
      <c r="KM17" s="51"/>
      <c r="KN17" s="51"/>
      <c r="KO17" s="51"/>
      <c r="KP17" s="51"/>
      <c r="KQ17" s="51"/>
      <c r="KR17" s="51"/>
      <c r="KS17" s="51"/>
      <c r="KT17" s="51"/>
      <c r="KU17" s="51"/>
      <c r="KV17" s="51"/>
      <c r="KW17" s="51"/>
      <c r="KX17" s="51"/>
    </row>
    <row r="18" spans="1:310" s="10" customFormat="1" x14ac:dyDescent="0.25">
      <c r="A18" s="3"/>
      <c r="B18" s="41" t="s">
        <v>168</v>
      </c>
      <c r="C18" s="42" t="s">
        <v>141</v>
      </c>
      <c r="D18" s="43" t="s">
        <v>156</v>
      </c>
      <c r="E18" s="44">
        <v>1</v>
      </c>
      <c r="F18" s="45">
        <f t="shared" si="11"/>
        <v>46009</v>
      </c>
      <c r="G18" s="45">
        <f>+Hitos4352[[#This Row],[Inicio]]+Hitos4352[[#This Row],[Días]]</f>
        <v>46010</v>
      </c>
      <c r="H18" s="46">
        <v>1</v>
      </c>
      <c r="I18" s="9"/>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c r="HP18" s="51"/>
      <c r="HQ18" s="51"/>
      <c r="HR18" s="51"/>
      <c r="HS18" s="51"/>
      <c r="HT18" s="51"/>
      <c r="HU18" s="51"/>
      <c r="HV18" s="51"/>
      <c r="HW18" s="51"/>
      <c r="HX18" s="51"/>
      <c r="HY18" s="51"/>
      <c r="HZ18" s="51"/>
      <c r="IA18" s="51"/>
      <c r="IB18" s="51"/>
      <c r="IC18" s="51"/>
      <c r="ID18" s="51"/>
      <c r="IE18" s="51"/>
      <c r="IF18" s="51"/>
      <c r="IG18" s="51"/>
      <c r="IH18" s="51"/>
      <c r="II18" s="51"/>
      <c r="IJ18" s="51"/>
      <c r="IK18" s="51"/>
      <c r="IL18" s="51"/>
      <c r="IM18" s="51"/>
      <c r="IN18" s="51"/>
      <c r="IO18" s="51"/>
      <c r="IP18" s="51"/>
      <c r="IQ18" s="51"/>
      <c r="IR18" s="51"/>
      <c r="IS18" s="51"/>
      <c r="IT18" s="51"/>
      <c r="IU18" s="51"/>
      <c r="IV18" s="51"/>
      <c r="IW18" s="51"/>
      <c r="IX18" s="51"/>
      <c r="IY18" s="51"/>
      <c r="IZ18" s="51"/>
      <c r="JA18" s="51"/>
      <c r="JB18" s="51"/>
      <c r="JC18" s="51"/>
      <c r="JD18" s="51"/>
      <c r="JE18" s="51"/>
      <c r="JF18" s="51"/>
      <c r="JG18" s="51"/>
      <c r="JH18" s="51"/>
      <c r="JI18" s="51"/>
      <c r="JJ18" s="51"/>
      <c r="JK18" s="51"/>
      <c r="JL18" s="51"/>
      <c r="JM18" s="51"/>
      <c r="JN18" s="51"/>
      <c r="JO18" s="51"/>
      <c r="JP18" s="51"/>
      <c r="JQ18" s="51"/>
      <c r="JR18" s="51"/>
      <c r="JS18" s="51"/>
      <c r="JT18" s="51"/>
      <c r="JU18" s="51"/>
      <c r="JV18" s="51"/>
      <c r="JW18" s="51"/>
      <c r="JX18" s="51"/>
      <c r="JY18" s="51"/>
      <c r="JZ18" s="51"/>
      <c r="KA18" s="51"/>
      <c r="KB18" s="51"/>
      <c r="KC18" s="51"/>
      <c r="KD18" s="51"/>
      <c r="KE18" s="51"/>
      <c r="KF18" s="51"/>
      <c r="KG18" s="51"/>
      <c r="KH18" s="51"/>
      <c r="KI18" s="51"/>
      <c r="KJ18" s="51"/>
      <c r="KK18" s="51"/>
      <c r="KL18" s="51"/>
      <c r="KM18" s="51"/>
      <c r="KN18" s="51"/>
      <c r="KO18" s="51"/>
      <c r="KP18" s="51"/>
      <c r="KQ18" s="51"/>
      <c r="KR18" s="51"/>
      <c r="KS18" s="51"/>
      <c r="KT18" s="51"/>
      <c r="KU18" s="51"/>
      <c r="KV18" s="51"/>
      <c r="KW18" s="51"/>
      <c r="KX18" s="51"/>
    </row>
    <row r="19" spans="1:310" s="10" customFormat="1" x14ac:dyDescent="0.25">
      <c r="A19" s="3"/>
      <c r="B19" s="41" t="s">
        <v>169</v>
      </c>
      <c r="C19" s="42" t="s">
        <v>141</v>
      </c>
      <c r="D19" s="43" t="s">
        <v>156</v>
      </c>
      <c r="E19" s="44">
        <v>1</v>
      </c>
      <c r="F19" s="45">
        <f t="shared" si="11"/>
        <v>46010</v>
      </c>
      <c r="G19" s="45">
        <f>+Hitos4352[[#This Row],[Inicio]]+Hitos4352[[#This Row],[Días]]</f>
        <v>46012</v>
      </c>
      <c r="H19" s="46">
        <v>2</v>
      </c>
      <c r="I19" s="9">
        <v>1.8</v>
      </c>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1"/>
      <c r="EM19" s="51"/>
      <c r="EN19" s="51"/>
      <c r="EO19" s="51"/>
      <c r="EP19" s="51"/>
      <c r="EQ19" s="51"/>
      <c r="ER19" s="51"/>
      <c r="ES19" s="51"/>
      <c r="ET19" s="51"/>
      <c r="EU19" s="51"/>
      <c r="EV19" s="51"/>
      <c r="EW19" s="51"/>
      <c r="EX19" s="51"/>
      <c r="EY19" s="51"/>
      <c r="EZ19" s="51"/>
      <c r="FA19" s="51"/>
      <c r="FB19" s="51"/>
      <c r="FC19" s="51"/>
      <c r="FD19" s="51"/>
      <c r="FE19" s="51"/>
      <c r="FF19" s="51"/>
      <c r="FG19" s="51"/>
      <c r="FH19" s="51"/>
      <c r="FI19" s="51"/>
      <c r="FJ19" s="51"/>
      <c r="FK19" s="51"/>
      <c r="FL19" s="51"/>
      <c r="FM19" s="51"/>
      <c r="FN19" s="51"/>
      <c r="FO19" s="51"/>
      <c r="FP19" s="51"/>
      <c r="FQ19" s="51"/>
      <c r="FR19" s="51"/>
      <c r="FS19" s="51"/>
      <c r="FT19" s="51"/>
      <c r="FU19" s="51"/>
      <c r="FV19" s="51"/>
      <c r="FW19" s="51"/>
      <c r="FX19" s="51"/>
      <c r="FY19" s="51"/>
      <c r="FZ19" s="51"/>
      <c r="GA19" s="51"/>
      <c r="GB19" s="51"/>
      <c r="GC19" s="51"/>
      <c r="GD19" s="51"/>
      <c r="GE19" s="51"/>
      <c r="GF19" s="51"/>
      <c r="GG19" s="51"/>
      <c r="GH19" s="51"/>
      <c r="GI19" s="51"/>
      <c r="GJ19" s="51"/>
      <c r="GK19" s="51"/>
      <c r="GL19" s="51"/>
      <c r="GM19" s="51"/>
      <c r="GN19" s="51"/>
      <c r="GO19" s="51"/>
      <c r="GP19" s="51"/>
      <c r="GQ19" s="51"/>
      <c r="GR19" s="51"/>
      <c r="GS19" s="51"/>
      <c r="GT19" s="51"/>
      <c r="GU19" s="51"/>
      <c r="GV19" s="51"/>
      <c r="GW19" s="51"/>
      <c r="GX19" s="51"/>
      <c r="GY19" s="51"/>
      <c r="GZ19" s="51"/>
      <c r="HA19" s="51"/>
      <c r="HB19" s="51"/>
      <c r="HC19" s="51"/>
      <c r="HD19" s="51"/>
      <c r="HE19" s="51"/>
      <c r="HF19" s="51"/>
      <c r="HG19" s="51"/>
      <c r="HH19" s="51"/>
      <c r="HI19" s="51"/>
      <c r="HJ19" s="51"/>
      <c r="HK19" s="51"/>
      <c r="HL19" s="51"/>
      <c r="HM19" s="51"/>
      <c r="HN19" s="51"/>
      <c r="HO19" s="51"/>
      <c r="HP19" s="51"/>
      <c r="HQ19" s="51"/>
      <c r="HR19" s="51"/>
      <c r="HS19" s="51"/>
      <c r="HT19" s="51"/>
      <c r="HU19" s="51"/>
      <c r="HV19" s="51"/>
      <c r="HW19" s="51"/>
      <c r="HX19" s="51"/>
      <c r="HY19" s="51"/>
      <c r="HZ19" s="51"/>
      <c r="IA19" s="51"/>
      <c r="IB19" s="51"/>
      <c r="IC19" s="51"/>
      <c r="ID19" s="51"/>
      <c r="IE19" s="51"/>
      <c r="IF19" s="51"/>
      <c r="IG19" s="51"/>
      <c r="IH19" s="51"/>
      <c r="II19" s="51"/>
      <c r="IJ19" s="51"/>
      <c r="IK19" s="51"/>
      <c r="IL19" s="51"/>
      <c r="IM19" s="51"/>
      <c r="IN19" s="51"/>
      <c r="IO19" s="51"/>
      <c r="IP19" s="51"/>
      <c r="IQ19" s="51"/>
      <c r="IR19" s="51"/>
      <c r="IS19" s="51"/>
      <c r="IT19" s="51"/>
      <c r="IU19" s="51"/>
      <c r="IV19" s="51"/>
      <c r="IW19" s="51"/>
      <c r="IX19" s="51"/>
      <c r="IY19" s="51"/>
      <c r="IZ19" s="51"/>
      <c r="JA19" s="51"/>
      <c r="JB19" s="51"/>
      <c r="JC19" s="51"/>
      <c r="JD19" s="51"/>
      <c r="JE19" s="51"/>
      <c r="JF19" s="51"/>
      <c r="JG19" s="51"/>
      <c r="JH19" s="51"/>
      <c r="JI19" s="51"/>
      <c r="JJ19" s="51"/>
      <c r="JK19" s="51"/>
      <c r="JL19" s="51"/>
      <c r="JM19" s="51"/>
      <c r="JN19" s="51"/>
      <c r="JO19" s="51"/>
      <c r="JP19" s="51"/>
      <c r="JQ19" s="51"/>
      <c r="JR19" s="51"/>
      <c r="JS19" s="51"/>
      <c r="JT19" s="51"/>
      <c r="JU19" s="51"/>
      <c r="JV19" s="51"/>
      <c r="JW19" s="51"/>
      <c r="JX19" s="51"/>
      <c r="JY19" s="51"/>
      <c r="JZ19" s="51"/>
      <c r="KA19" s="51"/>
      <c r="KB19" s="51"/>
      <c r="KC19" s="51"/>
      <c r="KD19" s="51"/>
      <c r="KE19" s="51"/>
      <c r="KF19" s="51"/>
      <c r="KG19" s="51"/>
      <c r="KH19" s="51"/>
      <c r="KI19" s="51"/>
      <c r="KJ19" s="51"/>
      <c r="KK19" s="51"/>
      <c r="KL19" s="51"/>
      <c r="KM19" s="51"/>
      <c r="KN19" s="51"/>
      <c r="KO19" s="51"/>
      <c r="KP19" s="51"/>
      <c r="KQ19" s="51"/>
      <c r="KR19" s="51"/>
      <c r="KS19" s="51"/>
      <c r="KT19" s="51"/>
      <c r="KU19" s="51"/>
      <c r="KV19" s="51"/>
      <c r="KW19" s="51"/>
      <c r="KX19" s="51"/>
    </row>
    <row r="20" spans="1:310" s="10" customFormat="1" x14ac:dyDescent="0.25">
      <c r="A20" s="3"/>
      <c r="B20" s="41" t="s">
        <v>170</v>
      </c>
      <c r="C20" s="42" t="s">
        <v>141</v>
      </c>
      <c r="D20" s="43" t="s">
        <v>156</v>
      </c>
      <c r="E20" s="44">
        <v>1</v>
      </c>
      <c r="F20" s="45">
        <f>+F21</f>
        <v>46012</v>
      </c>
      <c r="G20" s="45">
        <f>+Hitos4352[[#This Row],[Inicio]]+Hitos4352[[#This Row],[Días]]</f>
        <v>46013</v>
      </c>
      <c r="H20" s="46">
        <v>1</v>
      </c>
      <c r="I20" s="9"/>
      <c r="J20" s="51" t="str">
        <f t="shared" si="5"/>
        <v/>
      </c>
      <c r="K20" s="51" t="str">
        <f t="shared" si="5"/>
        <v/>
      </c>
      <c r="L20" s="51" t="str">
        <f t="shared" si="5"/>
        <v/>
      </c>
      <c r="M20" s="51" t="str">
        <f t="shared" si="5"/>
        <v/>
      </c>
      <c r="N20" s="51" t="str">
        <f t="shared" si="5"/>
        <v/>
      </c>
      <c r="O20" s="51" t="str">
        <f t="shared" si="5"/>
        <v/>
      </c>
      <c r="P20" s="51" t="str">
        <f t="shared" si="5"/>
        <v/>
      </c>
      <c r="Q20" s="51" t="str">
        <f t="shared" si="5"/>
        <v/>
      </c>
      <c r="R20" s="51" t="str">
        <f t="shared" si="5"/>
        <v/>
      </c>
      <c r="S20" s="51" t="str">
        <f t="shared" si="5"/>
        <v/>
      </c>
      <c r="T20" s="51" t="str">
        <f t="shared" si="5"/>
        <v/>
      </c>
      <c r="U20" s="51" t="str">
        <f t="shared" si="5"/>
        <v/>
      </c>
      <c r="V20" s="51" t="str">
        <f t="shared" si="5"/>
        <v/>
      </c>
      <c r="W20" s="51" t="str">
        <f t="shared" si="5"/>
        <v/>
      </c>
      <c r="X20" s="51" t="str">
        <f t="shared" si="5"/>
        <v/>
      </c>
      <c r="Y20" s="51" t="str">
        <f t="shared" si="5"/>
        <v/>
      </c>
      <c r="Z20" s="51" t="str">
        <f t="shared" si="6"/>
        <v/>
      </c>
      <c r="AA20" s="51" t="str">
        <f t="shared" si="6"/>
        <v/>
      </c>
      <c r="AB20" s="51" t="str">
        <f t="shared" si="6"/>
        <v/>
      </c>
      <c r="AC20" s="51" t="str">
        <f t="shared" si="6"/>
        <v/>
      </c>
      <c r="AD20" s="51" t="str">
        <f t="shared" si="6"/>
        <v/>
      </c>
      <c r="AE20" s="51" t="str">
        <f t="shared" si="6"/>
        <v/>
      </c>
      <c r="AF20" s="51" t="str">
        <f t="shared" si="6"/>
        <v/>
      </c>
      <c r="AG20" s="51" t="str">
        <f t="shared" si="6"/>
        <v/>
      </c>
      <c r="AH20" s="51" t="str">
        <f t="shared" si="6"/>
        <v/>
      </c>
      <c r="AI20" s="51" t="str">
        <f t="shared" si="6"/>
        <v/>
      </c>
      <c r="AJ20" s="51" t="str">
        <f t="shared" si="6"/>
        <v/>
      </c>
      <c r="AK20" s="51" t="str">
        <f t="shared" si="6"/>
        <v/>
      </c>
      <c r="AL20" s="51" t="str">
        <f t="shared" si="6"/>
        <v/>
      </c>
      <c r="AM20" s="51" t="str">
        <f t="shared" si="6"/>
        <v/>
      </c>
      <c r="AN20" s="51" t="str">
        <f t="shared" si="6"/>
        <v/>
      </c>
      <c r="AO20" s="51" t="str">
        <f t="shared" si="6"/>
        <v/>
      </c>
      <c r="AP20" s="51" t="str">
        <f t="shared" si="6"/>
        <v/>
      </c>
      <c r="AQ20" s="51" t="str">
        <f t="shared" si="6"/>
        <v/>
      </c>
      <c r="AR20" s="51" t="str">
        <f t="shared" si="6"/>
        <v/>
      </c>
      <c r="AS20" s="51" t="str">
        <f t="shared" si="6"/>
        <v/>
      </c>
      <c r="AT20" s="51" t="str">
        <f t="shared" si="6"/>
        <v/>
      </c>
      <c r="AU20" s="51" t="str">
        <f t="shared" si="6"/>
        <v/>
      </c>
      <c r="AV20" s="51" t="str">
        <f t="shared" si="6"/>
        <v/>
      </c>
      <c r="AW20" s="51" t="str">
        <f t="shared" si="6"/>
        <v/>
      </c>
      <c r="AX20" s="51" t="str">
        <f t="shared" si="6"/>
        <v/>
      </c>
      <c r="AY20" s="51" t="str">
        <f t="shared" si="6"/>
        <v/>
      </c>
      <c r="AZ20" s="51" t="str">
        <f t="shared" si="6"/>
        <v/>
      </c>
      <c r="BA20" s="51" t="str">
        <f t="shared" si="6"/>
        <v/>
      </c>
      <c r="BB20" s="51" t="str">
        <f t="shared" si="6"/>
        <v/>
      </c>
      <c r="BC20" s="51" t="str">
        <f t="shared" si="6"/>
        <v/>
      </c>
      <c r="BD20" s="51" t="str">
        <f t="shared" si="6"/>
        <v/>
      </c>
      <c r="BE20" s="51" t="str">
        <f t="shared" si="6"/>
        <v/>
      </c>
      <c r="BF20" s="51" t="str">
        <f t="shared" si="6"/>
        <v/>
      </c>
      <c r="BG20" s="51" t="str">
        <f t="shared" si="6"/>
        <v/>
      </c>
      <c r="BH20" s="51" t="str">
        <f t="shared" si="6"/>
        <v/>
      </c>
      <c r="BI20" s="51" t="str">
        <f t="shared" si="6"/>
        <v/>
      </c>
      <c r="BJ20" s="51" t="str">
        <f t="shared" si="6"/>
        <v/>
      </c>
      <c r="BK20" s="51" t="str">
        <f t="shared" si="6"/>
        <v/>
      </c>
      <c r="BL20" s="51" t="str">
        <f t="shared" si="6"/>
        <v/>
      </c>
      <c r="BM20" s="51" t="str">
        <f t="shared" si="6"/>
        <v/>
      </c>
      <c r="BN20" s="51" t="str">
        <f t="shared" si="6"/>
        <v/>
      </c>
      <c r="BO20" s="51" t="str">
        <f t="shared" si="6"/>
        <v/>
      </c>
      <c r="BP20" s="51" t="str">
        <f t="shared" si="6"/>
        <v/>
      </c>
      <c r="BQ20" s="51" t="str">
        <f t="shared" si="6"/>
        <v/>
      </c>
      <c r="BR20" s="51" t="str">
        <f t="shared" si="6"/>
        <v/>
      </c>
      <c r="BS20" s="51" t="str">
        <f t="shared" si="6"/>
        <v/>
      </c>
      <c r="BT20" s="51" t="str">
        <f t="shared" si="6"/>
        <v/>
      </c>
      <c r="BU20" s="51" t="str">
        <f t="shared" si="6"/>
        <v/>
      </c>
      <c r="BV20" s="51" t="str">
        <f t="shared" si="6"/>
        <v/>
      </c>
      <c r="BW20" s="51" t="str">
        <f t="shared" si="6"/>
        <v/>
      </c>
      <c r="BX20" s="51" t="str">
        <f t="shared" si="6"/>
        <v/>
      </c>
      <c r="BY20" s="51" t="str">
        <f t="shared" si="6"/>
        <v/>
      </c>
      <c r="BZ20" s="51" t="str">
        <f t="shared" si="6"/>
        <v/>
      </c>
      <c r="CA20" s="51" t="str">
        <f t="shared" si="6"/>
        <v/>
      </c>
      <c r="CB20" s="51" t="str">
        <f t="shared" si="6"/>
        <v/>
      </c>
      <c r="CC20" s="51" t="str">
        <f t="shared" si="6"/>
        <v/>
      </c>
      <c r="CD20" s="51" t="str">
        <f t="shared" si="6"/>
        <v/>
      </c>
      <c r="CE20" s="51" t="str">
        <f t="shared" si="6"/>
        <v/>
      </c>
      <c r="CF20" s="51" t="str">
        <f t="shared" si="6"/>
        <v/>
      </c>
      <c r="CG20" s="51" t="str">
        <f t="shared" si="6"/>
        <v/>
      </c>
      <c r="CH20" s="51" t="str">
        <f t="shared" si="6"/>
        <v/>
      </c>
      <c r="CI20" s="51" t="str">
        <f t="shared" si="6"/>
        <v/>
      </c>
      <c r="CJ20" s="51" t="str">
        <f t="shared" si="6"/>
        <v/>
      </c>
      <c r="CK20" s="51" t="str">
        <f t="shared" si="6"/>
        <v/>
      </c>
      <c r="CL20" s="51" t="str">
        <f t="shared" si="7"/>
        <v/>
      </c>
      <c r="CM20" s="51" t="str">
        <f t="shared" si="7"/>
        <v/>
      </c>
      <c r="CN20" s="51" t="str">
        <f t="shared" si="7"/>
        <v/>
      </c>
      <c r="CO20" s="51" t="str">
        <f t="shared" si="7"/>
        <v/>
      </c>
      <c r="CP20" s="51" t="str">
        <f t="shared" si="7"/>
        <v/>
      </c>
      <c r="CQ20" s="51" t="str">
        <f t="shared" si="7"/>
        <v/>
      </c>
      <c r="CR20" s="51" t="str">
        <f t="shared" si="7"/>
        <v/>
      </c>
      <c r="CS20" s="51" t="str">
        <f t="shared" si="7"/>
        <v/>
      </c>
      <c r="CT20" s="51" t="str">
        <f t="shared" si="7"/>
        <v/>
      </c>
      <c r="CU20" s="51" t="str">
        <f t="shared" si="7"/>
        <v/>
      </c>
      <c r="CV20" s="51" t="str">
        <f t="shared" si="7"/>
        <v/>
      </c>
      <c r="CW20" s="51" t="str">
        <f t="shared" si="7"/>
        <v/>
      </c>
      <c r="CX20" s="51" t="str">
        <f t="shared" si="7"/>
        <v/>
      </c>
      <c r="CY20" s="51" t="str">
        <f t="shared" si="7"/>
        <v/>
      </c>
      <c r="CZ20" s="51" t="str">
        <f t="shared" si="7"/>
        <v/>
      </c>
      <c r="DA20" s="51" t="str">
        <f t="shared" si="7"/>
        <v/>
      </c>
      <c r="DB20" s="51" t="str">
        <f t="shared" si="7"/>
        <v/>
      </c>
      <c r="DC20" s="51" t="str">
        <f t="shared" si="7"/>
        <v/>
      </c>
      <c r="DD20" s="51" t="str">
        <f t="shared" si="7"/>
        <v/>
      </c>
      <c r="DE20" s="51" t="str">
        <f t="shared" si="7"/>
        <v/>
      </c>
      <c r="DF20" s="51" t="str">
        <f t="shared" si="7"/>
        <v/>
      </c>
      <c r="DG20" s="51" t="str">
        <f t="shared" si="7"/>
        <v/>
      </c>
      <c r="DH20" s="51" t="str">
        <f t="shared" si="7"/>
        <v/>
      </c>
      <c r="DI20" s="51" t="str">
        <f t="shared" si="7"/>
        <v/>
      </c>
      <c r="DJ20" s="51" t="str">
        <f t="shared" si="7"/>
        <v/>
      </c>
      <c r="DK20" s="51" t="str">
        <f t="shared" si="7"/>
        <v/>
      </c>
      <c r="DL20" s="51" t="str">
        <f t="shared" si="7"/>
        <v/>
      </c>
      <c r="DM20" s="51" t="str">
        <f t="shared" si="7"/>
        <v/>
      </c>
      <c r="DN20" s="51" t="str">
        <f t="shared" si="7"/>
        <v/>
      </c>
      <c r="DO20" s="51" t="str">
        <f t="shared" si="7"/>
        <v/>
      </c>
      <c r="DP20" s="51" t="str">
        <f t="shared" si="7"/>
        <v/>
      </c>
      <c r="DQ20" s="51" t="str">
        <f t="shared" si="7"/>
        <v/>
      </c>
      <c r="DR20" s="51" t="str">
        <f t="shared" si="7"/>
        <v/>
      </c>
      <c r="DS20" s="51" t="str">
        <f t="shared" si="7"/>
        <v/>
      </c>
      <c r="DT20" s="51" t="str">
        <f t="shared" si="7"/>
        <v/>
      </c>
      <c r="DU20" s="51" t="str">
        <f t="shared" si="7"/>
        <v/>
      </c>
      <c r="DV20" s="51" t="str">
        <f t="shared" si="7"/>
        <v/>
      </c>
      <c r="DW20" s="51" t="str">
        <f t="shared" si="7"/>
        <v/>
      </c>
      <c r="DX20" s="51" t="str">
        <f t="shared" si="7"/>
        <v/>
      </c>
      <c r="DY20" s="51" t="str">
        <f t="shared" si="7"/>
        <v/>
      </c>
      <c r="DZ20" s="51" t="str">
        <f t="shared" si="7"/>
        <v/>
      </c>
      <c r="EA20" s="51" t="str">
        <f t="shared" si="7"/>
        <v/>
      </c>
      <c r="EB20" s="51" t="str">
        <f t="shared" si="7"/>
        <v/>
      </c>
      <c r="EC20" s="51" t="str">
        <f t="shared" si="7"/>
        <v/>
      </c>
      <c r="ED20" s="51" t="str">
        <f t="shared" si="7"/>
        <v/>
      </c>
      <c r="EE20" s="51" t="str">
        <f t="shared" si="7"/>
        <v/>
      </c>
      <c r="EF20" s="51" t="str">
        <f t="shared" si="7"/>
        <v/>
      </c>
      <c r="EG20" s="51" t="str">
        <f t="shared" si="7"/>
        <v/>
      </c>
      <c r="EH20" s="51" t="str">
        <f t="shared" si="7"/>
        <v/>
      </c>
      <c r="EI20" s="51" t="str">
        <f t="shared" si="7"/>
        <v/>
      </c>
      <c r="EJ20" s="51" t="str">
        <f t="shared" si="7"/>
        <v/>
      </c>
      <c r="EK20" s="51" t="str">
        <f t="shared" si="7"/>
        <v/>
      </c>
      <c r="EL20" s="51" t="str">
        <f t="shared" si="7"/>
        <v/>
      </c>
      <c r="EM20" s="51" t="str">
        <f t="shared" si="7"/>
        <v/>
      </c>
      <c r="EN20" s="51" t="str">
        <f t="shared" si="7"/>
        <v/>
      </c>
      <c r="EO20" s="51" t="str">
        <f t="shared" si="7"/>
        <v/>
      </c>
      <c r="EP20" s="51" t="str">
        <f t="shared" si="7"/>
        <v/>
      </c>
      <c r="EQ20" s="51" t="str">
        <f t="shared" si="7"/>
        <v/>
      </c>
      <c r="ER20" s="51" t="str">
        <f t="shared" si="7"/>
        <v/>
      </c>
      <c r="ES20" s="51" t="str">
        <f t="shared" si="7"/>
        <v/>
      </c>
      <c r="ET20" s="51" t="str">
        <f t="shared" si="7"/>
        <v/>
      </c>
      <c r="EU20" s="51" t="str">
        <f t="shared" si="7"/>
        <v/>
      </c>
      <c r="EV20" s="51" t="str">
        <f t="shared" si="7"/>
        <v/>
      </c>
      <c r="EW20" s="51" t="str">
        <f t="shared" si="7"/>
        <v/>
      </c>
      <c r="EX20" s="51" t="str">
        <f t="shared" si="8"/>
        <v/>
      </c>
      <c r="EY20" s="51" t="str">
        <f t="shared" si="8"/>
        <v/>
      </c>
      <c r="EZ20" s="51" t="str">
        <f t="shared" si="8"/>
        <v/>
      </c>
      <c r="FA20" s="51" t="str">
        <f t="shared" si="8"/>
        <v/>
      </c>
      <c r="FB20" s="51" t="str">
        <f t="shared" si="8"/>
        <v/>
      </c>
      <c r="FC20" s="51" t="str">
        <f t="shared" si="8"/>
        <v/>
      </c>
      <c r="FD20" s="51" t="str">
        <f t="shared" si="8"/>
        <v/>
      </c>
      <c r="FE20" s="51" t="str">
        <f t="shared" si="8"/>
        <v/>
      </c>
      <c r="FF20" s="51" t="str">
        <f t="shared" si="8"/>
        <v/>
      </c>
      <c r="FG20" s="51" t="str">
        <f t="shared" si="8"/>
        <v/>
      </c>
      <c r="FH20" s="51" t="str">
        <f t="shared" si="8"/>
        <v/>
      </c>
      <c r="FI20" s="51" t="str">
        <f t="shared" si="8"/>
        <v/>
      </c>
      <c r="FJ20" s="51" t="str">
        <f t="shared" si="8"/>
        <v/>
      </c>
      <c r="FK20" s="51" t="str">
        <f t="shared" si="8"/>
        <v/>
      </c>
      <c r="FL20" s="51" t="str">
        <f t="shared" si="8"/>
        <v/>
      </c>
      <c r="FM20" s="51" t="str">
        <f t="shared" si="8"/>
        <v/>
      </c>
      <c r="FN20" s="51" t="str">
        <f t="shared" si="8"/>
        <v/>
      </c>
      <c r="FO20" s="51" t="str">
        <f t="shared" si="8"/>
        <v/>
      </c>
      <c r="FP20" s="51" t="str">
        <f t="shared" si="8"/>
        <v/>
      </c>
      <c r="FQ20" s="51" t="str">
        <f t="shared" si="8"/>
        <v/>
      </c>
      <c r="FR20" s="51" t="str">
        <f t="shared" si="8"/>
        <v/>
      </c>
      <c r="FS20" s="51" t="str">
        <f t="shared" si="8"/>
        <v/>
      </c>
      <c r="FT20" s="51" t="str">
        <f t="shared" si="8"/>
        <v/>
      </c>
      <c r="FU20" s="51" t="str">
        <f t="shared" si="8"/>
        <v/>
      </c>
      <c r="FV20" s="51" t="str">
        <f t="shared" si="8"/>
        <v/>
      </c>
      <c r="FW20" s="51" t="str">
        <f t="shared" si="8"/>
        <v/>
      </c>
      <c r="FX20" s="51" t="str">
        <f t="shared" si="8"/>
        <v/>
      </c>
      <c r="FY20" s="51" t="str">
        <f t="shared" si="8"/>
        <v/>
      </c>
      <c r="FZ20" s="51" t="str">
        <f t="shared" si="8"/>
        <v/>
      </c>
      <c r="GA20" s="51" t="str">
        <f t="shared" si="8"/>
        <v/>
      </c>
      <c r="GB20" s="51" t="str">
        <f t="shared" si="8"/>
        <v/>
      </c>
      <c r="GC20" s="51" t="str">
        <f t="shared" si="8"/>
        <v/>
      </c>
      <c r="GD20" s="51" t="str">
        <f t="shared" si="8"/>
        <v/>
      </c>
      <c r="GE20" s="51" t="str">
        <f t="shared" si="8"/>
        <v/>
      </c>
      <c r="GF20" s="51" t="str">
        <f t="shared" si="8"/>
        <v/>
      </c>
      <c r="GG20" s="51" t="str">
        <f t="shared" si="8"/>
        <v/>
      </c>
      <c r="GH20" s="51" t="str">
        <f t="shared" si="8"/>
        <v/>
      </c>
      <c r="GI20" s="51" t="str">
        <f t="shared" si="8"/>
        <v/>
      </c>
      <c r="GJ20" s="51" t="str">
        <f t="shared" si="8"/>
        <v/>
      </c>
      <c r="GK20" s="51" t="str">
        <f t="shared" si="8"/>
        <v/>
      </c>
      <c r="GL20" s="51" t="str">
        <f t="shared" si="8"/>
        <v/>
      </c>
      <c r="GM20" s="51" t="str">
        <f t="shared" si="8"/>
        <v/>
      </c>
      <c r="GN20" s="51" t="str">
        <f t="shared" si="8"/>
        <v/>
      </c>
      <c r="GO20" s="51" t="str">
        <f t="shared" si="8"/>
        <v/>
      </c>
      <c r="GP20" s="51" t="str">
        <f t="shared" si="8"/>
        <v/>
      </c>
      <c r="GQ20" s="51" t="str">
        <f t="shared" si="8"/>
        <v/>
      </c>
      <c r="GR20" s="51" t="str">
        <f t="shared" si="8"/>
        <v/>
      </c>
      <c r="GS20" s="51" t="str">
        <f t="shared" si="8"/>
        <v/>
      </c>
      <c r="GT20" s="51" t="str">
        <f t="shared" si="8"/>
        <v/>
      </c>
      <c r="GU20" s="51" t="str">
        <f t="shared" si="8"/>
        <v/>
      </c>
      <c r="GV20" s="51" t="str">
        <f t="shared" si="8"/>
        <v/>
      </c>
      <c r="GW20" s="51" t="str">
        <f t="shared" si="8"/>
        <v/>
      </c>
      <c r="GX20" s="51" t="str">
        <f t="shared" si="8"/>
        <v/>
      </c>
      <c r="GY20" s="51" t="str">
        <f t="shared" si="8"/>
        <v/>
      </c>
      <c r="GZ20" s="51" t="str">
        <f t="shared" si="8"/>
        <v/>
      </c>
      <c r="HA20" s="51" t="str">
        <f t="shared" si="8"/>
        <v/>
      </c>
      <c r="HB20" s="51" t="str">
        <f t="shared" si="8"/>
        <v/>
      </c>
      <c r="HC20" s="51" t="str">
        <f t="shared" si="8"/>
        <v/>
      </c>
      <c r="HD20" s="51" t="str">
        <f t="shared" si="8"/>
        <v/>
      </c>
      <c r="HE20" s="51" t="str">
        <f t="shared" si="8"/>
        <v/>
      </c>
      <c r="HF20" s="51" t="str">
        <f t="shared" si="8"/>
        <v/>
      </c>
      <c r="HG20" s="51" t="str">
        <f t="shared" si="8"/>
        <v/>
      </c>
      <c r="HH20" s="51" t="str">
        <f t="shared" si="8"/>
        <v/>
      </c>
      <c r="HI20" s="51" t="str">
        <f t="shared" si="8"/>
        <v/>
      </c>
      <c r="HJ20" s="51" t="str">
        <f t="shared" si="9"/>
        <v/>
      </c>
      <c r="HK20" s="51" t="str">
        <f t="shared" si="9"/>
        <v/>
      </c>
      <c r="HL20" s="51" t="str">
        <f t="shared" si="9"/>
        <v/>
      </c>
      <c r="HM20" s="51" t="str">
        <f t="shared" si="9"/>
        <v/>
      </c>
      <c r="HN20" s="51" t="str">
        <f t="shared" si="9"/>
        <v/>
      </c>
      <c r="HO20" s="51" t="str">
        <f t="shared" si="9"/>
        <v/>
      </c>
      <c r="HP20" s="51" t="str">
        <f t="shared" si="9"/>
        <v/>
      </c>
      <c r="HQ20" s="51" t="str">
        <f t="shared" si="9"/>
        <v/>
      </c>
      <c r="HR20" s="51" t="str">
        <f t="shared" si="9"/>
        <v/>
      </c>
      <c r="HS20" s="51" t="str">
        <f t="shared" si="9"/>
        <v/>
      </c>
      <c r="HT20" s="51" t="str">
        <f t="shared" si="9"/>
        <v/>
      </c>
      <c r="HU20" s="51" t="str">
        <f t="shared" si="9"/>
        <v/>
      </c>
      <c r="HV20" s="51" t="str">
        <f t="shared" si="9"/>
        <v/>
      </c>
      <c r="HW20" s="51" t="str">
        <f t="shared" si="9"/>
        <v/>
      </c>
      <c r="HX20" s="51" t="str">
        <f t="shared" si="9"/>
        <v/>
      </c>
      <c r="HY20" s="51" t="str">
        <f t="shared" si="9"/>
        <v/>
      </c>
      <c r="HZ20" s="51" t="str">
        <f t="shared" si="9"/>
        <v/>
      </c>
      <c r="IA20" s="51" t="str">
        <f t="shared" si="9"/>
        <v/>
      </c>
      <c r="IB20" s="51" t="str">
        <f t="shared" si="9"/>
        <v/>
      </c>
      <c r="IC20" s="51" t="str">
        <f t="shared" si="9"/>
        <v/>
      </c>
      <c r="ID20" s="51" t="str">
        <f t="shared" si="9"/>
        <v/>
      </c>
      <c r="IE20" s="51" t="str">
        <f t="shared" si="9"/>
        <v/>
      </c>
      <c r="IF20" s="51" t="str">
        <f t="shared" si="9"/>
        <v/>
      </c>
      <c r="IG20" s="51" t="str">
        <f t="shared" si="9"/>
        <v/>
      </c>
      <c r="IH20" s="51" t="str">
        <f t="shared" si="9"/>
        <v/>
      </c>
      <c r="II20" s="51" t="str">
        <f t="shared" si="9"/>
        <v/>
      </c>
      <c r="IJ20" s="51" t="str">
        <f t="shared" si="9"/>
        <v/>
      </c>
      <c r="IK20" s="51" t="str">
        <f t="shared" si="9"/>
        <v/>
      </c>
      <c r="IL20" s="51" t="str">
        <f t="shared" si="9"/>
        <v/>
      </c>
      <c r="IM20" s="51" t="str">
        <f t="shared" si="9"/>
        <v/>
      </c>
      <c r="IN20" s="51" t="str">
        <f t="shared" si="9"/>
        <v/>
      </c>
      <c r="IO20" s="51" t="str">
        <f t="shared" si="9"/>
        <v/>
      </c>
      <c r="IP20" s="51" t="str">
        <f t="shared" si="9"/>
        <v/>
      </c>
      <c r="IQ20" s="51" t="str">
        <f t="shared" si="9"/>
        <v/>
      </c>
      <c r="IR20" s="51" t="str">
        <f t="shared" si="9"/>
        <v/>
      </c>
      <c r="IS20" s="51" t="str">
        <f t="shared" si="9"/>
        <v/>
      </c>
      <c r="IT20" s="51" t="str">
        <f t="shared" si="9"/>
        <v/>
      </c>
      <c r="IU20" s="51" t="str">
        <f t="shared" si="9"/>
        <v/>
      </c>
      <c r="IV20" s="51" t="str">
        <f t="shared" si="9"/>
        <v/>
      </c>
      <c r="IW20" s="51" t="str">
        <f t="shared" si="9"/>
        <v/>
      </c>
      <c r="IX20" s="51" t="str">
        <f t="shared" si="9"/>
        <v/>
      </c>
      <c r="IY20" s="51" t="str">
        <f t="shared" si="9"/>
        <v/>
      </c>
      <c r="IZ20" s="51" t="str">
        <f t="shared" si="9"/>
        <v/>
      </c>
      <c r="JA20" s="51" t="str">
        <f t="shared" si="9"/>
        <v/>
      </c>
      <c r="JB20" s="51" t="str">
        <f t="shared" si="9"/>
        <v/>
      </c>
      <c r="JC20" s="51" t="str">
        <f t="shared" si="9"/>
        <v/>
      </c>
      <c r="JD20" s="51" t="str">
        <f t="shared" si="9"/>
        <v/>
      </c>
      <c r="JE20" s="51" t="str">
        <f t="shared" si="9"/>
        <v/>
      </c>
      <c r="JF20" s="51" t="str">
        <f t="shared" si="9"/>
        <v/>
      </c>
      <c r="JG20" s="51" t="str">
        <f t="shared" si="9"/>
        <v/>
      </c>
      <c r="JH20" s="51" t="str">
        <f t="shared" si="9"/>
        <v/>
      </c>
      <c r="JI20" s="51" t="str">
        <f t="shared" si="9"/>
        <v/>
      </c>
      <c r="JJ20" s="51" t="str">
        <f t="shared" si="9"/>
        <v/>
      </c>
      <c r="JK20" s="51" t="str">
        <f t="shared" si="9"/>
        <v/>
      </c>
      <c r="JL20" s="51" t="str">
        <f t="shared" si="9"/>
        <v/>
      </c>
      <c r="JM20" s="51" t="str">
        <f t="shared" si="9"/>
        <v/>
      </c>
      <c r="JN20" s="51" t="str">
        <f t="shared" si="9"/>
        <v/>
      </c>
      <c r="JO20" s="51" t="str">
        <f t="shared" si="9"/>
        <v/>
      </c>
      <c r="JP20" s="51" t="str">
        <f t="shared" si="9"/>
        <v/>
      </c>
      <c r="JQ20" s="51" t="str">
        <f t="shared" si="9"/>
        <v/>
      </c>
      <c r="JR20" s="51" t="str">
        <f t="shared" si="9"/>
        <v/>
      </c>
      <c r="JS20" s="51" t="str">
        <f t="shared" si="9"/>
        <v/>
      </c>
      <c r="JT20" s="51" t="str">
        <f t="shared" si="9"/>
        <v/>
      </c>
      <c r="JU20" s="51" t="str">
        <f t="shared" si="9"/>
        <v/>
      </c>
      <c r="JV20" s="51" t="str">
        <f t="shared" si="10"/>
        <v/>
      </c>
      <c r="JW20" s="51" t="str">
        <f t="shared" si="10"/>
        <v/>
      </c>
      <c r="JX20" s="51" t="str">
        <f t="shared" si="10"/>
        <v/>
      </c>
      <c r="JY20" s="51" t="str">
        <f t="shared" si="10"/>
        <v/>
      </c>
      <c r="JZ20" s="51" t="str">
        <f t="shared" si="10"/>
        <v/>
      </c>
      <c r="KA20" s="51" t="str">
        <f t="shared" si="10"/>
        <v/>
      </c>
      <c r="KB20" s="51" t="str">
        <f t="shared" si="10"/>
        <v/>
      </c>
      <c r="KC20" s="51" t="str">
        <f t="shared" si="10"/>
        <v/>
      </c>
      <c r="KD20" s="51" t="str">
        <f t="shared" si="10"/>
        <v/>
      </c>
      <c r="KE20" s="51" t="str">
        <f t="shared" si="10"/>
        <v/>
      </c>
      <c r="KF20" s="51" t="str">
        <f t="shared" si="10"/>
        <v/>
      </c>
      <c r="KG20" s="51" t="str">
        <f t="shared" si="10"/>
        <v/>
      </c>
      <c r="KH20" s="51" t="str">
        <f t="shared" si="10"/>
        <v/>
      </c>
      <c r="KI20" s="51" t="str">
        <f t="shared" si="10"/>
        <v/>
      </c>
      <c r="KJ20" s="51" t="str">
        <f t="shared" si="10"/>
        <v/>
      </c>
      <c r="KK20" s="51" t="str">
        <f t="shared" si="10"/>
        <v/>
      </c>
      <c r="KL20" s="51" t="str">
        <f t="shared" si="10"/>
        <v/>
      </c>
      <c r="KM20" s="51" t="str">
        <f t="shared" si="10"/>
        <v/>
      </c>
      <c r="KN20" s="51" t="str">
        <f t="shared" si="10"/>
        <v/>
      </c>
      <c r="KO20" s="51" t="str">
        <f t="shared" si="10"/>
        <v/>
      </c>
      <c r="KP20" s="51" t="str">
        <f t="shared" si="10"/>
        <v/>
      </c>
      <c r="KQ20" s="51" t="str">
        <f t="shared" si="10"/>
        <v/>
      </c>
      <c r="KR20" s="51" t="str">
        <f t="shared" si="10"/>
        <v/>
      </c>
      <c r="KS20" s="51" t="str">
        <f t="shared" si="10"/>
        <v/>
      </c>
      <c r="KT20" s="51" t="str">
        <f t="shared" si="10"/>
        <v/>
      </c>
      <c r="KU20" s="51" t="str">
        <f t="shared" si="10"/>
        <v/>
      </c>
      <c r="KV20" s="51" t="str">
        <f t="shared" si="10"/>
        <v/>
      </c>
      <c r="KW20" s="51" t="str">
        <f t="shared" si="10"/>
        <v/>
      </c>
      <c r="KX20" s="51" t="str">
        <f t="shared" si="10"/>
        <v/>
      </c>
    </row>
    <row r="21" spans="1:310" s="10" customFormat="1" x14ac:dyDescent="0.25">
      <c r="A21" s="3"/>
      <c r="B21" s="41" t="s">
        <v>171</v>
      </c>
      <c r="C21" s="42" t="s">
        <v>141</v>
      </c>
      <c r="D21" s="43" t="s">
        <v>156</v>
      </c>
      <c r="E21" s="44">
        <v>1</v>
      </c>
      <c r="F21" s="45">
        <f>+G19</f>
        <v>46012</v>
      </c>
      <c r="G21" s="45">
        <f>+Hitos4352[[#This Row],[Inicio]]+Hitos4352[[#This Row],[Días]]</f>
        <v>46013</v>
      </c>
      <c r="H21" s="46">
        <v>1</v>
      </c>
      <c r="I21" s="9"/>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c r="FM21" s="51"/>
      <c r="FN21" s="51"/>
      <c r="FO21" s="51"/>
      <c r="FP21" s="51"/>
      <c r="FQ21" s="51"/>
      <c r="FR21" s="51"/>
      <c r="FS21" s="51"/>
      <c r="FT21" s="51"/>
      <c r="FU21" s="51"/>
      <c r="FV21" s="51"/>
      <c r="FW21" s="51"/>
      <c r="FX21" s="51"/>
      <c r="FY21" s="51"/>
      <c r="FZ21" s="51"/>
      <c r="GA21" s="51"/>
      <c r="GB21" s="51"/>
      <c r="GC21" s="51"/>
      <c r="GD21" s="51"/>
      <c r="GE21" s="51"/>
      <c r="GF21" s="51"/>
      <c r="GG21" s="51"/>
      <c r="GH21" s="51"/>
      <c r="GI21" s="51"/>
      <c r="GJ21" s="51"/>
      <c r="GK21" s="51"/>
      <c r="GL21" s="51"/>
      <c r="GM21" s="51"/>
      <c r="GN21" s="51"/>
      <c r="GO21" s="51"/>
      <c r="GP21" s="51"/>
      <c r="GQ21" s="51"/>
      <c r="GR21" s="51"/>
      <c r="GS21" s="51"/>
      <c r="GT21" s="51"/>
      <c r="GU21" s="51"/>
      <c r="GV21" s="51"/>
      <c r="GW21" s="51"/>
      <c r="GX21" s="51"/>
      <c r="GY21" s="51"/>
      <c r="GZ21" s="51"/>
      <c r="HA21" s="51"/>
      <c r="HB21" s="51"/>
      <c r="HC21" s="51"/>
      <c r="HD21" s="51"/>
      <c r="HE21" s="51"/>
      <c r="HF21" s="51"/>
      <c r="HG21" s="51"/>
      <c r="HH21" s="51"/>
      <c r="HI21" s="51"/>
      <c r="HJ21" s="51"/>
      <c r="HK21" s="51"/>
      <c r="HL21" s="51"/>
      <c r="HM21" s="51"/>
      <c r="HN21" s="51"/>
      <c r="HO21" s="51"/>
      <c r="HP21" s="51"/>
      <c r="HQ21" s="51"/>
      <c r="HR21" s="51"/>
      <c r="HS21" s="51"/>
      <c r="HT21" s="51"/>
      <c r="HU21" s="51"/>
      <c r="HV21" s="51"/>
      <c r="HW21" s="51"/>
      <c r="HX21" s="51"/>
      <c r="HY21" s="51"/>
      <c r="HZ21" s="51"/>
      <c r="IA21" s="51"/>
      <c r="IB21" s="51"/>
      <c r="IC21" s="51"/>
      <c r="ID21" s="51"/>
      <c r="IE21" s="51"/>
      <c r="IF21" s="51"/>
      <c r="IG21" s="51"/>
      <c r="IH21" s="51"/>
      <c r="II21" s="51"/>
      <c r="IJ21" s="51"/>
      <c r="IK21" s="51"/>
      <c r="IL21" s="51"/>
      <c r="IM21" s="51"/>
      <c r="IN21" s="51"/>
      <c r="IO21" s="51"/>
      <c r="IP21" s="51"/>
      <c r="IQ21" s="51"/>
      <c r="IR21" s="51"/>
      <c r="IS21" s="51"/>
      <c r="IT21" s="51"/>
      <c r="IU21" s="51"/>
      <c r="IV21" s="51"/>
      <c r="IW21" s="51"/>
      <c r="IX21" s="51"/>
      <c r="IY21" s="51"/>
      <c r="IZ21" s="51"/>
      <c r="JA21" s="51"/>
      <c r="JB21" s="51"/>
      <c r="JC21" s="51"/>
      <c r="JD21" s="51"/>
      <c r="JE21" s="51"/>
      <c r="JF21" s="51"/>
      <c r="JG21" s="51"/>
      <c r="JH21" s="51"/>
      <c r="JI21" s="51"/>
      <c r="JJ21" s="51"/>
      <c r="JK21" s="51"/>
      <c r="JL21" s="51"/>
      <c r="JM21" s="51"/>
      <c r="JN21" s="51"/>
      <c r="JO21" s="51"/>
      <c r="JP21" s="51"/>
      <c r="JQ21" s="51"/>
      <c r="JR21" s="51"/>
      <c r="JS21" s="51"/>
      <c r="JT21" s="51"/>
      <c r="JU21" s="51"/>
      <c r="JV21" s="51"/>
      <c r="JW21" s="51"/>
      <c r="JX21" s="51"/>
      <c r="JY21" s="51"/>
      <c r="JZ21" s="51"/>
      <c r="KA21" s="51"/>
      <c r="KB21" s="51"/>
      <c r="KC21" s="51"/>
      <c r="KD21" s="51"/>
      <c r="KE21" s="51"/>
      <c r="KF21" s="51"/>
      <c r="KG21" s="51"/>
      <c r="KH21" s="51"/>
      <c r="KI21" s="51"/>
      <c r="KJ21" s="51"/>
      <c r="KK21" s="51"/>
      <c r="KL21" s="51"/>
      <c r="KM21" s="51"/>
      <c r="KN21" s="51"/>
      <c r="KO21" s="51"/>
      <c r="KP21" s="51"/>
      <c r="KQ21" s="51"/>
      <c r="KR21" s="51"/>
      <c r="KS21" s="51"/>
      <c r="KT21" s="51"/>
      <c r="KU21" s="51"/>
      <c r="KV21" s="51"/>
      <c r="KW21" s="51"/>
      <c r="KX21" s="51"/>
    </row>
    <row r="22" spans="1:310" s="10" customFormat="1" x14ac:dyDescent="0.25">
      <c r="A22" s="3"/>
      <c r="B22" s="41" t="s">
        <v>172</v>
      </c>
      <c r="C22" s="42" t="s">
        <v>141</v>
      </c>
      <c r="D22" s="43" t="s">
        <v>156</v>
      </c>
      <c r="E22" s="44">
        <v>1</v>
      </c>
      <c r="F22" s="45">
        <f>+G21</f>
        <v>46013</v>
      </c>
      <c r="G22" s="45">
        <f>+Hitos4352[[#This Row],[Inicio]]+Hitos4352[[#This Row],[Días]]</f>
        <v>46014</v>
      </c>
      <c r="H22" s="46">
        <v>1</v>
      </c>
      <c r="I22" s="9"/>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1"/>
      <c r="EM22" s="51"/>
      <c r="EN22" s="51"/>
      <c r="EO22" s="51"/>
      <c r="EP22" s="51"/>
      <c r="EQ22" s="51"/>
      <c r="ER22" s="51"/>
      <c r="ES22" s="51"/>
      <c r="ET22" s="51"/>
      <c r="EU22" s="51"/>
      <c r="EV22" s="51"/>
      <c r="EW22" s="51"/>
      <c r="EX22" s="51"/>
      <c r="EY22" s="51"/>
      <c r="EZ22" s="51"/>
      <c r="FA22" s="51"/>
      <c r="FB22" s="51"/>
      <c r="FC22" s="51"/>
      <c r="FD22" s="51"/>
      <c r="FE22" s="51"/>
      <c r="FF22" s="51"/>
      <c r="FG22" s="51"/>
      <c r="FH22" s="51"/>
      <c r="FI22" s="51"/>
      <c r="FJ22" s="51"/>
      <c r="FK22" s="51"/>
      <c r="FL22" s="51"/>
      <c r="FM22" s="51"/>
      <c r="FN22" s="51"/>
      <c r="FO22" s="51"/>
      <c r="FP22" s="51"/>
      <c r="FQ22" s="51"/>
      <c r="FR22" s="51"/>
      <c r="FS22" s="51"/>
      <c r="FT22" s="51"/>
      <c r="FU22" s="51"/>
      <c r="FV22" s="51"/>
      <c r="FW22" s="51"/>
      <c r="FX22" s="51"/>
      <c r="FY22" s="51"/>
      <c r="FZ22" s="51"/>
      <c r="GA22" s="51"/>
      <c r="GB22" s="51"/>
      <c r="GC22" s="51"/>
      <c r="GD22" s="51"/>
      <c r="GE22" s="51"/>
      <c r="GF22" s="51"/>
      <c r="GG22" s="51"/>
      <c r="GH22" s="51"/>
      <c r="GI22" s="51"/>
      <c r="GJ22" s="51"/>
      <c r="GK22" s="51"/>
      <c r="GL22" s="51"/>
      <c r="GM22" s="51"/>
      <c r="GN22" s="51"/>
      <c r="GO22" s="51"/>
      <c r="GP22" s="51"/>
      <c r="GQ22" s="51"/>
      <c r="GR22" s="51"/>
      <c r="GS22" s="51"/>
      <c r="GT22" s="51"/>
      <c r="GU22" s="51"/>
      <c r="GV22" s="51"/>
      <c r="GW22" s="51"/>
      <c r="GX22" s="51"/>
      <c r="GY22" s="51"/>
      <c r="GZ22" s="51"/>
      <c r="HA22" s="51"/>
      <c r="HB22" s="51"/>
      <c r="HC22" s="51"/>
      <c r="HD22" s="51"/>
      <c r="HE22" s="51"/>
      <c r="HF22" s="51"/>
      <c r="HG22" s="51"/>
      <c r="HH22" s="51"/>
      <c r="HI22" s="51"/>
      <c r="HJ22" s="51"/>
      <c r="HK22" s="51"/>
      <c r="HL22" s="51"/>
      <c r="HM22" s="51"/>
      <c r="HN22" s="51"/>
      <c r="HO22" s="51"/>
      <c r="HP22" s="51"/>
      <c r="HQ22" s="51"/>
      <c r="HR22" s="51"/>
      <c r="HS22" s="51"/>
      <c r="HT22" s="51"/>
      <c r="HU22" s="51"/>
      <c r="HV22" s="51"/>
      <c r="HW22" s="51"/>
      <c r="HX22" s="51"/>
      <c r="HY22" s="51"/>
      <c r="HZ22" s="51"/>
      <c r="IA22" s="51"/>
      <c r="IB22" s="51"/>
      <c r="IC22" s="51"/>
      <c r="ID22" s="51"/>
      <c r="IE22" s="51"/>
      <c r="IF22" s="51"/>
      <c r="IG22" s="51"/>
      <c r="IH22" s="51"/>
      <c r="II22" s="51"/>
      <c r="IJ22" s="51"/>
      <c r="IK22" s="51"/>
      <c r="IL22" s="51"/>
      <c r="IM22" s="51"/>
      <c r="IN22" s="51"/>
      <c r="IO22" s="51"/>
      <c r="IP22" s="51"/>
      <c r="IQ22" s="51"/>
      <c r="IR22" s="51"/>
      <c r="IS22" s="51"/>
      <c r="IT22" s="51"/>
      <c r="IU22" s="51"/>
      <c r="IV22" s="51"/>
      <c r="IW22" s="51"/>
      <c r="IX22" s="51"/>
      <c r="IY22" s="51"/>
      <c r="IZ22" s="51"/>
      <c r="JA22" s="51"/>
      <c r="JB22" s="51"/>
      <c r="JC22" s="51"/>
      <c r="JD22" s="51"/>
      <c r="JE22" s="51"/>
      <c r="JF22" s="51"/>
      <c r="JG22" s="51"/>
      <c r="JH22" s="51"/>
      <c r="JI22" s="51"/>
      <c r="JJ22" s="51"/>
      <c r="JK22" s="51"/>
      <c r="JL22" s="51"/>
      <c r="JM22" s="51"/>
      <c r="JN22" s="51"/>
      <c r="JO22" s="51"/>
      <c r="JP22" s="51"/>
      <c r="JQ22" s="51"/>
      <c r="JR22" s="51"/>
      <c r="JS22" s="51"/>
      <c r="JT22" s="51"/>
      <c r="JU22" s="51"/>
      <c r="JV22" s="51"/>
      <c r="JW22" s="51"/>
      <c r="JX22" s="51"/>
      <c r="JY22" s="51"/>
      <c r="JZ22" s="51"/>
      <c r="KA22" s="51"/>
      <c r="KB22" s="51"/>
      <c r="KC22" s="51"/>
      <c r="KD22" s="51"/>
      <c r="KE22" s="51"/>
      <c r="KF22" s="51"/>
      <c r="KG22" s="51"/>
      <c r="KH22" s="51"/>
      <c r="KI22" s="51"/>
      <c r="KJ22" s="51"/>
      <c r="KK22" s="51"/>
      <c r="KL22" s="51"/>
      <c r="KM22" s="51"/>
      <c r="KN22" s="51"/>
      <c r="KO22" s="51"/>
      <c r="KP22" s="51"/>
      <c r="KQ22" s="51"/>
      <c r="KR22" s="51"/>
      <c r="KS22" s="51"/>
      <c r="KT22" s="51"/>
      <c r="KU22" s="51"/>
      <c r="KV22" s="51"/>
      <c r="KW22" s="51"/>
      <c r="KX22" s="51"/>
    </row>
    <row r="23" spans="1:310" s="10" customFormat="1" x14ac:dyDescent="0.25">
      <c r="A23" s="3"/>
      <c r="B23" s="41" t="s">
        <v>173</v>
      </c>
      <c r="C23" s="42" t="s">
        <v>141</v>
      </c>
      <c r="D23" s="43" t="s">
        <v>156</v>
      </c>
      <c r="E23" s="44">
        <v>1</v>
      </c>
      <c r="F23" s="45">
        <f>+G22</f>
        <v>46014</v>
      </c>
      <c r="G23" s="45">
        <f>+Hitos4352[[#This Row],[Inicio]]+Hitos4352[[#This Row],[Días]]</f>
        <v>46015</v>
      </c>
      <c r="H23" s="46">
        <v>1</v>
      </c>
      <c r="I23" s="9"/>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1"/>
      <c r="FT23" s="51"/>
      <c r="FU23" s="51"/>
      <c r="FV23" s="51"/>
      <c r="FW23" s="51"/>
      <c r="FX23" s="51"/>
      <c r="FY23" s="51"/>
      <c r="FZ23" s="51"/>
      <c r="GA23" s="51"/>
      <c r="GB23" s="51"/>
      <c r="GC23" s="51"/>
      <c r="GD23" s="51"/>
      <c r="GE23" s="51"/>
      <c r="GF23" s="51"/>
      <c r="GG23" s="51"/>
      <c r="GH23" s="51"/>
      <c r="GI23" s="51"/>
      <c r="GJ23" s="51"/>
      <c r="GK23" s="51"/>
      <c r="GL23" s="51"/>
      <c r="GM23" s="51"/>
      <c r="GN23" s="51"/>
      <c r="GO23" s="51"/>
      <c r="GP23" s="51"/>
      <c r="GQ23" s="51"/>
      <c r="GR23" s="51"/>
      <c r="GS23" s="51"/>
      <c r="GT23" s="51"/>
      <c r="GU23" s="51"/>
      <c r="GV23" s="51"/>
      <c r="GW23" s="51"/>
      <c r="GX23" s="51"/>
      <c r="GY23" s="51"/>
      <c r="GZ23" s="51"/>
      <c r="HA23" s="51"/>
      <c r="HB23" s="51"/>
      <c r="HC23" s="51"/>
      <c r="HD23" s="51"/>
      <c r="HE23" s="51"/>
      <c r="HF23" s="51"/>
      <c r="HG23" s="51"/>
      <c r="HH23" s="51"/>
      <c r="HI23" s="51"/>
      <c r="HJ23" s="51"/>
      <c r="HK23" s="51"/>
      <c r="HL23" s="51"/>
      <c r="HM23" s="51"/>
      <c r="HN23" s="51"/>
      <c r="HO23" s="51"/>
      <c r="HP23" s="51"/>
      <c r="HQ23" s="51"/>
      <c r="HR23" s="51"/>
      <c r="HS23" s="51"/>
      <c r="HT23" s="51"/>
      <c r="HU23" s="51"/>
      <c r="HV23" s="51"/>
      <c r="HW23" s="51"/>
      <c r="HX23" s="51"/>
      <c r="HY23" s="51"/>
      <c r="HZ23" s="51"/>
      <c r="IA23" s="51"/>
      <c r="IB23" s="51"/>
      <c r="IC23" s="51"/>
      <c r="ID23" s="51"/>
      <c r="IE23" s="51"/>
      <c r="IF23" s="51"/>
      <c r="IG23" s="51"/>
      <c r="IH23" s="51"/>
      <c r="II23" s="51"/>
      <c r="IJ23" s="51"/>
      <c r="IK23" s="51"/>
      <c r="IL23" s="51"/>
      <c r="IM23" s="51"/>
      <c r="IN23" s="51"/>
      <c r="IO23" s="51"/>
      <c r="IP23" s="51"/>
      <c r="IQ23" s="51"/>
      <c r="IR23" s="51"/>
      <c r="IS23" s="51"/>
      <c r="IT23" s="51"/>
      <c r="IU23" s="51"/>
      <c r="IV23" s="51"/>
      <c r="IW23" s="51"/>
      <c r="IX23" s="51"/>
      <c r="IY23" s="51"/>
      <c r="IZ23" s="51"/>
      <c r="JA23" s="51"/>
      <c r="JB23" s="51"/>
      <c r="JC23" s="51"/>
      <c r="JD23" s="51"/>
      <c r="JE23" s="51"/>
      <c r="JF23" s="51"/>
      <c r="JG23" s="51"/>
      <c r="JH23" s="51"/>
      <c r="JI23" s="51"/>
      <c r="JJ23" s="51"/>
      <c r="JK23" s="51"/>
      <c r="JL23" s="51"/>
      <c r="JM23" s="51"/>
      <c r="JN23" s="51"/>
      <c r="JO23" s="51"/>
      <c r="JP23" s="51"/>
      <c r="JQ23" s="51"/>
      <c r="JR23" s="51"/>
      <c r="JS23" s="51"/>
      <c r="JT23" s="51"/>
      <c r="JU23" s="51"/>
      <c r="JV23" s="51"/>
      <c r="JW23" s="51"/>
      <c r="JX23" s="51"/>
      <c r="JY23" s="51"/>
      <c r="JZ23" s="51"/>
      <c r="KA23" s="51"/>
      <c r="KB23" s="51"/>
      <c r="KC23" s="51"/>
      <c r="KD23" s="51"/>
      <c r="KE23" s="51"/>
      <c r="KF23" s="51"/>
      <c r="KG23" s="51"/>
      <c r="KH23" s="51"/>
      <c r="KI23" s="51"/>
      <c r="KJ23" s="51"/>
      <c r="KK23" s="51"/>
      <c r="KL23" s="51"/>
      <c r="KM23" s="51"/>
      <c r="KN23" s="51"/>
      <c r="KO23" s="51"/>
      <c r="KP23" s="51"/>
      <c r="KQ23" s="51"/>
      <c r="KR23" s="51"/>
      <c r="KS23" s="51"/>
      <c r="KT23" s="51"/>
      <c r="KU23" s="51"/>
      <c r="KV23" s="51"/>
      <c r="KW23" s="51"/>
      <c r="KX23" s="51"/>
    </row>
    <row r="24" spans="1:310" s="10" customFormat="1" x14ac:dyDescent="0.25">
      <c r="A24" s="3"/>
      <c r="B24" s="41" t="s">
        <v>174</v>
      </c>
      <c r="C24" s="42" t="s">
        <v>141</v>
      </c>
      <c r="D24" s="43" t="s">
        <v>156</v>
      </c>
      <c r="E24" s="44">
        <v>1</v>
      </c>
      <c r="F24" s="45">
        <f>+G23</f>
        <v>46015</v>
      </c>
      <c r="G24" s="45">
        <f>+Hitos4352[[#This Row],[Inicio]]+Hitos4352[[#This Row],[Días]]</f>
        <v>46016</v>
      </c>
      <c r="H24" s="46">
        <v>1</v>
      </c>
      <c r="I24" s="9"/>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c r="EE24" s="51"/>
      <c r="EF24" s="51"/>
      <c r="EG24" s="51"/>
      <c r="EH24" s="51"/>
      <c r="EI24" s="51"/>
      <c r="EJ24" s="51"/>
      <c r="EK24" s="51"/>
      <c r="EL24" s="51"/>
      <c r="EM24" s="51"/>
      <c r="EN24" s="51"/>
      <c r="EO24" s="51"/>
      <c r="EP24" s="51"/>
      <c r="EQ24" s="51"/>
      <c r="ER24" s="51"/>
      <c r="ES24" s="51"/>
      <c r="ET24" s="51"/>
      <c r="EU24" s="51"/>
      <c r="EV24" s="51"/>
      <c r="EW24" s="51"/>
      <c r="EX24" s="51"/>
      <c r="EY24" s="51"/>
      <c r="EZ24" s="51"/>
      <c r="FA24" s="51"/>
      <c r="FB24" s="51"/>
      <c r="FC24" s="51"/>
      <c r="FD24" s="51"/>
      <c r="FE24" s="51"/>
      <c r="FF24" s="51"/>
      <c r="FG24" s="51"/>
      <c r="FH24" s="51"/>
      <c r="FI24" s="51"/>
      <c r="FJ24" s="51"/>
      <c r="FK24" s="51"/>
      <c r="FL24" s="51"/>
      <c r="FM24" s="51"/>
      <c r="FN24" s="51"/>
      <c r="FO24" s="51"/>
      <c r="FP24" s="51"/>
      <c r="FQ24" s="51"/>
      <c r="FR24" s="51"/>
      <c r="FS24" s="51"/>
      <c r="FT24" s="51"/>
      <c r="FU24" s="51"/>
      <c r="FV24" s="51"/>
      <c r="FW24" s="51"/>
      <c r="FX24" s="51"/>
      <c r="FY24" s="51"/>
      <c r="FZ24" s="51"/>
      <c r="GA24" s="51"/>
      <c r="GB24" s="51"/>
      <c r="GC24" s="51"/>
      <c r="GD24" s="51"/>
      <c r="GE24" s="51"/>
      <c r="GF24" s="51"/>
      <c r="GG24" s="51"/>
      <c r="GH24" s="51"/>
      <c r="GI24" s="51"/>
      <c r="GJ24" s="51"/>
      <c r="GK24" s="51"/>
      <c r="GL24" s="51"/>
      <c r="GM24" s="51"/>
      <c r="GN24" s="51"/>
      <c r="GO24" s="51"/>
      <c r="GP24" s="51"/>
      <c r="GQ24" s="51"/>
      <c r="GR24" s="51"/>
      <c r="GS24" s="51"/>
      <c r="GT24" s="51"/>
      <c r="GU24" s="51"/>
      <c r="GV24" s="51"/>
      <c r="GW24" s="51"/>
      <c r="GX24" s="51"/>
      <c r="GY24" s="51"/>
      <c r="GZ24" s="51"/>
      <c r="HA24" s="51"/>
      <c r="HB24" s="51"/>
      <c r="HC24" s="51"/>
      <c r="HD24" s="51"/>
      <c r="HE24" s="51"/>
      <c r="HF24" s="51"/>
      <c r="HG24" s="51"/>
      <c r="HH24" s="51"/>
      <c r="HI24" s="51"/>
      <c r="HJ24" s="51"/>
      <c r="HK24" s="51"/>
      <c r="HL24" s="51"/>
      <c r="HM24" s="51"/>
      <c r="HN24" s="51"/>
      <c r="HO24" s="51"/>
      <c r="HP24" s="51"/>
      <c r="HQ24" s="51"/>
      <c r="HR24" s="51"/>
      <c r="HS24" s="51"/>
      <c r="HT24" s="51"/>
      <c r="HU24" s="51"/>
      <c r="HV24" s="51"/>
      <c r="HW24" s="51"/>
      <c r="HX24" s="51"/>
      <c r="HY24" s="51"/>
      <c r="HZ24" s="51"/>
      <c r="IA24" s="51"/>
      <c r="IB24" s="51"/>
      <c r="IC24" s="51"/>
      <c r="ID24" s="51"/>
      <c r="IE24" s="51"/>
      <c r="IF24" s="51"/>
      <c r="IG24" s="51"/>
      <c r="IH24" s="51"/>
      <c r="II24" s="51"/>
      <c r="IJ24" s="51"/>
      <c r="IK24" s="51"/>
      <c r="IL24" s="51"/>
      <c r="IM24" s="51"/>
      <c r="IN24" s="51"/>
      <c r="IO24" s="51"/>
      <c r="IP24" s="51"/>
      <c r="IQ24" s="51"/>
      <c r="IR24" s="51"/>
      <c r="IS24" s="51"/>
      <c r="IT24" s="51"/>
      <c r="IU24" s="51"/>
      <c r="IV24" s="51"/>
      <c r="IW24" s="51"/>
      <c r="IX24" s="51"/>
      <c r="IY24" s="51"/>
      <c r="IZ24" s="51"/>
      <c r="JA24" s="51"/>
      <c r="JB24" s="51"/>
      <c r="JC24" s="51"/>
      <c r="JD24" s="51"/>
      <c r="JE24" s="51"/>
      <c r="JF24" s="51"/>
      <c r="JG24" s="51"/>
      <c r="JH24" s="51"/>
      <c r="JI24" s="51"/>
      <c r="JJ24" s="51"/>
      <c r="JK24" s="51"/>
      <c r="JL24" s="51"/>
      <c r="JM24" s="51"/>
      <c r="JN24" s="51"/>
      <c r="JO24" s="51"/>
      <c r="JP24" s="51"/>
      <c r="JQ24" s="51"/>
      <c r="JR24" s="51"/>
      <c r="JS24" s="51"/>
      <c r="JT24" s="51"/>
      <c r="JU24" s="51"/>
      <c r="JV24" s="51"/>
      <c r="JW24" s="51"/>
      <c r="JX24" s="51"/>
      <c r="JY24" s="51"/>
      <c r="JZ24" s="51"/>
      <c r="KA24" s="51"/>
      <c r="KB24" s="51"/>
      <c r="KC24" s="51"/>
      <c r="KD24" s="51"/>
      <c r="KE24" s="51"/>
      <c r="KF24" s="51"/>
      <c r="KG24" s="51"/>
      <c r="KH24" s="51"/>
      <c r="KI24" s="51"/>
      <c r="KJ24" s="51"/>
      <c r="KK24" s="51"/>
      <c r="KL24" s="51"/>
      <c r="KM24" s="51"/>
      <c r="KN24" s="51"/>
      <c r="KO24" s="51"/>
      <c r="KP24" s="51"/>
      <c r="KQ24" s="51"/>
      <c r="KR24" s="51"/>
      <c r="KS24" s="51"/>
      <c r="KT24" s="51"/>
      <c r="KU24" s="51"/>
      <c r="KV24" s="51"/>
      <c r="KW24" s="51"/>
      <c r="KX24" s="51"/>
    </row>
    <row r="25" spans="1:310" s="10" customFormat="1" x14ac:dyDescent="0.25">
      <c r="A25" s="3"/>
      <c r="B25" s="41" t="s">
        <v>175</v>
      </c>
      <c r="C25" s="42" t="s">
        <v>141</v>
      </c>
      <c r="D25" s="43" t="s">
        <v>156</v>
      </c>
      <c r="E25" s="44">
        <v>1</v>
      </c>
      <c r="F25" s="45">
        <f>+G24</f>
        <v>46016</v>
      </c>
      <c r="G25" s="45">
        <f>+Hitos4352[[#This Row],[Inicio]]+Hitos4352[[#This Row],[Días]]</f>
        <v>46019</v>
      </c>
      <c r="H25" s="46">
        <v>3</v>
      </c>
      <c r="I25" s="9"/>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c r="HG25" s="51"/>
      <c r="HH25" s="51"/>
      <c r="HI25" s="51"/>
      <c r="HJ25" s="51"/>
      <c r="HK25" s="51"/>
      <c r="HL25" s="51"/>
      <c r="HM25" s="51"/>
      <c r="HN25" s="51"/>
      <c r="HO25" s="51"/>
      <c r="HP25" s="51"/>
      <c r="HQ25" s="51"/>
      <c r="HR25" s="51"/>
      <c r="HS25" s="51"/>
      <c r="HT25" s="51"/>
      <c r="HU25" s="51"/>
      <c r="HV25" s="51"/>
      <c r="HW25" s="51"/>
      <c r="HX25" s="51"/>
      <c r="HY25" s="51"/>
      <c r="HZ25" s="51"/>
      <c r="IA25" s="51"/>
      <c r="IB25" s="51"/>
      <c r="IC25" s="51"/>
      <c r="ID25" s="51"/>
      <c r="IE25" s="51"/>
      <c r="IF25" s="51"/>
      <c r="IG25" s="51"/>
      <c r="IH25" s="51"/>
      <c r="II25" s="51"/>
      <c r="IJ25" s="51"/>
      <c r="IK25" s="51"/>
      <c r="IL25" s="51"/>
      <c r="IM25" s="51"/>
      <c r="IN25" s="51"/>
      <c r="IO25" s="51"/>
      <c r="IP25" s="51"/>
      <c r="IQ25" s="51"/>
      <c r="IR25" s="51"/>
      <c r="IS25" s="51"/>
      <c r="IT25" s="51"/>
      <c r="IU25" s="51"/>
      <c r="IV25" s="51"/>
      <c r="IW25" s="51"/>
      <c r="IX25" s="51"/>
      <c r="IY25" s="51"/>
      <c r="IZ25" s="51"/>
      <c r="JA25" s="51"/>
      <c r="JB25" s="51"/>
      <c r="JC25" s="51"/>
      <c r="JD25" s="51"/>
      <c r="JE25" s="51"/>
      <c r="JF25" s="51"/>
      <c r="JG25" s="51"/>
      <c r="JH25" s="51"/>
      <c r="JI25" s="51"/>
      <c r="JJ25" s="51"/>
      <c r="JK25" s="51"/>
      <c r="JL25" s="51"/>
      <c r="JM25" s="51"/>
      <c r="JN25" s="51"/>
      <c r="JO25" s="51"/>
      <c r="JP25" s="51"/>
      <c r="JQ25" s="51"/>
      <c r="JR25" s="51"/>
      <c r="JS25" s="51"/>
      <c r="JT25" s="51"/>
      <c r="JU25" s="51"/>
      <c r="JV25" s="51"/>
      <c r="JW25" s="51"/>
      <c r="JX25" s="51"/>
      <c r="JY25" s="51"/>
      <c r="JZ25" s="51"/>
      <c r="KA25" s="51"/>
      <c r="KB25" s="51"/>
      <c r="KC25" s="51"/>
      <c r="KD25" s="51"/>
      <c r="KE25" s="51"/>
      <c r="KF25" s="51"/>
      <c r="KG25" s="51"/>
      <c r="KH25" s="51"/>
      <c r="KI25" s="51"/>
      <c r="KJ25" s="51"/>
      <c r="KK25" s="51"/>
      <c r="KL25" s="51"/>
      <c r="KM25" s="51"/>
      <c r="KN25" s="51"/>
      <c r="KO25" s="51"/>
      <c r="KP25" s="51"/>
      <c r="KQ25" s="51"/>
      <c r="KR25" s="51"/>
      <c r="KS25" s="51"/>
      <c r="KT25" s="51"/>
      <c r="KU25" s="51"/>
      <c r="KV25" s="51"/>
      <c r="KW25" s="51"/>
      <c r="KX25" s="51"/>
    </row>
    <row r="26" spans="1:310" s="10" customFormat="1" x14ac:dyDescent="0.25">
      <c r="A26" s="35" t="s">
        <v>155</v>
      </c>
      <c r="B26" s="36" t="s">
        <v>161</v>
      </c>
      <c r="C26" s="37" t="s">
        <v>144</v>
      </c>
      <c r="D26" s="38" t="s">
        <v>160</v>
      </c>
      <c r="E26" s="37">
        <f>+((E27*H27)+(E34*H34))/SUM(H27,H34)</f>
        <v>0</v>
      </c>
      <c r="F26" s="39">
        <f>+F27</f>
        <v>46371</v>
      </c>
      <c r="G26" s="39">
        <f>+G34</f>
        <v>46388</v>
      </c>
      <c r="H26" s="40">
        <f>+SUM(H27,H34)</f>
        <v>17</v>
      </c>
      <c r="I26" s="9"/>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c r="HJ26" s="51"/>
      <c r="HK26" s="51"/>
      <c r="HL26" s="51"/>
      <c r="HM26" s="51"/>
      <c r="HN26" s="51"/>
      <c r="HO26" s="51"/>
      <c r="HP26" s="51"/>
      <c r="HQ26" s="51"/>
      <c r="HR26" s="51"/>
      <c r="HS26" s="51"/>
      <c r="HT26" s="51"/>
      <c r="HU26" s="51"/>
      <c r="HV26" s="51"/>
      <c r="HW26" s="51"/>
      <c r="HX26" s="51"/>
      <c r="HY26" s="51"/>
      <c r="HZ26" s="51"/>
      <c r="IA26" s="51"/>
      <c r="IB26" s="51"/>
      <c r="IC26" s="51"/>
      <c r="ID26" s="51"/>
      <c r="IE26" s="51"/>
      <c r="IF26" s="51"/>
      <c r="IG26" s="51"/>
      <c r="IH26" s="51"/>
      <c r="II26" s="51"/>
      <c r="IJ26" s="51"/>
      <c r="IK26" s="51"/>
      <c r="IL26" s="51"/>
      <c r="IM26" s="51"/>
      <c r="IN26" s="51"/>
      <c r="IO26" s="51"/>
      <c r="IP26" s="51"/>
      <c r="IQ26" s="51"/>
      <c r="IR26" s="51"/>
      <c r="IS26" s="51"/>
      <c r="IT26" s="51"/>
      <c r="IU26" s="51"/>
      <c r="IV26" s="51"/>
      <c r="IW26" s="51"/>
      <c r="IX26" s="51"/>
      <c r="IY26" s="51"/>
      <c r="IZ26" s="51"/>
      <c r="JA26" s="51"/>
      <c r="JB26" s="51"/>
      <c r="JC26" s="51"/>
      <c r="JD26" s="51"/>
      <c r="JE26" s="51"/>
      <c r="JF26" s="51"/>
      <c r="JG26" s="51"/>
      <c r="JH26" s="51"/>
      <c r="JI26" s="51"/>
      <c r="JJ26" s="51"/>
      <c r="JK26" s="51"/>
      <c r="JL26" s="51"/>
      <c r="JM26" s="51"/>
      <c r="JN26" s="51"/>
      <c r="JO26" s="51"/>
      <c r="JP26" s="51"/>
      <c r="JQ26" s="51"/>
      <c r="JR26" s="51"/>
      <c r="JS26" s="51"/>
      <c r="JT26" s="51"/>
      <c r="JU26" s="51"/>
      <c r="JV26" s="51"/>
      <c r="JW26" s="51"/>
      <c r="JX26" s="51"/>
      <c r="JY26" s="51"/>
      <c r="JZ26" s="51"/>
      <c r="KA26" s="51"/>
      <c r="KB26" s="51"/>
      <c r="KC26" s="51"/>
      <c r="KD26" s="51"/>
      <c r="KE26" s="51"/>
      <c r="KF26" s="51"/>
      <c r="KG26" s="51"/>
      <c r="KH26" s="51"/>
      <c r="KI26" s="51"/>
      <c r="KJ26" s="51"/>
      <c r="KK26" s="51"/>
      <c r="KL26" s="51"/>
      <c r="KM26" s="51"/>
      <c r="KN26" s="51"/>
      <c r="KO26" s="51"/>
      <c r="KP26" s="51"/>
      <c r="KQ26" s="51"/>
      <c r="KR26" s="51"/>
      <c r="KS26" s="51"/>
      <c r="KT26" s="51"/>
      <c r="KU26" s="51"/>
      <c r="KV26" s="51"/>
      <c r="KW26" s="51"/>
      <c r="KX26" s="51"/>
    </row>
    <row r="27" spans="1:310" s="10" customFormat="1" x14ac:dyDescent="0.25">
      <c r="A27" s="3"/>
      <c r="B27" s="41" t="s">
        <v>195</v>
      </c>
      <c r="C27" s="42" t="s">
        <v>143</v>
      </c>
      <c r="D27" s="43" t="s">
        <v>193</v>
      </c>
      <c r="E27" s="55">
        <f>+((E28*H28)+(E29*H29)+(E30*H30)+(E31*H31)+(E32*H32)+(E33*H33))/SUM(H28:H33)</f>
        <v>0</v>
      </c>
      <c r="F27" s="45">
        <f>+F28</f>
        <v>46371</v>
      </c>
      <c r="G27" s="45">
        <f>+G33</f>
        <v>46377</v>
      </c>
      <c r="H27" s="46">
        <f>+SUM(H28:H33)</f>
        <v>6</v>
      </c>
      <c r="I27" s="9"/>
      <c r="J27" s="51" t="str">
        <f t="shared" si="5"/>
        <v/>
      </c>
      <c r="K27" s="51" t="str">
        <f t="shared" si="5"/>
        <v/>
      </c>
      <c r="L27" s="51" t="str">
        <f t="shared" si="5"/>
        <v/>
      </c>
      <c r="M27" s="51" t="str">
        <f t="shared" si="5"/>
        <v/>
      </c>
      <c r="N27" s="51" t="str">
        <f t="shared" si="5"/>
        <v/>
      </c>
      <c r="O27" s="51" t="str">
        <f t="shared" si="5"/>
        <v/>
      </c>
      <c r="P27" s="51" t="str">
        <f t="shared" si="5"/>
        <v/>
      </c>
      <c r="Q27" s="51" t="str">
        <f t="shared" si="5"/>
        <v/>
      </c>
      <c r="R27" s="51" t="str">
        <f t="shared" si="5"/>
        <v/>
      </c>
      <c r="S27" s="51" t="str">
        <f t="shared" si="5"/>
        <v/>
      </c>
      <c r="T27" s="51" t="str">
        <f t="shared" si="5"/>
        <v/>
      </c>
      <c r="U27" s="51" t="str">
        <f t="shared" si="5"/>
        <v/>
      </c>
      <c r="V27" s="51" t="str">
        <f t="shared" si="5"/>
        <v/>
      </c>
      <c r="W27" s="51" t="str">
        <f t="shared" si="5"/>
        <v/>
      </c>
      <c r="X27" s="51" t="str">
        <f t="shared" si="5"/>
        <v/>
      </c>
      <c r="Y27" s="51" t="str">
        <f t="shared" si="5"/>
        <v/>
      </c>
      <c r="Z27" s="51" t="str">
        <f t="shared" ref="Z27:AO34" si="12">IF(AND($C27="Objetivo",Z$7&gt;=$F27,Z$7&lt;=$F27+$H27-1),2,IF(AND($C27="Hito",Z$7&gt;=$F27,Z$7&lt;=$F27+$H27-1),1,""))</f>
        <v/>
      </c>
      <c r="AA27" s="51" t="str">
        <f t="shared" si="12"/>
        <v/>
      </c>
      <c r="AB27" s="51" t="str">
        <f t="shared" si="12"/>
        <v/>
      </c>
      <c r="AC27" s="51" t="str">
        <f t="shared" si="12"/>
        <v/>
      </c>
      <c r="AD27" s="51" t="str">
        <f t="shared" si="12"/>
        <v/>
      </c>
      <c r="AE27" s="51" t="str">
        <f t="shared" si="12"/>
        <v/>
      </c>
      <c r="AF27" s="51" t="str">
        <f t="shared" si="12"/>
        <v/>
      </c>
      <c r="AG27" s="51" t="str">
        <f t="shared" si="12"/>
        <v/>
      </c>
      <c r="AH27" s="51" t="str">
        <f t="shared" si="12"/>
        <v/>
      </c>
      <c r="AI27" s="51" t="str">
        <f t="shared" si="12"/>
        <v/>
      </c>
      <c r="AJ27" s="51" t="str">
        <f t="shared" si="12"/>
        <v/>
      </c>
      <c r="AK27" s="51" t="str">
        <f t="shared" si="12"/>
        <v/>
      </c>
      <c r="AL27" s="51" t="str">
        <f t="shared" si="12"/>
        <v/>
      </c>
      <c r="AM27" s="51" t="str">
        <f t="shared" si="12"/>
        <v/>
      </c>
      <c r="AN27" s="51" t="str">
        <f t="shared" si="12"/>
        <v/>
      </c>
      <c r="AO27" s="51" t="str">
        <f t="shared" si="12"/>
        <v/>
      </c>
      <c r="AP27" s="51" t="str">
        <f t="shared" ref="AP27:BE34" si="13">IF(AND($C27="Objetivo",AP$7&gt;=$F27,AP$7&lt;=$F27+$H27-1),2,IF(AND($C27="Hito",AP$7&gt;=$F27,AP$7&lt;=$F27+$H27-1),1,""))</f>
        <v/>
      </c>
      <c r="AQ27" s="51" t="str">
        <f t="shared" si="13"/>
        <v/>
      </c>
      <c r="AR27" s="51" t="str">
        <f t="shared" si="13"/>
        <v/>
      </c>
      <c r="AS27" s="51" t="str">
        <f t="shared" si="13"/>
        <v/>
      </c>
      <c r="AT27" s="51" t="str">
        <f t="shared" si="13"/>
        <v/>
      </c>
      <c r="AU27" s="51" t="str">
        <f t="shared" si="13"/>
        <v/>
      </c>
      <c r="AV27" s="51" t="str">
        <f t="shared" si="13"/>
        <v/>
      </c>
      <c r="AW27" s="51" t="str">
        <f t="shared" si="13"/>
        <v/>
      </c>
      <c r="AX27" s="51" t="str">
        <f t="shared" si="13"/>
        <v/>
      </c>
      <c r="AY27" s="51" t="str">
        <f t="shared" si="13"/>
        <v/>
      </c>
      <c r="AZ27" s="51" t="str">
        <f t="shared" si="13"/>
        <v/>
      </c>
      <c r="BA27" s="51" t="str">
        <f t="shared" si="13"/>
        <v/>
      </c>
      <c r="BB27" s="51" t="str">
        <f t="shared" si="13"/>
        <v/>
      </c>
      <c r="BC27" s="51" t="str">
        <f t="shared" si="13"/>
        <v/>
      </c>
      <c r="BD27" s="51" t="str">
        <f t="shared" si="13"/>
        <v/>
      </c>
      <c r="BE27" s="51" t="str">
        <f t="shared" si="13"/>
        <v/>
      </c>
      <c r="BF27" s="51" t="str">
        <f t="shared" ref="BF27:BU34" si="14">IF(AND($C27="Objetivo",BF$7&gt;=$F27,BF$7&lt;=$F27+$H27-1),2,IF(AND($C27="Hito",BF$7&gt;=$F27,BF$7&lt;=$F27+$H27-1),1,""))</f>
        <v/>
      </c>
      <c r="BG27" s="51" t="str">
        <f t="shared" si="14"/>
        <v/>
      </c>
      <c r="BH27" s="51" t="str">
        <f t="shared" si="14"/>
        <v/>
      </c>
      <c r="BI27" s="51" t="str">
        <f t="shared" si="14"/>
        <v/>
      </c>
      <c r="BJ27" s="51" t="str">
        <f t="shared" si="14"/>
        <v/>
      </c>
      <c r="BK27" s="51" t="str">
        <f t="shared" si="14"/>
        <v/>
      </c>
      <c r="BL27" s="51" t="str">
        <f t="shared" si="14"/>
        <v/>
      </c>
      <c r="BM27" s="51" t="str">
        <f t="shared" si="14"/>
        <v/>
      </c>
      <c r="BN27" s="51" t="str">
        <f t="shared" si="14"/>
        <v/>
      </c>
      <c r="BO27" s="51" t="str">
        <f t="shared" si="14"/>
        <v/>
      </c>
      <c r="BP27" s="51" t="str">
        <f t="shared" si="14"/>
        <v/>
      </c>
      <c r="BQ27" s="51" t="str">
        <f t="shared" si="14"/>
        <v/>
      </c>
      <c r="BR27" s="51" t="str">
        <f t="shared" si="14"/>
        <v/>
      </c>
      <c r="BS27" s="51" t="str">
        <f t="shared" si="14"/>
        <v/>
      </c>
      <c r="BT27" s="51" t="str">
        <f t="shared" si="14"/>
        <v/>
      </c>
      <c r="BU27" s="51" t="str">
        <f t="shared" si="14"/>
        <v/>
      </c>
      <c r="BV27" s="51" t="str">
        <f t="shared" ref="BV27:CK34" si="15">IF(AND($C27="Objetivo",BV$7&gt;=$F27,BV$7&lt;=$F27+$H27-1),2,IF(AND($C27="Hito",BV$7&gt;=$F27,BV$7&lt;=$F27+$H27-1),1,""))</f>
        <v/>
      </c>
      <c r="BW27" s="51" t="str">
        <f t="shared" si="15"/>
        <v/>
      </c>
      <c r="BX27" s="51" t="str">
        <f t="shared" si="15"/>
        <v/>
      </c>
      <c r="BY27" s="51" t="str">
        <f t="shared" si="15"/>
        <v/>
      </c>
      <c r="BZ27" s="51" t="str">
        <f t="shared" si="15"/>
        <v/>
      </c>
      <c r="CA27" s="51" t="str">
        <f t="shared" si="15"/>
        <v/>
      </c>
      <c r="CB27" s="51" t="str">
        <f t="shared" si="15"/>
        <v/>
      </c>
      <c r="CC27" s="51" t="str">
        <f t="shared" si="15"/>
        <v/>
      </c>
      <c r="CD27" s="51" t="str">
        <f t="shared" si="15"/>
        <v/>
      </c>
      <c r="CE27" s="51" t="str">
        <f t="shared" si="15"/>
        <v/>
      </c>
      <c r="CF27" s="51" t="str">
        <f t="shared" si="15"/>
        <v/>
      </c>
      <c r="CG27" s="51" t="str">
        <f t="shared" si="15"/>
        <v/>
      </c>
      <c r="CH27" s="51" t="str">
        <f t="shared" si="15"/>
        <v/>
      </c>
      <c r="CI27" s="51" t="str">
        <f t="shared" si="15"/>
        <v/>
      </c>
      <c r="CJ27" s="51" t="str">
        <f t="shared" si="15"/>
        <v/>
      </c>
      <c r="CK27" s="51" t="str">
        <f t="shared" si="15"/>
        <v/>
      </c>
      <c r="CL27" s="51" t="str">
        <f t="shared" ref="CL27:DA34" si="16">IF(AND($C27="Objetivo",CL$7&gt;=$F27,CL$7&lt;=$F27+$H27-1),2,IF(AND($C27="Hito",CL$7&gt;=$F27,CL$7&lt;=$F27+$H27-1),1,""))</f>
        <v/>
      </c>
      <c r="CM27" s="51" t="str">
        <f t="shared" si="16"/>
        <v/>
      </c>
      <c r="CN27" s="51" t="str">
        <f t="shared" si="16"/>
        <v/>
      </c>
      <c r="CO27" s="51" t="str">
        <f t="shared" si="16"/>
        <v/>
      </c>
      <c r="CP27" s="51" t="str">
        <f t="shared" si="16"/>
        <v/>
      </c>
      <c r="CQ27" s="51" t="str">
        <f t="shared" si="16"/>
        <v/>
      </c>
      <c r="CR27" s="51" t="str">
        <f t="shared" si="16"/>
        <v/>
      </c>
      <c r="CS27" s="51" t="str">
        <f t="shared" si="16"/>
        <v/>
      </c>
      <c r="CT27" s="51" t="str">
        <f t="shared" si="16"/>
        <v/>
      </c>
      <c r="CU27" s="51" t="str">
        <f t="shared" si="16"/>
        <v/>
      </c>
      <c r="CV27" s="51" t="str">
        <f t="shared" si="16"/>
        <v/>
      </c>
      <c r="CW27" s="51" t="str">
        <f t="shared" si="16"/>
        <v/>
      </c>
      <c r="CX27" s="51" t="str">
        <f t="shared" si="16"/>
        <v/>
      </c>
      <c r="CY27" s="51" t="str">
        <f t="shared" si="16"/>
        <v/>
      </c>
      <c r="CZ27" s="51" t="str">
        <f t="shared" si="16"/>
        <v/>
      </c>
      <c r="DA27" s="51" t="str">
        <f t="shared" si="16"/>
        <v/>
      </c>
      <c r="DB27" s="51" t="str">
        <f t="shared" ref="DB27:DQ34" si="17">IF(AND($C27="Objetivo",DB$7&gt;=$F27,DB$7&lt;=$F27+$H27-1),2,IF(AND($C27="Hito",DB$7&gt;=$F27,DB$7&lt;=$F27+$H27-1),1,""))</f>
        <v/>
      </c>
      <c r="DC27" s="51" t="str">
        <f t="shared" si="17"/>
        <v/>
      </c>
      <c r="DD27" s="51" t="str">
        <f t="shared" si="17"/>
        <v/>
      </c>
      <c r="DE27" s="51" t="str">
        <f t="shared" si="17"/>
        <v/>
      </c>
      <c r="DF27" s="51" t="str">
        <f t="shared" si="17"/>
        <v/>
      </c>
      <c r="DG27" s="51" t="str">
        <f t="shared" si="17"/>
        <v/>
      </c>
      <c r="DH27" s="51" t="str">
        <f t="shared" si="17"/>
        <v/>
      </c>
      <c r="DI27" s="51" t="str">
        <f t="shared" si="17"/>
        <v/>
      </c>
      <c r="DJ27" s="51" t="str">
        <f t="shared" si="17"/>
        <v/>
      </c>
      <c r="DK27" s="51" t="str">
        <f t="shared" si="17"/>
        <v/>
      </c>
      <c r="DL27" s="51" t="str">
        <f t="shared" si="17"/>
        <v/>
      </c>
      <c r="DM27" s="51" t="str">
        <f t="shared" si="17"/>
        <v/>
      </c>
      <c r="DN27" s="51" t="str">
        <f t="shared" si="17"/>
        <v/>
      </c>
      <c r="DO27" s="51" t="str">
        <f t="shared" si="17"/>
        <v/>
      </c>
      <c r="DP27" s="51" t="str">
        <f t="shared" si="17"/>
        <v/>
      </c>
      <c r="DQ27" s="51" t="str">
        <f t="shared" si="17"/>
        <v/>
      </c>
      <c r="DR27" s="51" t="str">
        <f t="shared" ref="DR27:EG34" si="18">IF(AND($C27="Objetivo",DR$7&gt;=$F27,DR$7&lt;=$F27+$H27-1),2,IF(AND($C27="Hito",DR$7&gt;=$F27,DR$7&lt;=$F27+$H27-1),1,""))</f>
        <v/>
      </c>
      <c r="DS27" s="51" t="str">
        <f t="shared" si="18"/>
        <v/>
      </c>
      <c r="DT27" s="51" t="str">
        <f t="shared" si="18"/>
        <v/>
      </c>
      <c r="DU27" s="51" t="str">
        <f t="shared" si="18"/>
        <v/>
      </c>
      <c r="DV27" s="51" t="str">
        <f t="shared" si="18"/>
        <v/>
      </c>
      <c r="DW27" s="51" t="str">
        <f t="shared" si="18"/>
        <v/>
      </c>
      <c r="DX27" s="51" t="str">
        <f t="shared" si="18"/>
        <v/>
      </c>
      <c r="DY27" s="51" t="str">
        <f t="shared" si="18"/>
        <v/>
      </c>
      <c r="DZ27" s="51" t="str">
        <f t="shared" si="18"/>
        <v/>
      </c>
      <c r="EA27" s="51" t="str">
        <f t="shared" si="18"/>
        <v/>
      </c>
      <c r="EB27" s="51" t="str">
        <f t="shared" si="18"/>
        <v/>
      </c>
      <c r="EC27" s="51" t="str">
        <f t="shared" si="18"/>
        <v/>
      </c>
      <c r="ED27" s="51" t="str">
        <f t="shared" si="18"/>
        <v/>
      </c>
      <c r="EE27" s="51" t="str">
        <f t="shared" si="18"/>
        <v/>
      </c>
      <c r="EF27" s="51" t="str">
        <f t="shared" si="18"/>
        <v/>
      </c>
      <c r="EG27" s="51" t="str">
        <f t="shared" si="18"/>
        <v/>
      </c>
      <c r="EH27" s="51" t="str">
        <f t="shared" ref="EH27:EW34" si="19">IF(AND($C27="Objetivo",EH$7&gt;=$F27,EH$7&lt;=$F27+$H27-1),2,IF(AND($C27="Hito",EH$7&gt;=$F27,EH$7&lt;=$F27+$H27-1),1,""))</f>
        <v/>
      </c>
      <c r="EI27" s="51" t="str">
        <f t="shared" si="19"/>
        <v/>
      </c>
      <c r="EJ27" s="51" t="str">
        <f t="shared" si="19"/>
        <v/>
      </c>
      <c r="EK27" s="51" t="str">
        <f t="shared" si="19"/>
        <v/>
      </c>
      <c r="EL27" s="51" t="str">
        <f t="shared" si="19"/>
        <v/>
      </c>
      <c r="EM27" s="51" t="str">
        <f t="shared" si="19"/>
        <v/>
      </c>
      <c r="EN27" s="51" t="str">
        <f t="shared" si="19"/>
        <v/>
      </c>
      <c r="EO27" s="51" t="str">
        <f t="shared" si="19"/>
        <v/>
      </c>
      <c r="EP27" s="51" t="str">
        <f t="shared" si="19"/>
        <v/>
      </c>
      <c r="EQ27" s="51" t="str">
        <f t="shared" si="19"/>
        <v/>
      </c>
      <c r="ER27" s="51" t="str">
        <f t="shared" si="19"/>
        <v/>
      </c>
      <c r="ES27" s="51" t="str">
        <f t="shared" si="19"/>
        <v/>
      </c>
      <c r="ET27" s="51" t="str">
        <f t="shared" si="19"/>
        <v/>
      </c>
      <c r="EU27" s="51" t="str">
        <f t="shared" si="19"/>
        <v/>
      </c>
      <c r="EV27" s="51" t="str">
        <f t="shared" si="19"/>
        <v/>
      </c>
      <c r="EW27" s="51" t="str">
        <f t="shared" si="19"/>
        <v/>
      </c>
      <c r="EX27" s="51" t="str">
        <f t="shared" ref="EX27:FM34" si="20">IF(AND($C27="Objetivo",EX$7&gt;=$F27,EX$7&lt;=$F27+$H27-1),2,IF(AND($C27="Hito",EX$7&gt;=$F27,EX$7&lt;=$F27+$H27-1),1,""))</f>
        <v/>
      </c>
      <c r="EY27" s="51" t="str">
        <f t="shared" si="20"/>
        <v/>
      </c>
      <c r="EZ27" s="51" t="str">
        <f t="shared" si="20"/>
        <v/>
      </c>
      <c r="FA27" s="51" t="str">
        <f t="shared" si="20"/>
        <v/>
      </c>
      <c r="FB27" s="51" t="str">
        <f t="shared" si="20"/>
        <v/>
      </c>
      <c r="FC27" s="51" t="str">
        <f t="shared" si="20"/>
        <v/>
      </c>
      <c r="FD27" s="51" t="str">
        <f t="shared" si="20"/>
        <v/>
      </c>
      <c r="FE27" s="51" t="str">
        <f t="shared" si="20"/>
        <v/>
      </c>
      <c r="FF27" s="51" t="str">
        <f t="shared" si="20"/>
        <v/>
      </c>
      <c r="FG27" s="51" t="str">
        <f t="shared" si="20"/>
        <v/>
      </c>
      <c r="FH27" s="51" t="str">
        <f t="shared" si="20"/>
        <v/>
      </c>
      <c r="FI27" s="51" t="str">
        <f t="shared" si="20"/>
        <v/>
      </c>
      <c r="FJ27" s="51" t="str">
        <f t="shared" si="20"/>
        <v/>
      </c>
      <c r="FK27" s="51" t="str">
        <f t="shared" si="20"/>
        <v/>
      </c>
      <c r="FL27" s="51" t="str">
        <f t="shared" si="20"/>
        <v/>
      </c>
      <c r="FM27" s="51" t="str">
        <f t="shared" si="20"/>
        <v/>
      </c>
      <c r="FN27" s="51" t="str">
        <f t="shared" ref="FN27:GC34" si="21">IF(AND($C27="Objetivo",FN$7&gt;=$F27,FN$7&lt;=$F27+$H27-1),2,IF(AND($C27="Hito",FN$7&gt;=$F27,FN$7&lt;=$F27+$H27-1),1,""))</f>
        <v/>
      </c>
      <c r="FO27" s="51" t="str">
        <f t="shared" si="21"/>
        <v/>
      </c>
      <c r="FP27" s="51" t="str">
        <f t="shared" si="21"/>
        <v/>
      </c>
      <c r="FQ27" s="51" t="str">
        <f t="shared" si="21"/>
        <v/>
      </c>
      <c r="FR27" s="51" t="str">
        <f t="shared" si="21"/>
        <v/>
      </c>
      <c r="FS27" s="51" t="str">
        <f t="shared" si="21"/>
        <v/>
      </c>
      <c r="FT27" s="51" t="str">
        <f t="shared" si="21"/>
        <v/>
      </c>
      <c r="FU27" s="51" t="str">
        <f t="shared" si="21"/>
        <v/>
      </c>
      <c r="FV27" s="51" t="str">
        <f t="shared" si="21"/>
        <v/>
      </c>
      <c r="FW27" s="51" t="str">
        <f t="shared" si="21"/>
        <v/>
      </c>
      <c r="FX27" s="51" t="str">
        <f t="shared" si="21"/>
        <v/>
      </c>
      <c r="FY27" s="51" t="str">
        <f t="shared" si="21"/>
        <v/>
      </c>
      <c r="FZ27" s="51" t="str">
        <f t="shared" si="21"/>
        <v/>
      </c>
      <c r="GA27" s="51" t="str">
        <f t="shared" si="21"/>
        <v/>
      </c>
      <c r="GB27" s="51" t="str">
        <f t="shared" si="21"/>
        <v/>
      </c>
      <c r="GC27" s="51" t="str">
        <f t="shared" si="21"/>
        <v/>
      </c>
      <c r="GD27" s="51" t="str">
        <f t="shared" ref="GD27:GS34" si="22">IF(AND($C27="Objetivo",GD$7&gt;=$F27,GD$7&lt;=$F27+$H27-1),2,IF(AND($C27="Hito",GD$7&gt;=$F27,GD$7&lt;=$F27+$H27-1),1,""))</f>
        <v/>
      </c>
      <c r="GE27" s="51" t="str">
        <f t="shared" si="22"/>
        <v/>
      </c>
      <c r="GF27" s="51" t="str">
        <f t="shared" si="22"/>
        <v/>
      </c>
      <c r="GG27" s="51" t="str">
        <f t="shared" si="22"/>
        <v/>
      </c>
      <c r="GH27" s="51" t="str">
        <f t="shared" si="22"/>
        <v/>
      </c>
      <c r="GI27" s="51" t="str">
        <f t="shared" si="22"/>
        <v/>
      </c>
      <c r="GJ27" s="51" t="str">
        <f t="shared" si="22"/>
        <v/>
      </c>
      <c r="GK27" s="51" t="str">
        <f t="shared" si="22"/>
        <v/>
      </c>
      <c r="GL27" s="51" t="str">
        <f t="shared" si="22"/>
        <v/>
      </c>
      <c r="GM27" s="51" t="str">
        <f t="shared" si="22"/>
        <v/>
      </c>
      <c r="GN27" s="51" t="str">
        <f t="shared" si="22"/>
        <v/>
      </c>
      <c r="GO27" s="51" t="str">
        <f t="shared" si="22"/>
        <v/>
      </c>
      <c r="GP27" s="51" t="str">
        <f t="shared" si="22"/>
        <v/>
      </c>
      <c r="GQ27" s="51" t="str">
        <f t="shared" si="22"/>
        <v/>
      </c>
      <c r="GR27" s="51" t="str">
        <f t="shared" si="22"/>
        <v/>
      </c>
      <c r="GS27" s="51" t="str">
        <f t="shared" si="22"/>
        <v/>
      </c>
      <c r="GT27" s="51" t="str">
        <f t="shared" ref="GT27:HI34" si="23">IF(AND($C27="Objetivo",GT$7&gt;=$F27,GT$7&lt;=$F27+$H27-1),2,IF(AND($C27="Hito",GT$7&gt;=$F27,GT$7&lt;=$F27+$H27-1),1,""))</f>
        <v/>
      </c>
      <c r="GU27" s="51" t="str">
        <f t="shared" si="23"/>
        <v/>
      </c>
      <c r="GV27" s="51" t="str">
        <f t="shared" si="23"/>
        <v/>
      </c>
      <c r="GW27" s="51" t="str">
        <f t="shared" si="23"/>
        <v/>
      </c>
      <c r="GX27" s="51" t="str">
        <f t="shared" si="23"/>
        <v/>
      </c>
      <c r="GY27" s="51" t="str">
        <f t="shared" si="23"/>
        <v/>
      </c>
      <c r="GZ27" s="51" t="str">
        <f t="shared" si="23"/>
        <v/>
      </c>
      <c r="HA27" s="51" t="str">
        <f t="shared" si="23"/>
        <v/>
      </c>
      <c r="HB27" s="51" t="str">
        <f t="shared" si="23"/>
        <v/>
      </c>
      <c r="HC27" s="51" t="str">
        <f t="shared" si="23"/>
        <v/>
      </c>
      <c r="HD27" s="51" t="str">
        <f t="shared" si="23"/>
        <v/>
      </c>
      <c r="HE27" s="51" t="str">
        <f t="shared" si="23"/>
        <v/>
      </c>
      <c r="HF27" s="51" t="str">
        <f t="shared" si="23"/>
        <v/>
      </c>
      <c r="HG27" s="51" t="str">
        <f t="shared" si="23"/>
        <v/>
      </c>
      <c r="HH27" s="51" t="str">
        <f t="shared" si="23"/>
        <v/>
      </c>
      <c r="HI27" s="51" t="str">
        <f t="shared" si="23"/>
        <v/>
      </c>
      <c r="HJ27" s="51" t="str">
        <f t="shared" ref="HJ27:HY34" si="24">IF(AND($C27="Objetivo",HJ$7&gt;=$F27,HJ$7&lt;=$F27+$H27-1),2,IF(AND($C27="Hito",HJ$7&gt;=$F27,HJ$7&lt;=$F27+$H27-1),1,""))</f>
        <v/>
      </c>
      <c r="HK27" s="51" t="str">
        <f t="shared" si="24"/>
        <v/>
      </c>
      <c r="HL27" s="51" t="str">
        <f t="shared" si="24"/>
        <v/>
      </c>
      <c r="HM27" s="51" t="str">
        <f t="shared" si="24"/>
        <v/>
      </c>
      <c r="HN27" s="51" t="str">
        <f t="shared" si="24"/>
        <v/>
      </c>
      <c r="HO27" s="51" t="str">
        <f t="shared" si="24"/>
        <v/>
      </c>
      <c r="HP27" s="51" t="str">
        <f t="shared" si="24"/>
        <v/>
      </c>
      <c r="HQ27" s="51" t="str">
        <f t="shared" si="24"/>
        <v/>
      </c>
      <c r="HR27" s="51" t="str">
        <f t="shared" si="24"/>
        <v/>
      </c>
      <c r="HS27" s="51" t="str">
        <f t="shared" si="24"/>
        <v/>
      </c>
      <c r="HT27" s="51" t="str">
        <f t="shared" si="24"/>
        <v/>
      </c>
      <c r="HU27" s="51" t="str">
        <f t="shared" si="24"/>
        <v/>
      </c>
      <c r="HV27" s="51" t="str">
        <f t="shared" si="24"/>
        <v/>
      </c>
      <c r="HW27" s="51" t="str">
        <f t="shared" si="24"/>
        <v/>
      </c>
      <c r="HX27" s="51" t="str">
        <f t="shared" si="24"/>
        <v/>
      </c>
      <c r="HY27" s="51" t="str">
        <f t="shared" si="24"/>
        <v/>
      </c>
      <c r="HZ27" s="51" t="str">
        <f t="shared" ref="HZ27:IO34" si="25">IF(AND($C27="Objetivo",HZ$7&gt;=$F27,HZ$7&lt;=$F27+$H27-1),2,IF(AND($C27="Hito",HZ$7&gt;=$F27,HZ$7&lt;=$F27+$H27-1),1,""))</f>
        <v/>
      </c>
      <c r="IA27" s="51" t="str">
        <f t="shared" si="25"/>
        <v/>
      </c>
      <c r="IB27" s="51" t="str">
        <f t="shared" si="25"/>
        <v/>
      </c>
      <c r="IC27" s="51" t="str">
        <f t="shared" si="25"/>
        <v/>
      </c>
      <c r="ID27" s="51" t="str">
        <f t="shared" si="25"/>
        <v/>
      </c>
      <c r="IE27" s="51" t="str">
        <f t="shared" si="25"/>
        <v/>
      </c>
      <c r="IF27" s="51" t="str">
        <f t="shared" si="25"/>
        <v/>
      </c>
      <c r="IG27" s="51" t="str">
        <f t="shared" si="25"/>
        <v/>
      </c>
      <c r="IH27" s="51" t="str">
        <f t="shared" si="25"/>
        <v/>
      </c>
      <c r="II27" s="51" t="str">
        <f t="shared" si="25"/>
        <v/>
      </c>
      <c r="IJ27" s="51" t="str">
        <f t="shared" si="25"/>
        <v/>
      </c>
      <c r="IK27" s="51" t="str">
        <f t="shared" si="25"/>
        <v/>
      </c>
      <c r="IL27" s="51" t="str">
        <f t="shared" si="25"/>
        <v/>
      </c>
      <c r="IM27" s="51" t="str">
        <f t="shared" si="25"/>
        <v/>
      </c>
      <c r="IN27" s="51" t="str">
        <f t="shared" si="25"/>
        <v/>
      </c>
      <c r="IO27" s="51" t="str">
        <f t="shared" si="25"/>
        <v/>
      </c>
      <c r="IP27" s="51" t="str">
        <f t="shared" ref="IP27:JE34" si="26">IF(AND($C27="Objetivo",IP$7&gt;=$F27,IP$7&lt;=$F27+$H27-1),2,IF(AND($C27="Hito",IP$7&gt;=$F27,IP$7&lt;=$F27+$H27-1),1,""))</f>
        <v/>
      </c>
      <c r="IQ27" s="51" t="str">
        <f t="shared" si="26"/>
        <v/>
      </c>
      <c r="IR27" s="51" t="str">
        <f t="shared" si="26"/>
        <v/>
      </c>
      <c r="IS27" s="51" t="str">
        <f t="shared" si="26"/>
        <v/>
      </c>
      <c r="IT27" s="51" t="str">
        <f t="shared" si="26"/>
        <v/>
      </c>
      <c r="IU27" s="51" t="str">
        <f t="shared" si="26"/>
        <v/>
      </c>
      <c r="IV27" s="51" t="str">
        <f t="shared" si="26"/>
        <v/>
      </c>
      <c r="IW27" s="51" t="str">
        <f t="shared" si="26"/>
        <v/>
      </c>
      <c r="IX27" s="51" t="str">
        <f t="shared" si="26"/>
        <v/>
      </c>
      <c r="IY27" s="51" t="str">
        <f t="shared" si="26"/>
        <v/>
      </c>
      <c r="IZ27" s="51" t="str">
        <f t="shared" si="26"/>
        <v/>
      </c>
      <c r="JA27" s="51" t="str">
        <f t="shared" si="26"/>
        <v/>
      </c>
      <c r="JB27" s="51" t="str">
        <f t="shared" si="26"/>
        <v/>
      </c>
      <c r="JC27" s="51" t="str">
        <f t="shared" si="26"/>
        <v/>
      </c>
      <c r="JD27" s="51" t="str">
        <f t="shared" si="26"/>
        <v/>
      </c>
      <c r="JE27" s="51" t="str">
        <f t="shared" si="26"/>
        <v/>
      </c>
      <c r="JF27" s="51" t="str">
        <f t="shared" ref="JF27:JU34" si="27">IF(AND($C27="Objetivo",JF$7&gt;=$F27,JF$7&lt;=$F27+$H27-1),2,IF(AND($C27="Hito",JF$7&gt;=$F27,JF$7&lt;=$F27+$H27-1),1,""))</f>
        <v/>
      </c>
      <c r="JG27" s="51" t="str">
        <f t="shared" si="27"/>
        <v/>
      </c>
      <c r="JH27" s="51" t="str">
        <f t="shared" si="27"/>
        <v/>
      </c>
      <c r="JI27" s="51" t="str">
        <f t="shared" si="27"/>
        <v/>
      </c>
      <c r="JJ27" s="51" t="str">
        <f t="shared" si="27"/>
        <v/>
      </c>
      <c r="JK27" s="51" t="str">
        <f t="shared" si="27"/>
        <v/>
      </c>
      <c r="JL27" s="51" t="str">
        <f t="shared" si="27"/>
        <v/>
      </c>
      <c r="JM27" s="51" t="str">
        <f t="shared" si="27"/>
        <v/>
      </c>
      <c r="JN27" s="51" t="str">
        <f t="shared" si="27"/>
        <v/>
      </c>
      <c r="JO27" s="51" t="str">
        <f t="shared" si="27"/>
        <v/>
      </c>
      <c r="JP27" s="51" t="str">
        <f t="shared" si="27"/>
        <v/>
      </c>
      <c r="JQ27" s="51" t="str">
        <f t="shared" si="27"/>
        <v/>
      </c>
      <c r="JR27" s="51" t="str">
        <f t="shared" si="27"/>
        <v/>
      </c>
      <c r="JS27" s="51" t="str">
        <f t="shared" si="27"/>
        <v/>
      </c>
      <c r="JT27" s="51" t="str">
        <f t="shared" si="27"/>
        <v/>
      </c>
      <c r="JU27" s="51" t="str">
        <f t="shared" si="27"/>
        <v/>
      </c>
      <c r="JV27" s="51" t="str">
        <f t="shared" ref="JV27:KK34" si="28">IF(AND($C27="Objetivo",JV$7&gt;=$F27,JV$7&lt;=$F27+$H27-1),2,IF(AND($C27="Hito",JV$7&gt;=$F27,JV$7&lt;=$F27+$H27-1),1,""))</f>
        <v/>
      </c>
      <c r="JW27" s="51" t="str">
        <f t="shared" si="28"/>
        <v/>
      </c>
      <c r="JX27" s="51" t="str">
        <f t="shared" si="28"/>
        <v/>
      </c>
      <c r="JY27" s="51" t="str">
        <f t="shared" si="28"/>
        <v/>
      </c>
      <c r="JZ27" s="51" t="str">
        <f t="shared" si="28"/>
        <v/>
      </c>
      <c r="KA27" s="51" t="str">
        <f t="shared" si="28"/>
        <v/>
      </c>
      <c r="KB27" s="51" t="str">
        <f t="shared" si="28"/>
        <v/>
      </c>
      <c r="KC27" s="51" t="str">
        <f t="shared" si="28"/>
        <v/>
      </c>
      <c r="KD27" s="51" t="str">
        <f t="shared" si="28"/>
        <v/>
      </c>
      <c r="KE27" s="51" t="str">
        <f t="shared" si="28"/>
        <v/>
      </c>
      <c r="KF27" s="51" t="str">
        <f t="shared" si="28"/>
        <v/>
      </c>
      <c r="KG27" s="51" t="str">
        <f t="shared" si="28"/>
        <v/>
      </c>
      <c r="KH27" s="51" t="str">
        <f t="shared" si="28"/>
        <v/>
      </c>
      <c r="KI27" s="51" t="str">
        <f t="shared" si="28"/>
        <v/>
      </c>
      <c r="KJ27" s="51" t="str">
        <f t="shared" si="28"/>
        <v/>
      </c>
      <c r="KK27" s="51" t="str">
        <f t="shared" si="28"/>
        <v/>
      </c>
      <c r="KL27" s="51" t="str">
        <f t="shared" ref="KL27:KX34" si="29">IF(AND($C27="Objetivo",KL$7&gt;=$F27,KL$7&lt;=$F27+$H27-1),2,IF(AND($C27="Hito",KL$7&gt;=$F27,KL$7&lt;=$F27+$H27-1),1,""))</f>
        <v/>
      </c>
      <c r="KM27" s="51" t="str">
        <f t="shared" si="29"/>
        <v/>
      </c>
      <c r="KN27" s="51" t="str">
        <f t="shared" si="29"/>
        <v/>
      </c>
      <c r="KO27" s="51" t="str">
        <f t="shared" si="29"/>
        <v/>
      </c>
      <c r="KP27" s="51" t="str">
        <f t="shared" si="29"/>
        <v/>
      </c>
      <c r="KQ27" s="51" t="str">
        <f t="shared" si="29"/>
        <v/>
      </c>
      <c r="KR27" s="51" t="str">
        <f t="shared" si="29"/>
        <v/>
      </c>
      <c r="KS27" s="51" t="str">
        <f t="shared" si="29"/>
        <v/>
      </c>
      <c r="KT27" s="51" t="str">
        <f t="shared" si="29"/>
        <v/>
      </c>
      <c r="KU27" s="51" t="str">
        <f t="shared" si="29"/>
        <v/>
      </c>
      <c r="KV27" s="51" t="str">
        <f t="shared" si="29"/>
        <v/>
      </c>
      <c r="KW27" s="51" t="str">
        <f t="shared" si="29"/>
        <v/>
      </c>
      <c r="KX27" s="51" t="str">
        <f t="shared" si="29"/>
        <v/>
      </c>
    </row>
    <row r="28" spans="1:310" s="10" customFormat="1" x14ac:dyDescent="0.25">
      <c r="A28" s="3"/>
      <c r="B28" s="47" t="s">
        <v>176</v>
      </c>
      <c r="C28" s="48" t="s">
        <v>143</v>
      </c>
      <c r="D28" s="17" t="s">
        <v>193</v>
      </c>
      <c r="E28" s="49">
        <v>0</v>
      </c>
      <c r="F28" s="50">
        <v>46371</v>
      </c>
      <c r="G28" s="52">
        <f>+Hitos4352[[#This Row],[Inicio]]+Hitos4352[[#This Row],[Días]]</f>
        <v>46372</v>
      </c>
      <c r="H28" s="53">
        <v>1</v>
      </c>
      <c r="I28" s="9"/>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c r="HJ28" s="51"/>
      <c r="HK28" s="51"/>
      <c r="HL28" s="51"/>
      <c r="HM28" s="51"/>
      <c r="HN28" s="51"/>
      <c r="HO28" s="51"/>
      <c r="HP28" s="51"/>
      <c r="HQ28" s="51"/>
      <c r="HR28" s="51"/>
      <c r="HS28" s="51"/>
      <c r="HT28" s="51"/>
      <c r="HU28" s="51"/>
      <c r="HV28" s="51"/>
      <c r="HW28" s="51"/>
      <c r="HX28" s="51"/>
      <c r="HY28" s="51"/>
      <c r="HZ28" s="51"/>
      <c r="IA28" s="51"/>
      <c r="IB28" s="51"/>
      <c r="IC28" s="51"/>
      <c r="ID28" s="51"/>
      <c r="IE28" s="51"/>
      <c r="IF28" s="51"/>
      <c r="IG28" s="51"/>
      <c r="IH28" s="51"/>
      <c r="II28" s="51"/>
      <c r="IJ28" s="51"/>
      <c r="IK28" s="51"/>
      <c r="IL28" s="51"/>
      <c r="IM28" s="51"/>
      <c r="IN28" s="51"/>
      <c r="IO28" s="51"/>
      <c r="IP28" s="51"/>
      <c r="IQ28" s="51"/>
      <c r="IR28" s="51"/>
      <c r="IS28" s="51"/>
      <c r="IT28" s="51"/>
      <c r="IU28" s="51"/>
      <c r="IV28" s="51"/>
      <c r="IW28" s="51"/>
      <c r="IX28" s="51"/>
      <c r="IY28" s="51"/>
      <c r="IZ28" s="51"/>
      <c r="JA28" s="51"/>
      <c r="JB28" s="51"/>
      <c r="JC28" s="51"/>
      <c r="JD28" s="51"/>
      <c r="JE28" s="51"/>
      <c r="JF28" s="51"/>
      <c r="JG28" s="51"/>
      <c r="JH28" s="51"/>
      <c r="JI28" s="51"/>
      <c r="JJ28" s="51"/>
      <c r="JK28" s="51"/>
      <c r="JL28" s="51"/>
      <c r="JM28" s="51"/>
      <c r="JN28" s="51"/>
      <c r="JO28" s="51"/>
      <c r="JP28" s="51"/>
      <c r="JQ28" s="51"/>
      <c r="JR28" s="51"/>
      <c r="JS28" s="51"/>
      <c r="JT28" s="51"/>
      <c r="JU28" s="51"/>
      <c r="JV28" s="51"/>
      <c r="JW28" s="51"/>
      <c r="JX28" s="51"/>
      <c r="JY28" s="51"/>
      <c r="JZ28" s="51"/>
      <c r="KA28" s="51"/>
      <c r="KB28" s="51"/>
      <c r="KC28" s="51"/>
      <c r="KD28" s="51"/>
      <c r="KE28" s="51"/>
      <c r="KF28" s="51"/>
      <c r="KG28" s="51"/>
      <c r="KH28" s="51"/>
      <c r="KI28" s="51"/>
      <c r="KJ28" s="51"/>
      <c r="KK28" s="51"/>
      <c r="KL28" s="51"/>
      <c r="KM28" s="51"/>
      <c r="KN28" s="51"/>
      <c r="KO28" s="51"/>
      <c r="KP28" s="51"/>
      <c r="KQ28" s="51"/>
      <c r="KR28" s="51"/>
      <c r="KS28" s="51"/>
      <c r="KT28" s="51"/>
      <c r="KU28" s="51"/>
      <c r="KV28" s="51"/>
      <c r="KW28" s="51"/>
      <c r="KX28" s="51"/>
    </row>
    <row r="29" spans="1:310" s="10" customFormat="1" x14ac:dyDescent="0.25">
      <c r="A29" s="3"/>
      <c r="B29" s="47" t="s">
        <v>177</v>
      </c>
      <c r="C29" s="48" t="s">
        <v>143</v>
      </c>
      <c r="D29" s="17" t="s">
        <v>193</v>
      </c>
      <c r="E29" s="49">
        <v>0</v>
      </c>
      <c r="F29" s="50">
        <f>+G28</f>
        <v>46372</v>
      </c>
      <c r="G29" s="52">
        <f>+Hitos4352[[#This Row],[Inicio]]+Hitos4352[[#This Row],[Días]]</f>
        <v>46373</v>
      </c>
      <c r="H29" s="53">
        <v>1</v>
      </c>
      <c r="I29" s="9"/>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1"/>
      <c r="FT29" s="51"/>
      <c r="FU29" s="51"/>
      <c r="FV29" s="51"/>
      <c r="FW29" s="51"/>
      <c r="FX29" s="51"/>
      <c r="FY29" s="51"/>
      <c r="FZ29" s="51"/>
      <c r="GA29" s="51"/>
      <c r="GB29" s="51"/>
      <c r="GC29" s="51"/>
      <c r="GD29" s="51"/>
      <c r="GE29" s="51"/>
      <c r="GF29" s="51"/>
      <c r="GG29" s="51"/>
      <c r="GH29" s="51"/>
      <c r="GI29" s="51"/>
      <c r="GJ29" s="51"/>
      <c r="GK29" s="51"/>
      <c r="GL29" s="51"/>
      <c r="GM29" s="51"/>
      <c r="GN29" s="51"/>
      <c r="GO29" s="51"/>
      <c r="GP29" s="51"/>
      <c r="GQ29" s="51"/>
      <c r="GR29" s="51"/>
      <c r="GS29" s="51"/>
      <c r="GT29" s="51"/>
      <c r="GU29" s="51"/>
      <c r="GV29" s="51"/>
      <c r="GW29" s="51"/>
      <c r="GX29" s="51"/>
      <c r="GY29" s="51"/>
      <c r="GZ29" s="51"/>
      <c r="HA29" s="51"/>
      <c r="HB29" s="51"/>
      <c r="HC29" s="51"/>
      <c r="HD29" s="51"/>
      <c r="HE29" s="51"/>
      <c r="HF29" s="51"/>
      <c r="HG29" s="51"/>
      <c r="HH29" s="51"/>
      <c r="HI29" s="51"/>
      <c r="HJ29" s="51"/>
      <c r="HK29" s="51"/>
      <c r="HL29" s="51"/>
      <c r="HM29" s="51"/>
      <c r="HN29" s="51"/>
      <c r="HO29" s="51"/>
      <c r="HP29" s="51"/>
      <c r="HQ29" s="51"/>
      <c r="HR29" s="51"/>
      <c r="HS29" s="51"/>
      <c r="HT29" s="51"/>
      <c r="HU29" s="51"/>
      <c r="HV29" s="51"/>
      <c r="HW29" s="51"/>
      <c r="HX29" s="51"/>
      <c r="HY29" s="51"/>
      <c r="HZ29" s="51"/>
      <c r="IA29" s="51"/>
      <c r="IB29" s="51"/>
      <c r="IC29" s="51"/>
      <c r="ID29" s="51"/>
      <c r="IE29" s="51"/>
      <c r="IF29" s="51"/>
      <c r="IG29" s="51"/>
      <c r="IH29" s="51"/>
      <c r="II29" s="51"/>
      <c r="IJ29" s="51"/>
      <c r="IK29" s="51"/>
      <c r="IL29" s="51"/>
      <c r="IM29" s="51"/>
      <c r="IN29" s="51"/>
      <c r="IO29" s="51"/>
      <c r="IP29" s="51"/>
      <c r="IQ29" s="51"/>
      <c r="IR29" s="51"/>
      <c r="IS29" s="51"/>
      <c r="IT29" s="51"/>
      <c r="IU29" s="51"/>
      <c r="IV29" s="51"/>
      <c r="IW29" s="51"/>
      <c r="IX29" s="51"/>
      <c r="IY29" s="51"/>
      <c r="IZ29" s="51"/>
      <c r="JA29" s="51"/>
      <c r="JB29" s="51"/>
      <c r="JC29" s="51"/>
      <c r="JD29" s="51"/>
      <c r="JE29" s="51"/>
      <c r="JF29" s="51"/>
      <c r="JG29" s="51"/>
      <c r="JH29" s="51"/>
      <c r="JI29" s="51"/>
      <c r="JJ29" s="51"/>
      <c r="JK29" s="51"/>
      <c r="JL29" s="51"/>
      <c r="JM29" s="51"/>
      <c r="JN29" s="51"/>
      <c r="JO29" s="51"/>
      <c r="JP29" s="51"/>
      <c r="JQ29" s="51"/>
      <c r="JR29" s="51"/>
      <c r="JS29" s="51"/>
      <c r="JT29" s="51"/>
      <c r="JU29" s="51"/>
      <c r="JV29" s="51"/>
      <c r="JW29" s="51"/>
      <c r="JX29" s="51"/>
      <c r="JY29" s="51"/>
      <c r="JZ29" s="51"/>
      <c r="KA29" s="51"/>
      <c r="KB29" s="51"/>
      <c r="KC29" s="51"/>
      <c r="KD29" s="51"/>
      <c r="KE29" s="51"/>
      <c r="KF29" s="51"/>
      <c r="KG29" s="51"/>
      <c r="KH29" s="51"/>
      <c r="KI29" s="51"/>
      <c r="KJ29" s="51"/>
      <c r="KK29" s="51"/>
      <c r="KL29" s="51"/>
      <c r="KM29" s="51"/>
      <c r="KN29" s="51"/>
      <c r="KO29" s="51"/>
      <c r="KP29" s="51"/>
      <c r="KQ29" s="51"/>
      <c r="KR29" s="51"/>
      <c r="KS29" s="51"/>
      <c r="KT29" s="51"/>
      <c r="KU29" s="51"/>
      <c r="KV29" s="51"/>
      <c r="KW29" s="51"/>
      <c r="KX29" s="51"/>
    </row>
    <row r="30" spans="1:310" s="10" customFormat="1" x14ac:dyDescent="0.25">
      <c r="A30" s="3"/>
      <c r="B30" s="47" t="s">
        <v>178</v>
      </c>
      <c r="C30" s="48" t="s">
        <v>143</v>
      </c>
      <c r="D30" s="17" t="s">
        <v>193</v>
      </c>
      <c r="E30" s="49">
        <v>0</v>
      </c>
      <c r="F30" s="50">
        <f>+G29</f>
        <v>46373</v>
      </c>
      <c r="G30" s="52">
        <f>+Hitos4352[[#This Row],[Inicio]]+Hitos4352[[#This Row],[Días]]</f>
        <v>46374</v>
      </c>
      <c r="H30" s="53">
        <v>1</v>
      </c>
      <c r="I30" s="9"/>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1"/>
      <c r="EM30" s="51"/>
      <c r="EN30" s="51"/>
      <c r="EO30" s="51"/>
      <c r="EP30" s="51"/>
      <c r="EQ30" s="51"/>
      <c r="ER30" s="51"/>
      <c r="ES30" s="51"/>
      <c r="ET30" s="51"/>
      <c r="EU30" s="51"/>
      <c r="EV30" s="51"/>
      <c r="EW30" s="51"/>
      <c r="EX30" s="51"/>
      <c r="EY30" s="51"/>
      <c r="EZ30" s="51"/>
      <c r="FA30" s="51"/>
      <c r="FB30" s="51"/>
      <c r="FC30" s="51"/>
      <c r="FD30" s="51"/>
      <c r="FE30" s="51"/>
      <c r="FF30" s="51"/>
      <c r="FG30" s="51"/>
      <c r="FH30" s="51"/>
      <c r="FI30" s="51"/>
      <c r="FJ30" s="51"/>
      <c r="FK30" s="51"/>
      <c r="FL30" s="51"/>
      <c r="FM30" s="51"/>
      <c r="FN30" s="51"/>
      <c r="FO30" s="51"/>
      <c r="FP30" s="51"/>
      <c r="FQ30" s="51"/>
      <c r="FR30" s="51"/>
      <c r="FS30" s="51"/>
      <c r="FT30" s="51"/>
      <c r="FU30" s="51"/>
      <c r="FV30" s="51"/>
      <c r="FW30" s="51"/>
      <c r="FX30" s="51"/>
      <c r="FY30" s="51"/>
      <c r="FZ30" s="51"/>
      <c r="GA30" s="51"/>
      <c r="GB30" s="51"/>
      <c r="GC30" s="51"/>
      <c r="GD30" s="51"/>
      <c r="GE30" s="51"/>
      <c r="GF30" s="51"/>
      <c r="GG30" s="51"/>
      <c r="GH30" s="51"/>
      <c r="GI30" s="51"/>
      <c r="GJ30" s="51"/>
      <c r="GK30" s="51"/>
      <c r="GL30" s="51"/>
      <c r="GM30" s="51"/>
      <c r="GN30" s="51"/>
      <c r="GO30" s="51"/>
      <c r="GP30" s="51"/>
      <c r="GQ30" s="51"/>
      <c r="GR30" s="51"/>
      <c r="GS30" s="51"/>
      <c r="GT30" s="51"/>
      <c r="GU30" s="51"/>
      <c r="GV30" s="51"/>
      <c r="GW30" s="51"/>
      <c r="GX30" s="51"/>
      <c r="GY30" s="51"/>
      <c r="GZ30" s="51"/>
      <c r="HA30" s="51"/>
      <c r="HB30" s="51"/>
      <c r="HC30" s="51"/>
      <c r="HD30" s="51"/>
      <c r="HE30" s="51"/>
      <c r="HF30" s="51"/>
      <c r="HG30" s="51"/>
      <c r="HH30" s="51"/>
      <c r="HI30" s="51"/>
      <c r="HJ30" s="51"/>
      <c r="HK30" s="51"/>
      <c r="HL30" s="51"/>
      <c r="HM30" s="51"/>
      <c r="HN30" s="51"/>
      <c r="HO30" s="51"/>
      <c r="HP30" s="51"/>
      <c r="HQ30" s="51"/>
      <c r="HR30" s="51"/>
      <c r="HS30" s="51"/>
      <c r="HT30" s="51"/>
      <c r="HU30" s="51"/>
      <c r="HV30" s="51"/>
      <c r="HW30" s="51"/>
      <c r="HX30" s="51"/>
      <c r="HY30" s="51"/>
      <c r="HZ30" s="51"/>
      <c r="IA30" s="51"/>
      <c r="IB30" s="51"/>
      <c r="IC30" s="51"/>
      <c r="ID30" s="51"/>
      <c r="IE30" s="51"/>
      <c r="IF30" s="51"/>
      <c r="IG30" s="51"/>
      <c r="IH30" s="51"/>
      <c r="II30" s="51"/>
      <c r="IJ30" s="51"/>
      <c r="IK30" s="51"/>
      <c r="IL30" s="51"/>
      <c r="IM30" s="51"/>
      <c r="IN30" s="51"/>
      <c r="IO30" s="51"/>
      <c r="IP30" s="51"/>
      <c r="IQ30" s="51"/>
      <c r="IR30" s="51"/>
      <c r="IS30" s="51"/>
      <c r="IT30" s="51"/>
      <c r="IU30" s="51"/>
      <c r="IV30" s="51"/>
      <c r="IW30" s="51"/>
      <c r="IX30" s="51"/>
      <c r="IY30" s="51"/>
      <c r="IZ30" s="51"/>
      <c r="JA30" s="51"/>
      <c r="JB30" s="51"/>
      <c r="JC30" s="51"/>
      <c r="JD30" s="51"/>
      <c r="JE30" s="51"/>
      <c r="JF30" s="51"/>
      <c r="JG30" s="51"/>
      <c r="JH30" s="51"/>
      <c r="JI30" s="51"/>
      <c r="JJ30" s="51"/>
      <c r="JK30" s="51"/>
      <c r="JL30" s="51"/>
      <c r="JM30" s="51"/>
      <c r="JN30" s="51"/>
      <c r="JO30" s="51"/>
      <c r="JP30" s="51"/>
      <c r="JQ30" s="51"/>
      <c r="JR30" s="51"/>
      <c r="JS30" s="51"/>
      <c r="JT30" s="51"/>
      <c r="JU30" s="51"/>
      <c r="JV30" s="51"/>
      <c r="JW30" s="51"/>
      <c r="JX30" s="51"/>
      <c r="JY30" s="51"/>
      <c r="JZ30" s="51"/>
      <c r="KA30" s="51"/>
      <c r="KB30" s="51"/>
      <c r="KC30" s="51"/>
      <c r="KD30" s="51"/>
      <c r="KE30" s="51"/>
      <c r="KF30" s="51"/>
      <c r="KG30" s="51"/>
      <c r="KH30" s="51"/>
      <c r="KI30" s="51"/>
      <c r="KJ30" s="51"/>
      <c r="KK30" s="51"/>
      <c r="KL30" s="51"/>
      <c r="KM30" s="51"/>
      <c r="KN30" s="51"/>
      <c r="KO30" s="51"/>
      <c r="KP30" s="51"/>
      <c r="KQ30" s="51"/>
      <c r="KR30" s="51"/>
      <c r="KS30" s="51"/>
      <c r="KT30" s="51"/>
      <c r="KU30" s="51"/>
      <c r="KV30" s="51"/>
      <c r="KW30" s="51"/>
      <c r="KX30" s="51"/>
    </row>
    <row r="31" spans="1:310" s="10" customFormat="1" x14ac:dyDescent="0.25">
      <c r="A31" s="3"/>
      <c r="B31" s="47" t="s">
        <v>179</v>
      </c>
      <c r="C31" s="48" t="s">
        <v>143</v>
      </c>
      <c r="D31" s="17" t="s">
        <v>193</v>
      </c>
      <c r="E31" s="49">
        <v>0</v>
      </c>
      <c r="F31" s="50">
        <f>+G30</f>
        <v>46374</v>
      </c>
      <c r="G31" s="52">
        <f>+Hitos4352[[#This Row],[Inicio]]+Hitos4352[[#This Row],[Días]]</f>
        <v>46375</v>
      </c>
      <c r="H31" s="53">
        <v>1</v>
      </c>
      <c r="I31" s="9"/>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c r="HG31" s="51"/>
      <c r="HH31" s="51"/>
      <c r="HI31" s="51"/>
      <c r="HJ31" s="51"/>
      <c r="HK31" s="51"/>
      <c r="HL31" s="51"/>
      <c r="HM31" s="51"/>
      <c r="HN31" s="51"/>
      <c r="HO31" s="51"/>
      <c r="HP31" s="51"/>
      <c r="HQ31" s="51"/>
      <c r="HR31" s="51"/>
      <c r="HS31" s="51"/>
      <c r="HT31" s="51"/>
      <c r="HU31" s="51"/>
      <c r="HV31" s="51"/>
      <c r="HW31" s="51"/>
      <c r="HX31" s="51"/>
      <c r="HY31" s="51"/>
      <c r="HZ31" s="51"/>
      <c r="IA31" s="51"/>
      <c r="IB31" s="51"/>
      <c r="IC31" s="51"/>
      <c r="ID31" s="51"/>
      <c r="IE31" s="51"/>
      <c r="IF31" s="51"/>
      <c r="IG31" s="51"/>
      <c r="IH31" s="51"/>
      <c r="II31" s="51"/>
      <c r="IJ31" s="51"/>
      <c r="IK31" s="51"/>
      <c r="IL31" s="51"/>
      <c r="IM31" s="51"/>
      <c r="IN31" s="51"/>
      <c r="IO31" s="51"/>
      <c r="IP31" s="51"/>
      <c r="IQ31" s="51"/>
      <c r="IR31" s="51"/>
      <c r="IS31" s="51"/>
      <c r="IT31" s="51"/>
      <c r="IU31" s="51"/>
      <c r="IV31" s="51"/>
      <c r="IW31" s="51"/>
      <c r="IX31" s="51"/>
      <c r="IY31" s="51"/>
      <c r="IZ31" s="51"/>
      <c r="JA31" s="51"/>
      <c r="JB31" s="51"/>
      <c r="JC31" s="51"/>
      <c r="JD31" s="51"/>
      <c r="JE31" s="51"/>
      <c r="JF31" s="51"/>
      <c r="JG31" s="51"/>
      <c r="JH31" s="51"/>
      <c r="JI31" s="51"/>
      <c r="JJ31" s="51"/>
      <c r="JK31" s="51"/>
      <c r="JL31" s="51"/>
      <c r="JM31" s="51"/>
      <c r="JN31" s="51"/>
      <c r="JO31" s="51"/>
      <c r="JP31" s="51"/>
      <c r="JQ31" s="51"/>
      <c r="JR31" s="51"/>
      <c r="JS31" s="51"/>
      <c r="JT31" s="51"/>
      <c r="JU31" s="51"/>
      <c r="JV31" s="51"/>
      <c r="JW31" s="51"/>
      <c r="JX31" s="51"/>
      <c r="JY31" s="51"/>
      <c r="JZ31" s="51"/>
      <c r="KA31" s="51"/>
      <c r="KB31" s="51"/>
      <c r="KC31" s="51"/>
      <c r="KD31" s="51"/>
      <c r="KE31" s="51"/>
      <c r="KF31" s="51"/>
      <c r="KG31" s="51"/>
      <c r="KH31" s="51"/>
      <c r="KI31" s="51"/>
      <c r="KJ31" s="51"/>
      <c r="KK31" s="51"/>
      <c r="KL31" s="51"/>
      <c r="KM31" s="51"/>
      <c r="KN31" s="51"/>
      <c r="KO31" s="51"/>
      <c r="KP31" s="51"/>
      <c r="KQ31" s="51"/>
      <c r="KR31" s="51"/>
      <c r="KS31" s="51"/>
      <c r="KT31" s="51"/>
      <c r="KU31" s="51"/>
      <c r="KV31" s="51"/>
      <c r="KW31" s="51"/>
      <c r="KX31" s="51"/>
    </row>
    <row r="32" spans="1:310" s="10" customFormat="1" x14ac:dyDescent="0.25">
      <c r="A32" s="3"/>
      <c r="B32" s="47" t="s">
        <v>180</v>
      </c>
      <c r="C32" s="48" t="s">
        <v>143</v>
      </c>
      <c r="D32" s="17" t="s">
        <v>193</v>
      </c>
      <c r="E32" s="49">
        <v>0</v>
      </c>
      <c r="F32" s="50">
        <f>+G31</f>
        <v>46375</v>
      </c>
      <c r="G32" s="52">
        <f>+Hitos4352[[#This Row],[Inicio]]+Hitos4352[[#This Row],[Días]]</f>
        <v>46376</v>
      </c>
      <c r="H32" s="53">
        <v>1</v>
      </c>
      <c r="I32" s="9"/>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1"/>
      <c r="EM32" s="51"/>
      <c r="EN32" s="51"/>
      <c r="EO32" s="51"/>
      <c r="EP32" s="51"/>
      <c r="EQ32" s="51"/>
      <c r="ER32" s="51"/>
      <c r="ES32" s="51"/>
      <c r="ET32" s="51"/>
      <c r="EU32" s="51"/>
      <c r="EV32" s="51"/>
      <c r="EW32" s="51"/>
      <c r="EX32" s="51"/>
      <c r="EY32" s="51"/>
      <c r="EZ32" s="51"/>
      <c r="FA32" s="51"/>
      <c r="FB32" s="51"/>
      <c r="FC32" s="51"/>
      <c r="FD32" s="51"/>
      <c r="FE32" s="51"/>
      <c r="FF32" s="51"/>
      <c r="FG32" s="51"/>
      <c r="FH32" s="51"/>
      <c r="FI32" s="51"/>
      <c r="FJ32" s="51"/>
      <c r="FK32" s="51"/>
      <c r="FL32" s="51"/>
      <c r="FM32" s="51"/>
      <c r="FN32" s="51"/>
      <c r="FO32" s="51"/>
      <c r="FP32" s="51"/>
      <c r="FQ32" s="51"/>
      <c r="FR32" s="51"/>
      <c r="FS32" s="51"/>
      <c r="FT32" s="51"/>
      <c r="FU32" s="51"/>
      <c r="FV32" s="51"/>
      <c r="FW32" s="51"/>
      <c r="FX32" s="51"/>
      <c r="FY32" s="51"/>
      <c r="FZ32" s="51"/>
      <c r="GA32" s="51"/>
      <c r="GB32" s="51"/>
      <c r="GC32" s="51"/>
      <c r="GD32" s="51"/>
      <c r="GE32" s="51"/>
      <c r="GF32" s="51"/>
      <c r="GG32" s="51"/>
      <c r="GH32" s="51"/>
      <c r="GI32" s="51"/>
      <c r="GJ32" s="51"/>
      <c r="GK32" s="51"/>
      <c r="GL32" s="51"/>
      <c r="GM32" s="51"/>
      <c r="GN32" s="51"/>
      <c r="GO32" s="51"/>
      <c r="GP32" s="51"/>
      <c r="GQ32" s="51"/>
      <c r="GR32" s="51"/>
      <c r="GS32" s="51"/>
      <c r="GT32" s="51"/>
      <c r="GU32" s="51"/>
      <c r="GV32" s="51"/>
      <c r="GW32" s="51"/>
      <c r="GX32" s="51"/>
      <c r="GY32" s="51"/>
      <c r="GZ32" s="51"/>
      <c r="HA32" s="51"/>
      <c r="HB32" s="51"/>
      <c r="HC32" s="51"/>
      <c r="HD32" s="51"/>
      <c r="HE32" s="51"/>
      <c r="HF32" s="51"/>
      <c r="HG32" s="51"/>
      <c r="HH32" s="51"/>
      <c r="HI32" s="51"/>
      <c r="HJ32" s="51"/>
      <c r="HK32" s="51"/>
      <c r="HL32" s="51"/>
      <c r="HM32" s="51"/>
      <c r="HN32" s="51"/>
      <c r="HO32" s="51"/>
      <c r="HP32" s="51"/>
      <c r="HQ32" s="51"/>
      <c r="HR32" s="51"/>
      <c r="HS32" s="51"/>
      <c r="HT32" s="51"/>
      <c r="HU32" s="51"/>
      <c r="HV32" s="51"/>
      <c r="HW32" s="51"/>
      <c r="HX32" s="51"/>
      <c r="HY32" s="51"/>
      <c r="HZ32" s="51"/>
      <c r="IA32" s="51"/>
      <c r="IB32" s="51"/>
      <c r="IC32" s="51"/>
      <c r="ID32" s="51"/>
      <c r="IE32" s="51"/>
      <c r="IF32" s="51"/>
      <c r="IG32" s="51"/>
      <c r="IH32" s="51"/>
      <c r="II32" s="51"/>
      <c r="IJ32" s="51"/>
      <c r="IK32" s="51"/>
      <c r="IL32" s="51"/>
      <c r="IM32" s="51"/>
      <c r="IN32" s="51"/>
      <c r="IO32" s="51"/>
      <c r="IP32" s="51"/>
      <c r="IQ32" s="51"/>
      <c r="IR32" s="51"/>
      <c r="IS32" s="51"/>
      <c r="IT32" s="51"/>
      <c r="IU32" s="51"/>
      <c r="IV32" s="51"/>
      <c r="IW32" s="51"/>
      <c r="IX32" s="51"/>
      <c r="IY32" s="51"/>
      <c r="IZ32" s="51"/>
      <c r="JA32" s="51"/>
      <c r="JB32" s="51"/>
      <c r="JC32" s="51"/>
      <c r="JD32" s="51"/>
      <c r="JE32" s="51"/>
      <c r="JF32" s="51"/>
      <c r="JG32" s="51"/>
      <c r="JH32" s="51"/>
      <c r="JI32" s="51"/>
      <c r="JJ32" s="51"/>
      <c r="JK32" s="51"/>
      <c r="JL32" s="51"/>
      <c r="JM32" s="51"/>
      <c r="JN32" s="51"/>
      <c r="JO32" s="51"/>
      <c r="JP32" s="51"/>
      <c r="JQ32" s="51"/>
      <c r="JR32" s="51"/>
      <c r="JS32" s="51"/>
      <c r="JT32" s="51"/>
      <c r="JU32" s="51"/>
      <c r="JV32" s="51"/>
      <c r="JW32" s="51"/>
      <c r="JX32" s="51"/>
      <c r="JY32" s="51"/>
      <c r="JZ32" s="51"/>
      <c r="KA32" s="51"/>
      <c r="KB32" s="51"/>
      <c r="KC32" s="51"/>
      <c r="KD32" s="51"/>
      <c r="KE32" s="51"/>
      <c r="KF32" s="51"/>
      <c r="KG32" s="51"/>
      <c r="KH32" s="51"/>
      <c r="KI32" s="51"/>
      <c r="KJ32" s="51"/>
      <c r="KK32" s="51"/>
      <c r="KL32" s="51"/>
      <c r="KM32" s="51"/>
      <c r="KN32" s="51"/>
      <c r="KO32" s="51"/>
      <c r="KP32" s="51"/>
      <c r="KQ32" s="51"/>
      <c r="KR32" s="51"/>
      <c r="KS32" s="51"/>
      <c r="KT32" s="51"/>
      <c r="KU32" s="51"/>
      <c r="KV32" s="51"/>
      <c r="KW32" s="51"/>
      <c r="KX32" s="51"/>
    </row>
    <row r="33" spans="1:310" s="10" customFormat="1" x14ac:dyDescent="0.25">
      <c r="A33" s="3"/>
      <c r="B33" s="47" t="s">
        <v>181</v>
      </c>
      <c r="C33" s="48" t="s">
        <v>143</v>
      </c>
      <c r="D33" s="17" t="s">
        <v>193</v>
      </c>
      <c r="E33" s="49">
        <v>0</v>
      </c>
      <c r="F33" s="50">
        <f>+G32</f>
        <v>46376</v>
      </c>
      <c r="G33" s="52">
        <f>+Hitos4352[[#This Row],[Inicio]]+Hitos4352[[#This Row],[Días]]</f>
        <v>46377</v>
      </c>
      <c r="H33" s="53">
        <v>1</v>
      </c>
      <c r="I33" s="9"/>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c r="HP33" s="51"/>
      <c r="HQ33" s="51"/>
      <c r="HR33" s="51"/>
      <c r="HS33" s="51"/>
      <c r="HT33" s="51"/>
      <c r="HU33" s="51"/>
      <c r="HV33" s="51"/>
      <c r="HW33" s="51"/>
      <c r="HX33" s="51"/>
      <c r="HY33" s="51"/>
      <c r="HZ33" s="51"/>
      <c r="IA33" s="51"/>
      <c r="IB33" s="51"/>
      <c r="IC33" s="51"/>
      <c r="ID33" s="51"/>
      <c r="IE33" s="51"/>
      <c r="IF33" s="51"/>
      <c r="IG33" s="51"/>
      <c r="IH33" s="51"/>
      <c r="II33" s="51"/>
      <c r="IJ33" s="51"/>
      <c r="IK33" s="51"/>
      <c r="IL33" s="51"/>
      <c r="IM33" s="51"/>
      <c r="IN33" s="51"/>
      <c r="IO33" s="51"/>
      <c r="IP33" s="51"/>
      <c r="IQ33" s="51"/>
      <c r="IR33" s="51"/>
      <c r="IS33" s="51"/>
      <c r="IT33" s="51"/>
      <c r="IU33" s="51"/>
      <c r="IV33" s="51"/>
      <c r="IW33" s="51"/>
      <c r="IX33" s="51"/>
      <c r="IY33" s="51"/>
      <c r="IZ33" s="51"/>
      <c r="JA33" s="51"/>
      <c r="JB33" s="51"/>
      <c r="JC33" s="51"/>
      <c r="JD33" s="51"/>
      <c r="JE33" s="51"/>
      <c r="JF33" s="51"/>
      <c r="JG33" s="51"/>
      <c r="JH33" s="51"/>
      <c r="JI33" s="51"/>
      <c r="JJ33" s="51"/>
      <c r="JK33" s="51"/>
      <c r="JL33" s="51"/>
      <c r="JM33" s="51"/>
      <c r="JN33" s="51"/>
      <c r="JO33" s="51"/>
      <c r="JP33" s="51"/>
      <c r="JQ33" s="51"/>
      <c r="JR33" s="51"/>
      <c r="JS33" s="51"/>
      <c r="JT33" s="51"/>
      <c r="JU33" s="51"/>
      <c r="JV33" s="51"/>
      <c r="JW33" s="51"/>
      <c r="JX33" s="51"/>
      <c r="JY33" s="51"/>
      <c r="JZ33" s="51"/>
      <c r="KA33" s="51"/>
      <c r="KB33" s="51"/>
      <c r="KC33" s="51"/>
      <c r="KD33" s="51"/>
      <c r="KE33" s="51"/>
      <c r="KF33" s="51"/>
      <c r="KG33" s="51"/>
      <c r="KH33" s="51"/>
      <c r="KI33" s="51"/>
      <c r="KJ33" s="51"/>
      <c r="KK33" s="51"/>
      <c r="KL33" s="51"/>
      <c r="KM33" s="51"/>
      <c r="KN33" s="51"/>
      <c r="KO33" s="51"/>
      <c r="KP33" s="51"/>
      <c r="KQ33" s="51"/>
      <c r="KR33" s="51"/>
      <c r="KS33" s="51"/>
      <c r="KT33" s="51"/>
      <c r="KU33" s="51"/>
      <c r="KV33" s="51"/>
      <c r="KW33" s="51"/>
      <c r="KX33" s="51"/>
    </row>
    <row r="34" spans="1:310" s="10" customFormat="1" x14ac:dyDescent="0.25">
      <c r="A34" s="3"/>
      <c r="B34" s="41" t="s">
        <v>196</v>
      </c>
      <c r="C34" s="42" t="s">
        <v>143</v>
      </c>
      <c r="D34" s="43" t="s">
        <v>193</v>
      </c>
      <c r="E34" s="55">
        <f>+((E35*H35)+(E36*H36)+(E37*H37)+(E38*H38)+(E39*H39)+(E40*H40)+(E41*H41)+(E42*H42)+(E43*H43)+(E44*H44)+(E45*H45))/SUM(H35:H45)</f>
        <v>0</v>
      </c>
      <c r="F34" s="45">
        <f>+F35</f>
        <v>46377</v>
      </c>
      <c r="G34" s="45">
        <f>+G45</f>
        <v>46388</v>
      </c>
      <c r="H34" s="46">
        <f>+SUM(H35:H45)</f>
        <v>11</v>
      </c>
      <c r="I34" s="9"/>
      <c r="J34" s="51" t="str">
        <f t="shared" si="5"/>
        <v/>
      </c>
      <c r="K34" s="51" t="str">
        <f t="shared" si="5"/>
        <v/>
      </c>
      <c r="L34" s="51" t="str">
        <f t="shared" si="5"/>
        <v/>
      </c>
      <c r="M34" s="51" t="str">
        <f t="shared" si="5"/>
        <v/>
      </c>
      <c r="N34" s="51" t="str">
        <f t="shared" si="5"/>
        <v/>
      </c>
      <c r="O34" s="51" t="str">
        <f t="shared" si="5"/>
        <v/>
      </c>
      <c r="P34" s="51" t="str">
        <f t="shared" si="5"/>
        <v/>
      </c>
      <c r="Q34" s="51" t="str">
        <f t="shared" si="5"/>
        <v/>
      </c>
      <c r="R34" s="51" t="str">
        <f t="shared" si="5"/>
        <v/>
      </c>
      <c r="S34" s="51" t="str">
        <f t="shared" si="5"/>
        <v/>
      </c>
      <c r="T34" s="51" t="str">
        <f t="shared" si="5"/>
        <v/>
      </c>
      <c r="U34" s="51" t="str">
        <f t="shared" si="5"/>
        <v/>
      </c>
      <c r="V34" s="51" t="str">
        <f t="shared" si="5"/>
        <v/>
      </c>
      <c r="W34" s="51" t="str">
        <f t="shared" si="5"/>
        <v/>
      </c>
      <c r="X34" s="51" t="str">
        <f t="shared" si="5"/>
        <v/>
      </c>
      <c r="Y34" s="51" t="str">
        <f t="shared" si="5"/>
        <v/>
      </c>
      <c r="Z34" s="51" t="str">
        <f t="shared" si="12"/>
        <v/>
      </c>
      <c r="AA34" s="51" t="str">
        <f t="shared" si="12"/>
        <v/>
      </c>
      <c r="AB34" s="51" t="str">
        <f t="shared" si="12"/>
        <v/>
      </c>
      <c r="AC34" s="51" t="str">
        <f t="shared" si="12"/>
        <v/>
      </c>
      <c r="AD34" s="51" t="str">
        <f t="shared" si="12"/>
        <v/>
      </c>
      <c r="AE34" s="51" t="str">
        <f t="shared" si="12"/>
        <v/>
      </c>
      <c r="AF34" s="51" t="str">
        <f t="shared" si="12"/>
        <v/>
      </c>
      <c r="AG34" s="51" t="str">
        <f t="shared" si="12"/>
        <v/>
      </c>
      <c r="AH34" s="51" t="str">
        <f t="shared" si="12"/>
        <v/>
      </c>
      <c r="AI34" s="51" t="str">
        <f t="shared" si="12"/>
        <v/>
      </c>
      <c r="AJ34" s="51" t="str">
        <f t="shared" si="12"/>
        <v/>
      </c>
      <c r="AK34" s="51" t="str">
        <f t="shared" si="12"/>
        <v/>
      </c>
      <c r="AL34" s="51" t="str">
        <f t="shared" si="12"/>
        <v/>
      </c>
      <c r="AM34" s="51" t="str">
        <f t="shared" si="12"/>
        <v/>
      </c>
      <c r="AN34" s="51" t="str">
        <f t="shared" si="12"/>
        <v/>
      </c>
      <c r="AO34" s="51" t="str">
        <f t="shared" si="12"/>
        <v/>
      </c>
      <c r="AP34" s="51" t="str">
        <f t="shared" si="13"/>
        <v/>
      </c>
      <c r="AQ34" s="51" t="str">
        <f t="shared" si="13"/>
        <v/>
      </c>
      <c r="AR34" s="51" t="str">
        <f t="shared" si="13"/>
        <v/>
      </c>
      <c r="AS34" s="51" t="str">
        <f t="shared" si="13"/>
        <v/>
      </c>
      <c r="AT34" s="51" t="str">
        <f t="shared" si="13"/>
        <v/>
      </c>
      <c r="AU34" s="51" t="str">
        <f t="shared" si="13"/>
        <v/>
      </c>
      <c r="AV34" s="51" t="str">
        <f t="shared" si="13"/>
        <v/>
      </c>
      <c r="AW34" s="51" t="str">
        <f t="shared" si="13"/>
        <v/>
      </c>
      <c r="AX34" s="51" t="str">
        <f t="shared" si="13"/>
        <v/>
      </c>
      <c r="AY34" s="51" t="str">
        <f t="shared" si="13"/>
        <v/>
      </c>
      <c r="AZ34" s="51" t="str">
        <f t="shared" si="13"/>
        <v/>
      </c>
      <c r="BA34" s="51" t="str">
        <f t="shared" si="13"/>
        <v/>
      </c>
      <c r="BB34" s="51" t="str">
        <f t="shared" si="13"/>
        <v/>
      </c>
      <c r="BC34" s="51" t="str">
        <f t="shared" si="13"/>
        <v/>
      </c>
      <c r="BD34" s="51" t="str">
        <f t="shared" si="13"/>
        <v/>
      </c>
      <c r="BE34" s="51" t="str">
        <f t="shared" si="13"/>
        <v/>
      </c>
      <c r="BF34" s="51" t="str">
        <f t="shared" si="14"/>
        <v/>
      </c>
      <c r="BG34" s="51" t="str">
        <f t="shared" si="14"/>
        <v/>
      </c>
      <c r="BH34" s="51" t="str">
        <f t="shared" si="14"/>
        <v/>
      </c>
      <c r="BI34" s="51" t="str">
        <f t="shared" si="14"/>
        <v/>
      </c>
      <c r="BJ34" s="51" t="str">
        <f t="shared" si="14"/>
        <v/>
      </c>
      <c r="BK34" s="51" t="str">
        <f t="shared" si="14"/>
        <v/>
      </c>
      <c r="BL34" s="51" t="str">
        <f t="shared" si="14"/>
        <v/>
      </c>
      <c r="BM34" s="51" t="str">
        <f t="shared" si="14"/>
        <v/>
      </c>
      <c r="BN34" s="51" t="str">
        <f t="shared" si="14"/>
        <v/>
      </c>
      <c r="BO34" s="51" t="str">
        <f t="shared" si="14"/>
        <v/>
      </c>
      <c r="BP34" s="51" t="str">
        <f t="shared" si="14"/>
        <v/>
      </c>
      <c r="BQ34" s="51" t="str">
        <f t="shared" si="14"/>
        <v/>
      </c>
      <c r="BR34" s="51" t="str">
        <f t="shared" si="14"/>
        <v/>
      </c>
      <c r="BS34" s="51" t="str">
        <f t="shared" si="14"/>
        <v/>
      </c>
      <c r="BT34" s="51" t="str">
        <f t="shared" si="14"/>
        <v/>
      </c>
      <c r="BU34" s="51" t="str">
        <f t="shared" si="14"/>
        <v/>
      </c>
      <c r="BV34" s="51" t="str">
        <f t="shared" si="15"/>
        <v/>
      </c>
      <c r="BW34" s="51" t="str">
        <f t="shared" si="15"/>
        <v/>
      </c>
      <c r="BX34" s="51" t="str">
        <f t="shared" si="15"/>
        <v/>
      </c>
      <c r="BY34" s="51" t="str">
        <f t="shared" si="15"/>
        <v/>
      </c>
      <c r="BZ34" s="51" t="str">
        <f t="shared" si="15"/>
        <v/>
      </c>
      <c r="CA34" s="51" t="str">
        <f t="shared" si="15"/>
        <v/>
      </c>
      <c r="CB34" s="51" t="str">
        <f t="shared" si="15"/>
        <v/>
      </c>
      <c r="CC34" s="51" t="str">
        <f t="shared" si="15"/>
        <v/>
      </c>
      <c r="CD34" s="51" t="str">
        <f t="shared" si="15"/>
        <v/>
      </c>
      <c r="CE34" s="51" t="str">
        <f t="shared" si="15"/>
        <v/>
      </c>
      <c r="CF34" s="51" t="str">
        <f t="shared" si="15"/>
        <v/>
      </c>
      <c r="CG34" s="51" t="str">
        <f t="shared" si="15"/>
        <v/>
      </c>
      <c r="CH34" s="51" t="str">
        <f t="shared" si="15"/>
        <v/>
      </c>
      <c r="CI34" s="51" t="str">
        <f t="shared" si="15"/>
        <v/>
      </c>
      <c r="CJ34" s="51" t="str">
        <f t="shared" si="15"/>
        <v/>
      </c>
      <c r="CK34" s="51" t="str">
        <f t="shared" si="15"/>
        <v/>
      </c>
      <c r="CL34" s="51" t="str">
        <f t="shared" si="16"/>
        <v/>
      </c>
      <c r="CM34" s="51" t="str">
        <f t="shared" si="16"/>
        <v/>
      </c>
      <c r="CN34" s="51" t="str">
        <f t="shared" si="16"/>
        <v/>
      </c>
      <c r="CO34" s="51" t="str">
        <f t="shared" si="16"/>
        <v/>
      </c>
      <c r="CP34" s="51" t="str">
        <f t="shared" si="16"/>
        <v/>
      </c>
      <c r="CQ34" s="51" t="str">
        <f t="shared" si="16"/>
        <v/>
      </c>
      <c r="CR34" s="51" t="str">
        <f t="shared" si="16"/>
        <v/>
      </c>
      <c r="CS34" s="51" t="str">
        <f t="shared" si="16"/>
        <v/>
      </c>
      <c r="CT34" s="51" t="str">
        <f t="shared" si="16"/>
        <v/>
      </c>
      <c r="CU34" s="51" t="str">
        <f t="shared" si="16"/>
        <v/>
      </c>
      <c r="CV34" s="51" t="str">
        <f t="shared" si="16"/>
        <v/>
      </c>
      <c r="CW34" s="51" t="str">
        <f t="shared" si="16"/>
        <v/>
      </c>
      <c r="CX34" s="51" t="str">
        <f t="shared" si="16"/>
        <v/>
      </c>
      <c r="CY34" s="51" t="str">
        <f t="shared" si="16"/>
        <v/>
      </c>
      <c r="CZ34" s="51" t="str">
        <f t="shared" si="16"/>
        <v/>
      </c>
      <c r="DA34" s="51" t="str">
        <f t="shared" si="16"/>
        <v/>
      </c>
      <c r="DB34" s="51" t="str">
        <f t="shared" si="17"/>
        <v/>
      </c>
      <c r="DC34" s="51" t="str">
        <f t="shared" si="17"/>
        <v/>
      </c>
      <c r="DD34" s="51" t="str">
        <f t="shared" si="17"/>
        <v/>
      </c>
      <c r="DE34" s="51" t="str">
        <f t="shared" si="17"/>
        <v/>
      </c>
      <c r="DF34" s="51" t="str">
        <f t="shared" si="17"/>
        <v/>
      </c>
      <c r="DG34" s="51" t="str">
        <f t="shared" si="17"/>
        <v/>
      </c>
      <c r="DH34" s="51" t="str">
        <f t="shared" si="17"/>
        <v/>
      </c>
      <c r="DI34" s="51" t="str">
        <f t="shared" si="17"/>
        <v/>
      </c>
      <c r="DJ34" s="51" t="str">
        <f t="shared" si="17"/>
        <v/>
      </c>
      <c r="DK34" s="51" t="str">
        <f t="shared" si="17"/>
        <v/>
      </c>
      <c r="DL34" s="51" t="str">
        <f t="shared" si="17"/>
        <v/>
      </c>
      <c r="DM34" s="51" t="str">
        <f t="shared" si="17"/>
        <v/>
      </c>
      <c r="DN34" s="51" t="str">
        <f t="shared" si="17"/>
        <v/>
      </c>
      <c r="DO34" s="51" t="str">
        <f t="shared" si="17"/>
        <v/>
      </c>
      <c r="DP34" s="51" t="str">
        <f t="shared" si="17"/>
        <v/>
      </c>
      <c r="DQ34" s="51" t="str">
        <f t="shared" si="17"/>
        <v/>
      </c>
      <c r="DR34" s="51" t="str">
        <f t="shared" si="18"/>
        <v/>
      </c>
      <c r="DS34" s="51" t="str">
        <f t="shared" si="18"/>
        <v/>
      </c>
      <c r="DT34" s="51" t="str">
        <f t="shared" si="18"/>
        <v/>
      </c>
      <c r="DU34" s="51" t="str">
        <f t="shared" si="18"/>
        <v/>
      </c>
      <c r="DV34" s="51" t="str">
        <f t="shared" si="18"/>
        <v/>
      </c>
      <c r="DW34" s="51" t="str">
        <f t="shared" si="18"/>
        <v/>
      </c>
      <c r="DX34" s="51" t="str">
        <f t="shared" si="18"/>
        <v/>
      </c>
      <c r="DY34" s="51" t="str">
        <f t="shared" si="18"/>
        <v/>
      </c>
      <c r="DZ34" s="51" t="str">
        <f t="shared" si="18"/>
        <v/>
      </c>
      <c r="EA34" s="51" t="str">
        <f t="shared" si="18"/>
        <v/>
      </c>
      <c r="EB34" s="51" t="str">
        <f t="shared" si="18"/>
        <v/>
      </c>
      <c r="EC34" s="51" t="str">
        <f t="shared" si="18"/>
        <v/>
      </c>
      <c r="ED34" s="51" t="str">
        <f t="shared" si="18"/>
        <v/>
      </c>
      <c r="EE34" s="51" t="str">
        <f t="shared" si="18"/>
        <v/>
      </c>
      <c r="EF34" s="51" t="str">
        <f t="shared" si="18"/>
        <v/>
      </c>
      <c r="EG34" s="51" t="str">
        <f t="shared" si="18"/>
        <v/>
      </c>
      <c r="EH34" s="51" t="str">
        <f t="shared" si="19"/>
        <v/>
      </c>
      <c r="EI34" s="51" t="str">
        <f t="shared" si="19"/>
        <v/>
      </c>
      <c r="EJ34" s="51" t="str">
        <f t="shared" si="19"/>
        <v/>
      </c>
      <c r="EK34" s="51" t="str">
        <f t="shared" si="19"/>
        <v/>
      </c>
      <c r="EL34" s="51" t="str">
        <f t="shared" si="19"/>
        <v/>
      </c>
      <c r="EM34" s="51" t="str">
        <f t="shared" si="19"/>
        <v/>
      </c>
      <c r="EN34" s="51" t="str">
        <f t="shared" si="19"/>
        <v/>
      </c>
      <c r="EO34" s="51" t="str">
        <f t="shared" si="19"/>
        <v/>
      </c>
      <c r="EP34" s="51" t="str">
        <f t="shared" si="19"/>
        <v/>
      </c>
      <c r="EQ34" s="51" t="str">
        <f t="shared" si="19"/>
        <v/>
      </c>
      <c r="ER34" s="51" t="str">
        <f t="shared" si="19"/>
        <v/>
      </c>
      <c r="ES34" s="51" t="str">
        <f t="shared" si="19"/>
        <v/>
      </c>
      <c r="ET34" s="51" t="str">
        <f t="shared" si="19"/>
        <v/>
      </c>
      <c r="EU34" s="51" t="str">
        <f t="shared" si="19"/>
        <v/>
      </c>
      <c r="EV34" s="51" t="str">
        <f t="shared" si="19"/>
        <v/>
      </c>
      <c r="EW34" s="51" t="str">
        <f t="shared" si="19"/>
        <v/>
      </c>
      <c r="EX34" s="51" t="str">
        <f t="shared" si="20"/>
        <v/>
      </c>
      <c r="EY34" s="51" t="str">
        <f t="shared" si="20"/>
        <v/>
      </c>
      <c r="EZ34" s="51" t="str">
        <f t="shared" si="20"/>
        <v/>
      </c>
      <c r="FA34" s="51" t="str">
        <f t="shared" si="20"/>
        <v/>
      </c>
      <c r="FB34" s="51" t="str">
        <f t="shared" si="20"/>
        <v/>
      </c>
      <c r="FC34" s="51" t="str">
        <f t="shared" si="20"/>
        <v/>
      </c>
      <c r="FD34" s="51" t="str">
        <f t="shared" si="20"/>
        <v/>
      </c>
      <c r="FE34" s="51" t="str">
        <f t="shared" si="20"/>
        <v/>
      </c>
      <c r="FF34" s="51" t="str">
        <f t="shared" si="20"/>
        <v/>
      </c>
      <c r="FG34" s="51" t="str">
        <f t="shared" si="20"/>
        <v/>
      </c>
      <c r="FH34" s="51" t="str">
        <f t="shared" si="20"/>
        <v/>
      </c>
      <c r="FI34" s="51" t="str">
        <f t="shared" si="20"/>
        <v/>
      </c>
      <c r="FJ34" s="51" t="str">
        <f t="shared" si="20"/>
        <v/>
      </c>
      <c r="FK34" s="51" t="str">
        <f t="shared" si="20"/>
        <v/>
      </c>
      <c r="FL34" s="51" t="str">
        <f t="shared" si="20"/>
        <v/>
      </c>
      <c r="FM34" s="51" t="str">
        <f t="shared" si="20"/>
        <v/>
      </c>
      <c r="FN34" s="51" t="str">
        <f t="shared" si="21"/>
        <v/>
      </c>
      <c r="FO34" s="51" t="str">
        <f t="shared" si="21"/>
        <v/>
      </c>
      <c r="FP34" s="51" t="str">
        <f t="shared" si="21"/>
        <v/>
      </c>
      <c r="FQ34" s="51" t="str">
        <f t="shared" si="21"/>
        <v/>
      </c>
      <c r="FR34" s="51" t="str">
        <f t="shared" si="21"/>
        <v/>
      </c>
      <c r="FS34" s="51" t="str">
        <f t="shared" si="21"/>
        <v/>
      </c>
      <c r="FT34" s="51" t="str">
        <f t="shared" si="21"/>
        <v/>
      </c>
      <c r="FU34" s="51" t="str">
        <f t="shared" si="21"/>
        <v/>
      </c>
      <c r="FV34" s="51" t="str">
        <f t="shared" si="21"/>
        <v/>
      </c>
      <c r="FW34" s="51" t="str">
        <f t="shared" si="21"/>
        <v/>
      </c>
      <c r="FX34" s="51" t="str">
        <f t="shared" si="21"/>
        <v/>
      </c>
      <c r="FY34" s="51" t="str">
        <f t="shared" si="21"/>
        <v/>
      </c>
      <c r="FZ34" s="51" t="str">
        <f t="shared" si="21"/>
        <v/>
      </c>
      <c r="GA34" s="51" t="str">
        <f t="shared" si="21"/>
        <v/>
      </c>
      <c r="GB34" s="51" t="str">
        <f t="shared" si="21"/>
        <v/>
      </c>
      <c r="GC34" s="51" t="str">
        <f t="shared" si="21"/>
        <v/>
      </c>
      <c r="GD34" s="51" t="str">
        <f t="shared" si="22"/>
        <v/>
      </c>
      <c r="GE34" s="51" t="str">
        <f t="shared" si="22"/>
        <v/>
      </c>
      <c r="GF34" s="51" t="str">
        <f t="shared" si="22"/>
        <v/>
      </c>
      <c r="GG34" s="51" t="str">
        <f t="shared" si="22"/>
        <v/>
      </c>
      <c r="GH34" s="51" t="str">
        <f t="shared" si="22"/>
        <v/>
      </c>
      <c r="GI34" s="51" t="str">
        <f t="shared" si="22"/>
        <v/>
      </c>
      <c r="GJ34" s="51" t="str">
        <f t="shared" si="22"/>
        <v/>
      </c>
      <c r="GK34" s="51" t="str">
        <f t="shared" si="22"/>
        <v/>
      </c>
      <c r="GL34" s="51" t="str">
        <f t="shared" si="22"/>
        <v/>
      </c>
      <c r="GM34" s="51" t="str">
        <f t="shared" si="22"/>
        <v/>
      </c>
      <c r="GN34" s="51" t="str">
        <f t="shared" si="22"/>
        <v/>
      </c>
      <c r="GO34" s="51" t="str">
        <f t="shared" si="22"/>
        <v/>
      </c>
      <c r="GP34" s="51" t="str">
        <f t="shared" si="22"/>
        <v/>
      </c>
      <c r="GQ34" s="51" t="str">
        <f t="shared" si="22"/>
        <v/>
      </c>
      <c r="GR34" s="51" t="str">
        <f t="shared" si="22"/>
        <v/>
      </c>
      <c r="GS34" s="51" t="str">
        <f t="shared" si="22"/>
        <v/>
      </c>
      <c r="GT34" s="51" t="str">
        <f t="shared" si="23"/>
        <v/>
      </c>
      <c r="GU34" s="51" t="str">
        <f t="shared" si="23"/>
        <v/>
      </c>
      <c r="GV34" s="51" t="str">
        <f t="shared" si="23"/>
        <v/>
      </c>
      <c r="GW34" s="51" t="str">
        <f t="shared" si="23"/>
        <v/>
      </c>
      <c r="GX34" s="51" t="str">
        <f t="shared" si="23"/>
        <v/>
      </c>
      <c r="GY34" s="51" t="str">
        <f t="shared" si="23"/>
        <v/>
      </c>
      <c r="GZ34" s="51" t="str">
        <f t="shared" si="23"/>
        <v/>
      </c>
      <c r="HA34" s="51" t="str">
        <f t="shared" si="23"/>
        <v/>
      </c>
      <c r="HB34" s="51" t="str">
        <f t="shared" si="23"/>
        <v/>
      </c>
      <c r="HC34" s="51" t="str">
        <f t="shared" si="23"/>
        <v/>
      </c>
      <c r="HD34" s="51" t="str">
        <f t="shared" si="23"/>
        <v/>
      </c>
      <c r="HE34" s="51" t="str">
        <f t="shared" si="23"/>
        <v/>
      </c>
      <c r="HF34" s="51" t="str">
        <f t="shared" si="23"/>
        <v/>
      </c>
      <c r="HG34" s="51" t="str">
        <f t="shared" si="23"/>
        <v/>
      </c>
      <c r="HH34" s="51" t="str">
        <f t="shared" si="23"/>
        <v/>
      </c>
      <c r="HI34" s="51" t="str">
        <f t="shared" si="23"/>
        <v/>
      </c>
      <c r="HJ34" s="51" t="str">
        <f t="shared" si="24"/>
        <v/>
      </c>
      <c r="HK34" s="51" t="str">
        <f t="shared" si="24"/>
        <v/>
      </c>
      <c r="HL34" s="51" t="str">
        <f t="shared" si="24"/>
        <v/>
      </c>
      <c r="HM34" s="51" t="str">
        <f t="shared" si="24"/>
        <v/>
      </c>
      <c r="HN34" s="51" t="str">
        <f t="shared" si="24"/>
        <v/>
      </c>
      <c r="HO34" s="51" t="str">
        <f t="shared" si="24"/>
        <v/>
      </c>
      <c r="HP34" s="51" t="str">
        <f t="shared" si="24"/>
        <v/>
      </c>
      <c r="HQ34" s="51" t="str">
        <f t="shared" si="24"/>
        <v/>
      </c>
      <c r="HR34" s="51" t="str">
        <f t="shared" si="24"/>
        <v/>
      </c>
      <c r="HS34" s="51" t="str">
        <f t="shared" si="24"/>
        <v/>
      </c>
      <c r="HT34" s="51" t="str">
        <f t="shared" si="24"/>
        <v/>
      </c>
      <c r="HU34" s="51" t="str">
        <f t="shared" si="24"/>
        <v/>
      </c>
      <c r="HV34" s="51" t="str">
        <f t="shared" si="24"/>
        <v/>
      </c>
      <c r="HW34" s="51" t="str">
        <f t="shared" si="24"/>
        <v/>
      </c>
      <c r="HX34" s="51" t="str">
        <f t="shared" si="24"/>
        <v/>
      </c>
      <c r="HY34" s="51" t="str">
        <f t="shared" si="24"/>
        <v/>
      </c>
      <c r="HZ34" s="51" t="str">
        <f t="shared" si="25"/>
        <v/>
      </c>
      <c r="IA34" s="51" t="str">
        <f t="shared" si="25"/>
        <v/>
      </c>
      <c r="IB34" s="51" t="str">
        <f t="shared" si="25"/>
        <v/>
      </c>
      <c r="IC34" s="51" t="str">
        <f t="shared" si="25"/>
        <v/>
      </c>
      <c r="ID34" s="51" t="str">
        <f t="shared" si="25"/>
        <v/>
      </c>
      <c r="IE34" s="51" t="str">
        <f t="shared" si="25"/>
        <v/>
      </c>
      <c r="IF34" s="51" t="str">
        <f t="shared" si="25"/>
        <v/>
      </c>
      <c r="IG34" s="51" t="str">
        <f t="shared" si="25"/>
        <v/>
      </c>
      <c r="IH34" s="51" t="str">
        <f t="shared" si="25"/>
        <v/>
      </c>
      <c r="II34" s="51" t="str">
        <f t="shared" si="25"/>
        <v/>
      </c>
      <c r="IJ34" s="51" t="str">
        <f t="shared" si="25"/>
        <v/>
      </c>
      <c r="IK34" s="51" t="str">
        <f t="shared" si="25"/>
        <v/>
      </c>
      <c r="IL34" s="51" t="str">
        <f t="shared" si="25"/>
        <v/>
      </c>
      <c r="IM34" s="51" t="str">
        <f t="shared" si="25"/>
        <v/>
      </c>
      <c r="IN34" s="51" t="str">
        <f t="shared" si="25"/>
        <v/>
      </c>
      <c r="IO34" s="51" t="str">
        <f t="shared" si="25"/>
        <v/>
      </c>
      <c r="IP34" s="51" t="str">
        <f t="shared" si="26"/>
        <v/>
      </c>
      <c r="IQ34" s="51" t="str">
        <f t="shared" si="26"/>
        <v/>
      </c>
      <c r="IR34" s="51" t="str">
        <f t="shared" si="26"/>
        <v/>
      </c>
      <c r="IS34" s="51" t="str">
        <f t="shared" si="26"/>
        <v/>
      </c>
      <c r="IT34" s="51" t="str">
        <f t="shared" si="26"/>
        <v/>
      </c>
      <c r="IU34" s="51" t="str">
        <f t="shared" si="26"/>
        <v/>
      </c>
      <c r="IV34" s="51" t="str">
        <f t="shared" si="26"/>
        <v/>
      </c>
      <c r="IW34" s="51" t="str">
        <f t="shared" si="26"/>
        <v/>
      </c>
      <c r="IX34" s="51" t="str">
        <f t="shared" si="26"/>
        <v/>
      </c>
      <c r="IY34" s="51" t="str">
        <f t="shared" si="26"/>
        <v/>
      </c>
      <c r="IZ34" s="51" t="str">
        <f t="shared" si="26"/>
        <v/>
      </c>
      <c r="JA34" s="51" t="str">
        <f t="shared" si="26"/>
        <v/>
      </c>
      <c r="JB34" s="51" t="str">
        <f t="shared" si="26"/>
        <v/>
      </c>
      <c r="JC34" s="51" t="str">
        <f t="shared" si="26"/>
        <v/>
      </c>
      <c r="JD34" s="51" t="str">
        <f t="shared" si="26"/>
        <v/>
      </c>
      <c r="JE34" s="51" t="str">
        <f t="shared" si="26"/>
        <v/>
      </c>
      <c r="JF34" s="51" t="str">
        <f t="shared" si="27"/>
        <v/>
      </c>
      <c r="JG34" s="51" t="str">
        <f t="shared" si="27"/>
        <v/>
      </c>
      <c r="JH34" s="51" t="str">
        <f t="shared" si="27"/>
        <v/>
      </c>
      <c r="JI34" s="51" t="str">
        <f t="shared" si="27"/>
        <v/>
      </c>
      <c r="JJ34" s="51" t="str">
        <f t="shared" si="27"/>
        <v/>
      </c>
      <c r="JK34" s="51" t="str">
        <f t="shared" si="27"/>
        <v/>
      </c>
      <c r="JL34" s="51" t="str">
        <f t="shared" si="27"/>
        <v/>
      </c>
      <c r="JM34" s="51" t="str">
        <f t="shared" si="27"/>
        <v/>
      </c>
      <c r="JN34" s="51" t="str">
        <f t="shared" si="27"/>
        <v/>
      </c>
      <c r="JO34" s="51" t="str">
        <f t="shared" si="27"/>
        <v/>
      </c>
      <c r="JP34" s="51" t="str">
        <f t="shared" si="27"/>
        <v/>
      </c>
      <c r="JQ34" s="51" t="str">
        <f t="shared" si="27"/>
        <v/>
      </c>
      <c r="JR34" s="51" t="str">
        <f t="shared" si="27"/>
        <v/>
      </c>
      <c r="JS34" s="51" t="str">
        <f t="shared" si="27"/>
        <v/>
      </c>
      <c r="JT34" s="51" t="str">
        <f t="shared" si="27"/>
        <v/>
      </c>
      <c r="JU34" s="51" t="str">
        <f t="shared" si="27"/>
        <v/>
      </c>
      <c r="JV34" s="51" t="str">
        <f t="shared" si="28"/>
        <v/>
      </c>
      <c r="JW34" s="51" t="str">
        <f t="shared" si="28"/>
        <v/>
      </c>
      <c r="JX34" s="51" t="str">
        <f t="shared" si="28"/>
        <v/>
      </c>
      <c r="JY34" s="51" t="str">
        <f t="shared" si="28"/>
        <v/>
      </c>
      <c r="JZ34" s="51" t="str">
        <f t="shared" si="28"/>
        <v/>
      </c>
      <c r="KA34" s="51" t="str">
        <f t="shared" si="28"/>
        <v/>
      </c>
      <c r="KB34" s="51" t="str">
        <f t="shared" si="28"/>
        <v/>
      </c>
      <c r="KC34" s="51" t="str">
        <f t="shared" si="28"/>
        <v/>
      </c>
      <c r="KD34" s="51" t="str">
        <f t="shared" si="28"/>
        <v/>
      </c>
      <c r="KE34" s="51" t="str">
        <f t="shared" si="28"/>
        <v/>
      </c>
      <c r="KF34" s="51" t="str">
        <f t="shared" si="28"/>
        <v/>
      </c>
      <c r="KG34" s="51" t="str">
        <f t="shared" si="28"/>
        <v/>
      </c>
      <c r="KH34" s="51" t="str">
        <f t="shared" si="28"/>
        <v/>
      </c>
      <c r="KI34" s="51" t="str">
        <f t="shared" si="28"/>
        <v/>
      </c>
      <c r="KJ34" s="51" t="str">
        <f t="shared" si="28"/>
        <v/>
      </c>
      <c r="KK34" s="51" t="str">
        <f t="shared" si="28"/>
        <v/>
      </c>
      <c r="KL34" s="51" t="str">
        <f t="shared" si="29"/>
        <v/>
      </c>
      <c r="KM34" s="51" t="str">
        <f t="shared" si="29"/>
        <v/>
      </c>
      <c r="KN34" s="51" t="str">
        <f t="shared" si="29"/>
        <v/>
      </c>
      <c r="KO34" s="51" t="str">
        <f t="shared" si="29"/>
        <v/>
      </c>
      <c r="KP34" s="51" t="str">
        <f t="shared" si="29"/>
        <v/>
      </c>
      <c r="KQ34" s="51" t="str">
        <f t="shared" si="29"/>
        <v/>
      </c>
      <c r="KR34" s="51" t="str">
        <f t="shared" si="29"/>
        <v/>
      </c>
      <c r="KS34" s="51" t="str">
        <f t="shared" si="29"/>
        <v/>
      </c>
      <c r="KT34" s="51" t="str">
        <f t="shared" si="29"/>
        <v/>
      </c>
      <c r="KU34" s="51" t="str">
        <f t="shared" si="29"/>
        <v/>
      </c>
      <c r="KV34" s="51" t="str">
        <f t="shared" si="29"/>
        <v/>
      </c>
      <c r="KW34" s="51" t="str">
        <f t="shared" si="29"/>
        <v/>
      </c>
      <c r="KX34" s="51" t="str">
        <f t="shared" si="29"/>
        <v/>
      </c>
    </row>
    <row r="35" spans="1:310" s="10" customFormat="1" x14ac:dyDescent="0.25">
      <c r="A35" s="3"/>
      <c r="B35" s="47" t="s">
        <v>182</v>
      </c>
      <c r="C35" s="48" t="s">
        <v>143</v>
      </c>
      <c r="D35" s="17" t="s">
        <v>193</v>
      </c>
      <c r="E35" s="49">
        <v>0</v>
      </c>
      <c r="F35" s="50">
        <f>+G27</f>
        <v>46377</v>
      </c>
      <c r="G35" s="52">
        <f>+Hitos4352[[#This Row],[Inicio]]+Hitos4352[[#This Row],[Días]]</f>
        <v>46378</v>
      </c>
      <c r="H35" s="53">
        <v>1</v>
      </c>
      <c r="I35" s="9"/>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c r="HJ35" s="51"/>
      <c r="HK35" s="51"/>
      <c r="HL35" s="51"/>
      <c r="HM35" s="51"/>
      <c r="HN35" s="51"/>
      <c r="HO35" s="51"/>
      <c r="HP35" s="51"/>
      <c r="HQ35" s="51"/>
      <c r="HR35" s="51"/>
      <c r="HS35" s="51"/>
      <c r="HT35" s="51"/>
      <c r="HU35" s="51"/>
      <c r="HV35" s="51"/>
      <c r="HW35" s="51"/>
      <c r="HX35" s="51"/>
      <c r="HY35" s="51"/>
      <c r="HZ35" s="51"/>
      <c r="IA35" s="51"/>
      <c r="IB35" s="51"/>
      <c r="IC35" s="51"/>
      <c r="ID35" s="51"/>
      <c r="IE35" s="51"/>
      <c r="IF35" s="51"/>
      <c r="IG35" s="51"/>
      <c r="IH35" s="51"/>
      <c r="II35" s="51"/>
      <c r="IJ35" s="51"/>
      <c r="IK35" s="51"/>
      <c r="IL35" s="51"/>
      <c r="IM35" s="51"/>
      <c r="IN35" s="51"/>
      <c r="IO35" s="51"/>
      <c r="IP35" s="51"/>
      <c r="IQ35" s="51"/>
      <c r="IR35" s="51"/>
      <c r="IS35" s="51"/>
      <c r="IT35" s="51"/>
      <c r="IU35" s="51"/>
      <c r="IV35" s="51"/>
      <c r="IW35" s="51"/>
      <c r="IX35" s="51"/>
      <c r="IY35" s="51"/>
      <c r="IZ35" s="51"/>
      <c r="JA35" s="51"/>
      <c r="JB35" s="51"/>
      <c r="JC35" s="51"/>
      <c r="JD35" s="51"/>
      <c r="JE35" s="51"/>
      <c r="JF35" s="51"/>
      <c r="JG35" s="51"/>
      <c r="JH35" s="51"/>
      <c r="JI35" s="51"/>
      <c r="JJ35" s="51"/>
      <c r="JK35" s="51"/>
      <c r="JL35" s="51"/>
      <c r="JM35" s="51"/>
      <c r="JN35" s="51"/>
      <c r="JO35" s="51"/>
      <c r="JP35" s="51"/>
      <c r="JQ35" s="51"/>
      <c r="JR35" s="51"/>
      <c r="JS35" s="51"/>
      <c r="JT35" s="51"/>
      <c r="JU35" s="51"/>
      <c r="JV35" s="51"/>
      <c r="JW35" s="51"/>
      <c r="JX35" s="51"/>
      <c r="JY35" s="51"/>
      <c r="JZ35" s="51"/>
      <c r="KA35" s="51"/>
      <c r="KB35" s="51"/>
      <c r="KC35" s="51"/>
      <c r="KD35" s="51"/>
      <c r="KE35" s="51"/>
      <c r="KF35" s="51"/>
      <c r="KG35" s="51"/>
      <c r="KH35" s="51"/>
      <c r="KI35" s="51"/>
      <c r="KJ35" s="51"/>
      <c r="KK35" s="51"/>
      <c r="KL35" s="51"/>
      <c r="KM35" s="51"/>
      <c r="KN35" s="51"/>
      <c r="KO35" s="51"/>
      <c r="KP35" s="51"/>
      <c r="KQ35" s="51"/>
      <c r="KR35" s="51"/>
      <c r="KS35" s="51"/>
      <c r="KT35" s="51"/>
      <c r="KU35" s="51"/>
      <c r="KV35" s="51"/>
      <c r="KW35" s="51"/>
      <c r="KX35" s="51"/>
    </row>
    <row r="36" spans="1:310" s="10" customFormat="1" x14ac:dyDescent="0.25">
      <c r="A36" s="3"/>
      <c r="B36" s="47" t="s">
        <v>183</v>
      </c>
      <c r="C36" s="48" t="s">
        <v>143</v>
      </c>
      <c r="D36" s="17" t="s">
        <v>193</v>
      </c>
      <c r="E36" s="49">
        <v>0</v>
      </c>
      <c r="F36" s="50">
        <f t="shared" ref="F36:F42" si="30">+G35</f>
        <v>46378</v>
      </c>
      <c r="G36" s="52">
        <f>+Hitos4352[[#This Row],[Inicio]]+Hitos4352[[#This Row],[Días]]</f>
        <v>46379</v>
      </c>
      <c r="H36" s="53">
        <v>1</v>
      </c>
      <c r="I36" s="9"/>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c r="HG36" s="51"/>
      <c r="HH36" s="51"/>
      <c r="HI36" s="51"/>
      <c r="HJ36" s="51"/>
      <c r="HK36" s="51"/>
      <c r="HL36" s="51"/>
      <c r="HM36" s="51"/>
      <c r="HN36" s="51"/>
      <c r="HO36" s="51"/>
      <c r="HP36" s="51"/>
      <c r="HQ36" s="51"/>
      <c r="HR36" s="51"/>
      <c r="HS36" s="51"/>
      <c r="HT36" s="51"/>
      <c r="HU36" s="51"/>
      <c r="HV36" s="51"/>
      <c r="HW36" s="51"/>
      <c r="HX36" s="51"/>
      <c r="HY36" s="51"/>
      <c r="HZ36" s="51"/>
      <c r="IA36" s="51"/>
      <c r="IB36" s="51"/>
      <c r="IC36" s="51"/>
      <c r="ID36" s="51"/>
      <c r="IE36" s="51"/>
      <c r="IF36" s="51"/>
      <c r="IG36" s="51"/>
      <c r="IH36" s="51"/>
      <c r="II36" s="51"/>
      <c r="IJ36" s="51"/>
      <c r="IK36" s="51"/>
      <c r="IL36" s="51"/>
      <c r="IM36" s="51"/>
      <c r="IN36" s="51"/>
      <c r="IO36" s="51"/>
      <c r="IP36" s="51"/>
      <c r="IQ36" s="51"/>
      <c r="IR36" s="51"/>
      <c r="IS36" s="51"/>
      <c r="IT36" s="51"/>
      <c r="IU36" s="51"/>
      <c r="IV36" s="51"/>
      <c r="IW36" s="51"/>
      <c r="IX36" s="51"/>
      <c r="IY36" s="51"/>
      <c r="IZ36" s="51"/>
      <c r="JA36" s="51"/>
      <c r="JB36" s="51"/>
      <c r="JC36" s="51"/>
      <c r="JD36" s="51"/>
      <c r="JE36" s="51"/>
      <c r="JF36" s="51"/>
      <c r="JG36" s="51"/>
      <c r="JH36" s="51"/>
      <c r="JI36" s="51"/>
      <c r="JJ36" s="51"/>
      <c r="JK36" s="51"/>
      <c r="JL36" s="51"/>
      <c r="JM36" s="51"/>
      <c r="JN36" s="51"/>
      <c r="JO36" s="51"/>
      <c r="JP36" s="51"/>
      <c r="JQ36" s="51"/>
      <c r="JR36" s="51"/>
      <c r="JS36" s="51"/>
      <c r="JT36" s="51"/>
      <c r="JU36" s="51"/>
      <c r="JV36" s="51"/>
      <c r="JW36" s="51"/>
      <c r="JX36" s="51"/>
      <c r="JY36" s="51"/>
      <c r="JZ36" s="51"/>
      <c r="KA36" s="51"/>
      <c r="KB36" s="51"/>
      <c r="KC36" s="51"/>
      <c r="KD36" s="51"/>
      <c r="KE36" s="51"/>
      <c r="KF36" s="51"/>
      <c r="KG36" s="51"/>
      <c r="KH36" s="51"/>
      <c r="KI36" s="51"/>
      <c r="KJ36" s="51"/>
      <c r="KK36" s="51"/>
      <c r="KL36" s="51"/>
      <c r="KM36" s="51"/>
      <c r="KN36" s="51"/>
      <c r="KO36" s="51"/>
      <c r="KP36" s="51"/>
      <c r="KQ36" s="51"/>
      <c r="KR36" s="51"/>
      <c r="KS36" s="51"/>
      <c r="KT36" s="51"/>
      <c r="KU36" s="51"/>
      <c r="KV36" s="51"/>
      <c r="KW36" s="51"/>
      <c r="KX36" s="51"/>
    </row>
    <row r="37" spans="1:310" s="10" customFormat="1" x14ac:dyDescent="0.25">
      <c r="A37" s="3"/>
      <c r="B37" s="47" t="s">
        <v>184</v>
      </c>
      <c r="C37" s="48" t="s">
        <v>143</v>
      </c>
      <c r="D37" s="17" t="s">
        <v>193</v>
      </c>
      <c r="E37" s="49">
        <v>0</v>
      </c>
      <c r="F37" s="50">
        <f t="shared" si="30"/>
        <v>46379</v>
      </c>
      <c r="G37" s="52">
        <f>+Hitos4352[[#This Row],[Inicio]]+Hitos4352[[#This Row],[Días]]</f>
        <v>46380</v>
      </c>
      <c r="H37" s="53">
        <v>1</v>
      </c>
      <c r="I37" s="9"/>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c r="HP37" s="51"/>
      <c r="HQ37" s="51"/>
      <c r="HR37" s="51"/>
      <c r="HS37" s="51"/>
      <c r="HT37" s="51"/>
      <c r="HU37" s="51"/>
      <c r="HV37" s="51"/>
      <c r="HW37" s="51"/>
      <c r="HX37" s="51"/>
      <c r="HY37" s="51"/>
      <c r="HZ37" s="51"/>
      <c r="IA37" s="51"/>
      <c r="IB37" s="51"/>
      <c r="IC37" s="51"/>
      <c r="ID37" s="51"/>
      <c r="IE37" s="51"/>
      <c r="IF37" s="51"/>
      <c r="IG37" s="51"/>
      <c r="IH37" s="51"/>
      <c r="II37" s="51"/>
      <c r="IJ37" s="51"/>
      <c r="IK37" s="51"/>
      <c r="IL37" s="51"/>
      <c r="IM37" s="51"/>
      <c r="IN37" s="51"/>
      <c r="IO37" s="51"/>
      <c r="IP37" s="51"/>
      <c r="IQ37" s="51"/>
      <c r="IR37" s="51"/>
      <c r="IS37" s="51"/>
      <c r="IT37" s="51"/>
      <c r="IU37" s="51"/>
      <c r="IV37" s="51"/>
      <c r="IW37" s="51"/>
      <c r="IX37" s="51"/>
      <c r="IY37" s="51"/>
      <c r="IZ37" s="51"/>
      <c r="JA37" s="51"/>
      <c r="JB37" s="51"/>
      <c r="JC37" s="51"/>
      <c r="JD37" s="51"/>
      <c r="JE37" s="51"/>
      <c r="JF37" s="51"/>
      <c r="JG37" s="51"/>
      <c r="JH37" s="51"/>
      <c r="JI37" s="51"/>
      <c r="JJ37" s="51"/>
      <c r="JK37" s="51"/>
      <c r="JL37" s="51"/>
      <c r="JM37" s="51"/>
      <c r="JN37" s="51"/>
      <c r="JO37" s="51"/>
      <c r="JP37" s="51"/>
      <c r="JQ37" s="51"/>
      <c r="JR37" s="51"/>
      <c r="JS37" s="51"/>
      <c r="JT37" s="51"/>
      <c r="JU37" s="51"/>
      <c r="JV37" s="51"/>
      <c r="JW37" s="51"/>
      <c r="JX37" s="51"/>
      <c r="JY37" s="51"/>
      <c r="JZ37" s="51"/>
      <c r="KA37" s="51"/>
      <c r="KB37" s="51"/>
      <c r="KC37" s="51"/>
      <c r="KD37" s="51"/>
      <c r="KE37" s="51"/>
      <c r="KF37" s="51"/>
      <c r="KG37" s="51"/>
      <c r="KH37" s="51"/>
      <c r="KI37" s="51"/>
      <c r="KJ37" s="51"/>
      <c r="KK37" s="51"/>
      <c r="KL37" s="51"/>
      <c r="KM37" s="51"/>
      <c r="KN37" s="51"/>
      <c r="KO37" s="51"/>
      <c r="KP37" s="51"/>
      <c r="KQ37" s="51"/>
      <c r="KR37" s="51"/>
      <c r="KS37" s="51"/>
      <c r="KT37" s="51"/>
      <c r="KU37" s="51"/>
      <c r="KV37" s="51"/>
      <c r="KW37" s="51"/>
      <c r="KX37" s="51"/>
    </row>
    <row r="38" spans="1:310" s="10" customFormat="1" x14ac:dyDescent="0.25">
      <c r="A38" s="3"/>
      <c r="B38" s="47" t="s">
        <v>185</v>
      </c>
      <c r="C38" s="48" t="s">
        <v>143</v>
      </c>
      <c r="D38" s="17" t="s">
        <v>193</v>
      </c>
      <c r="E38" s="49">
        <v>0</v>
      </c>
      <c r="F38" s="50">
        <f t="shared" si="30"/>
        <v>46380</v>
      </c>
      <c r="G38" s="52">
        <f>+Hitos4352[[#This Row],[Inicio]]+Hitos4352[[#This Row],[Días]]</f>
        <v>46381</v>
      </c>
      <c r="H38" s="53">
        <v>1</v>
      </c>
      <c r="I38" s="9"/>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c r="DA38" s="51"/>
      <c r="DB38" s="51"/>
      <c r="DC38" s="51"/>
      <c r="DD38" s="51"/>
      <c r="DE38" s="51"/>
      <c r="DF38" s="51"/>
      <c r="DG38" s="51"/>
      <c r="DH38" s="51"/>
      <c r="DI38" s="51"/>
      <c r="DJ38" s="51"/>
      <c r="DK38" s="51"/>
      <c r="DL38" s="51"/>
      <c r="DM38" s="51"/>
      <c r="DN38" s="51"/>
      <c r="DO38" s="51"/>
      <c r="DP38" s="51"/>
      <c r="DQ38" s="51"/>
      <c r="DR38" s="51"/>
      <c r="DS38" s="51"/>
      <c r="DT38" s="51"/>
      <c r="DU38" s="51"/>
      <c r="DV38" s="51"/>
      <c r="DW38" s="51"/>
      <c r="DX38" s="51"/>
      <c r="DY38" s="51"/>
      <c r="DZ38" s="51"/>
      <c r="EA38" s="51"/>
      <c r="EB38" s="51"/>
      <c r="EC38" s="51"/>
      <c r="ED38" s="51"/>
      <c r="EE38" s="51"/>
      <c r="EF38" s="51"/>
      <c r="EG38" s="51"/>
      <c r="EH38" s="51"/>
      <c r="EI38" s="51"/>
      <c r="EJ38" s="51"/>
      <c r="EK38" s="51"/>
      <c r="EL38" s="51"/>
      <c r="EM38" s="51"/>
      <c r="EN38" s="51"/>
      <c r="EO38" s="51"/>
      <c r="EP38" s="51"/>
      <c r="EQ38" s="51"/>
      <c r="ER38" s="51"/>
      <c r="ES38" s="51"/>
      <c r="ET38" s="51"/>
      <c r="EU38" s="51"/>
      <c r="EV38" s="51"/>
      <c r="EW38" s="51"/>
      <c r="EX38" s="51"/>
      <c r="EY38" s="51"/>
      <c r="EZ38" s="51"/>
      <c r="FA38" s="51"/>
      <c r="FB38" s="51"/>
      <c r="FC38" s="51"/>
      <c r="FD38" s="51"/>
      <c r="FE38" s="51"/>
      <c r="FF38" s="51"/>
      <c r="FG38" s="51"/>
      <c r="FH38" s="51"/>
      <c r="FI38" s="51"/>
      <c r="FJ38" s="51"/>
      <c r="FK38" s="51"/>
      <c r="FL38" s="51"/>
      <c r="FM38" s="51"/>
      <c r="FN38" s="51"/>
      <c r="FO38" s="51"/>
      <c r="FP38" s="51"/>
      <c r="FQ38" s="51"/>
      <c r="FR38" s="51"/>
      <c r="FS38" s="51"/>
      <c r="FT38" s="51"/>
      <c r="FU38" s="51"/>
      <c r="FV38" s="51"/>
      <c r="FW38" s="51"/>
      <c r="FX38" s="51"/>
      <c r="FY38" s="51"/>
      <c r="FZ38" s="51"/>
      <c r="GA38" s="51"/>
      <c r="GB38" s="51"/>
      <c r="GC38" s="51"/>
      <c r="GD38" s="51"/>
      <c r="GE38" s="51"/>
      <c r="GF38" s="51"/>
      <c r="GG38" s="51"/>
      <c r="GH38" s="51"/>
      <c r="GI38" s="51"/>
      <c r="GJ38" s="51"/>
      <c r="GK38" s="51"/>
      <c r="GL38" s="51"/>
      <c r="GM38" s="51"/>
      <c r="GN38" s="51"/>
      <c r="GO38" s="51"/>
      <c r="GP38" s="51"/>
      <c r="GQ38" s="51"/>
      <c r="GR38" s="51"/>
      <c r="GS38" s="51"/>
      <c r="GT38" s="51"/>
      <c r="GU38" s="51"/>
      <c r="GV38" s="51"/>
      <c r="GW38" s="51"/>
      <c r="GX38" s="51"/>
      <c r="GY38" s="51"/>
      <c r="GZ38" s="51"/>
      <c r="HA38" s="51"/>
      <c r="HB38" s="51"/>
      <c r="HC38" s="51"/>
      <c r="HD38" s="51"/>
      <c r="HE38" s="51"/>
      <c r="HF38" s="51"/>
      <c r="HG38" s="51"/>
      <c r="HH38" s="51"/>
      <c r="HI38" s="51"/>
      <c r="HJ38" s="51"/>
      <c r="HK38" s="51"/>
      <c r="HL38" s="51"/>
      <c r="HM38" s="51"/>
      <c r="HN38" s="51"/>
      <c r="HO38" s="51"/>
      <c r="HP38" s="51"/>
      <c r="HQ38" s="51"/>
      <c r="HR38" s="51"/>
      <c r="HS38" s="51"/>
      <c r="HT38" s="51"/>
      <c r="HU38" s="51"/>
      <c r="HV38" s="51"/>
      <c r="HW38" s="51"/>
      <c r="HX38" s="51"/>
      <c r="HY38" s="51"/>
      <c r="HZ38" s="51"/>
      <c r="IA38" s="51"/>
      <c r="IB38" s="51"/>
      <c r="IC38" s="51"/>
      <c r="ID38" s="51"/>
      <c r="IE38" s="51"/>
      <c r="IF38" s="51"/>
      <c r="IG38" s="51"/>
      <c r="IH38" s="51"/>
      <c r="II38" s="51"/>
      <c r="IJ38" s="51"/>
      <c r="IK38" s="51"/>
      <c r="IL38" s="51"/>
      <c r="IM38" s="51"/>
      <c r="IN38" s="51"/>
      <c r="IO38" s="51"/>
      <c r="IP38" s="51"/>
      <c r="IQ38" s="51"/>
      <c r="IR38" s="51"/>
      <c r="IS38" s="51"/>
      <c r="IT38" s="51"/>
      <c r="IU38" s="51"/>
      <c r="IV38" s="51"/>
      <c r="IW38" s="51"/>
      <c r="IX38" s="51"/>
      <c r="IY38" s="51"/>
      <c r="IZ38" s="51"/>
      <c r="JA38" s="51"/>
      <c r="JB38" s="51"/>
      <c r="JC38" s="51"/>
      <c r="JD38" s="51"/>
      <c r="JE38" s="51"/>
      <c r="JF38" s="51"/>
      <c r="JG38" s="51"/>
      <c r="JH38" s="51"/>
      <c r="JI38" s="51"/>
      <c r="JJ38" s="51"/>
      <c r="JK38" s="51"/>
      <c r="JL38" s="51"/>
      <c r="JM38" s="51"/>
      <c r="JN38" s="51"/>
      <c r="JO38" s="51"/>
      <c r="JP38" s="51"/>
      <c r="JQ38" s="51"/>
      <c r="JR38" s="51"/>
      <c r="JS38" s="51"/>
      <c r="JT38" s="51"/>
      <c r="JU38" s="51"/>
      <c r="JV38" s="51"/>
      <c r="JW38" s="51"/>
      <c r="JX38" s="51"/>
      <c r="JY38" s="51"/>
      <c r="JZ38" s="51"/>
      <c r="KA38" s="51"/>
      <c r="KB38" s="51"/>
      <c r="KC38" s="51"/>
      <c r="KD38" s="51"/>
      <c r="KE38" s="51"/>
      <c r="KF38" s="51"/>
      <c r="KG38" s="51"/>
      <c r="KH38" s="51"/>
      <c r="KI38" s="51"/>
      <c r="KJ38" s="51"/>
      <c r="KK38" s="51"/>
      <c r="KL38" s="51"/>
      <c r="KM38" s="51"/>
      <c r="KN38" s="51"/>
      <c r="KO38" s="51"/>
      <c r="KP38" s="51"/>
      <c r="KQ38" s="51"/>
      <c r="KR38" s="51"/>
      <c r="KS38" s="51"/>
      <c r="KT38" s="51"/>
      <c r="KU38" s="51"/>
      <c r="KV38" s="51"/>
      <c r="KW38" s="51"/>
      <c r="KX38" s="51"/>
    </row>
    <row r="39" spans="1:310" s="10" customFormat="1" x14ac:dyDescent="0.25">
      <c r="A39" s="3"/>
      <c r="B39" s="47" t="s">
        <v>186</v>
      </c>
      <c r="C39" s="48" t="s">
        <v>143</v>
      </c>
      <c r="D39" s="17" t="s">
        <v>193</v>
      </c>
      <c r="E39" s="49">
        <v>0</v>
      </c>
      <c r="F39" s="50">
        <f t="shared" si="30"/>
        <v>46381</v>
      </c>
      <c r="G39" s="52">
        <f>+Hitos4352[[#This Row],[Inicio]]+Hitos4352[[#This Row],[Días]]</f>
        <v>46382</v>
      </c>
      <c r="H39" s="53">
        <v>1</v>
      </c>
      <c r="I39" s="9"/>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c r="DA39" s="51"/>
      <c r="DB39" s="51"/>
      <c r="DC39" s="51"/>
      <c r="DD39" s="51"/>
      <c r="DE39" s="51"/>
      <c r="DF39" s="51"/>
      <c r="DG39" s="51"/>
      <c r="DH39" s="51"/>
      <c r="DI39" s="51"/>
      <c r="DJ39" s="51"/>
      <c r="DK39" s="51"/>
      <c r="DL39" s="51"/>
      <c r="DM39" s="51"/>
      <c r="DN39" s="51"/>
      <c r="DO39" s="51"/>
      <c r="DP39" s="51"/>
      <c r="DQ39" s="51"/>
      <c r="DR39" s="51"/>
      <c r="DS39" s="51"/>
      <c r="DT39" s="51"/>
      <c r="DU39" s="51"/>
      <c r="DV39" s="51"/>
      <c r="DW39" s="51"/>
      <c r="DX39" s="51"/>
      <c r="DY39" s="51"/>
      <c r="DZ39" s="51"/>
      <c r="EA39" s="51"/>
      <c r="EB39" s="51"/>
      <c r="EC39" s="51"/>
      <c r="ED39" s="51"/>
      <c r="EE39" s="51"/>
      <c r="EF39" s="51"/>
      <c r="EG39" s="51"/>
      <c r="EH39" s="51"/>
      <c r="EI39" s="51"/>
      <c r="EJ39" s="51"/>
      <c r="EK39" s="51"/>
      <c r="EL39" s="51"/>
      <c r="EM39" s="51"/>
      <c r="EN39" s="51"/>
      <c r="EO39" s="51"/>
      <c r="EP39" s="51"/>
      <c r="EQ39" s="51"/>
      <c r="ER39" s="51"/>
      <c r="ES39" s="51"/>
      <c r="ET39" s="51"/>
      <c r="EU39" s="51"/>
      <c r="EV39" s="51"/>
      <c r="EW39" s="51"/>
      <c r="EX39" s="51"/>
      <c r="EY39" s="51"/>
      <c r="EZ39" s="51"/>
      <c r="FA39" s="51"/>
      <c r="FB39" s="51"/>
      <c r="FC39" s="51"/>
      <c r="FD39" s="51"/>
      <c r="FE39" s="51"/>
      <c r="FF39" s="51"/>
      <c r="FG39" s="51"/>
      <c r="FH39" s="51"/>
      <c r="FI39" s="51"/>
      <c r="FJ39" s="51"/>
      <c r="FK39" s="51"/>
      <c r="FL39" s="51"/>
      <c r="FM39" s="51"/>
      <c r="FN39" s="51"/>
      <c r="FO39" s="51"/>
      <c r="FP39" s="51"/>
      <c r="FQ39" s="51"/>
      <c r="FR39" s="51"/>
      <c r="FS39" s="51"/>
      <c r="FT39" s="51"/>
      <c r="FU39" s="51"/>
      <c r="FV39" s="51"/>
      <c r="FW39" s="51"/>
      <c r="FX39" s="51"/>
      <c r="FY39" s="51"/>
      <c r="FZ39" s="51"/>
      <c r="GA39" s="51"/>
      <c r="GB39" s="51"/>
      <c r="GC39" s="51"/>
      <c r="GD39" s="51"/>
      <c r="GE39" s="51"/>
      <c r="GF39" s="51"/>
      <c r="GG39" s="51"/>
      <c r="GH39" s="51"/>
      <c r="GI39" s="51"/>
      <c r="GJ39" s="51"/>
      <c r="GK39" s="51"/>
      <c r="GL39" s="51"/>
      <c r="GM39" s="51"/>
      <c r="GN39" s="51"/>
      <c r="GO39" s="51"/>
      <c r="GP39" s="51"/>
      <c r="GQ39" s="51"/>
      <c r="GR39" s="51"/>
      <c r="GS39" s="51"/>
      <c r="GT39" s="51"/>
      <c r="GU39" s="51"/>
      <c r="GV39" s="51"/>
      <c r="GW39" s="51"/>
      <c r="GX39" s="51"/>
      <c r="GY39" s="51"/>
      <c r="GZ39" s="51"/>
      <c r="HA39" s="51"/>
      <c r="HB39" s="51"/>
      <c r="HC39" s="51"/>
      <c r="HD39" s="51"/>
      <c r="HE39" s="51"/>
      <c r="HF39" s="51"/>
      <c r="HG39" s="51"/>
      <c r="HH39" s="51"/>
      <c r="HI39" s="51"/>
      <c r="HJ39" s="51"/>
      <c r="HK39" s="51"/>
      <c r="HL39" s="51"/>
      <c r="HM39" s="51"/>
      <c r="HN39" s="51"/>
      <c r="HO39" s="51"/>
      <c r="HP39" s="51"/>
      <c r="HQ39" s="51"/>
      <c r="HR39" s="51"/>
      <c r="HS39" s="51"/>
      <c r="HT39" s="51"/>
      <c r="HU39" s="51"/>
      <c r="HV39" s="51"/>
      <c r="HW39" s="51"/>
      <c r="HX39" s="51"/>
      <c r="HY39" s="51"/>
      <c r="HZ39" s="51"/>
      <c r="IA39" s="51"/>
      <c r="IB39" s="51"/>
      <c r="IC39" s="51"/>
      <c r="ID39" s="51"/>
      <c r="IE39" s="51"/>
      <c r="IF39" s="51"/>
      <c r="IG39" s="51"/>
      <c r="IH39" s="51"/>
      <c r="II39" s="51"/>
      <c r="IJ39" s="51"/>
      <c r="IK39" s="51"/>
      <c r="IL39" s="51"/>
      <c r="IM39" s="51"/>
      <c r="IN39" s="51"/>
      <c r="IO39" s="51"/>
      <c r="IP39" s="51"/>
      <c r="IQ39" s="51"/>
      <c r="IR39" s="51"/>
      <c r="IS39" s="51"/>
      <c r="IT39" s="51"/>
      <c r="IU39" s="51"/>
      <c r="IV39" s="51"/>
      <c r="IW39" s="51"/>
      <c r="IX39" s="51"/>
      <c r="IY39" s="51"/>
      <c r="IZ39" s="51"/>
      <c r="JA39" s="51"/>
      <c r="JB39" s="51"/>
      <c r="JC39" s="51"/>
      <c r="JD39" s="51"/>
      <c r="JE39" s="51"/>
      <c r="JF39" s="51"/>
      <c r="JG39" s="51"/>
      <c r="JH39" s="51"/>
      <c r="JI39" s="51"/>
      <c r="JJ39" s="51"/>
      <c r="JK39" s="51"/>
      <c r="JL39" s="51"/>
      <c r="JM39" s="51"/>
      <c r="JN39" s="51"/>
      <c r="JO39" s="51"/>
      <c r="JP39" s="51"/>
      <c r="JQ39" s="51"/>
      <c r="JR39" s="51"/>
      <c r="JS39" s="51"/>
      <c r="JT39" s="51"/>
      <c r="JU39" s="51"/>
      <c r="JV39" s="51"/>
      <c r="JW39" s="51"/>
      <c r="JX39" s="51"/>
      <c r="JY39" s="51"/>
      <c r="JZ39" s="51"/>
      <c r="KA39" s="51"/>
      <c r="KB39" s="51"/>
      <c r="KC39" s="51"/>
      <c r="KD39" s="51"/>
      <c r="KE39" s="51"/>
      <c r="KF39" s="51"/>
      <c r="KG39" s="51"/>
      <c r="KH39" s="51"/>
      <c r="KI39" s="51"/>
      <c r="KJ39" s="51"/>
      <c r="KK39" s="51"/>
      <c r="KL39" s="51"/>
      <c r="KM39" s="51"/>
      <c r="KN39" s="51"/>
      <c r="KO39" s="51"/>
      <c r="KP39" s="51"/>
      <c r="KQ39" s="51"/>
      <c r="KR39" s="51"/>
      <c r="KS39" s="51"/>
      <c r="KT39" s="51"/>
      <c r="KU39" s="51"/>
      <c r="KV39" s="51"/>
      <c r="KW39" s="51"/>
      <c r="KX39" s="51"/>
    </row>
    <row r="40" spans="1:310" s="10" customFormat="1" x14ac:dyDescent="0.25">
      <c r="A40" s="3"/>
      <c r="B40" s="47" t="s">
        <v>187</v>
      </c>
      <c r="C40" s="48" t="s">
        <v>143</v>
      </c>
      <c r="D40" s="17" t="s">
        <v>193</v>
      </c>
      <c r="E40" s="49">
        <v>0</v>
      </c>
      <c r="F40" s="50">
        <f t="shared" si="30"/>
        <v>46382</v>
      </c>
      <c r="G40" s="52">
        <f>+Hitos4352[[#This Row],[Inicio]]+Hitos4352[[#This Row],[Días]]</f>
        <v>46383</v>
      </c>
      <c r="H40" s="53">
        <v>1</v>
      </c>
      <c r="I40" s="9"/>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c r="CY40" s="51"/>
      <c r="CZ40" s="51"/>
      <c r="DA40" s="51"/>
      <c r="DB40" s="51"/>
      <c r="DC40" s="51"/>
      <c r="DD40" s="51"/>
      <c r="DE40" s="51"/>
      <c r="DF40" s="51"/>
      <c r="DG40" s="51"/>
      <c r="DH40" s="51"/>
      <c r="DI40" s="51"/>
      <c r="DJ40" s="51"/>
      <c r="DK40" s="51"/>
      <c r="DL40" s="51"/>
      <c r="DM40" s="51"/>
      <c r="DN40" s="51"/>
      <c r="DO40" s="51"/>
      <c r="DP40" s="51"/>
      <c r="DQ40" s="51"/>
      <c r="DR40" s="51"/>
      <c r="DS40" s="51"/>
      <c r="DT40" s="51"/>
      <c r="DU40" s="51"/>
      <c r="DV40" s="51"/>
      <c r="DW40" s="51"/>
      <c r="DX40" s="51"/>
      <c r="DY40" s="51"/>
      <c r="DZ40" s="51"/>
      <c r="EA40" s="51"/>
      <c r="EB40" s="51"/>
      <c r="EC40" s="51"/>
      <c r="ED40" s="51"/>
      <c r="EE40" s="51"/>
      <c r="EF40" s="51"/>
      <c r="EG40" s="51"/>
      <c r="EH40" s="51"/>
      <c r="EI40" s="51"/>
      <c r="EJ40" s="51"/>
      <c r="EK40" s="51"/>
      <c r="EL40" s="51"/>
      <c r="EM40" s="51"/>
      <c r="EN40" s="51"/>
      <c r="EO40" s="51"/>
      <c r="EP40" s="51"/>
      <c r="EQ40" s="51"/>
      <c r="ER40" s="51"/>
      <c r="ES40" s="51"/>
      <c r="ET40" s="51"/>
      <c r="EU40" s="51"/>
      <c r="EV40" s="51"/>
      <c r="EW40" s="51"/>
      <c r="EX40" s="51"/>
      <c r="EY40" s="51"/>
      <c r="EZ40" s="51"/>
      <c r="FA40" s="51"/>
      <c r="FB40" s="51"/>
      <c r="FC40" s="51"/>
      <c r="FD40" s="51"/>
      <c r="FE40" s="51"/>
      <c r="FF40" s="51"/>
      <c r="FG40" s="51"/>
      <c r="FH40" s="51"/>
      <c r="FI40" s="51"/>
      <c r="FJ40" s="51"/>
      <c r="FK40" s="51"/>
      <c r="FL40" s="51"/>
      <c r="FM40" s="51"/>
      <c r="FN40" s="51"/>
      <c r="FO40" s="51"/>
      <c r="FP40" s="51"/>
      <c r="FQ40" s="51"/>
      <c r="FR40" s="51"/>
      <c r="FS40" s="51"/>
      <c r="FT40" s="51"/>
      <c r="FU40" s="51"/>
      <c r="FV40" s="51"/>
      <c r="FW40" s="51"/>
      <c r="FX40" s="51"/>
      <c r="FY40" s="51"/>
      <c r="FZ40" s="51"/>
      <c r="GA40" s="51"/>
      <c r="GB40" s="51"/>
      <c r="GC40" s="51"/>
      <c r="GD40" s="51"/>
      <c r="GE40" s="51"/>
      <c r="GF40" s="51"/>
      <c r="GG40" s="51"/>
      <c r="GH40" s="51"/>
      <c r="GI40" s="51"/>
      <c r="GJ40" s="51"/>
      <c r="GK40" s="51"/>
      <c r="GL40" s="51"/>
      <c r="GM40" s="51"/>
      <c r="GN40" s="51"/>
      <c r="GO40" s="51"/>
      <c r="GP40" s="51"/>
      <c r="GQ40" s="51"/>
      <c r="GR40" s="51"/>
      <c r="GS40" s="51"/>
      <c r="GT40" s="51"/>
      <c r="GU40" s="51"/>
      <c r="GV40" s="51"/>
      <c r="GW40" s="51"/>
      <c r="GX40" s="51"/>
      <c r="GY40" s="51"/>
      <c r="GZ40" s="51"/>
      <c r="HA40" s="51"/>
      <c r="HB40" s="51"/>
      <c r="HC40" s="51"/>
      <c r="HD40" s="51"/>
      <c r="HE40" s="51"/>
      <c r="HF40" s="51"/>
      <c r="HG40" s="51"/>
      <c r="HH40" s="51"/>
      <c r="HI40" s="51"/>
      <c r="HJ40" s="51"/>
      <c r="HK40" s="51"/>
      <c r="HL40" s="51"/>
      <c r="HM40" s="51"/>
      <c r="HN40" s="51"/>
      <c r="HO40" s="51"/>
      <c r="HP40" s="51"/>
      <c r="HQ40" s="51"/>
      <c r="HR40" s="51"/>
      <c r="HS40" s="51"/>
      <c r="HT40" s="51"/>
      <c r="HU40" s="51"/>
      <c r="HV40" s="51"/>
      <c r="HW40" s="51"/>
      <c r="HX40" s="51"/>
      <c r="HY40" s="51"/>
      <c r="HZ40" s="51"/>
      <c r="IA40" s="51"/>
      <c r="IB40" s="51"/>
      <c r="IC40" s="51"/>
      <c r="ID40" s="51"/>
      <c r="IE40" s="51"/>
      <c r="IF40" s="51"/>
      <c r="IG40" s="51"/>
      <c r="IH40" s="51"/>
      <c r="II40" s="51"/>
      <c r="IJ40" s="51"/>
      <c r="IK40" s="51"/>
      <c r="IL40" s="51"/>
      <c r="IM40" s="51"/>
      <c r="IN40" s="51"/>
      <c r="IO40" s="51"/>
      <c r="IP40" s="51"/>
      <c r="IQ40" s="51"/>
      <c r="IR40" s="51"/>
      <c r="IS40" s="51"/>
      <c r="IT40" s="51"/>
      <c r="IU40" s="51"/>
      <c r="IV40" s="51"/>
      <c r="IW40" s="51"/>
      <c r="IX40" s="51"/>
      <c r="IY40" s="51"/>
      <c r="IZ40" s="51"/>
      <c r="JA40" s="51"/>
      <c r="JB40" s="51"/>
      <c r="JC40" s="51"/>
      <c r="JD40" s="51"/>
      <c r="JE40" s="51"/>
      <c r="JF40" s="51"/>
      <c r="JG40" s="51"/>
      <c r="JH40" s="51"/>
      <c r="JI40" s="51"/>
      <c r="JJ40" s="51"/>
      <c r="JK40" s="51"/>
      <c r="JL40" s="51"/>
      <c r="JM40" s="51"/>
      <c r="JN40" s="51"/>
      <c r="JO40" s="51"/>
      <c r="JP40" s="51"/>
      <c r="JQ40" s="51"/>
      <c r="JR40" s="51"/>
      <c r="JS40" s="51"/>
      <c r="JT40" s="51"/>
      <c r="JU40" s="51"/>
      <c r="JV40" s="51"/>
      <c r="JW40" s="51"/>
      <c r="JX40" s="51"/>
      <c r="JY40" s="51"/>
      <c r="JZ40" s="51"/>
      <c r="KA40" s="51"/>
      <c r="KB40" s="51"/>
      <c r="KC40" s="51"/>
      <c r="KD40" s="51"/>
      <c r="KE40" s="51"/>
      <c r="KF40" s="51"/>
      <c r="KG40" s="51"/>
      <c r="KH40" s="51"/>
      <c r="KI40" s="51"/>
      <c r="KJ40" s="51"/>
      <c r="KK40" s="51"/>
      <c r="KL40" s="51"/>
      <c r="KM40" s="51"/>
      <c r="KN40" s="51"/>
      <c r="KO40" s="51"/>
      <c r="KP40" s="51"/>
      <c r="KQ40" s="51"/>
      <c r="KR40" s="51"/>
      <c r="KS40" s="51"/>
      <c r="KT40" s="51"/>
      <c r="KU40" s="51"/>
      <c r="KV40" s="51"/>
      <c r="KW40" s="51"/>
      <c r="KX40" s="51"/>
    </row>
    <row r="41" spans="1:310" s="10" customFormat="1" x14ac:dyDescent="0.25">
      <c r="A41" s="3"/>
      <c r="B41" s="47" t="s">
        <v>188</v>
      </c>
      <c r="C41" s="48" t="s">
        <v>143</v>
      </c>
      <c r="D41" s="17" t="s">
        <v>193</v>
      </c>
      <c r="E41" s="49">
        <v>0</v>
      </c>
      <c r="F41" s="50">
        <f t="shared" si="30"/>
        <v>46383</v>
      </c>
      <c r="G41" s="52">
        <f>+Hitos4352[[#This Row],[Inicio]]+Hitos4352[[#This Row],[Días]]</f>
        <v>46384</v>
      </c>
      <c r="H41" s="53">
        <v>1</v>
      </c>
      <c r="I41" s="9"/>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c r="DA41" s="51"/>
      <c r="DB41" s="51"/>
      <c r="DC41" s="51"/>
      <c r="DD41" s="51"/>
      <c r="DE41" s="51"/>
      <c r="DF41" s="51"/>
      <c r="DG41" s="51"/>
      <c r="DH41" s="51"/>
      <c r="DI41" s="51"/>
      <c r="DJ41" s="51"/>
      <c r="DK41" s="51"/>
      <c r="DL41" s="51"/>
      <c r="DM41" s="51"/>
      <c r="DN41" s="51"/>
      <c r="DO41" s="51"/>
      <c r="DP41" s="51"/>
      <c r="DQ41" s="51"/>
      <c r="DR41" s="51"/>
      <c r="DS41" s="51"/>
      <c r="DT41" s="51"/>
      <c r="DU41" s="51"/>
      <c r="DV41" s="51"/>
      <c r="DW41" s="51"/>
      <c r="DX41" s="51"/>
      <c r="DY41" s="51"/>
      <c r="DZ41" s="51"/>
      <c r="EA41" s="51"/>
      <c r="EB41" s="51"/>
      <c r="EC41" s="51"/>
      <c r="ED41" s="51"/>
      <c r="EE41" s="51"/>
      <c r="EF41" s="51"/>
      <c r="EG41" s="51"/>
      <c r="EH41" s="51"/>
      <c r="EI41" s="51"/>
      <c r="EJ41" s="51"/>
      <c r="EK41" s="51"/>
      <c r="EL41" s="51"/>
      <c r="EM41" s="51"/>
      <c r="EN41" s="51"/>
      <c r="EO41" s="51"/>
      <c r="EP41" s="51"/>
      <c r="EQ41" s="51"/>
      <c r="ER41" s="51"/>
      <c r="ES41" s="51"/>
      <c r="ET41" s="51"/>
      <c r="EU41" s="51"/>
      <c r="EV41" s="51"/>
      <c r="EW41" s="51"/>
      <c r="EX41" s="51"/>
      <c r="EY41" s="51"/>
      <c r="EZ41" s="51"/>
      <c r="FA41" s="51"/>
      <c r="FB41" s="51"/>
      <c r="FC41" s="51"/>
      <c r="FD41" s="51"/>
      <c r="FE41" s="51"/>
      <c r="FF41" s="51"/>
      <c r="FG41" s="51"/>
      <c r="FH41" s="51"/>
      <c r="FI41" s="51"/>
      <c r="FJ41" s="51"/>
      <c r="FK41" s="51"/>
      <c r="FL41" s="51"/>
      <c r="FM41" s="51"/>
      <c r="FN41" s="51"/>
      <c r="FO41" s="51"/>
      <c r="FP41" s="51"/>
      <c r="FQ41" s="51"/>
      <c r="FR41" s="51"/>
      <c r="FS41" s="51"/>
      <c r="FT41" s="51"/>
      <c r="FU41" s="51"/>
      <c r="FV41" s="51"/>
      <c r="FW41" s="51"/>
      <c r="FX41" s="51"/>
      <c r="FY41" s="51"/>
      <c r="FZ41" s="51"/>
      <c r="GA41" s="51"/>
      <c r="GB41" s="51"/>
      <c r="GC41" s="51"/>
      <c r="GD41" s="51"/>
      <c r="GE41" s="51"/>
      <c r="GF41" s="51"/>
      <c r="GG41" s="51"/>
      <c r="GH41" s="51"/>
      <c r="GI41" s="51"/>
      <c r="GJ41" s="51"/>
      <c r="GK41" s="51"/>
      <c r="GL41" s="51"/>
      <c r="GM41" s="51"/>
      <c r="GN41" s="51"/>
      <c r="GO41" s="51"/>
      <c r="GP41" s="51"/>
      <c r="GQ41" s="51"/>
      <c r="GR41" s="51"/>
      <c r="GS41" s="51"/>
      <c r="GT41" s="51"/>
      <c r="GU41" s="51"/>
      <c r="GV41" s="51"/>
      <c r="GW41" s="51"/>
      <c r="GX41" s="51"/>
      <c r="GY41" s="51"/>
      <c r="GZ41" s="51"/>
      <c r="HA41" s="51"/>
      <c r="HB41" s="51"/>
      <c r="HC41" s="51"/>
      <c r="HD41" s="51"/>
      <c r="HE41" s="51"/>
      <c r="HF41" s="51"/>
      <c r="HG41" s="51"/>
      <c r="HH41" s="51"/>
      <c r="HI41" s="51"/>
      <c r="HJ41" s="51"/>
      <c r="HK41" s="51"/>
      <c r="HL41" s="51"/>
      <c r="HM41" s="51"/>
      <c r="HN41" s="51"/>
      <c r="HO41" s="51"/>
      <c r="HP41" s="51"/>
      <c r="HQ41" s="51"/>
      <c r="HR41" s="51"/>
      <c r="HS41" s="51"/>
      <c r="HT41" s="51"/>
      <c r="HU41" s="51"/>
      <c r="HV41" s="51"/>
      <c r="HW41" s="51"/>
      <c r="HX41" s="51"/>
      <c r="HY41" s="51"/>
      <c r="HZ41" s="51"/>
      <c r="IA41" s="51"/>
      <c r="IB41" s="51"/>
      <c r="IC41" s="51"/>
      <c r="ID41" s="51"/>
      <c r="IE41" s="51"/>
      <c r="IF41" s="51"/>
      <c r="IG41" s="51"/>
      <c r="IH41" s="51"/>
      <c r="II41" s="51"/>
      <c r="IJ41" s="51"/>
      <c r="IK41" s="51"/>
      <c r="IL41" s="51"/>
      <c r="IM41" s="51"/>
      <c r="IN41" s="51"/>
      <c r="IO41" s="51"/>
      <c r="IP41" s="51"/>
      <c r="IQ41" s="51"/>
      <c r="IR41" s="51"/>
      <c r="IS41" s="51"/>
      <c r="IT41" s="51"/>
      <c r="IU41" s="51"/>
      <c r="IV41" s="51"/>
      <c r="IW41" s="51"/>
      <c r="IX41" s="51"/>
      <c r="IY41" s="51"/>
      <c r="IZ41" s="51"/>
      <c r="JA41" s="51"/>
      <c r="JB41" s="51"/>
      <c r="JC41" s="51"/>
      <c r="JD41" s="51"/>
      <c r="JE41" s="51"/>
      <c r="JF41" s="51"/>
      <c r="JG41" s="51"/>
      <c r="JH41" s="51"/>
      <c r="JI41" s="51"/>
      <c r="JJ41" s="51"/>
      <c r="JK41" s="51"/>
      <c r="JL41" s="51"/>
      <c r="JM41" s="51"/>
      <c r="JN41" s="51"/>
      <c r="JO41" s="51"/>
      <c r="JP41" s="51"/>
      <c r="JQ41" s="51"/>
      <c r="JR41" s="51"/>
      <c r="JS41" s="51"/>
      <c r="JT41" s="51"/>
      <c r="JU41" s="51"/>
      <c r="JV41" s="51"/>
      <c r="JW41" s="51"/>
      <c r="JX41" s="51"/>
      <c r="JY41" s="51"/>
      <c r="JZ41" s="51"/>
      <c r="KA41" s="51"/>
      <c r="KB41" s="51"/>
      <c r="KC41" s="51"/>
      <c r="KD41" s="51"/>
      <c r="KE41" s="51"/>
      <c r="KF41" s="51"/>
      <c r="KG41" s="51"/>
      <c r="KH41" s="51"/>
      <c r="KI41" s="51"/>
      <c r="KJ41" s="51"/>
      <c r="KK41" s="51"/>
      <c r="KL41" s="51"/>
      <c r="KM41" s="51"/>
      <c r="KN41" s="51"/>
      <c r="KO41" s="51"/>
      <c r="KP41" s="51"/>
      <c r="KQ41" s="51"/>
      <c r="KR41" s="51"/>
      <c r="KS41" s="51"/>
      <c r="KT41" s="51"/>
      <c r="KU41" s="51"/>
      <c r="KV41" s="51"/>
      <c r="KW41" s="51"/>
      <c r="KX41" s="51"/>
    </row>
    <row r="42" spans="1:310" s="10" customFormat="1" x14ac:dyDescent="0.25">
      <c r="A42" s="3"/>
      <c r="B42" s="47" t="s">
        <v>189</v>
      </c>
      <c r="C42" s="48" t="s">
        <v>143</v>
      </c>
      <c r="D42" s="17" t="s">
        <v>193</v>
      </c>
      <c r="E42" s="49">
        <v>0</v>
      </c>
      <c r="F42" s="50">
        <f t="shared" si="30"/>
        <v>46384</v>
      </c>
      <c r="G42" s="52">
        <f>+Hitos4352[[#This Row],[Inicio]]+Hitos4352[[#This Row],[Días]]</f>
        <v>46385</v>
      </c>
      <c r="H42" s="53">
        <v>1</v>
      </c>
      <c r="I42" s="9"/>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c r="DJ42" s="51"/>
      <c r="DK42" s="51"/>
      <c r="DL42" s="51"/>
      <c r="DM42" s="51"/>
      <c r="DN42" s="51"/>
      <c r="DO42" s="51"/>
      <c r="DP42" s="51"/>
      <c r="DQ42" s="51"/>
      <c r="DR42" s="51"/>
      <c r="DS42" s="51"/>
      <c r="DT42" s="51"/>
      <c r="DU42" s="51"/>
      <c r="DV42" s="51"/>
      <c r="DW42" s="51"/>
      <c r="DX42" s="51"/>
      <c r="DY42" s="51"/>
      <c r="DZ42" s="51"/>
      <c r="EA42" s="51"/>
      <c r="EB42" s="51"/>
      <c r="EC42" s="51"/>
      <c r="ED42" s="51"/>
      <c r="EE42" s="51"/>
      <c r="EF42" s="51"/>
      <c r="EG42" s="51"/>
      <c r="EH42" s="51"/>
      <c r="EI42" s="51"/>
      <c r="EJ42" s="51"/>
      <c r="EK42" s="51"/>
      <c r="EL42" s="51"/>
      <c r="EM42" s="51"/>
      <c r="EN42" s="51"/>
      <c r="EO42" s="51"/>
      <c r="EP42" s="51"/>
      <c r="EQ42" s="51"/>
      <c r="ER42" s="51"/>
      <c r="ES42" s="51"/>
      <c r="ET42" s="51"/>
      <c r="EU42" s="51"/>
      <c r="EV42" s="51"/>
      <c r="EW42" s="51"/>
      <c r="EX42" s="51"/>
      <c r="EY42" s="51"/>
      <c r="EZ42" s="51"/>
      <c r="FA42" s="51"/>
      <c r="FB42" s="51"/>
      <c r="FC42" s="51"/>
      <c r="FD42" s="51"/>
      <c r="FE42" s="51"/>
      <c r="FF42" s="51"/>
      <c r="FG42" s="51"/>
      <c r="FH42" s="51"/>
      <c r="FI42" s="51"/>
      <c r="FJ42" s="51"/>
      <c r="FK42" s="51"/>
      <c r="FL42" s="51"/>
      <c r="FM42" s="51"/>
      <c r="FN42" s="51"/>
      <c r="FO42" s="51"/>
      <c r="FP42" s="51"/>
      <c r="FQ42" s="51"/>
      <c r="FR42" s="51"/>
      <c r="FS42" s="51"/>
      <c r="FT42" s="51"/>
      <c r="FU42" s="51"/>
      <c r="FV42" s="51"/>
      <c r="FW42" s="51"/>
      <c r="FX42" s="51"/>
      <c r="FY42" s="51"/>
      <c r="FZ42" s="51"/>
      <c r="GA42" s="51"/>
      <c r="GB42" s="51"/>
      <c r="GC42" s="51"/>
      <c r="GD42" s="51"/>
      <c r="GE42" s="51"/>
      <c r="GF42" s="51"/>
      <c r="GG42" s="51"/>
      <c r="GH42" s="51"/>
      <c r="GI42" s="51"/>
      <c r="GJ42" s="51"/>
      <c r="GK42" s="51"/>
      <c r="GL42" s="51"/>
      <c r="GM42" s="51"/>
      <c r="GN42" s="51"/>
      <c r="GO42" s="51"/>
      <c r="GP42" s="51"/>
      <c r="GQ42" s="51"/>
      <c r="GR42" s="51"/>
      <c r="GS42" s="51"/>
      <c r="GT42" s="51"/>
      <c r="GU42" s="51"/>
      <c r="GV42" s="51"/>
      <c r="GW42" s="51"/>
      <c r="GX42" s="51"/>
      <c r="GY42" s="51"/>
      <c r="GZ42" s="51"/>
      <c r="HA42" s="51"/>
      <c r="HB42" s="51"/>
      <c r="HC42" s="51"/>
      <c r="HD42" s="51"/>
      <c r="HE42" s="51"/>
      <c r="HF42" s="51"/>
      <c r="HG42" s="51"/>
      <c r="HH42" s="51"/>
      <c r="HI42" s="51"/>
      <c r="HJ42" s="51"/>
      <c r="HK42" s="51"/>
      <c r="HL42" s="51"/>
      <c r="HM42" s="51"/>
      <c r="HN42" s="51"/>
      <c r="HO42" s="51"/>
      <c r="HP42" s="51"/>
      <c r="HQ42" s="51"/>
      <c r="HR42" s="51"/>
      <c r="HS42" s="51"/>
      <c r="HT42" s="51"/>
      <c r="HU42" s="51"/>
      <c r="HV42" s="51"/>
      <c r="HW42" s="51"/>
      <c r="HX42" s="51"/>
      <c r="HY42" s="51"/>
      <c r="HZ42" s="51"/>
      <c r="IA42" s="51"/>
      <c r="IB42" s="51"/>
      <c r="IC42" s="51"/>
      <c r="ID42" s="51"/>
      <c r="IE42" s="51"/>
      <c r="IF42" s="51"/>
      <c r="IG42" s="51"/>
      <c r="IH42" s="51"/>
      <c r="II42" s="51"/>
      <c r="IJ42" s="51"/>
      <c r="IK42" s="51"/>
      <c r="IL42" s="51"/>
      <c r="IM42" s="51"/>
      <c r="IN42" s="51"/>
      <c r="IO42" s="51"/>
      <c r="IP42" s="51"/>
      <c r="IQ42" s="51"/>
      <c r="IR42" s="51"/>
      <c r="IS42" s="51"/>
      <c r="IT42" s="51"/>
      <c r="IU42" s="51"/>
      <c r="IV42" s="51"/>
      <c r="IW42" s="51"/>
      <c r="IX42" s="51"/>
      <c r="IY42" s="51"/>
      <c r="IZ42" s="51"/>
      <c r="JA42" s="51"/>
      <c r="JB42" s="51"/>
      <c r="JC42" s="51"/>
      <c r="JD42" s="51"/>
      <c r="JE42" s="51"/>
      <c r="JF42" s="51"/>
      <c r="JG42" s="51"/>
      <c r="JH42" s="51"/>
      <c r="JI42" s="51"/>
      <c r="JJ42" s="51"/>
      <c r="JK42" s="51"/>
      <c r="JL42" s="51"/>
      <c r="JM42" s="51"/>
      <c r="JN42" s="51"/>
      <c r="JO42" s="51"/>
      <c r="JP42" s="51"/>
      <c r="JQ42" s="51"/>
      <c r="JR42" s="51"/>
      <c r="JS42" s="51"/>
      <c r="JT42" s="51"/>
      <c r="JU42" s="51"/>
      <c r="JV42" s="51"/>
      <c r="JW42" s="51"/>
      <c r="JX42" s="51"/>
      <c r="JY42" s="51"/>
      <c r="JZ42" s="51"/>
      <c r="KA42" s="51"/>
      <c r="KB42" s="51"/>
      <c r="KC42" s="51"/>
      <c r="KD42" s="51"/>
      <c r="KE42" s="51"/>
      <c r="KF42" s="51"/>
      <c r="KG42" s="51"/>
      <c r="KH42" s="51"/>
      <c r="KI42" s="51"/>
      <c r="KJ42" s="51"/>
      <c r="KK42" s="51"/>
      <c r="KL42" s="51"/>
      <c r="KM42" s="51"/>
      <c r="KN42" s="51"/>
      <c r="KO42" s="51"/>
      <c r="KP42" s="51"/>
      <c r="KQ42" s="51"/>
      <c r="KR42" s="51"/>
      <c r="KS42" s="51"/>
      <c r="KT42" s="51"/>
      <c r="KU42" s="51"/>
      <c r="KV42" s="51"/>
      <c r="KW42" s="51"/>
      <c r="KX42" s="51"/>
    </row>
    <row r="43" spans="1:310" s="10" customFormat="1" x14ac:dyDescent="0.25">
      <c r="A43" s="3"/>
      <c r="B43" s="47" t="s">
        <v>190</v>
      </c>
      <c r="C43" s="48" t="s">
        <v>143</v>
      </c>
      <c r="D43" s="17" t="s">
        <v>193</v>
      </c>
      <c r="E43" s="49">
        <v>0</v>
      </c>
      <c r="F43" s="50">
        <f t="shared" ref="F43:F45" si="31">+G42</f>
        <v>46385</v>
      </c>
      <c r="G43" s="52">
        <f>+Hitos4352[[#This Row],[Inicio]]+Hitos4352[[#This Row],[Días]]</f>
        <v>46386</v>
      </c>
      <c r="H43" s="53">
        <v>1</v>
      </c>
      <c r="I43" s="9"/>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c r="HG43" s="51"/>
      <c r="HH43" s="51"/>
      <c r="HI43" s="51"/>
      <c r="HJ43" s="51"/>
      <c r="HK43" s="51"/>
      <c r="HL43" s="51"/>
      <c r="HM43" s="51"/>
      <c r="HN43" s="51"/>
      <c r="HO43" s="51"/>
      <c r="HP43" s="51"/>
      <c r="HQ43" s="51"/>
      <c r="HR43" s="51"/>
      <c r="HS43" s="51"/>
      <c r="HT43" s="51"/>
      <c r="HU43" s="51"/>
      <c r="HV43" s="51"/>
      <c r="HW43" s="51"/>
      <c r="HX43" s="51"/>
      <c r="HY43" s="51"/>
      <c r="HZ43" s="51"/>
      <c r="IA43" s="51"/>
      <c r="IB43" s="51"/>
      <c r="IC43" s="51"/>
      <c r="ID43" s="51"/>
      <c r="IE43" s="51"/>
      <c r="IF43" s="51"/>
      <c r="IG43" s="51"/>
      <c r="IH43" s="51"/>
      <c r="II43" s="51"/>
      <c r="IJ43" s="51"/>
      <c r="IK43" s="51"/>
      <c r="IL43" s="51"/>
      <c r="IM43" s="51"/>
      <c r="IN43" s="51"/>
      <c r="IO43" s="51"/>
      <c r="IP43" s="51"/>
      <c r="IQ43" s="51"/>
      <c r="IR43" s="51"/>
      <c r="IS43" s="51"/>
      <c r="IT43" s="51"/>
      <c r="IU43" s="51"/>
      <c r="IV43" s="51"/>
      <c r="IW43" s="51"/>
      <c r="IX43" s="51"/>
      <c r="IY43" s="51"/>
      <c r="IZ43" s="51"/>
      <c r="JA43" s="51"/>
      <c r="JB43" s="51"/>
      <c r="JC43" s="51"/>
      <c r="JD43" s="51"/>
      <c r="JE43" s="51"/>
      <c r="JF43" s="51"/>
      <c r="JG43" s="51"/>
      <c r="JH43" s="51"/>
      <c r="JI43" s="51"/>
      <c r="JJ43" s="51"/>
      <c r="JK43" s="51"/>
      <c r="JL43" s="51"/>
      <c r="JM43" s="51"/>
      <c r="JN43" s="51"/>
      <c r="JO43" s="51"/>
      <c r="JP43" s="51"/>
      <c r="JQ43" s="51"/>
      <c r="JR43" s="51"/>
      <c r="JS43" s="51"/>
      <c r="JT43" s="51"/>
      <c r="JU43" s="51"/>
      <c r="JV43" s="51"/>
      <c r="JW43" s="51"/>
      <c r="JX43" s="51"/>
      <c r="JY43" s="51"/>
      <c r="JZ43" s="51"/>
      <c r="KA43" s="51"/>
      <c r="KB43" s="51"/>
      <c r="KC43" s="51"/>
      <c r="KD43" s="51"/>
      <c r="KE43" s="51"/>
      <c r="KF43" s="51"/>
      <c r="KG43" s="51"/>
      <c r="KH43" s="51"/>
      <c r="KI43" s="51"/>
      <c r="KJ43" s="51"/>
      <c r="KK43" s="51"/>
      <c r="KL43" s="51"/>
      <c r="KM43" s="51"/>
      <c r="KN43" s="51"/>
      <c r="KO43" s="51"/>
      <c r="KP43" s="51"/>
      <c r="KQ43" s="51"/>
      <c r="KR43" s="51"/>
      <c r="KS43" s="51"/>
      <c r="KT43" s="51"/>
      <c r="KU43" s="51"/>
      <c r="KV43" s="51"/>
      <c r="KW43" s="51"/>
      <c r="KX43" s="51"/>
    </row>
    <row r="44" spans="1:310" x14ac:dyDescent="0.25">
      <c r="B44" s="47" t="s">
        <v>191</v>
      </c>
      <c r="C44" s="48" t="s">
        <v>143</v>
      </c>
      <c r="D44" s="17" t="s">
        <v>193</v>
      </c>
      <c r="E44" s="49">
        <v>0</v>
      </c>
      <c r="F44" s="50">
        <f t="shared" si="31"/>
        <v>46386</v>
      </c>
      <c r="G44" s="52">
        <f>+Hitos4352[[#This Row],[Inicio]]+Hitos4352[[#This Row],[Días]]</f>
        <v>46387</v>
      </c>
      <c r="H44" s="53">
        <v>1</v>
      </c>
    </row>
    <row r="45" spans="1:310" x14ac:dyDescent="0.25">
      <c r="B45" s="47" t="s">
        <v>192</v>
      </c>
      <c r="C45" s="48" t="s">
        <v>143</v>
      </c>
      <c r="D45" s="17" t="s">
        <v>193</v>
      </c>
      <c r="E45" s="49">
        <v>0</v>
      </c>
      <c r="F45" s="50">
        <f t="shared" si="31"/>
        <v>46387</v>
      </c>
      <c r="G45" s="52">
        <f>+Hitos4352[[#This Row],[Inicio]]+Hitos4352[[#This Row],[Días]]</f>
        <v>46388</v>
      </c>
      <c r="H45" s="53">
        <v>1</v>
      </c>
    </row>
  </sheetData>
  <mergeCells count="18">
    <mergeCell ref="B2:I2"/>
    <mergeCell ref="J2:O2"/>
    <mergeCell ref="P2:U2"/>
    <mergeCell ref="J4:M4"/>
    <mergeCell ref="O4:R4"/>
    <mergeCell ref="T4:W4"/>
    <mergeCell ref="JV6:KX6"/>
    <mergeCell ref="Y4:AB4"/>
    <mergeCell ref="AD4:AG4"/>
    <mergeCell ref="J6:AN6"/>
    <mergeCell ref="AO6:BR6"/>
    <mergeCell ref="BS6:CW6"/>
    <mergeCell ref="CX6:EA6"/>
    <mergeCell ref="EB6:FF6"/>
    <mergeCell ref="FG6:GK6"/>
    <mergeCell ref="GL6:HK6"/>
    <mergeCell ref="HL6:IP6"/>
    <mergeCell ref="IQ6:JU6"/>
  </mergeCells>
  <conditionalFormatting sqref="E9:E45">
    <cfRule type="dataBar" priority="41">
      <dataBar>
        <cfvo type="num" val="0"/>
        <cfvo type="num" val="1"/>
        <color theme="6"/>
      </dataBar>
      <extLst>
        <ext xmlns:x14="http://schemas.microsoft.com/office/spreadsheetml/2009/9/main" uri="{B025F937-C7B1-47D3-B67F-A62EFF666E3E}">
          <x14:id>{66013752-E5EC-41E1-A749-FD2F141AA930}</x14:id>
        </ext>
      </extLst>
    </cfRule>
  </conditionalFormatting>
  <conditionalFormatting sqref="J6">
    <cfRule type="expression" dxfId="36" priority="40">
      <formula>J$7&lt;=EOMONTH($J$7,0)</formula>
    </cfRule>
    <cfRule type="expression" dxfId="35" priority="39">
      <formula>AND(J$7&lt;=EOMONTH($J$7,1),J$7&gt;EOMONTH($J$7,0))</formula>
    </cfRule>
  </conditionalFormatting>
  <conditionalFormatting sqref="J10:BM12 DA10:FD12 J13:KX43">
    <cfRule type="expression" dxfId="34" priority="83" stopIfTrue="1">
      <formula>AND(LEN($C10)=0,J$7&gt;=$F10,J$7&lt;=$F10+$H10-1)</formula>
    </cfRule>
    <cfRule type="expression" dxfId="33" priority="82" stopIfTrue="1">
      <formula>AND($C10="Riesgo medio",J$7&gt;=$F10,J$7&lt;=$F10+$H10-1)</formula>
    </cfRule>
    <cfRule type="expression" dxfId="32" priority="81" stopIfTrue="1">
      <formula>AND($C10="Según lo previsto",J$7&gt;=$F10,J$7&lt;=$F10+$H10-1)</formula>
    </cfRule>
    <cfRule type="expression" dxfId="31" priority="80" stopIfTrue="1">
      <formula>AND($C10="Riesgo alto",J$7&gt;=$F10,J$7&lt;=$F10+$H10-1)</formula>
    </cfRule>
    <cfRule type="expression" dxfId="30" priority="79" stopIfTrue="1">
      <formula>AND($C10="Riesgo bajo",J$7&gt;=$F10,J$7&lt;=$F10+$H10-1)</formula>
    </cfRule>
  </conditionalFormatting>
  <conditionalFormatting sqref="J7:KW9 J10:BL12 DA10:FC12 J13:KW43">
    <cfRule type="expression" dxfId="29" priority="38">
      <formula>AND(TODAY()&gt;=J$7,TODAY()&lt;K$7)</formula>
    </cfRule>
  </conditionalFormatting>
  <conditionalFormatting sqref="AO6">
    <cfRule type="expression" dxfId="28" priority="27">
      <formula>AND(AP$7&lt;=EOMONTH($J$7,2),AP$7&gt;EOMONTH($J$7,0),AP$7&gt;EOMONTH($J$7,1))</formula>
    </cfRule>
    <cfRule type="expression" dxfId="27" priority="26">
      <formula>AND(AP$7&lt;=EOMONTH($J$7,1),AP$7&gt;EOMONTH($J$7,0))</formula>
    </cfRule>
    <cfRule type="expression" dxfId="26" priority="25">
      <formula>AP$7&lt;=EOMONTH($J$7,0)</formula>
    </cfRule>
  </conditionalFormatting>
  <conditionalFormatting sqref="BM10:BM12 FD10:FD12">
    <cfRule type="expression" dxfId="25" priority="43">
      <formula>AND(TODAY()&gt;=BM$7,TODAY()&lt;#REF!)</formula>
    </cfRule>
  </conditionalFormatting>
  <conditionalFormatting sqref="BS6">
    <cfRule type="expression" dxfId="24" priority="22">
      <formula>BT$7&lt;=EOMONTH($J$7,0)</formula>
    </cfRule>
    <cfRule type="expression" dxfId="23" priority="24">
      <formula>AND(BT$7&lt;=EOMONTH($J$7,2),BT$7&gt;EOMONTH($J$7,0),BT$7&gt;EOMONTH($J$7,1))</formula>
    </cfRule>
    <cfRule type="expression" dxfId="22" priority="23">
      <formula>AND(BT$7&lt;=EOMONTH($J$7,1),BT$7&gt;EOMONTH($J$7,0))</formula>
    </cfRule>
  </conditionalFormatting>
  <conditionalFormatting sqref="CX6">
    <cfRule type="expression" dxfId="21" priority="21">
      <formula>AND(CY$7&lt;=EOMONTH($J$7,2),CY$7&gt;EOMONTH($J$7,0),CY$7&gt;EOMONTH($J$7,1))</formula>
    </cfRule>
    <cfRule type="expression" dxfId="20" priority="19">
      <formula>CY$7&lt;=EOMONTH($J$7,0)</formula>
    </cfRule>
    <cfRule type="expression" dxfId="19" priority="20">
      <formula>AND(CY$7&lt;=EOMONTH($J$7,1),CY$7&gt;EOMONTH($J$7,0))</formula>
    </cfRule>
  </conditionalFormatting>
  <conditionalFormatting sqref="EB6">
    <cfRule type="expression" dxfId="18" priority="18">
      <formula>AND(EC$7&lt;=EOMONTH($J$7,2),EC$7&gt;EOMONTH($J$7,0),EC$7&gt;EOMONTH($J$7,1))</formula>
    </cfRule>
    <cfRule type="expression" dxfId="17" priority="17">
      <formula>AND(EC$7&lt;=EOMONTH($J$7,1),EC$7&gt;EOMONTH($J$7,0))</formula>
    </cfRule>
    <cfRule type="expression" dxfId="16" priority="16">
      <formula>EC$7&lt;=EOMONTH($J$7,0)</formula>
    </cfRule>
  </conditionalFormatting>
  <conditionalFormatting sqref="FG6">
    <cfRule type="expression" dxfId="15" priority="15">
      <formula>AND(FH$7&lt;=EOMONTH($J$7,2),FH$7&gt;EOMONTH($J$7,0),FH$7&gt;EOMONTH($J$7,1))</formula>
    </cfRule>
    <cfRule type="expression" dxfId="14" priority="14">
      <formula>AND(FH$7&lt;=EOMONTH($J$7,1),FH$7&gt;EOMONTH($J$7,0))</formula>
    </cfRule>
    <cfRule type="expression" dxfId="13" priority="13">
      <formula>FH$7&lt;=EOMONTH($J$7,0)</formula>
    </cfRule>
  </conditionalFormatting>
  <conditionalFormatting sqref="GL6">
    <cfRule type="expression" dxfId="12" priority="12">
      <formula>AND(GM$7&lt;=EOMONTH($J$7,2),GM$7&gt;EOMONTH($J$7,0),GM$7&gt;EOMONTH($J$7,1))</formula>
    </cfRule>
    <cfRule type="expression" dxfId="11" priority="11">
      <formula>AND(GM$7&lt;=EOMONTH($J$7,1),GM$7&gt;EOMONTH($J$7,0))</formula>
    </cfRule>
    <cfRule type="expression" dxfId="10" priority="10">
      <formula>GM$7&lt;=EOMONTH($J$7,0)</formula>
    </cfRule>
  </conditionalFormatting>
  <conditionalFormatting sqref="HL6">
    <cfRule type="expression" dxfId="9" priority="9">
      <formula>AND(HM$7&lt;=EOMONTH($J$7,2),HM$7&gt;EOMONTH($J$7,0),HM$7&gt;EOMONTH($J$7,1))</formula>
    </cfRule>
    <cfRule type="expression" dxfId="8" priority="8">
      <formula>AND(HM$7&lt;=EOMONTH($J$7,1),HM$7&gt;EOMONTH($J$7,0))</formula>
    </cfRule>
    <cfRule type="expression" dxfId="7" priority="7">
      <formula>HM$7&lt;=EOMONTH($J$7,0)</formula>
    </cfRule>
  </conditionalFormatting>
  <conditionalFormatting sqref="IQ6">
    <cfRule type="expression" dxfId="6" priority="6">
      <formula>AND(IR$7&lt;=EOMONTH($J$7,2),IR$7&gt;EOMONTH($J$7,0),IR$7&gt;EOMONTH($J$7,1))</formula>
    </cfRule>
    <cfRule type="expression" dxfId="5" priority="5">
      <formula>AND(IR$7&lt;=EOMONTH($J$7,1),IR$7&gt;EOMONTH($J$7,0))</formula>
    </cfRule>
    <cfRule type="expression" dxfId="4" priority="4">
      <formula>IR$7&lt;=EOMONTH($J$7,0)</formula>
    </cfRule>
  </conditionalFormatting>
  <conditionalFormatting sqref="JV6">
    <cfRule type="expression" dxfId="3" priority="2">
      <formula>AND(JW$7&lt;=EOMONTH($J$7,1),JW$7&gt;EOMONTH($J$7,0))</formula>
    </cfRule>
    <cfRule type="expression" dxfId="2" priority="3">
      <formula>AND(JW$7&lt;=EOMONTH($J$7,2),JW$7&gt;EOMONTH($J$7,0),JW$7&gt;EOMONTH($J$7,1))</formula>
    </cfRule>
    <cfRule type="expression" dxfId="1" priority="1">
      <formula>JW$7&lt;=EOMONTH($J$7,0)</formula>
    </cfRule>
  </conditionalFormatting>
  <conditionalFormatting sqref="KX7:KX9 KX13:KX43">
    <cfRule type="expression" dxfId="0" priority="69">
      <formula>AND(TODAY()&gt;=KX$7,TODAY()&lt;#REF!)</formula>
    </cfRule>
  </conditionalFormatting>
  <dataValidations count="9">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284734FA-D9B6-470C-815E-321FF1203CE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21BE658D-EADD-4AE0-ADDA-1488F02D0E97}"/>
    <dataValidation allowBlank="1" showInputMessage="1" showErrorMessage="1" prompt="Las celdas I9 a BL9 contienen el día del mes representado en el bloque de celdas, encima de cada celda de fecha, y se calculan automáticamente._x000a_No modifique estas celdas._x000a_" sqref="A7" xr:uid="{6D8EAE53-B2BC-4533-B7A1-E3F9265C3D07}"/>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F6E77343-C348-48BB-B536-1B1FA81638EA}"/>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6DDD71AD-CF0D-4171-B5F9-357F75F390F6}"/>
    <dataValidation allowBlank="1" showInputMessage="1" showErrorMessage="1" prompt="Escriba el nombre de la empresa en B4._x000a_Figura una leyenda entre las celdas I4 y AC4. La etiqueta de leyenda está en la celda G4." sqref="A4" xr:uid="{EF831851-994B-40F2-9502-93F5110E03E2}"/>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D44B3DB0-E78E-4042-9365-E93E77560BE3}"/>
    <dataValidation type="whole" operator="greaterThanOrEqual" allowBlank="1" showInputMessage="1" promptTitle="Incremento de desplazamiento" prompt="Al cambiar este número, se desplazará la vista del diagrama de Gantt." sqref="C7" xr:uid="{A1D0DADD-C845-4DC8-9274-EAB815D3C8D7}">
      <formula1>0</formula1>
    </dataValidation>
    <dataValidation type="list" allowBlank="1" showInputMessage="1" showErrorMessage="1" sqref="C10:C45" xr:uid="{7F977F1F-93F6-415D-AAD6-06E0733D37A8}">
      <formula1>"Objetivo,Hito,Según lo previsto, Riesgo bajo, Riesgo medio, Riesgo alto"</formula1>
    </dataValidation>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6013752-E5EC-41E1-A749-FD2F141AA930}">
            <x14:dataBar minLength="0" maxLength="100" gradient="0">
              <x14:cfvo type="num">
                <xm:f>0</xm:f>
              </x14:cfvo>
              <x14:cfvo type="num">
                <xm:f>1</xm:f>
              </x14:cfvo>
              <x14:negativeFillColor rgb="FFFF0000"/>
              <x14:axisColor rgb="FF000000"/>
            </x14:dataBar>
          </x14:cfRule>
          <xm:sqref>E9:E45</xm:sqref>
        </x14:conditionalFormatting>
        <x14:conditionalFormatting xmlns:xm="http://schemas.microsoft.com/office/excel/2006/main">
          <x14:cfRule type="iconSet" priority="78" id="{DE3B5527-A0CE-4A00-91EB-1A8BA8901D26}">
            <x14:iconSet iconSet="3Stars" showValue="0" custom="1">
              <x14:cfvo type="percent">
                <xm:f>0</xm:f>
              </x14:cfvo>
              <x14:cfvo type="num">
                <xm:f>1</xm:f>
              </x14:cfvo>
              <x14:cfvo type="num">
                <xm:f>2</xm:f>
              </x14:cfvo>
              <x14:cfIcon iconSet="NoIcons" iconId="0"/>
              <x14:cfIcon iconSet="3Flags" iconId="1"/>
              <x14:cfIcon iconSet="3Signs" iconId="0"/>
            </x14:iconSet>
          </x14:cfRule>
          <xm:sqref>J10:BM12 DA10:FD12 J13:KX43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HABLAVAO_cronograma_PMBAgil</vt:lpstr>
      <vt:lpstr>Gantt</vt:lpstr>
      <vt:lpstr>Gantt!Incremento_de_desplazamiento</vt:lpstr>
      <vt:lpstr>Gantt!Inicio_del_proyecto</vt:lpstr>
      <vt:lpstr>Gantt!Títulos_a_imprimir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Zuniga</dc:creator>
  <cp:lastModifiedBy>u201823368 (Zuñiga Cordova, Johan Poul Hugo)</cp:lastModifiedBy>
  <dcterms:created xsi:type="dcterms:W3CDTF">2025-11-07T15:19:11Z</dcterms:created>
  <dcterms:modified xsi:type="dcterms:W3CDTF">2026-01-09T16:38:39Z</dcterms:modified>
</cp:coreProperties>
</file>