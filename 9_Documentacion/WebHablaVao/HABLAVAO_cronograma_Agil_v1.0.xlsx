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OPORTE\Desktop\vaope-bi\9_Documentacion\WebHablaVao\"/>
    </mc:Choice>
  </mc:AlternateContent>
  <xr:revisionPtr revIDLastSave="0" documentId="13_ncr:1_{0C943590-8B77-40CB-A0EE-C2087F8F86DB}" xr6:coauthVersionLast="47" xr6:coauthVersionMax="47" xr10:uidLastSave="{00000000-0000-0000-0000-000000000000}"/>
  <bookViews>
    <workbookView xWindow="-120" yWindow="-120" windowWidth="20730" windowHeight="11040" firstSheet="1" activeTab="3" xr2:uid="{874EE092-DFBE-4733-8E84-3FB786537FDD}"/>
  </bookViews>
  <sheets>
    <sheet name="HABLAVAO_cronograma_PMBAgil" sheetId="1" state="hidden" r:id="rId1"/>
    <sheet name="Gantt" sheetId="5" r:id="rId2"/>
    <sheet name="Epics" sheetId="2" r:id="rId3"/>
    <sheet name="Backlog" sheetId="4" r:id="rId4"/>
  </sheets>
  <definedNames>
    <definedName name="_xlnm._FilterDatabase" localSheetId="3" hidden="1">Backlog!$A$1:$I$24</definedName>
    <definedName name="Hoy" localSheetId="1">TODAY()</definedName>
    <definedName name="Incremento_de_desplazamiento" localSheetId="1">Gantt!$C$7</definedName>
    <definedName name="Inicio_del_proyecto" localSheetId="1">Gantt!$C$6</definedName>
    <definedName name="_xlnm.Print_Titles" localSheetId="1">Gantt!$6:$9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5" l="1"/>
  <c r="H32" i="5"/>
  <c r="E41" i="5"/>
  <c r="E32" i="5"/>
  <c r="E11" i="5"/>
  <c r="H11" i="5"/>
  <c r="G12" i="5"/>
  <c r="F13" i="5" s="1"/>
  <c r="H25" i="5"/>
  <c r="E25" i="5"/>
  <c r="F11" i="5"/>
  <c r="F10" i="5" s="1"/>
  <c r="KX9" i="5"/>
  <c r="KW9" i="5"/>
  <c r="KV9" i="5"/>
  <c r="KU9" i="5"/>
  <c r="KT9" i="5"/>
  <c r="KS9" i="5"/>
  <c r="KR9" i="5"/>
  <c r="KQ9" i="5"/>
  <c r="KP9" i="5"/>
  <c r="KO9" i="5"/>
  <c r="KN9" i="5"/>
  <c r="KM9" i="5"/>
  <c r="KL9" i="5"/>
  <c r="KK9" i="5"/>
  <c r="KJ9" i="5"/>
  <c r="KI9" i="5"/>
  <c r="KH9" i="5"/>
  <c r="KG9" i="5"/>
  <c r="KF9" i="5"/>
  <c r="KE9" i="5"/>
  <c r="KD9" i="5"/>
  <c r="KC9" i="5"/>
  <c r="KB9" i="5"/>
  <c r="KA9" i="5"/>
  <c r="JZ9" i="5"/>
  <c r="JY9" i="5"/>
  <c r="JX9" i="5"/>
  <c r="JW9" i="5"/>
  <c r="JV9" i="5"/>
  <c r="JU9" i="5"/>
  <c r="JT9" i="5"/>
  <c r="JS9" i="5"/>
  <c r="JR9" i="5"/>
  <c r="JQ9" i="5"/>
  <c r="JP9" i="5"/>
  <c r="JO9" i="5"/>
  <c r="JN9" i="5"/>
  <c r="JM9" i="5"/>
  <c r="JL9" i="5"/>
  <c r="JK9" i="5"/>
  <c r="JJ9" i="5"/>
  <c r="JI9" i="5"/>
  <c r="JH9" i="5"/>
  <c r="JG9" i="5"/>
  <c r="JF9" i="5"/>
  <c r="JE9" i="5"/>
  <c r="JD9" i="5"/>
  <c r="JC9" i="5"/>
  <c r="JB9" i="5"/>
  <c r="JA9" i="5"/>
  <c r="IZ9" i="5"/>
  <c r="IY9" i="5"/>
  <c r="IX9" i="5"/>
  <c r="IW9" i="5"/>
  <c r="IV9" i="5"/>
  <c r="IU9" i="5"/>
  <c r="IT9" i="5"/>
  <c r="IS9" i="5"/>
  <c r="IR9" i="5"/>
  <c r="IQ9" i="5"/>
  <c r="IP9" i="5"/>
  <c r="IO9" i="5"/>
  <c r="IN9" i="5"/>
  <c r="IM9" i="5"/>
  <c r="IL9" i="5"/>
  <c r="IK9" i="5"/>
  <c r="IJ9" i="5"/>
  <c r="II9" i="5"/>
  <c r="IH9" i="5"/>
  <c r="IG9" i="5"/>
  <c r="IF9" i="5"/>
  <c r="IE9" i="5"/>
  <c r="ID9" i="5"/>
  <c r="IC9" i="5"/>
  <c r="IB9" i="5"/>
  <c r="IA9" i="5"/>
  <c r="HZ9" i="5"/>
  <c r="HY9" i="5"/>
  <c r="HX9" i="5"/>
  <c r="HW9" i="5"/>
  <c r="HV9" i="5"/>
  <c r="HU9" i="5"/>
  <c r="HT9" i="5"/>
  <c r="HS9" i="5"/>
  <c r="HR9" i="5"/>
  <c r="HQ9" i="5"/>
  <c r="HP9" i="5"/>
  <c r="HO9" i="5"/>
  <c r="HN9" i="5"/>
  <c r="HM9" i="5"/>
  <c r="HL9" i="5"/>
  <c r="HK9" i="5"/>
  <c r="HJ9" i="5"/>
  <c r="HI9" i="5"/>
  <c r="HH9" i="5"/>
  <c r="HG9" i="5"/>
  <c r="HF9" i="5"/>
  <c r="HE9" i="5"/>
  <c r="HD9" i="5"/>
  <c r="HC9" i="5"/>
  <c r="HB9" i="5"/>
  <c r="HA9" i="5"/>
  <c r="GZ9" i="5"/>
  <c r="GY9" i="5"/>
  <c r="GX9" i="5"/>
  <c r="GW9" i="5"/>
  <c r="GV9" i="5"/>
  <c r="GU9" i="5"/>
  <c r="GT9" i="5"/>
  <c r="GS9" i="5"/>
  <c r="GR9" i="5"/>
  <c r="GQ9" i="5"/>
  <c r="GP9" i="5"/>
  <c r="GO9" i="5"/>
  <c r="GN9" i="5"/>
  <c r="GM9" i="5"/>
  <c r="GL9" i="5"/>
  <c r="GK9" i="5"/>
  <c r="GJ9" i="5"/>
  <c r="GI9" i="5"/>
  <c r="GH9" i="5"/>
  <c r="GG9" i="5"/>
  <c r="GF9" i="5"/>
  <c r="GE9" i="5"/>
  <c r="GD9" i="5"/>
  <c r="GC9" i="5"/>
  <c r="GB9" i="5"/>
  <c r="GA9" i="5"/>
  <c r="FZ9" i="5"/>
  <c r="FY9" i="5"/>
  <c r="FX9" i="5"/>
  <c r="FW9" i="5"/>
  <c r="FV9" i="5"/>
  <c r="FU9" i="5"/>
  <c r="FT9" i="5"/>
  <c r="FS9" i="5"/>
  <c r="FR9" i="5"/>
  <c r="FQ9" i="5"/>
  <c r="FP9" i="5"/>
  <c r="FO9" i="5"/>
  <c r="FN9" i="5"/>
  <c r="FM9" i="5"/>
  <c r="FL9" i="5"/>
  <c r="FK9" i="5"/>
  <c r="FJ9" i="5"/>
  <c r="FI9" i="5"/>
  <c r="FH9" i="5"/>
  <c r="FG9" i="5"/>
  <c r="FF9" i="5"/>
  <c r="FE9" i="5"/>
  <c r="FD9" i="5"/>
  <c r="FC9" i="5"/>
  <c r="FB9" i="5"/>
  <c r="FA9" i="5"/>
  <c r="EZ9" i="5"/>
  <c r="EY9" i="5"/>
  <c r="EX9" i="5"/>
  <c r="EW9" i="5"/>
  <c r="EV9" i="5"/>
  <c r="EU9" i="5"/>
  <c r="ET9" i="5"/>
  <c r="ES9" i="5"/>
  <c r="ER9" i="5"/>
  <c r="EQ9" i="5"/>
  <c r="EP9" i="5"/>
  <c r="EO9" i="5"/>
  <c r="EN9" i="5"/>
  <c r="EM9" i="5"/>
  <c r="EL9" i="5"/>
  <c r="EK9" i="5"/>
  <c r="EJ9" i="5"/>
  <c r="EI9" i="5"/>
  <c r="EH9" i="5"/>
  <c r="EG9" i="5"/>
  <c r="EF9" i="5"/>
  <c r="EE9" i="5"/>
  <c r="ED9" i="5"/>
  <c r="EC9" i="5"/>
  <c r="EB9" i="5"/>
  <c r="EA9" i="5"/>
  <c r="DZ9" i="5"/>
  <c r="DY9" i="5"/>
  <c r="DX9" i="5"/>
  <c r="DW9" i="5"/>
  <c r="DV9" i="5"/>
  <c r="DU9" i="5"/>
  <c r="DT9" i="5"/>
  <c r="DS9" i="5"/>
  <c r="DR9" i="5"/>
  <c r="DQ9" i="5"/>
  <c r="DP9" i="5"/>
  <c r="DO9" i="5"/>
  <c r="DN9" i="5"/>
  <c r="DM9" i="5"/>
  <c r="DL9" i="5"/>
  <c r="DK9" i="5"/>
  <c r="DJ9" i="5"/>
  <c r="DI9" i="5"/>
  <c r="DH9" i="5"/>
  <c r="DG9" i="5"/>
  <c r="DF9" i="5"/>
  <c r="DE9" i="5"/>
  <c r="DD9" i="5"/>
  <c r="DC9" i="5"/>
  <c r="DB9" i="5"/>
  <c r="DA9" i="5"/>
  <c r="CZ9" i="5"/>
  <c r="CY9" i="5"/>
  <c r="CX9" i="5"/>
  <c r="CW9" i="5"/>
  <c r="CV9" i="5"/>
  <c r="CU9" i="5"/>
  <c r="CT9" i="5"/>
  <c r="CS9" i="5"/>
  <c r="CR9" i="5"/>
  <c r="CQ9" i="5"/>
  <c r="CP9" i="5"/>
  <c r="CO9" i="5"/>
  <c r="CN9" i="5"/>
  <c r="CM9" i="5"/>
  <c r="CL9" i="5"/>
  <c r="CK9" i="5"/>
  <c r="CJ9"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IZ13" i="5" l="1"/>
  <c r="JA13" i="5"/>
  <c r="Z13" i="5"/>
  <c r="JB13" i="5"/>
  <c r="FP13" i="5"/>
  <c r="AA13" i="5"/>
  <c r="JR13" i="5"/>
  <c r="FO13" i="5"/>
  <c r="CL13" i="5"/>
  <c r="CM13" i="5"/>
  <c r="IP13" i="5"/>
  <c r="IU13" i="5"/>
  <c r="IW13" i="5"/>
  <c r="CP13" i="5"/>
  <c r="DI13" i="5"/>
  <c r="CR13" i="5"/>
  <c r="GO13" i="5"/>
  <c r="GM13" i="5"/>
  <c r="FR13" i="5"/>
  <c r="Q13" i="5"/>
  <c r="AI13" i="5"/>
  <c r="DG13" i="5"/>
  <c r="FQ13" i="5"/>
  <c r="HX13" i="5"/>
  <c r="KU13" i="5"/>
  <c r="BE13" i="5"/>
  <c r="DQ13" i="5"/>
  <c r="FW13" i="5"/>
  <c r="IQ13" i="5"/>
  <c r="AG13" i="5"/>
  <c r="DR13" i="5"/>
  <c r="GQ13" i="5"/>
  <c r="JS13" i="5"/>
  <c r="AO13" i="5"/>
  <c r="EX13" i="5"/>
  <c r="DT13" i="5"/>
  <c r="GW13" i="5"/>
  <c r="JT13" i="5"/>
  <c r="BS13" i="5"/>
  <c r="CJ13" i="5"/>
  <c r="BF13" i="5"/>
  <c r="EK13" i="5"/>
  <c r="GZ13" i="5"/>
  <c r="JU13" i="5"/>
  <c r="BG13" i="5"/>
  <c r="EN13" i="5"/>
  <c r="HQ13" i="5"/>
  <c r="JY13" i="5"/>
  <c r="BJ13" i="5"/>
  <c r="EO13" i="5"/>
  <c r="HR13" i="5"/>
  <c r="KP13" i="5"/>
  <c r="EP13" i="5"/>
  <c r="HT13" i="5"/>
  <c r="KX13" i="5"/>
  <c r="HU13" i="5"/>
  <c r="E24" i="5"/>
  <c r="H24" i="5"/>
  <c r="H10" i="5" s="1"/>
  <c r="KO13" i="5"/>
  <c r="JQ13" i="5"/>
  <c r="IO13" i="5"/>
  <c r="HN13" i="5"/>
  <c r="GK13" i="5"/>
  <c r="FF13" i="5"/>
  <c r="EI13" i="5"/>
  <c r="DF13" i="5"/>
  <c r="CF13" i="5"/>
  <c r="BC13" i="5"/>
  <c r="Y13" i="5"/>
  <c r="KN13" i="5"/>
  <c r="JP13" i="5"/>
  <c r="IM13" i="5"/>
  <c r="HH13" i="5"/>
  <c r="GH13" i="5"/>
  <c r="FE13" i="5"/>
  <c r="EG13" i="5"/>
  <c r="DE13" i="5"/>
  <c r="CA13" i="5"/>
  <c r="AZ13" i="5"/>
  <c r="V13" i="5"/>
  <c r="KL13" i="5"/>
  <c r="JN13" i="5"/>
  <c r="IJ13" i="5"/>
  <c r="HF13" i="5"/>
  <c r="GG13" i="5"/>
  <c r="FD13" i="5"/>
  <c r="EF13" i="5"/>
  <c r="DC13" i="5"/>
  <c r="BZ13" i="5"/>
  <c r="AY13" i="5"/>
  <c r="S13" i="5"/>
  <c r="KK13" i="5"/>
  <c r="JG13" i="5"/>
  <c r="IF13" i="5"/>
  <c r="HE13" i="5"/>
  <c r="GE13" i="5"/>
  <c r="FC13" i="5"/>
  <c r="EA13" i="5"/>
  <c r="DB13" i="5"/>
  <c r="BY13" i="5"/>
  <c r="AS13" i="5"/>
  <c r="R13" i="5"/>
  <c r="KH13" i="5"/>
  <c r="JD13" i="5"/>
  <c r="IE13" i="5"/>
  <c r="HB13" i="5"/>
  <c r="GA13" i="5"/>
  <c r="FB13" i="5"/>
  <c r="DW13" i="5"/>
  <c r="DA13" i="5"/>
  <c r="BV13" i="5"/>
  <c r="AQ13" i="5"/>
  <c r="P13" i="5"/>
  <c r="KE13" i="5"/>
  <c r="JC13" i="5"/>
  <c r="HZ13" i="5"/>
  <c r="HA13" i="5"/>
  <c r="FZ13" i="5"/>
  <c r="FA13" i="5"/>
  <c r="DV13" i="5"/>
  <c r="CY13" i="5"/>
  <c r="BT13" i="5"/>
  <c r="AP13" i="5"/>
  <c r="L13" i="5"/>
  <c r="JW13" i="5"/>
  <c r="HW13" i="5"/>
  <c r="GX13" i="5"/>
  <c r="FU13" i="5"/>
  <c r="EQ13" i="5"/>
  <c r="DS13" i="5"/>
  <c r="CQ13" i="5"/>
  <c r="BQ13" i="5"/>
  <c r="AJ13" i="5"/>
  <c r="KG13" i="5"/>
  <c r="JE13" i="5"/>
  <c r="IG13" i="5"/>
  <c r="HG13" i="5"/>
  <c r="GJ13" i="5"/>
  <c r="FJ13" i="5"/>
  <c r="EM13" i="5"/>
  <c r="DP13" i="5"/>
  <c r="CO13" i="5"/>
  <c r="BO13" i="5"/>
  <c r="AL13" i="5"/>
  <c r="J13" i="5"/>
  <c r="KF13" i="5"/>
  <c r="JF13" i="5"/>
  <c r="IK13" i="5"/>
  <c r="HO13" i="5"/>
  <c r="GP13" i="5"/>
  <c r="FS13" i="5"/>
  <c r="EZ13" i="5"/>
  <c r="DZ13" i="5"/>
  <c r="DD13" i="5"/>
  <c r="CI13" i="5"/>
  <c r="BI13" i="5"/>
  <c r="AN13" i="5"/>
  <c r="M13" i="5"/>
  <c r="AC13" i="5"/>
  <c r="AT13" i="5"/>
  <c r="BL13" i="5"/>
  <c r="CC13" i="5"/>
  <c r="CS13" i="5"/>
  <c r="DJ13" i="5"/>
  <c r="EB13" i="5"/>
  <c r="ES13" i="5"/>
  <c r="FK13" i="5"/>
  <c r="GB13" i="5"/>
  <c r="GS13" i="5"/>
  <c r="HJ13" i="5"/>
  <c r="IA13" i="5"/>
  <c r="IR13" i="5"/>
  <c r="JH13" i="5"/>
  <c r="KA13" i="5"/>
  <c r="KQ13" i="5"/>
  <c r="N13" i="5"/>
  <c r="AD13" i="5"/>
  <c r="AV13" i="5"/>
  <c r="BM13" i="5"/>
  <c r="CD13" i="5"/>
  <c r="CT13" i="5"/>
  <c r="DM13" i="5"/>
  <c r="ED13" i="5"/>
  <c r="ET13" i="5"/>
  <c r="FM13" i="5"/>
  <c r="GC13" i="5"/>
  <c r="GT13" i="5"/>
  <c r="HK13" i="5"/>
  <c r="IC13" i="5"/>
  <c r="IS13" i="5"/>
  <c r="JJ13" i="5"/>
  <c r="KB13" i="5"/>
  <c r="KR13" i="5"/>
  <c r="O13" i="5"/>
  <c r="AE13" i="5"/>
  <c r="AW13" i="5"/>
  <c r="BN13" i="5"/>
  <c r="CE13" i="5"/>
  <c r="CV13" i="5"/>
  <c r="DO13" i="5"/>
  <c r="EE13" i="5"/>
  <c r="EW13" i="5"/>
  <c r="FN13" i="5"/>
  <c r="GD13" i="5"/>
  <c r="GU13" i="5"/>
  <c r="HM13" i="5"/>
  <c r="ID13" i="5"/>
  <c r="IT13" i="5"/>
  <c r="JK13" i="5"/>
  <c r="KC13" i="5"/>
  <c r="KT13" i="5"/>
  <c r="BW13" i="5"/>
  <c r="BA13" i="5"/>
  <c r="AB13" i="5"/>
  <c r="G13" i="5"/>
  <c r="F14" i="5" s="1"/>
  <c r="G14" i="5" s="1"/>
  <c r="F15" i="5" s="1"/>
  <c r="G15" i="5" s="1"/>
  <c r="F16" i="5" s="1"/>
  <c r="G16" i="5" s="1"/>
  <c r="F17" i="5" s="1"/>
  <c r="G17" i="5" s="1"/>
  <c r="F18" i="5" s="1"/>
  <c r="G18" i="5" s="1"/>
  <c r="F19" i="5" s="1"/>
  <c r="T13" i="5"/>
  <c r="AF13" i="5"/>
  <c r="AR13" i="5"/>
  <c r="BD13" i="5"/>
  <c r="BP13" i="5"/>
  <c r="CB13" i="5"/>
  <c r="CN13" i="5"/>
  <c r="CZ13" i="5"/>
  <c r="DL13" i="5"/>
  <c r="DX13" i="5"/>
  <c r="EJ13" i="5"/>
  <c r="EV13" i="5"/>
  <c r="FH13" i="5"/>
  <c r="FT13" i="5"/>
  <c r="GF13" i="5"/>
  <c r="GR13" i="5"/>
  <c r="HD13" i="5"/>
  <c r="HP13" i="5"/>
  <c r="IB13" i="5"/>
  <c r="IN13" i="5"/>
  <c r="JL13" i="5"/>
  <c r="JX13" i="5"/>
  <c r="KJ13" i="5"/>
  <c r="KV13" i="5"/>
  <c r="U13" i="5"/>
  <c r="AH13" i="5"/>
  <c r="AU13" i="5"/>
  <c r="BH13" i="5"/>
  <c r="BU13" i="5"/>
  <c r="CH13" i="5"/>
  <c r="CU13" i="5"/>
  <c r="DH13" i="5"/>
  <c r="DU13" i="5"/>
  <c r="EH13" i="5"/>
  <c r="EU13" i="5"/>
  <c r="FI13" i="5"/>
  <c r="FV13" i="5"/>
  <c r="GI13" i="5"/>
  <c r="GV13" i="5"/>
  <c r="HI13" i="5"/>
  <c r="HV13" i="5"/>
  <c r="II13" i="5"/>
  <c r="IV13" i="5"/>
  <c r="JI13" i="5"/>
  <c r="JV13" i="5"/>
  <c r="KI13" i="5"/>
  <c r="KW13" i="5"/>
  <c r="K13" i="5"/>
  <c r="X13" i="5"/>
  <c r="AK13" i="5"/>
  <c r="AX13" i="5"/>
  <c r="BK13" i="5"/>
  <c r="BX13" i="5"/>
  <c r="CK13" i="5"/>
  <c r="CX13" i="5"/>
  <c r="DK13" i="5"/>
  <c r="DY13" i="5"/>
  <c r="EL13" i="5"/>
  <c r="EY13" i="5"/>
  <c r="FL13" i="5"/>
  <c r="FY13" i="5"/>
  <c r="GL13" i="5"/>
  <c r="GY13" i="5"/>
  <c r="HL13" i="5"/>
  <c r="HY13" i="5"/>
  <c r="IL13" i="5"/>
  <c r="IY13" i="5"/>
  <c r="JM13" i="5"/>
  <c r="JZ13" i="5"/>
  <c r="KM13" i="5"/>
  <c r="KS13" i="5"/>
  <c r="KD13" i="5"/>
  <c r="JO13" i="5"/>
  <c r="IX13" i="5"/>
  <c r="IH13" i="5"/>
  <c r="HS13" i="5"/>
  <c r="HC13" i="5"/>
  <c r="GN13" i="5"/>
  <c r="FX13" i="5"/>
  <c r="FG13" i="5"/>
  <c r="ER13" i="5"/>
  <c r="EC13" i="5"/>
  <c r="DN13" i="5"/>
  <c r="CW13" i="5"/>
  <c r="CG13" i="5"/>
  <c r="BR13" i="5"/>
  <c r="BB13" i="5"/>
  <c r="AM13" i="5"/>
  <c r="W13" i="5"/>
  <c r="E10" i="5" l="1"/>
  <c r="G19" i="5"/>
  <c r="F21" i="5" s="1"/>
  <c r="G21" i="5" l="1"/>
  <c r="F22" i="5" s="1"/>
  <c r="G22" i="5" s="1"/>
  <c r="F23" i="5" s="1"/>
  <c r="G23" i="5" s="1"/>
  <c r="G11" i="5" s="1"/>
  <c r="F26" i="5" s="1"/>
  <c r="F20" i="5"/>
  <c r="KG20" i="5" s="1"/>
  <c r="U20" i="5"/>
  <c r="IQ20" i="5"/>
  <c r="JA20" i="5" l="1"/>
  <c r="DM20" i="5"/>
  <c r="IG20" i="5"/>
  <c r="IL20" i="5"/>
  <c r="IH20" i="5"/>
  <c r="HN20" i="5"/>
  <c r="HV20" i="5"/>
  <c r="JX20" i="5"/>
  <c r="AX20" i="5"/>
  <c r="FK20" i="5"/>
  <c r="CC20" i="5"/>
  <c r="AG20" i="5"/>
  <c r="DP20" i="5"/>
  <c r="HD20" i="5"/>
  <c r="N20" i="5"/>
  <c r="IE20" i="5"/>
  <c r="GF20" i="5"/>
  <c r="JN20" i="5"/>
  <c r="CQ20" i="5"/>
  <c r="BW20" i="5"/>
  <c r="KF20" i="5"/>
  <c r="BQ20" i="5"/>
  <c r="AJ20" i="5"/>
  <c r="JM20" i="5"/>
  <c r="EA20" i="5"/>
  <c r="CT20" i="5"/>
  <c r="FW20" i="5"/>
  <c r="DN20" i="5"/>
  <c r="EZ20" i="5"/>
  <c r="V20" i="5"/>
  <c r="HW20" i="5"/>
  <c r="DA20" i="5"/>
  <c r="JY20" i="5"/>
  <c r="JD20" i="5"/>
  <c r="HH20" i="5"/>
  <c r="BM20" i="5"/>
  <c r="DO20" i="5"/>
  <c r="GD20" i="5"/>
  <c r="HR20" i="5"/>
  <c r="EU20" i="5"/>
  <c r="IV20" i="5"/>
  <c r="GB20" i="5"/>
  <c r="DL20" i="5"/>
  <c r="EI20" i="5"/>
  <c r="DG20" i="5"/>
  <c r="BP20" i="5"/>
  <c r="BG20" i="5"/>
  <c r="GI20" i="5"/>
  <c r="CP20" i="5"/>
  <c r="CB20" i="5"/>
  <c r="BK20" i="5"/>
  <c r="AW20" i="5"/>
  <c r="KD20" i="5"/>
  <c r="AA20" i="5"/>
  <c r="HA20" i="5"/>
  <c r="GH20" i="5"/>
  <c r="HX20" i="5"/>
  <c r="IJ20" i="5"/>
  <c r="X20" i="5"/>
  <c r="JL20" i="5"/>
  <c r="KO20" i="5"/>
  <c r="GO20" i="5"/>
  <c r="FB20" i="5"/>
  <c r="BE20" i="5"/>
  <c r="CU20" i="5"/>
  <c r="HC20" i="5"/>
  <c r="DW20" i="5"/>
  <c r="CX20" i="5"/>
  <c r="KE20" i="5"/>
  <c r="JO20" i="5"/>
  <c r="FE20" i="5"/>
  <c r="T20" i="5"/>
  <c r="BJ20" i="5"/>
  <c r="FU20" i="5"/>
  <c r="BR20" i="5"/>
  <c r="BL20" i="5"/>
  <c r="KH20" i="5"/>
  <c r="IR20" i="5"/>
  <c r="JB20" i="5"/>
  <c r="EG20" i="5"/>
  <c r="FT20" i="5"/>
  <c r="EJ20" i="5"/>
  <c r="EP20" i="5"/>
  <c r="EL20" i="5"/>
  <c r="HG20" i="5"/>
  <c r="CD20" i="5"/>
  <c r="AZ20" i="5"/>
  <c r="EX20" i="5"/>
  <c r="HL20" i="5"/>
  <c r="EW20" i="5"/>
  <c r="J20" i="5"/>
  <c r="BD20" i="5"/>
  <c r="AM20" i="5"/>
  <c r="IS20" i="5"/>
  <c r="KT20" i="5"/>
  <c r="GG20" i="5"/>
  <c r="DK20" i="5"/>
  <c r="BB20" i="5"/>
  <c r="IC20" i="5"/>
  <c r="AU20" i="5"/>
  <c r="Z20" i="5"/>
  <c r="W20" i="5"/>
  <c r="JV20" i="5"/>
  <c r="KL20" i="5"/>
  <c r="KK20" i="5"/>
  <c r="ID20" i="5"/>
  <c r="BO20" i="5"/>
  <c r="AQ20" i="5"/>
  <c r="BN20" i="5"/>
  <c r="DI20" i="5"/>
  <c r="CW20" i="5"/>
  <c r="CR20" i="5"/>
  <c r="IN20" i="5"/>
  <c r="II20" i="5"/>
  <c r="BH20" i="5"/>
  <c r="GV20" i="5"/>
  <c r="FY20" i="5"/>
  <c r="HK20" i="5"/>
  <c r="CG20" i="5"/>
  <c r="Y20" i="5"/>
  <c r="GR20" i="5"/>
  <c r="KB20" i="5"/>
  <c r="EY20" i="5"/>
  <c r="GX20" i="5"/>
  <c r="HF20" i="5"/>
  <c r="AN20" i="5"/>
  <c r="KQ20" i="5"/>
  <c r="HT20" i="5"/>
  <c r="JT20" i="5"/>
  <c r="AF20" i="5"/>
  <c r="DT20" i="5"/>
  <c r="IT20" i="5"/>
  <c r="KX20" i="5"/>
  <c r="CZ20" i="5"/>
  <c r="JR20" i="5"/>
  <c r="P20" i="5"/>
  <c r="IO20" i="5"/>
  <c r="CK20" i="5"/>
  <c r="L20" i="5"/>
  <c r="CY20" i="5"/>
  <c r="DS20" i="5"/>
  <c r="JC20" i="5"/>
  <c r="AP20" i="5"/>
  <c r="JE20" i="5"/>
  <c r="FA20" i="5"/>
  <c r="BY20" i="5"/>
  <c r="AT20" i="5"/>
  <c r="KN20" i="5"/>
  <c r="JW20" i="5"/>
  <c r="ET20" i="5"/>
  <c r="BI20" i="5"/>
  <c r="R20" i="5"/>
  <c r="FI20" i="5"/>
  <c r="GU20" i="5"/>
  <c r="KJ20" i="5"/>
  <c r="AB20" i="5"/>
  <c r="FL20" i="5"/>
  <c r="JQ20" i="5"/>
  <c r="HE20" i="5"/>
  <c r="CN20" i="5"/>
  <c r="G20" i="5"/>
  <c r="HY20" i="5"/>
  <c r="GN20" i="5"/>
  <c r="DD20" i="5"/>
  <c r="BF20" i="5"/>
  <c r="KW20" i="5"/>
  <c r="DB20" i="5"/>
  <c r="EK20" i="5"/>
  <c r="CH20" i="5"/>
  <c r="IF20" i="5"/>
  <c r="O20" i="5"/>
  <c r="CS20" i="5"/>
  <c r="EC20" i="5"/>
  <c r="JH20" i="5"/>
  <c r="KU20" i="5"/>
  <c r="EE20" i="5"/>
  <c r="BX20" i="5"/>
  <c r="DZ20" i="5"/>
  <c r="AO20" i="5"/>
  <c r="IK20" i="5"/>
  <c r="HB20" i="5"/>
  <c r="DQ20" i="5"/>
  <c r="BU20" i="5"/>
  <c r="DR20" i="5"/>
  <c r="FC20" i="5"/>
  <c r="DC20" i="5"/>
  <c r="IX20" i="5"/>
  <c r="AY20" i="5"/>
  <c r="FJ20" i="5"/>
  <c r="FM20" i="5"/>
  <c r="FO20" i="5"/>
  <c r="DJ20" i="5"/>
  <c r="BC20" i="5"/>
  <c r="BA20" i="5"/>
  <c r="IW20" i="5"/>
  <c r="HO20" i="5"/>
  <c r="EQ20" i="5"/>
  <c r="CJ20" i="5"/>
  <c r="EH20" i="5"/>
  <c r="GM20" i="5"/>
  <c r="AV20" i="5"/>
  <c r="EM20" i="5"/>
  <c r="JP20" i="5"/>
  <c r="CM20" i="5"/>
  <c r="GK20" i="5"/>
  <c r="HU20" i="5"/>
  <c r="AS20" i="5"/>
  <c r="GW20" i="5"/>
  <c r="JU20" i="5"/>
  <c r="HM20" i="5"/>
  <c r="JK20" i="5"/>
  <c r="BZ20" i="5"/>
  <c r="GY20" i="5"/>
  <c r="HZ20" i="5"/>
  <c r="KM20" i="5"/>
  <c r="CO20" i="5"/>
  <c r="DX20" i="5"/>
  <c r="FH20" i="5"/>
  <c r="GT20" i="5"/>
  <c r="HJ20" i="5"/>
  <c r="IA20" i="5"/>
  <c r="KI20" i="5"/>
  <c r="CL20" i="5"/>
  <c r="GQ20" i="5"/>
  <c r="FR20" i="5"/>
  <c r="GA20" i="5"/>
  <c r="M20" i="5"/>
  <c r="GC20" i="5"/>
  <c r="Q20" i="5"/>
  <c r="HP20" i="5"/>
  <c r="JZ20" i="5"/>
  <c r="DY20" i="5"/>
  <c r="GZ20" i="5"/>
  <c r="FS20" i="5"/>
  <c r="FP20" i="5"/>
  <c r="JF20" i="5"/>
  <c r="BT20" i="5"/>
  <c r="DF20" i="5"/>
  <c r="EO20" i="5"/>
  <c r="FG20" i="5"/>
  <c r="GP20" i="5"/>
  <c r="HI20" i="5"/>
  <c r="JS20" i="5"/>
  <c r="BV20" i="5"/>
  <c r="FZ20" i="5"/>
  <c r="FD20" i="5"/>
  <c r="FN20" i="5"/>
  <c r="FQ20" i="5"/>
  <c r="GJ20" i="5"/>
  <c r="S20" i="5"/>
  <c r="HS20" i="5"/>
  <c r="ER20" i="5"/>
  <c r="KV20" i="5"/>
  <c r="DH20" i="5"/>
  <c r="CV20" i="5"/>
  <c r="GL20" i="5"/>
  <c r="KC20" i="5"/>
  <c r="AI20" i="5"/>
  <c r="BS20" i="5"/>
  <c r="CI20" i="5"/>
  <c r="DV20" i="5"/>
  <c r="FF20" i="5"/>
  <c r="FV20" i="5"/>
  <c r="IM20" i="5"/>
  <c r="AR20" i="5"/>
  <c r="EF20" i="5"/>
  <c r="KR20" i="5"/>
  <c r="ED20" i="5"/>
  <c r="EN20" i="5"/>
  <c r="KS20" i="5"/>
  <c r="ES20" i="5"/>
  <c r="AC20" i="5"/>
  <c r="HQ20" i="5"/>
  <c r="KA20" i="5"/>
  <c r="IZ20" i="5"/>
  <c r="CE20" i="5"/>
  <c r="IP20" i="5"/>
  <c r="AK20" i="5"/>
  <c r="JG20" i="5"/>
  <c r="AL20" i="5"/>
  <c r="JJ20" i="5"/>
  <c r="KP20" i="5"/>
  <c r="EB20" i="5"/>
  <c r="IY20" i="5"/>
  <c r="AH20" i="5"/>
  <c r="DE20" i="5"/>
  <c r="FX20" i="5"/>
  <c r="IU20" i="5"/>
  <c r="AE20" i="5"/>
  <c r="CF20" i="5"/>
  <c r="GS20" i="5"/>
  <c r="K20" i="5"/>
  <c r="EV20" i="5"/>
  <c r="GE20" i="5"/>
  <c r="AD20" i="5"/>
  <c r="IB20" i="5"/>
  <c r="CA20" i="5"/>
  <c r="JI20" i="5"/>
  <c r="DU20" i="5"/>
  <c r="G26" i="5" l="1"/>
  <c r="F27" i="5" s="1"/>
  <c r="G27" i="5" s="1"/>
  <c r="F28" i="5" s="1"/>
  <c r="G28" i="5" s="1"/>
  <c r="F29" i="5" s="1"/>
  <c r="G29" i="5" s="1"/>
  <c r="F30" i="5" s="1"/>
  <c r="G30" i="5" s="1"/>
  <c r="F31" i="5" s="1"/>
  <c r="G31" i="5" s="1"/>
  <c r="G25" i="5" s="1"/>
  <c r="F25" i="5"/>
  <c r="IG25" i="5" l="1"/>
  <c r="CS25" i="5"/>
  <c r="EZ25" i="5"/>
  <c r="HP25" i="5"/>
  <c r="BA25" i="5"/>
  <c r="GZ25" i="5"/>
  <c r="AJ25" i="5"/>
  <c r="GI25" i="5"/>
  <c r="T25" i="5"/>
  <c r="KK25" i="5"/>
  <c r="BQ25" i="5"/>
  <c r="DU25" i="5"/>
  <c r="FV25" i="5"/>
  <c r="HX25" i="5"/>
  <c r="KB25" i="5"/>
  <c r="BG25" i="5"/>
  <c r="DO25" i="5"/>
  <c r="JD25" i="5"/>
  <c r="AF25" i="5"/>
  <c r="BE25" i="5"/>
  <c r="BD25" i="5"/>
  <c r="BC25" i="5"/>
  <c r="BB25" i="5"/>
  <c r="IY25" i="5"/>
  <c r="HU25" i="5"/>
  <c r="CG25" i="5"/>
  <c r="KN25" i="5"/>
  <c r="EM25" i="5"/>
  <c r="HB25" i="5"/>
  <c r="AL25" i="5"/>
  <c r="GL25" i="5"/>
  <c r="V25" i="5"/>
  <c r="FU25" i="5"/>
  <c r="JP25" i="5"/>
  <c r="AU25" i="5"/>
  <c r="CY25" i="5"/>
  <c r="FD25" i="5"/>
  <c r="HF25" i="5"/>
  <c r="JJ25" i="5"/>
  <c r="AP25" i="5"/>
  <c r="CW25" i="5"/>
  <c r="HS25" i="5"/>
  <c r="F24" i="5"/>
  <c r="R25" i="5"/>
  <c r="Q25" i="5"/>
  <c r="P25" i="5"/>
  <c r="KR25" i="5"/>
  <c r="HM25" i="5"/>
  <c r="JZ25" i="5"/>
  <c r="GV25" i="5"/>
  <c r="GW25" i="5"/>
  <c r="BI25" i="5"/>
  <c r="JN25" i="5"/>
  <c r="DM25" i="5"/>
  <c r="FX25" i="5"/>
  <c r="FI25" i="5"/>
  <c r="ES25" i="5"/>
  <c r="IF25" i="5"/>
  <c r="K25" i="5"/>
  <c r="KJ25" i="5"/>
  <c r="BP25" i="5"/>
  <c r="DR25" i="5"/>
  <c r="FS25" i="5"/>
  <c r="HW25" i="5"/>
  <c r="KE25" i="5"/>
  <c r="BJ25" i="5"/>
  <c r="ET25" i="5"/>
  <c r="GG25" i="5"/>
  <c r="EP25" i="5"/>
  <c r="HD25" i="5"/>
  <c r="O25" i="5"/>
  <c r="GK25" i="5"/>
  <c r="AW25" i="5"/>
  <c r="JA25" i="5"/>
  <c r="CZ25" i="5"/>
  <c r="FJ25" i="5"/>
  <c r="EU25" i="5"/>
  <c r="KT25" i="5"/>
  <c r="EE25" i="5"/>
  <c r="HK25" i="5"/>
  <c r="JO25" i="5"/>
  <c r="AT25" i="5"/>
  <c r="CX25" i="5"/>
  <c r="FB25" i="5"/>
  <c r="HE25" i="5"/>
  <c r="JL25" i="5"/>
  <c r="AR25" i="5"/>
  <c r="DI25" i="5"/>
  <c r="KP25" i="5"/>
  <c r="KS25" i="5"/>
  <c r="DJ25" i="5"/>
  <c r="DC25" i="5"/>
  <c r="FQ25" i="5"/>
  <c r="KO25" i="5"/>
  <c r="DE25" i="5"/>
  <c r="FN25" i="5"/>
  <c r="ID25" i="5"/>
  <c r="HO25" i="5"/>
  <c r="GX25" i="5"/>
  <c r="CI25" i="5"/>
  <c r="HJ25" i="5"/>
  <c r="AS25" i="5"/>
  <c r="IT25" i="5"/>
  <c r="CA25" i="5"/>
  <c r="HG25" i="5"/>
  <c r="KQ25" i="5"/>
  <c r="GE25" i="5"/>
  <c r="BS25" i="5"/>
  <c r="JX25" i="5"/>
  <c r="CL25" i="5"/>
  <c r="FH25" i="5"/>
  <c r="CO25" i="5"/>
  <c r="GP25" i="5"/>
  <c r="GF25" i="5"/>
  <c r="IK25" i="5"/>
  <c r="HT25" i="5"/>
  <c r="JQ25" i="5"/>
  <c r="AK25" i="5"/>
  <c r="EV25" i="5"/>
  <c r="EG25" i="5"/>
  <c r="DP25" i="5"/>
  <c r="FZ25" i="5"/>
  <c r="EI25" i="5"/>
  <c r="BV25" i="5"/>
  <c r="DH25" i="5"/>
  <c r="CJ25" i="5"/>
  <c r="BW25" i="5"/>
  <c r="IB25" i="5"/>
  <c r="KM25" i="5"/>
  <c r="FP25" i="5"/>
  <c r="HV25" i="5"/>
  <c r="Z25" i="5"/>
  <c r="CC25" i="5"/>
  <c r="JR25" i="5"/>
  <c r="GB25" i="5"/>
  <c r="J25" i="5"/>
  <c r="AQ25" i="5"/>
  <c r="IZ25" i="5"/>
  <c r="AO25" i="5"/>
  <c r="HN25" i="5"/>
  <c r="KI25" i="5"/>
  <c r="JT25" i="5"/>
  <c r="AH25" i="5"/>
  <c r="EY25" i="5"/>
  <c r="CR25" i="5"/>
  <c r="DK25" i="5"/>
  <c r="BF25" i="5"/>
  <c r="EO25" i="5"/>
  <c r="JU25" i="5"/>
  <c r="W25" i="5"/>
  <c r="EK25" i="5"/>
  <c r="EF25" i="5"/>
  <c r="S25" i="5"/>
  <c r="EC25" i="5"/>
  <c r="GN25" i="5"/>
  <c r="KD25" i="5"/>
  <c r="DL25" i="5"/>
  <c r="JB25" i="5"/>
  <c r="DQ25" i="5"/>
  <c r="GA25" i="5"/>
  <c r="IR25" i="5"/>
  <c r="IC25" i="5"/>
  <c r="HL25" i="5"/>
  <c r="DA25" i="5"/>
  <c r="JK25" i="5"/>
  <c r="CU25" i="5"/>
  <c r="HR25" i="5"/>
  <c r="GT25" i="5"/>
  <c r="AE25" i="5"/>
  <c r="AN25" i="5"/>
  <c r="KC25" i="5"/>
  <c r="BU25" i="5"/>
  <c r="DZ25" i="5"/>
  <c r="GM25" i="5"/>
  <c r="FW25" i="5"/>
  <c r="FG25" i="5"/>
  <c r="AD25" i="5"/>
  <c r="GR25" i="5"/>
  <c r="AB25" i="5"/>
  <c r="GO25" i="5"/>
  <c r="U25" i="5"/>
  <c r="ER25" i="5"/>
  <c r="DW25" i="5"/>
  <c r="CM25" i="5"/>
  <c r="FT25" i="5"/>
  <c r="GY25" i="5"/>
  <c r="AA25" i="5"/>
  <c r="FK25" i="5"/>
  <c r="JI25" i="5"/>
  <c r="KH25" i="5"/>
  <c r="HH25" i="5"/>
  <c r="EX25" i="5"/>
  <c r="AY25" i="5"/>
  <c r="JW25" i="5"/>
  <c r="IO25" i="5"/>
  <c r="KX25" i="5"/>
  <c r="BX25" i="5"/>
  <c r="JG25" i="5"/>
  <c r="IW25" i="5"/>
  <c r="IU25" i="5"/>
  <c r="FL25" i="5"/>
  <c r="EW25" i="5"/>
  <c r="JE25" i="5"/>
  <c r="Y25" i="5"/>
  <c r="BZ25" i="5"/>
  <c r="EH25" i="5"/>
  <c r="DS25" i="5"/>
  <c r="DB25" i="5"/>
  <c r="FE25" i="5"/>
  <c r="KG25" i="5"/>
  <c r="DN25" i="5"/>
  <c r="FC25" i="5"/>
  <c r="AI25" i="5"/>
  <c r="BT25" i="5"/>
  <c r="FO25" i="5"/>
  <c r="AX25" i="5"/>
  <c r="IS25" i="5"/>
  <c r="M25" i="5"/>
  <c r="BM25" i="5"/>
  <c r="DT25" i="5"/>
  <c r="DD25" i="5"/>
  <c r="CN25" i="5"/>
  <c r="EL25" i="5"/>
  <c r="JM25" i="5"/>
  <c r="CV25" i="5"/>
  <c r="KU25" i="5"/>
  <c r="EJ25" i="5"/>
  <c r="IL25" i="5"/>
  <c r="AG25" i="5"/>
  <c r="JY25" i="5"/>
  <c r="EA25" i="5"/>
  <c r="JV25" i="5"/>
  <c r="N25" i="5"/>
  <c r="IH25" i="5"/>
  <c r="HI25" i="5"/>
  <c r="KA25" i="5"/>
  <c r="AZ25" i="5"/>
  <c r="DF25" i="5"/>
  <c r="CP25" i="5"/>
  <c r="BY25" i="5"/>
  <c r="IX25" i="5"/>
  <c r="CH25" i="5"/>
  <c r="IV25" i="5"/>
  <c r="CD25" i="5"/>
  <c r="IP25" i="5"/>
  <c r="CE25" i="5"/>
  <c r="II25" i="5"/>
  <c r="HC25" i="5"/>
  <c r="GU25" i="5"/>
  <c r="IM25" i="5"/>
  <c r="FY25" i="5"/>
  <c r="IN25" i="5"/>
  <c r="AM25" i="5"/>
  <c r="CQ25" i="5"/>
  <c r="KV25" i="5"/>
  <c r="CB25" i="5"/>
  <c r="KF25" i="5"/>
  <c r="BK25" i="5"/>
  <c r="GS25" i="5"/>
  <c r="AC25" i="5"/>
  <c r="BH25" i="5"/>
  <c r="GJ25" i="5"/>
  <c r="ED25" i="5"/>
  <c r="FM25" i="5"/>
  <c r="IA25" i="5"/>
  <c r="KW25" i="5"/>
  <c r="BN25" i="5"/>
  <c r="AV25" i="5"/>
  <c r="FR25" i="5"/>
  <c r="GH25" i="5"/>
  <c r="EB25" i="5"/>
  <c r="DX25" i="5"/>
  <c r="CT25" i="5"/>
  <c r="FA25" i="5"/>
  <c r="L25" i="5"/>
  <c r="BO25" i="5"/>
  <c r="JC25" i="5"/>
  <c r="FF25" i="5"/>
  <c r="GQ25" i="5"/>
  <c r="X25" i="5"/>
  <c r="HQ25" i="5"/>
  <c r="CK25" i="5"/>
  <c r="KL25" i="5"/>
  <c r="HA25" i="5"/>
  <c r="JF25" i="5"/>
  <c r="EN25" i="5"/>
  <c r="GD25" i="5"/>
  <c r="IJ25" i="5"/>
  <c r="GC25" i="5"/>
  <c r="JH25" i="5"/>
  <c r="IQ25" i="5"/>
  <c r="HZ25" i="5"/>
  <c r="DV25" i="5"/>
  <c r="CF25" i="5"/>
  <c r="EQ25" i="5"/>
  <c r="JS25" i="5"/>
  <c r="BR25" i="5"/>
  <c r="IE25" i="5"/>
  <c r="BL25" i="5"/>
  <c r="HY25" i="5"/>
  <c r="DG25" i="5"/>
  <c r="DY25" i="5"/>
  <c r="F33" i="5"/>
  <c r="G33" i="5" l="1"/>
  <c r="F34" i="5" s="1"/>
  <c r="G34" i="5" s="1"/>
  <c r="F32" i="5"/>
  <c r="CP32" i="5" s="1"/>
  <c r="KD32" i="5" l="1"/>
  <c r="AG32" i="5"/>
  <c r="DB32" i="5"/>
  <c r="CN32" i="5"/>
  <c r="GB32" i="5"/>
  <c r="DU32" i="5"/>
  <c r="AW32" i="5"/>
  <c r="FY32" i="5"/>
  <c r="ED32" i="5"/>
  <c r="IC32" i="5"/>
  <c r="BF32" i="5"/>
  <c r="BP32" i="5"/>
  <c r="DG32" i="5"/>
  <c r="CX32" i="5"/>
  <c r="HZ32" i="5"/>
  <c r="AF32" i="5"/>
  <c r="GM32" i="5"/>
  <c r="EC32" i="5"/>
  <c r="BQ32" i="5"/>
  <c r="IZ32" i="5"/>
  <c r="GD32" i="5"/>
  <c r="HN32" i="5"/>
  <c r="AO32" i="5"/>
  <c r="DM32" i="5"/>
  <c r="CO32" i="5"/>
  <c r="FM32" i="5"/>
  <c r="EB32" i="5"/>
  <c r="FQ32" i="5"/>
  <c r="KW32" i="5"/>
  <c r="S32" i="5"/>
  <c r="BO32" i="5"/>
  <c r="JR32" i="5"/>
  <c r="AQ32" i="5"/>
  <c r="AP32" i="5"/>
  <c r="FV32" i="5"/>
  <c r="HH32" i="5"/>
  <c r="HJ32" i="5"/>
  <c r="FA32" i="5"/>
  <c r="HE32" i="5"/>
  <c r="JL32" i="5"/>
  <c r="IO32" i="5"/>
  <c r="CY32" i="5"/>
  <c r="KL32" i="5"/>
  <c r="X32" i="5"/>
  <c r="GC32" i="5"/>
  <c r="JF32" i="5"/>
  <c r="JI32" i="5"/>
  <c r="KA32" i="5"/>
  <c r="DZ32" i="5"/>
  <c r="FN32" i="5"/>
  <c r="Q32" i="5"/>
  <c r="W32" i="5"/>
  <c r="KS32" i="5"/>
  <c r="GL32" i="5"/>
  <c r="JQ32" i="5"/>
  <c r="GP32" i="5"/>
  <c r="GT32" i="5"/>
  <c r="DY32" i="5"/>
  <c r="P32" i="5"/>
  <c r="CM32" i="5"/>
  <c r="HG32" i="5"/>
  <c r="BJ32" i="5"/>
  <c r="DD32" i="5"/>
  <c r="FK32" i="5"/>
  <c r="BU32" i="5"/>
  <c r="GA32" i="5"/>
  <c r="AV32" i="5"/>
  <c r="AX32" i="5"/>
  <c r="CC32" i="5"/>
  <c r="BT32" i="5"/>
  <c r="CZ32" i="5"/>
  <c r="KN32" i="5"/>
  <c r="DT32" i="5"/>
  <c r="AU32" i="5"/>
  <c r="ID32" i="5"/>
  <c r="EL32" i="5"/>
  <c r="AC32" i="5"/>
  <c r="HP32" i="5"/>
  <c r="AH32" i="5"/>
  <c r="FX32" i="5"/>
  <c r="V32" i="5"/>
  <c r="KM32" i="5"/>
  <c r="FL32" i="5"/>
  <c r="JJ32" i="5"/>
  <c r="FU32" i="5"/>
  <c r="KF32" i="5"/>
  <c r="KU32" i="5"/>
  <c r="HW32" i="5"/>
  <c r="IQ32" i="5"/>
  <c r="JV32" i="5"/>
  <c r="J32" i="5"/>
  <c r="DE32" i="5"/>
  <c r="KP32" i="5"/>
  <c r="EA32" i="5"/>
  <c r="JE32" i="5"/>
  <c r="DA32" i="5"/>
  <c r="FB32" i="5"/>
  <c r="IT32" i="5"/>
  <c r="KC32" i="5"/>
  <c r="FF32" i="5"/>
  <c r="AD32" i="5"/>
  <c r="EG32" i="5"/>
  <c r="BH32" i="5"/>
  <c r="FO32" i="5"/>
  <c r="FE32" i="5"/>
  <c r="GG32" i="5"/>
  <c r="CF32" i="5"/>
  <c r="AR32" i="5"/>
  <c r="IV32" i="5"/>
  <c r="EH32" i="5"/>
  <c r="JN32" i="5"/>
  <c r="CJ32" i="5"/>
  <c r="IB32" i="5"/>
  <c r="JT32" i="5"/>
  <c r="EY32" i="5"/>
  <c r="GX32" i="5"/>
  <c r="GN32" i="5"/>
  <c r="HI32" i="5"/>
  <c r="BV32" i="5"/>
  <c r="EJ32" i="5"/>
  <c r="IW32" i="5"/>
  <c r="T32" i="5"/>
  <c r="DC32" i="5"/>
  <c r="BS32" i="5"/>
  <c r="IX32" i="5"/>
  <c r="FZ32" i="5"/>
  <c r="GZ32" i="5"/>
  <c r="L32" i="5"/>
  <c r="BX32" i="5"/>
  <c r="CA32" i="5"/>
  <c r="U32" i="5"/>
  <c r="DX32" i="5"/>
  <c r="HK32" i="5"/>
  <c r="JM32" i="5"/>
  <c r="AL32" i="5"/>
  <c r="DR32" i="5"/>
  <c r="IJ32" i="5"/>
  <c r="AJ32" i="5"/>
  <c r="KE32" i="5"/>
  <c r="FC32" i="5"/>
  <c r="HR32" i="5"/>
  <c r="IN32" i="5"/>
  <c r="AM32" i="5"/>
  <c r="JC32" i="5"/>
  <c r="HO32" i="5"/>
  <c r="KJ32" i="5"/>
  <c r="BG32" i="5"/>
  <c r="BC32" i="5"/>
  <c r="CT32" i="5"/>
  <c r="GJ32" i="5"/>
  <c r="CL32" i="5"/>
  <c r="FG32" i="5"/>
  <c r="BE32" i="5"/>
  <c r="IR32" i="5"/>
  <c r="EQ32" i="5"/>
  <c r="BA32" i="5"/>
  <c r="CU32" i="5"/>
  <c r="AZ32" i="5"/>
  <c r="JO32" i="5"/>
  <c r="EK32" i="5"/>
  <c r="CG32" i="5"/>
  <c r="DF32" i="5"/>
  <c r="FP32" i="5"/>
  <c r="KB32" i="5"/>
  <c r="GH32" i="5"/>
  <c r="ER32" i="5"/>
  <c r="HS32" i="5"/>
  <c r="IK32" i="5"/>
  <c r="DK32" i="5"/>
  <c r="CR32" i="5"/>
  <c r="IA32" i="5"/>
  <c r="KO32" i="5"/>
  <c r="KQ32" i="5"/>
  <c r="EI32" i="5"/>
  <c r="GE32" i="5"/>
  <c r="KK32" i="5"/>
  <c r="HM32" i="5"/>
  <c r="JY32" i="5"/>
  <c r="KR32" i="5"/>
  <c r="FI32" i="5"/>
  <c r="K32" i="5"/>
  <c r="CS32" i="5"/>
  <c r="AT32" i="5"/>
  <c r="BW32" i="5"/>
  <c r="KV32" i="5"/>
  <c r="IF32" i="5"/>
  <c r="KX32" i="5"/>
  <c r="GU32" i="5"/>
  <c r="CK32" i="5"/>
  <c r="EF32" i="5"/>
  <c r="GS32" i="5"/>
  <c r="Z32" i="5"/>
  <c r="JP32" i="5"/>
  <c r="GW32" i="5"/>
  <c r="CH32" i="5"/>
  <c r="GV32" i="5"/>
  <c r="EO32" i="5"/>
  <c r="II32" i="5"/>
  <c r="AK32" i="5"/>
  <c r="JK32" i="5"/>
  <c r="BM32" i="5"/>
  <c r="JW32" i="5"/>
  <c r="IG32" i="5"/>
  <c r="FS32" i="5"/>
  <c r="O32" i="5"/>
  <c r="JU32" i="5"/>
  <c r="IY32" i="5"/>
  <c r="BD32" i="5"/>
  <c r="DS32" i="5"/>
  <c r="HX32" i="5"/>
  <c r="CV32" i="5"/>
  <c r="IH32" i="5"/>
  <c r="AB32" i="5"/>
  <c r="IU32" i="5"/>
  <c r="EP32" i="5"/>
  <c r="FT32" i="5"/>
  <c r="Y32" i="5"/>
  <c r="JS32" i="5"/>
  <c r="AE32" i="5"/>
  <c r="EM32" i="5"/>
  <c r="BK32" i="5"/>
  <c r="IS32" i="5"/>
  <c r="EZ32" i="5"/>
  <c r="DP32" i="5"/>
  <c r="DQ32" i="5"/>
  <c r="AS32" i="5"/>
  <c r="EV32" i="5"/>
  <c r="CB32" i="5"/>
  <c r="GF32" i="5"/>
  <c r="DI32" i="5"/>
  <c r="GI32" i="5"/>
  <c r="BI32" i="5"/>
  <c r="FR32" i="5"/>
  <c r="FJ32" i="5"/>
  <c r="BY32" i="5"/>
  <c r="BR32" i="5"/>
  <c r="EN32" i="5"/>
  <c r="HD32" i="5"/>
  <c r="FD32" i="5"/>
  <c r="DW32" i="5"/>
  <c r="CI32" i="5"/>
  <c r="HQ32" i="5"/>
  <c r="M32" i="5"/>
  <c r="EU32" i="5"/>
  <c r="CW32" i="5"/>
  <c r="KH32" i="5"/>
  <c r="DJ32" i="5"/>
  <c r="GR32" i="5"/>
  <c r="BL32" i="5"/>
  <c r="IM32" i="5"/>
  <c r="JA32" i="5"/>
  <c r="ES32" i="5"/>
  <c r="JB32" i="5"/>
  <c r="AA32" i="5"/>
  <c r="EE32" i="5"/>
  <c r="CE32" i="5"/>
  <c r="GY32" i="5"/>
  <c r="EW32" i="5"/>
  <c r="GQ32" i="5"/>
  <c r="FH32" i="5"/>
  <c r="DV32" i="5"/>
  <c r="KT32" i="5"/>
  <c r="JH32" i="5"/>
  <c r="HA32" i="5"/>
  <c r="JG32" i="5"/>
  <c r="JZ32" i="5"/>
  <c r="HC32" i="5"/>
  <c r="EX32" i="5"/>
  <c r="HY32" i="5"/>
  <c r="DO32" i="5"/>
  <c r="IE32" i="5"/>
  <c r="BN32" i="5"/>
  <c r="BB32" i="5"/>
  <c r="HB32" i="5"/>
  <c r="HF32" i="5"/>
  <c r="CD32" i="5"/>
  <c r="IL32" i="5"/>
  <c r="JD32" i="5"/>
  <c r="BZ32" i="5"/>
  <c r="DH32" i="5"/>
  <c r="HV32" i="5"/>
  <c r="R32" i="5"/>
  <c r="DL32" i="5"/>
  <c r="IP32" i="5"/>
  <c r="FW32" i="5"/>
  <c r="GO32" i="5"/>
  <c r="HL32" i="5"/>
  <c r="GK32" i="5"/>
  <c r="KG32" i="5"/>
  <c r="DN32" i="5"/>
  <c r="N32" i="5"/>
  <c r="ET32" i="5"/>
  <c r="HU32" i="5"/>
  <c r="KI32" i="5"/>
  <c r="AI32" i="5"/>
  <c r="HT32" i="5"/>
  <c r="CQ32" i="5"/>
  <c r="AY32" i="5"/>
  <c r="AN32" i="5"/>
  <c r="JX32" i="5"/>
  <c r="F35" i="5"/>
  <c r="G35" i="5" s="1"/>
  <c r="F36" i="5" s="1"/>
  <c r="G36" i="5" s="1"/>
  <c r="F37" i="5" s="1"/>
  <c r="G37" i="5" s="1"/>
  <c r="F38" i="5" s="1"/>
  <c r="G38" i="5" s="1"/>
  <c r="F39" i="5" s="1"/>
  <c r="G39" i="5" s="1"/>
  <c r="F40" i="5" s="1"/>
  <c r="G40" i="5" s="1"/>
  <c r="G32" i="5" s="1"/>
  <c r="F42" i="5" s="1"/>
  <c r="G42" i="5" l="1"/>
  <c r="F43" i="5" s="1"/>
  <c r="G43" i="5" s="1"/>
  <c r="F44" i="5" s="1"/>
  <c r="G44" i="5" s="1"/>
  <c r="F45" i="5" s="1"/>
  <c r="G45" i="5" s="1"/>
  <c r="F46" i="5" s="1"/>
  <c r="G46" i="5" s="1"/>
  <c r="F47" i="5" s="1"/>
  <c r="G47" i="5" s="1"/>
  <c r="F48" i="5" s="1"/>
  <c r="G48" i="5" s="1"/>
  <c r="F49" i="5" s="1"/>
  <c r="G49" i="5" s="1"/>
  <c r="G41" i="5" s="1"/>
  <c r="F41" i="5"/>
  <c r="G24" i="5" l="1"/>
  <c r="G10" i="5"/>
  <c r="AD41" i="5"/>
  <c r="FR41" i="5"/>
  <c r="AY41" i="5"/>
  <c r="IK41" i="5"/>
  <c r="K41" i="5"/>
  <c r="JW41" i="5"/>
  <c r="IU41" i="5"/>
  <c r="JM41" i="5"/>
  <c r="IF41" i="5"/>
  <c r="BG41" i="5"/>
  <c r="KF41" i="5"/>
  <c r="GK41" i="5"/>
  <c r="HZ41" i="5"/>
  <c r="GV41" i="5"/>
  <c r="KU41" i="5"/>
  <c r="CF41" i="5"/>
  <c r="CL41" i="5"/>
  <c r="DG41" i="5"/>
  <c r="KE41" i="5"/>
  <c r="KO41" i="5"/>
  <c r="HY41" i="5"/>
  <c r="ES41" i="5"/>
  <c r="DA41" i="5"/>
  <c r="HX41" i="5"/>
  <c r="BO41" i="5"/>
  <c r="DI41" i="5"/>
  <c r="HI41" i="5"/>
  <c r="AR41" i="5"/>
  <c r="EF41" i="5"/>
  <c r="IV41" i="5"/>
  <c r="IP41" i="5"/>
  <c r="DX41" i="5"/>
  <c r="W41" i="5"/>
  <c r="GU41" i="5"/>
  <c r="BN41" i="5"/>
  <c r="HS41" i="5"/>
  <c r="FP41" i="5"/>
  <c r="AC41" i="5"/>
  <c r="R41" i="5"/>
  <c r="EI41" i="5"/>
  <c r="Z41" i="5"/>
  <c r="GY41" i="5"/>
  <c r="BJ41" i="5"/>
  <c r="HN41" i="5"/>
  <c r="IQ41" i="5"/>
  <c r="HU41" i="5"/>
  <c r="V41" i="5"/>
  <c r="AF41" i="5"/>
  <c r="JY41" i="5"/>
  <c r="EQ41" i="5"/>
  <c r="BY41" i="5"/>
  <c r="BC41" i="5"/>
  <c r="KK41" i="5"/>
  <c r="JO41" i="5"/>
  <c r="AI41" i="5"/>
  <c r="GB41" i="5"/>
  <c r="KL41" i="5"/>
  <c r="JT41" i="5"/>
  <c r="JH41" i="5"/>
  <c r="JN41" i="5"/>
  <c r="FN41" i="5"/>
  <c r="FC41" i="5"/>
  <c r="DT41" i="5"/>
  <c r="IM41" i="5"/>
  <c r="KW41" i="5"/>
  <c r="Y41" i="5"/>
  <c r="HP41" i="5"/>
  <c r="EH41" i="5"/>
  <c r="GN41" i="5"/>
  <c r="AO41" i="5"/>
  <c r="AW41" i="5"/>
  <c r="GE41" i="5"/>
  <c r="BA41" i="5"/>
  <c r="GH41" i="5"/>
  <c r="GD41" i="5"/>
  <c r="CA41" i="5"/>
  <c r="GQ41" i="5"/>
  <c r="EY41" i="5"/>
  <c r="CY41" i="5"/>
  <c r="HM41" i="5"/>
  <c r="KD41" i="5"/>
  <c r="FZ41" i="5"/>
  <c r="GF41" i="5"/>
  <c r="DV41" i="5"/>
  <c r="HA41" i="5"/>
  <c r="CT41" i="5"/>
  <c r="CN41" i="5"/>
  <c r="CS41" i="5"/>
  <c r="CM41" i="5"/>
  <c r="IR41" i="5"/>
  <c r="KG41" i="5"/>
  <c r="DM41" i="5"/>
  <c r="HJ41" i="5"/>
  <c r="AV41" i="5"/>
  <c r="DK41" i="5"/>
  <c r="HK41" i="5"/>
  <c r="CI41" i="5"/>
  <c r="IG41" i="5"/>
  <c r="AN41" i="5"/>
  <c r="JE41" i="5"/>
  <c r="IE41" i="5"/>
  <c r="X41" i="5"/>
  <c r="CC41" i="5"/>
  <c r="CD41" i="5"/>
  <c r="CQ41" i="5"/>
  <c r="JG41" i="5"/>
  <c r="BF41" i="5"/>
  <c r="FD41" i="5"/>
  <c r="IO41" i="5"/>
  <c r="Q41" i="5"/>
  <c r="GJ41" i="5"/>
  <c r="AU41" i="5"/>
  <c r="FK41" i="5"/>
  <c r="O41" i="5"/>
  <c r="DO41" i="5"/>
  <c r="KT41" i="5"/>
  <c r="FL41" i="5"/>
  <c r="EC41" i="5"/>
  <c r="FS41" i="5"/>
  <c r="DC41" i="5"/>
  <c r="AL41" i="5"/>
  <c r="CR41" i="5"/>
  <c r="DZ41" i="5"/>
  <c r="IL41" i="5"/>
  <c r="DS41" i="5"/>
  <c r="KV41" i="5"/>
  <c r="BK41" i="5"/>
  <c r="P41" i="5"/>
  <c r="HB41" i="5"/>
  <c r="DR41" i="5"/>
  <c r="FY41" i="5"/>
  <c r="ID41" i="5"/>
  <c r="GR41" i="5"/>
  <c r="CE41" i="5"/>
  <c r="KH41" i="5"/>
  <c r="IS41" i="5"/>
  <c r="EU41" i="5"/>
  <c r="KS41" i="5"/>
  <c r="AK41" i="5"/>
  <c r="IC41" i="5"/>
  <c r="IH41" i="5"/>
  <c r="AS41" i="5"/>
  <c r="JB41" i="5"/>
  <c r="AP41" i="5"/>
  <c r="AE41" i="5"/>
  <c r="KR41" i="5"/>
  <c r="BZ41" i="5"/>
  <c r="HF41" i="5"/>
  <c r="CO41" i="5"/>
  <c r="IX41" i="5"/>
  <c r="BQ41" i="5"/>
  <c r="FO41" i="5"/>
  <c r="EO41" i="5"/>
  <c r="CU41" i="5"/>
  <c r="GW41" i="5"/>
  <c r="BP41" i="5"/>
  <c r="DN41" i="5"/>
  <c r="BI41" i="5"/>
  <c r="KQ41" i="5"/>
  <c r="CX41" i="5"/>
  <c r="HR41" i="5"/>
  <c r="BX41" i="5"/>
  <c r="JL41" i="5"/>
  <c r="HG41" i="5"/>
  <c r="KP41" i="5"/>
  <c r="S41" i="5"/>
  <c r="AT41" i="5"/>
  <c r="IZ41" i="5"/>
  <c r="JZ41" i="5"/>
  <c r="HT41" i="5"/>
  <c r="EX41" i="5"/>
  <c r="EP41" i="5"/>
  <c r="JS41" i="5"/>
  <c r="IW41" i="5"/>
  <c r="JQ41" i="5"/>
  <c r="KA41" i="5"/>
  <c r="M41" i="5"/>
  <c r="IY41" i="5"/>
  <c r="BV41" i="5"/>
  <c r="AA41" i="5"/>
  <c r="CW41" i="5"/>
  <c r="FH41" i="5"/>
  <c r="T41" i="5"/>
  <c r="HH41" i="5"/>
  <c r="GA41" i="5"/>
  <c r="HL41" i="5"/>
  <c r="IB41" i="5"/>
  <c r="JD41" i="5"/>
  <c r="J41" i="5"/>
  <c r="CJ41" i="5"/>
  <c r="HW41" i="5"/>
  <c r="FJ41" i="5"/>
  <c r="EM41" i="5"/>
  <c r="JV41" i="5"/>
  <c r="KI41" i="5"/>
  <c r="JC41" i="5"/>
  <c r="HD41" i="5"/>
  <c r="FM41" i="5"/>
  <c r="AH41" i="5"/>
  <c r="HC41" i="5"/>
  <c r="KB41" i="5"/>
  <c r="II41" i="5"/>
  <c r="BE41" i="5"/>
  <c r="BB41" i="5"/>
  <c r="ET41" i="5"/>
  <c r="GC41" i="5"/>
  <c r="EW41" i="5"/>
  <c r="AG41" i="5"/>
  <c r="L41" i="5"/>
  <c r="DW41" i="5"/>
  <c r="EN41" i="5"/>
  <c r="BD41" i="5"/>
  <c r="EB41" i="5"/>
  <c r="AZ41" i="5"/>
  <c r="HV41" i="5"/>
  <c r="AB41" i="5"/>
  <c r="CK41" i="5"/>
  <c r="GI41" i="5"/>
  <c r="BH41" i="5"/>
  <c r="DQ41" i="5"/>
  <c r="FF41" i="5"/>
  <c r="AQ41" i="5"/>
  <c r="EG41" i="5"/>
  <c r="AM41" i="5"/>
  <c r="CV41" i="5"/>
  <c r="CH41" i="5"/>
  <c r="AX41" i="5"/>
  <c r="DL41" i="5"/>
  <c r="GT41" i="5"/>
  <c r="KJ41" i="5"/>
  <c r="BM41" i="5"/>
  <c r="GM41" i="5"/>
  <c r="N41" i="5"/>
  <c r="HO41" i="5"/>
  <c r="U41" i="5"/>
  <c r="GS41" i="5"/>
  <c r="JP41" i="5"/>
  <c r="GX41" i="5"/>
  <c r="BS41" i="5"/>
  <c r="EE41" i="5"/>
  <c r="CZ41" i="5"/>
  <c r="EJ41" i="5"/>
  <c r="FE41" i="5"/>
  <c r="DH41" i="5"/>
  <c r="JU41" i="5"/>
  <c r="HE41" i="5"/>
  <c r="EZ41" i="5"/>
  <c r="GO41" i="5"/>
  <c r="JI41" i="5"/>
  <c r="KX41" i="5"/>
  <c r="IN41" i="5"/>
  <c r="EL41" i="5"/>
  <c r="GZ41" i="5"/>
  <c r="JJ41" i="5"/>
  <c r="IA41" i="5"/>
  <c r="GG41" i="5"/>
  <c r="ED41" i="5"/>
  <c r="DD41" i="5"/>
  <c r="CG41" i="5"/>
  <c r="KC41" i="5"/>
  <c r="FX41" i="5"/>
  <c r="BL41" i="5"/>
  <c r="JF41" i="5"/>
  <c r="IJ41" i="5"/>
  <c r="FW41" i="5"/>
  <c r="BR41" i="5"/>
  <c r="JX41" i="5"/>
  <c r="BU41" i="5"/>
  <c r="GL41" i="5"/>
  <c r="ER41" i="5"/>
  <c r="FV41" i="5"/>
  <c r="DP41" i="5"/>
  <c r="AJ41" i="5"/>
  <c r="EA41" i="5"/>
  <c r="FG41" i="5"/>
  <c r="DB41" i="5"/>
  <c r="BW41" i="5"/>
  <c r="KM41" i="5"/>
  <c r="DJ41" i="5"/>
  <c r="CP41" i="5"/>
  <c r="KN41" i="5"/>
  <c r="DY41" i="5"/>
  <c r="EK41" i="5"/>
  <c r="JR41" i="5"/>
  <c r="FA41" i="5"/>
  <c r="FU41" i="5"/>
  <c r="IT41" i="5"/>
  <c r="FB41" i="5"/>
  <c r="BT41" i="5"/>
  <c r="HQ41" i="5"/>
  <c r="DE41" i="5"/>
  <c r="GP41" i="5"/>
  <c r="FQ41" i="5"/>
  <c r="JK41" i="5"/>
  <c r="FI41" i="5"/>
  <c r="DU41" i="5"/>
  <c r="EV41" i="5"/>
  <c r="FT41" i="5"/>
  <c r="JA41" i="5"/>
  <c r="CB41" i="5"/>
  <c r="DF41" i="5"/>
</calcChain>
</file>

<file path=xl/sharedStrings.xml><?xml version="1.0" encoding="utf-8"?>
<sst xmlns="http://schemas.openxmlformats.org/spreadsheetml/2006/main" count="699" uniqueCount="365">
  <si>
    <t>ID</t>
  </si>
  <si>
    <t>Tarea</t>
  </si>
  <si>
    <t>Inicio</t>
  </si>
  <si>
    <t>Fin</t>
  </si>
  <si>
    <t>Predecesoras</t>
  </si>
  <si>
    <t>Responsable</t>
  </si>
  <si>
    <t>Sprint/Etapa</t>
  </si>
  <si>
    <t>BI</t>
  </si>
  <si>
    <t>Identificar interesados y registro de stakeholders</t>
  </si>
  <si>
    <t>Stakeholders</t>
  </si>
  <si>
    <t>Definir alcance y EDT/WBS</t>
  </si>
  <si>
    <t>BI+Py</t>
  </si>
  <si>
    <t>Alcance</t>
  </si>
  <si>
    <t>Cronograma</t>
  </si>
  <si>
    <t>Plan de costos (presupuesto y tracking)</t>
  </si>
  <si>
    <t>Costos</t>
  </si>
  <si>
    <t>Plan de calidad (criterios, DoD/DoR)</t>
  </si>
  <si>
    <t>Calidad</t>
  </si>
  <si>
    <t>Plan de recursos (roles, RACI, carga)</t>
  </si>
  <si>
    <t>Recursos</t>
  </si>
  <si>
    <t>Plan de riesgos (matriz y respuesta)</t>
  </si>
  <si>
    <t>Riesgos</t>
  </si>
  <si>
    <t>Plan de comunicaciones</t>
  </si>
  <si>
    <t>Comunicaciones</t>
  </si>
  <si>
    <t>Definir DoD/DoR de equipo</t>
  </si>
  <si>
    <t>Setup repo, CI y entorno (Playwright/BS4/FASTAPI)</t>
  </si>
  <si>
    <t>Py</t>
  </si>
  <si>
    <t>PoC scraper (listado+detalle) Fuente 1</t>
  </si>
  <si>
    <t>Modelo de datos y DDL (Postgres/MySQL)</t>
  </si>
  <si>
    <t>S1</t>
  </si>
  <si>
    <t>API /eventos (FastAPI)</t>
  </si>
  <si>
    <t>QA selectores y criterios de calidad</t>
  </si>
  <si>
    <t>Demo Sprint 1 + Retro + Actualizar riesgos</t>
  </si>
  <si>
    <t>S2</t>
  </si>
  <si>
    <t>Web filtros + mapa (Leaflet)</t>
  </si>
  <si>
    <t>Observabilidad (logs/metrics)</t>
  </si>
  <si>
    <t>QA performance y smoke tests</t>
  </si>
  <si>
    <t>Demo Sprint 2 + Retro + Actualizar riesgos</t>
  </si>
  <si>
    <t>Agregar segunda fuente o ampliaciones</t>
  </si>
  <si>
    <t>S3</t>
  </si>
  <si>
    <t>Alertas y plan de continuidad</t>
  </si>
  <si>
    <t>Endpoints extra (/lugares,/stats) + export CSV</t>
  </si>
  <si>
    <t>UAT con BI + ajustes finales</t>
  </si>
  <si>
    <t>Cierre: lecciones aprendidas + handover</t>
  </si>
  <si>
    <t>M1</t>
  </si>
  <si>
    <t>Hito: Charter y WBS aprobados</t>
  </si>
  <si>
    <t>M2</t>
  </si>
  <si>
    <t>Hito: PoC validado</t>
  </si>
  <si>
    <t>M3</t>
  </si>
  <si>
    <t>Hito: MVP listo</t>
  </si>
  <si>
    <t>M4</t>
  </si>
  <si>
    <t>Hito: Go-Live programado</t>
  </si>
  <si>
    <t>Issue Type</t>
  </si>
  <si>
    <t>Epic Name</t>
  </si>
  <si>
    <t>Descripción (valor)</t>
  </si>
  <si>
    <t>Epic</t>
  </si>
  <si>
    <t>E1 Descubrimiento y Búsqueda</t>
  </si>
  <si>
    <t>Encontrar eventos por fecha, región, categoría, artista y cercanía.</t>
  </si>
  <si>
    <t>E2 Detalle y Conversión</t>
  </si>
  <si>
    <t>Ficha completa del evento y acciones (tickets, calendario, mapa).</t>
  </si>
  <si>
    <t>E3 Ingesta y Normalización</t>
  </si>
  <si>
    <t>Scraping, estandarización y trazabilidad de datos.</t>
  </si>
  <si>
    <t>E4 API y Consumos</t>
  </si>
  <si>
    <t>Endpoints limpios para web/app y BI.</t>
  </si>
  <si>
    <t>E5 Frontend HABLAVAO</t>
  </si>
  <si>
    <t>UI con lista, detalle, filtros y mapa.</t>
  </si>
  <si>
    <t>E6 Calidad, Cumplimiento y Operación</t>
  </si>
  <si>
    <t>Buenas prácticas, monitoreo y operación estable.</t>
  </si>
  <si>
    <t>Título</t>
  </si>
  <si>
    <t>Sprint</t>
  </si>
  <si>
    <t>HU1.1</t>
  </si>
  <si>
    <t>Sprint 1</t>
  </si>
  <si>
    <t>Dev Python</t>
  </si>
  <si>
    <t>HU1.2</t>
  </si>
  <si>
    <t>Sprint 2</t>
  </si>
  <si>
    <t>HU1.3</t>
  </si>
  <si>
    <t>Búsqueda por artista</t>
  </si>
  <si>
    <t>HU1.4</t>
  </si>
  <si>
    <t>Explorar por región / cerca de mí</t>
  </si>
  <si>
    <t>HU2.1</t>
  </si>
  <si>
    <t>HU2.2</t>
  </si>
  <si>
    <t>Botón “Comprar entradas”</t>
  </si>
  <si>
    <t>HU2.3</t>
  </si>
  <si>
    <t>HU3.1</t>
  </si>
  <si>
    <t>HU3.2</t>
  </si>
  <si>
    <t>HU3.3</t>
  </si>
  <si>
    <t>BI + Dev</t>
  </si>
  <si>
    <t>HU4.1</t>
  </si>
  <si>
    <t>HU4.2</t>
  </si>
  <si>
    <r>
      <t xml:space="preserve">Endpoints </t>
    </r>
    <r>
      <rPr>
        <sz val="10"/>
        <color theme="1"/>
        <rFont val="Arial Unicode MS"/>
      </rPr>
      <t>/lugares</t>
    </r>
    <r>
      <rPr>
        <sz val="11"/>
        <color theme="1"/>
        <rFont val="Aptos Narrow"/>
        <family val="2"/>
        <scheme val="minor"/>
      </rPr>
      <t xml:space="preserve"> y </t>
    </r>
    <r>
      <rPr>
        <sz val="10"/>
        <color theme="1"/>
        <rFont val="Arial Unicode MS"/>
      </rPr>
      <t>/artistas</t>
    </r>
  </si>
  <si>
    <t>Sprint 3</t>
  </si>
  <si>
    <t>HU5.1</t>
  </si>
  <si>
    <t>Listado con filtros (deep-link)</t>
  </si>
  <si>
    <t>HU5.2</t>
  </si>
  <si>
    <t>Vista de mapa con pins</t>
  </si>
  <si>
    <t>HU5.3</t>
  </si>
  <si>
    <t>SEO y compartido social</t>
  </si>
  <si>
    <t>HU6.1</t>
  </si>
  <si>
    <t>HU6.2</t>
  </si>
  <si>
    <t>Monitoreo y alertas</t>
  </si>
  <si>
    <t>HU6.3</t>
  </si>
  <si>
    <t>Auditoría y trazabilidad</t>
  </si>
  <si>
    <t>Épica</t>
  </si>
  <si>
    <t>HU</t>
  </si>
  <si>
    <t>Como (rol)</t>
  </si>
  <si>
    <t>Quiero</t>
  </si>
  <si>
    <t>Para</t>
  </si>
  <si>
    <t>Criterios (Gherkin)</t>
  </si>
  <si>
    <t>E1 – Descubrimiento y Búsqueda</t>
  </si>
  <si>
    <t>Home: ver “Próximos eventos”</t>
  </si>
  <si>
    <t>Visitante</t>
  </si>
  <si>
    <t>ver un listón de próximos eventos con paginación</t>
  </si>
  <si>
    <t>descubrir rápidamente qué viene pronto</t>
  </si>
  <si>
    <t>Filtros por región/categoría/fechas</t>
  </si>
  <si>
    <t>filtrar por región, categoría y rango de fechas</t>
  </si>
  <si>
    <t>acotar mi búsqueda</t>
  </si>
  <si>
    <t>Fan</t>
  </si>
  <si>
    <t>explorar eventos por artista</t>
  </si>
  <si>
    <t>ver su agenda</t>
  </si>
  <si>
    <t>Usuario geolocalizado</t>
  </si>
  <si>
    <t>ver eventos por región o cercanos</t>
  </si>
  <si>
    <t>decidir dónde ir</t>
  </si>
  <si>
    <t>E2 – Detalle y Conversión</t>
  </si>
  <si>
    <t>Ficha de evento (datos completos)</t>
  </si>
  <si>
    <t>ver la ficha con datos completos</t>
  </si>
  <si>
    <t>decidir si asistir</t>
  </si>
  <si>
    <t>Usuario listo para compra</t>
  </si>
  <si>
    <t>ir a la ticketera oficial</t>
  </si>
  <si>
    <t>adquirir entradas</t>
  </si>
  <si>
    <t>Agregar a calendario / Cómo llegar</t>
  </si>
  <si>
    <t>Usuario planificador</t>
  </si>
  <si>
    <t>agregar al calendario y abrir mapa</t>
  </si>
  <si>
    <t>organizarme</t>
  </si>
  <si>
    <t>E3 – Ingesta y Normalización</t>
  </si>
  <si>
    <t>Crawler de listados paginados</t>
  </si>
  <si>
    <t>Servicio de scraping</t>
  </si>
  <si>
    <t>recorrer listados/paginación y obtener URLs</t>
  </si>
  <si>
    <t>alimentar el parser</t>
  </si>
  <si>
    <t>Parser de ficha y mapeo</t>
  </si>
  <si>
    <t>extraer campos estructurados del detalle</t>
  </si>
  <si>
    <t>poblar el modelo</t>
  </si>
  <si>
    <t>Normalización (UTC/Región) + dedup</t>
  </si>
  <si>
    <t>Pipeline ETL</t>
  </si>
  <si>
    <t>normalizar fechas/regiones y deduplicar</t>
  </si>
  <si>
    <t>filtros precisos e integridad</t>
  </si>
  <si>
    <t>E4 – API y Consumos</t>
  </si>
  <si>
    <r>
      <t xml:space="preserve">Endpoint </t>
    </r>
    <r>
      <rPr>
        <sz val="10"/>
        <color theme="1"/>
        <rFont val="Arial Unicode MS"/>
      </rPr>
      <t>/eventos</t>
    </r>
    <r>
      <rPr>
        <sz val="11"/>
        <color theme="1"/>
        <rFont val="Aptos Narrow"/>
        <family val="2"/>
        <scheme val="minor"/>
      </rPr>
      <t xml:space="preserve"> con filtros</t>
    </r>
  </si>
  <si>
    <t>Consumidor (web/BI)</t>
  </si>
  <si>
    <t>consultar eventos con filtros y paginación</t>
  </si>
  <si>
    <t>alimentar UI/BI</t>
  </si>
  <si>
    <t>Web</t>
  </si>
  <si>
    <t>obtener listados filtrables/ordenables</t>
  </si>
  <si>
    <t>autocompletar y fichas</t>
  </si>
  <si>
    <t>E5 – Frontend HABLAVAO</t>
  </si>
  <si>
    <t>filtrar y ver en lista</t>
  </si>
  <si>
    <t>comparar opciones</t>
  </si>
  <si>
    <t>Usuario visual</t>
  </si>
  <si>
    <t>ver marcadores en mapa</t>
  </si>
  <si>
    <t>ubicar eventos cercanos</t>
  </si>
  <si>
    <t>Marketing</t>
  </si>
  <si>
    <t>mejorar alcance</t>
  </si>
  <si>
    <t>E6 – Calidad, Cumplimiento y Operación</t>
  </si>
  <si>
    <t>Rate-limit, robots/ToU y User-Agent</t>
  </si>
  <si>
    <t>Servicio responsable</t>
  </si>
  <si>
    <t>respetar robots/ToU y límites</t>
  </si>
  <si>
    <t>cumplir buenas prácticas</t>
  </si>
  <si>
    <t>Operador</t>
  </si>
  <si>
    <t>detectar caídas/cambios</t>
  </si>
  <si>
    <r>
      <t xml:space="preserve">guardar </t>
    </r>
    <r>
      <rPr>
        <sz val="10"/>
        <color theme="1"/>
        <rFont val="Arial Unicode MS"/>
      </rPr>
      <t>raw</t>
    </r>
    <r>
      <rPr>
        <sz val="11"/>
        <color theme="1"/>
        <rFont val="Aptos Narrow"/>
        <family val="2"/>
        <scheme val="minor"/>
      </rPr>
      <t xml:space="preserve"> y </t>
    </r>
    <r>
      <rPr>
        <sz val="10"/>
        <color theme="1"/>
        <rFont val="Arial Unicode MS"/>
      </rPr>
      <t>source_event_id</t>
    </r>
  </si>
  <si>
    <t>reprocesar con nueva lógica</t>
  </si>
  <si>
    <t>metadatos OG/Twitter y slug canónico</t>
  </si>
  <si>
    <t>métricas y alertas</t>
  </si>
  <si>
    <t>Duración(días hábiles)</t>
  </si>
  <si>
    <t>Área(PMBOK)</t>
  </si>
  <si>
    <t>1.1</t>
  </si>
  <si>
    <t>Acta de Constitución (Project Charter)</t>
  </si>
  <si>
    <t>2025-11-10</t>
  </si>
  <si>
    <t>2025-11-11</t>
  </si>
  <si>
    <t>Integración</t>
  </si>
  <si>
    <t>Planificación</t>
  </si>
  <si>
    <t>1.2</t>
  </si>
  <si>
    <t>2025-11-12</t>
  </si>
  <si>
    <t>1.3</t>
  </si>
  <si>
    <t>2025-11-13</t>
  </si>
  <si>
    <t>1.4</t>
  </si>
  <si>
    <t>Plan de gestión del cronograma</t>
  </si>
  <si>
    <t>2025-11-14</t>
  </si>
  <si>
    <t>1.5</t>
  </si>
  <si>
    <t>1.6</t>
  </si>
  <si>
    <t>1.7</t>
  </si>
  <si>
    <t>1.8</t>
  </si>
  <si>
    <t>1.9</t>
  </si>
  <si>
    <t>1.10</t>
  </si>
  <si>
    <t>Definir backlog (épicas, historias, criterios)</t>
  </si>
  <si>
    <t>1.11</t>
  </si>
  <si>
    <t>2025-11-17</t>
  </si>
  <si>
    <t>1.12</t>
  </si>
  <si>
    <t>2.1</t>
  </si>
  <si>
    <t>2025-11-19</t>
  </si>
  <si>
    <t>1.12;1.10</t>
  </si>
  <si>
    <t>2.2</t>
  </si>
  <si>
    <t>2.3</t>
  </si>
  <si>
    <t>2025-11-21</t>
  </si>
  <si>
    <t>2.1;2.2</t>
  </si>
  <si>
    <t>2.4</t>
  </si>
  <si>
    <t>Web MVP listado y detalle básico</t>
  </si>
  <si>
    <t>2025-11-25</t>
  </si>
  <si>
    <t>2.5</t>
  </si>
  <si>
    <t>2025-11-20</t>
  </si>
  <si>
    <t>2.6</t>
  </si>
  <si>
    <t>2025-11-26</t>
  </si>
  <si>
    <t>2.4;2.5</t>
  </si>
  <si>
    <t>3.1</t>
  </si>
  <si>
    <t>Scraper robusto (Playwright dinámico)</t>
  </si>
  <si>
    <t>2025-12-02</t>
  </si>
  <si>
    <t>3.2</t>
  </si>
  <si>
    <t>Paginación, rate limit, reintentos/backoff</t>
  </si>
  <si>
    <t>2025-12-04</t>
  </si>
  <si>
    <t>3.3</t>
  </si>
  <si>
    <t>Normalización fechas/regiones y geocoding</t>
  </si>
  <si>
    <t>2025-12-05</t>
  </si>
  <si>
    <t>3.4</t>
  </si>
  <si>
    <t>Filtros API (fecha, región, categoría)</t>
  </si>
  <si>
    <t>2025-12-10</t>
  </si>
  <si>
    <t>3.2;3.3</t>
  </si>
  <si>
    <t>3.5</t>
  </si>
  <si>
    <t>2025-12-15</t>
  </si>
  <si>
    <t>3.6</t>
  </si>
  <si>
    <t>2025-12-08</t>
  </si>
  <si>
    <t>3.7</t>
  </si>
  <si>
    <t>2025-12-17</t>
  </si>
  <si>
    <t>3.5;3.6</t>
  </si>
  <si>
    <t>3.8</t>
  </si>
  <si>
    <t>2025-12-18</t>
  </si>
  <si>
    <t>4.1</t>
  </si>
  <si>
    <t>2025-12-25</t>
  </si>
  <si>
    <t>4.2</t>
  </si>
  <si>
    <t>Orquestación (APScheduler/cron)</t>
  </si>
  <si>
    <t>2025-12-22</t>
  </si>
  <si>
    <t>4.3</t>
  </si>
  <si>
    <t>Detección de cambios y deduplicación</t>
  </si>
  <si>
    <t>2025-12-29</t>
  </si>
  <si>
    <t>4.4</t>
  </si>
  <si>
    <t>2025-12-31</t>
  </si>
  <si>
    <t>4.2;4.3</t>
  </si>
  <si>
    <t>4.5</t>
  </si>
  <si>
    <t>2025-12-30</t>
  </si>
  <si>
    <t>4.6</t>
  </si>
  <si>
    <t>Compliance robots/ToU + seguridad básica</t>
  </si>
  <si>
    <t>4.7</t>
  </si>
  <si>
    <t>2026-01-01</t>
  </si>
  <si>
    <t>4.5;4.6</t>
  </si>
  <si>
    <t>4.8</t>
  </si>
  <si>
    <t>2026-01-02</t>
  </si>
  <si>
    <t>Objetivo</t>
  </si>
  <si>
    <t>HU3.4</t>
  </si>
  <si>
    <t>Modelo de datos (conceptual/lógico) en ERWIN</t>
  </si>
  <si>
    <t>modelar entidades, relaciones y cardinalidades en ERWIN (conceptual y lógico)</t>
  </si>
  <si>
    <t>asegurar una base consistente y normalizada</t>
  </si>
  <si>
    <t>HU3.5</t>
  </si>
  <si>
    <t>Modelo físico y generación de DDL desde ERWIN</t>
  </si>
  <si>
    <t>crear la base en el motor y habilitar el API</t>
  </si>
  <si>
    <t>BI (ERWIN) + Dev (ejecución)</t>
  </si>
  <si>
    <t>HU3.6</t>
  </si>
  <si>
    <t>Migraciones y control de cambios (DDL v1.1+)</t>
  </si>
  <si>
    <t>Dev</t>
  </si>
  <si>
    <t>gestionar cambios del esquema con migraciones (Alembic/SQL)</t>
  </si>
  <si>
    <t>evolucionar sin perder datos</t>
  </si>
  <si>
    <t>HU3.7</t>
  </si>
  <si>
    <t>Índices/constraints y performance base</t>
  </si>
  <si>
    <t>definir claves, índices y constraints críticos</t>
  </si>
  <si>
    <t>garantizar integridad y p95 del API</t>
  </si>
  <si>
    <t>HU3.8</t>
  </si>
  <si>
    <t>Diccionario de datos y trazabilidad de campos</t>
  </si>
  <si>
    <t>documentar definiciones, orígenes y reglas por campo</t>
  </si>
  <si>
    <t>facilitar BI/QA y gobierno de datos</t>
  </si>
  <si>
    <t>transformar el modelo lógico a físico y generar el DDL (CREATE TABLE, PK/FK, índices mínimos)</t>
  </si>
  <si>
    <r>
      <t>Dado</t>
    </r>
    <r>
      <rPr>
        <sz val="11"/>
        <color theme="1"/>
        <rFont val="Aptos Narrow"/>
        <family val="2"/>
        <scheme val="minor"/>
      </rPr>
      <t xml:space="preserve"> que ingreso al home Cuando existan eventos futuros Entonces veo una lista con tarjetas que muestran título, fecha/hora y sede, con paginación.</t>
    </r>
  </si>
  <si>
    <r>
      <t>Dado</t>
    </r>
    <r>
      <rPr>
        <sz val="11"/>
        <color theme="1"/>
        <rFont val="Aptos Narrow"/>
        <family val="2"/>
        <scheme val="minor"/>
      </rPr>
      <t xml:space="preserve"> el listado de eventos Cuando aplico filtros (región, categoría, fechas) Entonces el resultado se actualiza mostrando solo coincidencias y puedo restablecer filtros.</t>
    </r>
  </si>
  <si>
    <r>
      <t>Dado</t>
    </r>
    <r>
      <rPr>
        <sz val="11"/>
        <color theme="1"/>
        <rFont val="Aptos Narrow"/>
        <family val="2"/>
        <scheme val="minor"/>
      </rPr>
      <t xml:space="preserve"> el menú “Por artista” Cuando elijo un artista Entonces se listan sus eventos y puedo abrir su detalle.</t>
    </r>
  </si>
  <si>
    <r>
      <t>Dado</t>
    </r>
    <r>
      <rPr>
        <sz val="11"/>
        <color theme="1"/>
        <rFont val="Aptos Narrow"/>
        <family val="2"/>
        <scheme val="minor"/>
      </rPr>
      <t xml:space="preserve"> “Conciertos por región” Cuando selecciono una región (o activo “cerca de mí”) Entonces se listan eventos de esa región y puedo alternar a vista de mapa.</t>
    </r>
  </si>
  <si>
    <r>
      <t>Dado</t>
    </r>
    <r>
      <rPr>
        <sz val="11"/>
        <color theme="1"/>
        <rFont val="Aptos Narrow"/>
        <family val="2"/>
        <scheme val="minor"/>
      </rPr>
      <t xml:space="preserve"> una tarjeta del listado Cuando abro el detalle Entonces veo título; fecha/hora (inicio–fin); dirección; región; artistas; lat/lng (si hay); ticket_url; ID; published/updated; notas.</t>
    </r>
  </si>
  <si>
    <r>
      <t>Dado</t>
    </r>
    <r>
      <rPr>
        <sz val="11"/>
        <color theme="1"/>
        <rFont val="Aptos Narrow"/>
        <family val="2"/>
        <scheme val="minor"/>
      </rPr>
      <t xml:space="preserve"> la ficha del evento Cuando hago clic en “Comprar entradas” Entonces me redirige a la ticketera oficial en nueva pestaña.</t>
    </r>
  </si>
  <si>
    <r>
      <t>Dado</t>
    </r>
    <r>
      <rPr>
        <sz val="11"/>
        <color theme="1"/>
        <rFont val="Aptos Narrow"/>
        <family val="2"/>
        <scheme val="minor"/>
      </rPr>
      <t xml:space="preserve"> la ficha Cuando selecciono “Agregar a Google Calendar” Entonces se abre el evento en mi Google Calendar.Y cuando elijo “Cómo llegar”Entonces se abre Google Maps con la ubicación.</t>
    </r>
  </si>
  <si>
    <r>
      <t>Dado</t>
    </r>
    <r>
      <rPr>
        <sz val="11"/>
        <color theme="1"/>
        <rFont val="Aptos Narrow"/>
        <family val="2"/>
        <scheme val="minor"/>
      </rPr>
      <t xml:space="preserve"> una fuente con páginas 1..N Cuando ejecuto el crawler Entonces colecciono todas las URLs de detalle sin duplicados y con rate-limit.</t>
    </r>
  </si>
  <si>
    <r>
      <t>Dado</t>
    </r>
    <r>
      <rPr>
        <sz val="11"/>
        <color theme="1"/>
        <rFont val="Aptos Narrow"/>
        <family val="2"/>
        <scheme val="minor"/>
      </rPr>
      <t xml:space="preserve"> una URL de evento Cuando parseo el HTML/render Entonces obtengo: title, starts_at, ends_at, address, region, artists[], ticket_url, lat, lng, source_event_id, published_at, updated_at, disclaimer.</t>
    </r>
  </si>
  <si>
    <r>
      <t>Dado</t>
    </r>
    <r>
      <rPr>
        <sz val="11"/>
        <color theme="1"/>
        <rFont val="Aptos Narrow"/>
        <family val="2"/>
        <scheme val="minor"/>
      </rPr>
      <t xml:space="preserve"> registros crudos Cuando normalizo Entonces fechas en ISO-8601 UTC; región ∈ catálogo; dedup por (source, source_event_id) y hash de respaldo.</t>
    </r>
  </si>
  <si>
    <r>
      <t>Dado</t>
    </r>
    <r>
      <rPr>
        <sz val="11"/>
        <color theme="1"/>
        <rFont val="Aptos Narrow"/>
        <family val="2"/>
        <scheme val="minor"/>
      </rPr>
      <t xml:space="preserve"> parámetros válidos (desde/hasta, región, categoría, estado, texto) Cuando consulto </t>
    </r>
    <r>
      <rPr>
        <sz val="10"/>
        <color theme="1"/>
        <rFont val="Arial Unicode MS"/>
      </rPr>
      <t xml:space="preserve">/eventos </t>
    </r>
    <r>
      <rPr>
        <sz val="11"/>
        <color theme="1"/>
        <rFont val="Aptos Narrow"/>
        <family val="2"/>
        <scheme val="minor"/>
      </rPr>
      <t>Entonces recibo JSON paginado con campos normalizados (HTTP 200; p95 &lt; 500 ms).</t>
    </r>
  </si>
  <si>
    <r>
      <t>Dado</t>
    </r>
    <r>
      <rPr>
        <sz val="11"/>
        <color theme="1"/>
        <rFont val="Aptos Narrow"/>
        <family val="2"/>
        <scheme val="minor"/>
      </rPr>
      <t xml:space="preserve"> </t>
    </r>
    <r>
      <rPr>
        <sz val="10"/>
        <color theme="1"/>
        <rFont val="Arial Unicode MS"/>
      </rPr>
      <t>/lugares</t>
    </r>
    <r>
      <rPr>
        <sz val="11"/>
        <color theme="1"/>
        <rFont val="Aptos Narrow"/>
        <family val="2"/>
        <scheme val="minor"/>
      </rPr>
      <t xml:space="preserve"> y </t>
    </r>
    <r>
      <rPr>
        <sz val="10"/>
        <color theme="1"/>
        <rFont val="Arial Unicode MS"/>
      </rPr>
      <t xml:space="preserve">/artistas </t>
    </r>
    <r>
      <rPr>
        <sz val="11"/>
        <color theme="1"/>
        <rFont val="Aptos Narrow"/>
        <family val="2"/>
        <scheme val="minor"/>
      </rPr>
      <t>Cuando solicito listados con filtros Entonces obtengo JSON ordenable y filtrable (p95 &lt; 500 ms).</t>
    </r>
  </si>
  <si>
    <r>
      <t>Dado</t>
    </r>
    <r>
      <rPr>
        <sz val="11"/>
        <color theme="1"/>
        <rFont val="Aptos Narrow"/>
        <family val="2"/>
        <scheme val="minor"/>
      </rPr>
      <t xml:space="preserve"> resultados de búsqueda Cuando aplico filtros Entonces la URL refleja filtros (deep-link) y puedo restablecerlos.</t>
    </r>
  </si>
  <si>
    <r>
      <t>Dado</t>
    </r>
    <r>
      <rPr>
        <sz val="11"/>
        <color theme="1"/>
        <rFont val="Aptos Narrow"/>
        <family val="2"/>
        <scheme val="minor"/>
      </rPr>
      <t xml:space="preserve"> resultados con lat/lng Cuando cambio a “Ver mapa” Entonces se muestran marcadores y puedo buscar al mover el mapa.</t>
    </r>
  </si>
  <si>
    <r>
      <t>Dado</t>
    </r>
    <r>
      <rPr>
        <sz val="11"/>
        <color theme="1"/>
        <rFont val="Aptos Narrow"/>
        <family val="2"/>
        <scheme val="minor"/>
      </rPr>
      <t xml:space="preserve"> la página de detalle Cuando comparto el enlace Entonces se ven metadatos SEO correctos y slug canónico estable.</t>
    </r>
  </si>
  <si>
    <r>
      <t>Dado</t>
    </r>
    <r>
      <rPr>
        <sz val="11"/>
        <color theme="1"/>
        <rFont val="Aptos Narrow"/>
        <family val="2"/>
        <scheme val="minor"/>
      </rPr>
      <t xml:space="preserve"> la ejecución del scraper Cuando envío solicitudes Entonces uso User-Agent propio, 0.5–1 req/s y backoff; si robots/ToU prohíbe, no scrapear.</t>
    </r>
  </si>
  <si>
    <r>
      <t>Dado</t>
    </r>
    <r>
      <rPr>
        <sz val="11"/>
        <color theme="1"/>
        <rFont val="Aptos Narrow"/>
        <family val="2"/>
        <scheme val="minor"/>
      </rPr>
      <t xml:space="preserve"> ejecuciones periódicas Cuando la tasa de error &gt; 5% o fallan selectores Entonces se dispara alerta y se registra incidente.</t>
    </r>
  </si>
  <si>
    <r>
      <t>Dado</t>
    </r>
    <r>
      <rPr>
        <sz val="11"/>
        <color theme="1"/>
        <rFont val="Aptos Narrow"/>
        <family val="2"/>
        <scheme val="minor"/>
      </rPr>
      <t xml:space="preserve"> ingestiones exitosas Cuando configuro persistencia Entonces conservo </t>
    </r>
    <r>
      <rPr>
        <sz val="10"/>
        <color theme="1"/>
        <rFont val="Arial Unicode MS"/>
      </rPr>
      <t>raw</t>
    </r>
    <r>
      <rPr>
        <sz val="11"/>
        <color theme="1"/>
        <rFont val="Aptos Narrow"/>
        <family val="2"/>
        <scheme val="minor"/>
      </rPr>
      <t xml:space="preserve"> con TTL y puedo reparsear cuando cambien reglas.</t>
    </r>
  </si>
  <si>
    <t>Dado el modelo lógico aprobado (HU3.4) Cuando genero el DDL desde ERWIN (target: MySQL) con tipos, PK/FK y not null adecuados Entonces obtengo un script DDL ejecutable (v1.0) y evidencias de ejecución en el motor (schema creado).</t>
  </si>
  <si>
    <t>Dado los requerimientos de datos (eventos, venues, artistas, categorías) Cuando diseño el modelo en ERWIN (diagrama con PK/FK, N–N y catálogos) Entonces obtengo un modelo validado (revisión con Dev) y versionado (v1.0) con imagen pdf + archivo .erwin</t>
  </si>
  <si>
    <t>Dado un cambio en el modelo (nueva columna/índice/tabla) Cuando creo una migración versionada (v1.1, v1.2…) y la pruebo en DEV Entonces puedo aplicarla en TEST/PROD con rollback documentado y changelog actualizado.</t>
  </si>
  <si>
    <t>Dado el esquema físico (HU3.5)Cuando agrego índices en campos de filtro (fecha, región, categoría) y foreign keys Entonces el endpoint /eventos cumple p95 &lt; 500ms en dataset de prueba y se documentan índices/constraints.</t>
  </si>
  <si>
    <t>Dado el esquema en producción Cuando publico un diccionario de datos (tabla→campos→tipo→reglas→fuente→uso) Entonces queda disponible en Confluence/Notion con versión y fecha de actualización.</t>
  </si>
  <si>
    <t>Inicio del Proyecto</t>
  </si>
  <si>
    <t>Nombre de la empresa</t>
  </si>
  <si>
    <t>Leyenda:</t>
  </si>
  <si>
    <t>Según lo previsto</t>
  </si>
  <si>
    <t>Riesgo bajo</t>
  </si>
  <si>
    <t>Riesgo medio</t>
  </si>
  <si>
    <t>Riesgo alto</t>
  </si>
  <si>
    <t>Sin asignar</t>
  </si>
  <si>
    <t>Responsable del proyecto</t>
  </si>
  <si>
    <t>Fecha de inicio del proyecto:</t>
  </si>
  <si>
    <t>Incremento de desplazamiento:</t>
  </si>
  <si>
    <t>Descripción del hito</t>
  </si>
  <si>
    <t>Categoría</t>
  </si>
  <si>
    <t>Asignado a</t>
  </si>
  <si>
    <t>Progreso</t>
  </si>
  <si>
    <t>Días</t>
  </si>
  <si>
    <t>Proyecto General</t>
  </si>
  <si>
    <t>*</t>
  </si>
  <si>
    <t>Johan Poul Zuñiga Cordova</t>
  </si>
  <si>
    <t>Web Habla Vao</t>
  </si>
  <si>
    <t>Vaope</t>
  </si>
  <si>
    <t xml:space="preserve">Johan Poul Zuñiga Cordova / Oscar </t>
  </si>
  <si>
    <t>1. Capítulo 1 – Planificación</t>
  </si>
  <si>
    <t>1.1 Acta de Constitución (Project Charter)</t>
  </si>
  <si>
    <t>1.2 Identificar interesados y registro de stakeholders</t>
  </si>
  <si>
    <t>1.3 Definir alcance y EDT/WBS</t>
  </si>
  <si>
    <t>1.4 Plan de gestión del cronograma</t>
  </si>
  <si>
    <t>1.5 Plan de costos (presupuesto y tracking)</t>
  </si>
  <si>
    <t>1.6 Plan de calidad (criterios, DoD/DoR)</t>
  </si>
  <si>
    <t>1.7 Plan de recursos (roles, RACI, carga)</t>
  </si>
  <si>
    <t>1.8 Plan de riesgos (matriz y respuesta)</t>
  </si>
  <si>
    <t>1.9 Plan de comunicaciones</t>
  </si>
  <si>
    <t>1.10 Definir backlog (épicas, historias, criterios)</t>
  </si>
  <si>
    <t>1.11 Definir DoD/DoR de equipo</t>
  </si>
  <si>
    <t>1.12 Setup repo, CI y entorno (Playwright/BS4/FASTAPI)</t>
  </si>
  <si>
    <t>Johan Poul Zuñiga Cordova / Oscar</t>
  </si>
  <si>
    <t>2. Capítulo 2: Implementación de la solución</t>
  </si>
  <si>
    <t>2.1.1 PoC scraper (listado+detalle) Fuente 1</t>
  </si>
  <si>
    <t>2.1.2 Modelo de datos y DDL (Postgres/MySQL)</t>
  </si>
  <si>
    <t>2.1.3 API /eventos (FastAPI)</t>
  </si>
  <si>
    <t>2.1.4 Web MVP listado y detalle básico</t>
  </si>
  <si>
    <t>2.1.5 QA selectores y criterios de calidad</t>
  </si>
  <si>
    <t>2.1.6 Demo Sprint 1 + Retro + Actualizar riesgos</t>
  </si>
  <si>
    <t>2.2.1 Scraper robusto (Playwright dinámico)</t>
  </si>
  <si>
    <t>2.2.2 Paginación, rate limit, reintentos/backoff</t>
  </si>
  <si>
    <t>2.2.3 Normalización fechas/regiones y geocoding</t>
  </si>
  <si>
    <t>2.2.4 Filtros API (fecha, región, categoría)</t>
  </si>
  <si>
    <t>2.2.5 Web filtros + mapa (Leaflet)</t>
  </si>
  <si>
    <t>2.2.6 Observabilidad (logs/metrics)</t>
  </si>
  <si>
    <t>2.2.7 QA performance y smoke tests</t>
  </si>
  <si>
    <t>2.2.8 Demo Sprint 2 + Retro + Actualizar riesgos</t>
  </si>
  <si>
    <t>2.1 Sprint 1 Hito: PoC validado</t>
  </si>
  <si>
    <t>2.2 Sprint 2 Hito: MVP listo</t>
  </si>
  <si>
    <t>2.3 Sprint 3 Hito: Go-Live programado</t>
  </si>
  <si>
    <t>2.3.1 Agregar segunda fuente o ampliaciones</t>
  </si>
  <si>
    <t>2.3.2 Orquestación (APScheduler/cron)</t>
  </si>
  <si>
    <t>2.3.3 Detección de cambios y deduplicación</t>
  </si>
  <si>
    <t>2.3.4 Alertas y plan de continuidad</t>
  </si>
  <si>
    <t>2.3.5 Endpoints extra (/lugares,/stats) + export CSV</t>
  </si>
  <si>
    <t>2.3.6 Compliance robots/ToU + seguridad básica</t>
  </si>
  <si>
    <t>2.3.7 UAT con BI + ajustes finales</t>
  </si>
  <si>
    <t>2.3.8 Cierre: lecciones aprendidas + handover</t>
  </si>
  <si>
    <t>selenium, beautifulsoap, scray</t>
  </si>
  <si>
    <t>OK</t>
  </si>
  <si>
    <t>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</si>
</sst>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
    <numFmt numFmtId="165" formatCode="#,##0_ ;\-#,##0\ "/>
    <numFmt numFmtId="166" formatCode="#,##0.00_ ;\-#,##0.00\ "/>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0"/>
      <color rgb="FFFF0000"/>
      <name val="Times New Roman"/>
      <family val="1"/>
    </font>
    <font>
      <b/>
      <sz val="22"/>
      <color theme="1" tint="0.34998626667073579"/>
      <name val="Aptos Display"/>
      <family val="2"/>
      <scheme val="major"/>
    </font>
    <font>
      <b/>
      <sz val="10"/>
      <name val="Times New Roman"/>
      <family val="1"/>
    </font>
    <font>
      <sz val="10"/>
      <name val="Times New Roman"/>
      <family val="1"/>
    </font>
    <font>
      <sz val="10"/>
      <color theme="1"/>
      <name val="Times New Roman"/>
      <family val="1"/>
    </font>
    <font>
      <sz val="14"/>
      <color theme="1"/>
      <name val="Aptos Narrow"/>
      <family val="2"/>
      <scheme val="minor"/>
    </font>
    <font>
      <b/>
      <sz val="10"/>
      <color theme="0"/>
      <name val="Times New Roman"/>
      <family val="1"/>
    </font>
    <font>
      <b/>
      <sz val="10"/>
      <color theme="1"/>
      <name val="Times New Roman"/>
      <family val="1"/>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bgColor indexed="64"/>
      </patternFill>
    </fill>
    <fill>
      <patternFill patternType="solid">
        <fgColor theme="6"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style="thin">
        <color theme="0" tint="-0.3499862666707357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7" fillId="0" borderId="0"/>
    <xf numFmtId="0" fontId="20" fillId="0" borderId="0" applyNumberFormat="0" applyFill="0" applyBorder="0" applyAlignment="0" applyProtection="0"/>
    <xf numFmtId="0" fontId="24" fillId="0" borderId="0" applyNumberFormat="0" applyFill="0" applyAlignment="0" applyProtection="0"/>
    <xf numFmtId="0" fontId="1" fillId="0" borderId="0" applyNumberFormat="0" applyFill="0" applyProtection="0">
      <alignment horizontal="right" vertical="center" indent="1"/>
    </xf>
    <xf numFmtId="14" fontId="1" fillId="0" borderId="0" applyFont="0" applyFill="0" applyBorder="0">
      <alignment horizontal="center" vertical="center"/>
    </xf>
    <xf numFmtId="9" fontId="1" fillId="0" borderId="0" applyFont="0" applyFill="0" applyBorder="0" applyProtection="0">
      <alignment horizontal="center" vertical="center"/>
    </xf>
    <xf numFmtId="165" fontId="1" fillId="0" borderId="0" applyFont="0" applyFill="0" applyBorder="0" applyProtection="0">
      <alignment horizontal="center" vertical="center"/>
    </xf>
  </cellStyleXfs>
  <cellXfs count="76">
    <xf numFmtId="0" fontId="0" fillId="0" borderId="0" xfId="0"/>
    <xf numFmtId="0" fontId="16" fillId="0" borderId="10" xfId="0" applyFont="1" applyBorder="1" applyAlignment="1">
      <alignment horizontal="center" vertical="center"/>
    </xf>
    <xf numFmtId="0" fontId="0" fillId="0" borderId="10" xfId="0" applyBorder="1" applyAlignment="1">
      <alignment vertical="center"/>
    </xf>
    <xf numFmtId="0" fontId="16" fillId="0" borderId="10" xfId="0" applyFont="1" applyBorder="1" applyAlignment="1">
      <alignment horizontal="center" vertical="center" wrapText="1"/>
    </xf>
    <xf numFmtId="0" fontId="16" fillId="0" borderId="10" xfId="0" applyFont="1" applyBorder="1" applyAlignment="1">
      <alignment vertical="center" wrapText="1"/>
    </xf>
    <xf numFmtId="0" fontId="0" fillId="0" borderId="10" xfId="0" applyBorder="1" applyAlignment="1">
      <alignment vertical="center" wrapText="1"/>
    </xf>
    <xf numFmtId="0" fontId="16" fillId="0" borderId="10" xfId="0" applyFont="1" applyBorder="1" applyAlignment="1">
      <alignment horizontal="center" vertical="top"/>
    </xf>
    <xf numFmtId="0" fontId="16" fillId="0" borderId="0" xfId="0" applyFont="1" applyAlignment="1">
      <alignment horizontal="center" vertical="top"/>
    </xf>
    <xf numFmtId="0" fontId="19" fillId="0" borderId="0" xfId="42" applyFont="1" applyAlignment="1">
      <alignment wrapText="1"/>
    </xf>
    <xf numFmtId="0" fontId="22" fillId="33" borderId="0" xfId="0" applyFont="1" applyFill="1"/>
    <xf numFmtId="0" fontId="23" fillId="0" borderId="0" xfId="0" applyFont="1"/>
    <xf numFmtId="0" fontId="21" fillId="0" borderId="0" xfId="43" applyFont="1" applyFill="1" applyBorder="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1" fillId="0" borderId="0" xfId="44" applyFont="1" applyFill="1" applyAlignment="1">
      <alignment horizontal="left" vertical="center" indent="2"/>
    </xf>
    <xf numFmtId="0" fontId="22" fillId="0" borderId="0" xfId="44" applyFont="1" applyFill="1" applyAlignment="1">
      <alignment horizontal="left" vertical="center" indent="2"/>
    </xf>
    <xf numFmtId="0" fontId="22" fillId="0" borderId="0" xfId="0" applyFont="1" applyAlignment="1">
      <alignment horizontal="left" vertical="center" indent="2"/>
    </xf>
    <xf numFmtId="0" fontId="22" fillId="0" borderId="0" xfId="0" applyFont="1"/>
    <xf numFmtId="0" fontId="22" fillId="0" borderId="0" xfId="0" applyFont="1" applyAlignment="1">
      <alignment horizontal="center"/>
    </xf>
    <xf numFmtId="0" fontId="22" fillId="0" borderId="0" xfId="0" applyFont="1" applyAlignment="1">
      <alignment horizontal="right" vertical="center"/>
    </xf>
    <xf numFmtId="0" fontId="21" fillId="0" borderId="0" xfId="0" applyFont="1" applyAlignment="1">
      <alignment horizontal="left" vertical="center" indent="2"/>
    </xf>
    <xf numFmtId="0" fontId="22" fillId="0" borderId="0" xfId="45" applyFont="1" applyFill="1" applyAlignment="1">
      <alignment horizontal="left" vertical="center" indent="2"/>
    </xf>
    <xf numFmtId="14" fontId="22" fillId="0" borderId="0" xfId="46" applyFont="1" applyFill="1" applyBorder="1" applyAlignment="1">
      <alignment horizontal="left" vertical="center"/>
    </xf>
    <xf numFmtId="0" fontId="22" fillId="0" borderId="0" xfId="0" applyFont="1" applyAlignment="1">
      <alignment horizontal="left" vertical="center"/>
    </xf>
    <xf numFmtId="0" fontId="22" fillId="0" borderId="12" xfId="0" applyFont="1" applyBorder="1"/>
    <xf numFmtId="164" fontId="22" fillId="39" borderId="13" xfId="0" applyNumberFormat="1" applyFont="1" applyFill="1" applyBorder="1" applyAlignment="1">
      <alignment horizontal="center" vertical="center"/>
    </xf>
    <xf numFmtId="164" fontId="22" fillId="39" borderId="14" xfId="0" applyNumberFormat="1" applyFont="1" applyFill="1" applyBorder="1" applyAlignment="1">
      <alignment horizontal="center" vertical="center"/>
    </xf>
    <xf numFmtId="164" fontId="22" fillId="39" borderId="0" xfId="0" applyNumberFormat="1" applyFont="1" applyFill="1" applyAlignment="1">
      <alignment horizontal="center" vertical="center"/>
    </xf>
    <xf numFmtId="0" fontId="25" fillId="40" borderId="0" xfId="0" applyFont="1" applyFill="1" applyAlignment="1">
      <alignment horizontal="left" vertical="center" indent="1"/>
    </xf>
    <xf numFmtId="0" fontId="25" fillId="40" borderId="0" xfId="0" applyFont="1" applyFill="1" applyAlignment="1">
      <alignment horizontal="center" vertical="center" wrapText="1"/>
    </xf>
    <xf numFmtId="0" fontId="25" fillId="0" borderId="12" xfId="0" applyFont="1" applyBorder="1" applyAlignment="1">
      <alignment horizontal="center" vertical="center" wrapText="1"/>
    </xf>
    <xf numFmtId="0" fontId="22" fillId="39" borderId="15" xfId="0" applyFont="1" applyFill="1" applyBorder="1" applyAlignment="1">
      <alignment horizontal="center" vertical="center" shrinkToFit="1"/>
    </xf>
    <xf numFmtId="0" fontId="19" fillId="0" borderId="0" xfId="42" applyFont="1"/>
    <xf numFmtId="0" fontId="25" fillId="41" borderId="0" xfId="0" applyFont="1" applyFill="1" applyAlignment="1">
      <alignment horizontal="left" vertical="center" wrapText="1" indent="2"/>
    </xf>
    <xf numFmtId="9" fontId="25" fillId="41" borderId="0" xfId="47" applyFont="1" applyFill="1" applyBorder="1">
      <alignment horizontal="center" vertical="center"/>
    </xf>
    <xf numFmtId="0" fontId="25" fillId="41" borderId="0" xfId="0" applyFont="1" applyFill="1" applyAlignment="1">
      <alignment horizontal="center" vertical="center" wrapText="1"/>
    </xf>
    <xf numFmtId="14" fontId="25" fillId="41" borderId="0" xfId="46" applyFont="1" applyFill="1" applyBorder="1">
      <alignment horizontal="center" vertical="center"/>
    </xf>
    <xf numFmtId="166" fontId="25" fillId="41" borderId="0" xfId="48" applyNumberFormat="1" applyFont="1" applyFill="1" applyBorder="1">
      <alignment horizontal="center" vertical="center"/>
    </xf>
    <xf numFmtId="0" fontId="19" fillId="0" borderId="0" xfId="42" applyFont="1" applyAlignment="1">
      <alignment horizontal="center"/>
      <extLst>
        <ext xmlns:xfpb="http://schemas.microsoft.com/office/spreadsheetml/2022/featurepropertybag" uri="{C7286773-470A-42A8-94C5-96B5CB345126}">
          <xfpb:xfComplement i="0"/>
        </ext>
      </extLst>
    </xf>
    <xf numFmtId="0" fontId="25" fillId="42" borderId="0" xfId="0" applyFont="1" applyFill="1" applyAlignment="1">
      <alignment horizontal="left" vertical="center" wrapText="1" indent="2"/>
    </xf>
    <xf numFmtId="9" fontId="25" fillId="42" borderId="0" xfId="47" applyFont="1" applyFill="1" applyBorder="1">
      <alignment horizontal="center" vertical="center"/>
    </xf>
    <xf numFmtId="0" fontId="25" fillId="42" borderId="0" xfId="0" applyFont="1" applyFill="1" applyAlignment="1">
      <alignment horizontal="center" vertical="center" wrapText="1"/>
    </xf>
    <xf numFmtId="14" fontId="25" fillId="42" borderId="0" xfId="46" applyFont="1" applyFill="1" applyBorder="1">
      <alignment horizontal="center" vertical="center"/>
    </xf>
    <xf numFmtId="166" fontId="25" fillId="42" borderId="0" xfId="48" applyNumberFormat="1" applyFont="1" applyFill="1" applyBorder="1">
      <alignment horizontal="center" vertical="center"/>
    </xf>
    <xf numFmtId="0" fontId="21" fillId="43" borderId="0" xfId="0" applyFont="1" applyFill="1" applyAlignment="1">
      <alignment horizontal="left" vertical="center" wrapText="1" indent="2"/>
    </xf>
    <xf numFmtId="9" fontId="23" fillId="43" borderId="0" xfId="47" applyFont="1" applyFill="1" applyBorder="1">
      <alignment horizontal="center" vertical="center"/>
    </xf>
    <xf numFmtId="0" fontId="23" fillId="43" borderId="0" xfId="0" applyFont="1" applyFill="1" applyAlignment="1">
      <alignment horizontal="center" vertical="center" wrapText="1"/>
    </xf>
    <xf numFmtId="9" fontId="26" fillId="43" borderId="0" xfId="47" applyFont="1" applyFill="1" applyBorder="1">
      <alignment horizontal="center" vertical="center"/>
    </xf>
    <xf numFmtId="14" fontId="23" fillId="43" borderId="0" xfId="46" applyFont="1" applyFill="1" applyBorder="1">
      <alignment horizontal="center" vertical="center"/>
    </xf>
    <xf numFmtId="166" fontId="23" fillId="43" borderId="0" xfId="48" applyNumberFormat="1" applyFont="1" applyFill="1" applyBorder="1">
      <alignment horizontal="center" vertical="center"/>
    </xf>
    <xf numFmtId="0" fontId="21" fillId="0" borderId="0" xfId="0" applyFont="1" applyAlignment="1">
      <alignment horizontal="left" vertical="center" wrapText="1" indent="4"/>
    </xf>
    <xf numFmtId="0" fontId="21" fillId="0" borderId="0" xfId="0" applyFont="1" applyAlignment="1">
      <alignment horizontal="center" vertical="center"/>
    </xf>
    <xf numFmtId="9" fontId="21" fillId="0" borderId="0" xfId="47" applyFont="1" applyFill="1" applyBorder="1">
      <alignment horizontal="center" vertical="center"/>
    </xf>
    <xf numFmtId="14" fontId="21" fillId="0" borderId="0" xfId="46" applyFont="1" applyFill="1" applyBorder="1">
      <alignment horizontal="center" vertical="center"/>
    </xf>
    <xf numFmtId="0" fontId="23" fillId="0" borderId="16" xfId="0" applyFont="1" applyBorder="1" applyAlignment="1">
      <alignment horizontal="center" vertical="center"/>
    </xf>
    <xf numFmtId="14" fontId="22" fillId="0" borderId="0" xfId="46" applyFont="1" applyFill="1" applyBorder="1">
      <alignment horizontal="center" vertical="center"/>
    </xf>
    <xf numFmtId="166" fontId="22" fillId="0" borderId="0" xfId="48" applyNumberFormat="1" applyFont="1" applyFill="1" applyBorder="1">
      <alignment horizontal="center" vertical="center"/>
    </xf>
    <xf numFmtId="0" fontId="23" fillId="0" borderId="0" xfId="0" applyFont="1" applyAlignment="1">
      <alignment horizontal="center"/>
    </xf>
    <xf numFmtId="9" fontId="21" fillId="43" borderId="0" xfId="47" applyFont="1" applyFill="1" applyBorder="1">
      <alignment horizontal="center" vertical="center"/>
    </xf>
    <xf numFmtId="0" fontId="0" fillId="0" borderId="17" xfId="0" applyBorder="1" applyAlignment="1">
      <alignment vertical="center" wrapText="1"/>
    </xf>
    <xf numFmtId="0" fontId="16" fillId="44" borderId="10" xfId="0" applyFont="1" applyFill="1" applyBorder="1" applyAlignment="1">
      <alignment vertical="center" wrapText="1"/>
    </xf>
    <xf numFmtId="0" fontId="0" fillId="44" borderId="10" xfId="0" applyFill="1" applyBorder="1" applyAlignment="1">
      <alignment vertical="center" wrapText="1"/>
    </xf>
    <xf numFmtId="0" fontId="0" fillId="44" borderId="0" xfId="0" applyFill="1"/>
    <xf numFmtId="0" fontId="0" fillId="45" borderId="0" xfId="0" applyFill="1"/>
    <xf numFmtId="0" fontId="16" fillId="45" borderId="10" xfId="0" applyFont="1" applyFill="1" applyBorder="1" applyAlignment="1">
      <alignment vertical="center" wrapText="1"/>
    </xf>
    <xf numFmtId="0" fontId="0" fillId="45" borderId="10" xfId="0" applyFill="1" applyBorder="1" applyAlignment="1">
      <alignment vertical="center" wrapText="1"/>
    </xf>
    <xf numFmtId="17" fontId="21" fillId="0" borderId="11" xfId="0" applyNumberFormat="1" applyFont="1" applyBorder="1" applyAlignment="1">
      <alignment horizontal="center" vertical="center"/>
    </xf>
    <xf numFmtId="0" fontId="25" fillId="37" borderId="0" xfId="0" applyFont="1" applyFill="1" applyAlignment="1">
      <alignment horizontal="center" vertical="center"/>
    </xf>
    <xf numFmtId="0" fontId="21" fillId="38" borderId="0" xfId="0" applyFont="1" applyFill="1" applyAlignment="1">
      <alignment horizontal="center" vertical="center"/>
    </xf>
    <xf numFmtId="0" fontId="21" fillId="33" borderId="0" xfId="43" applyFont="1" applyFill="1" applyAlignment="1">
      <alignment horizontal="left" vertical="center" wrapText="1" indent="1"/>
    </xf>
    <xf numFmtId="0" fontId="22" fillId="33" borderId="0" xfId="0" applyFont="1" applyFill="1" applyAlignment="1">
      <alignment horizontal="center" vertical="center"/>
    </xf>
    <xf numFmtId="0" fontId="25" fillId="34" borderId="0" xfId="26" applyFont="1" applyFill="1" applyAlignment="1">
      <alignment horizontal="center" vertical="center"/>
    </xf>
    <xf numFmtId="0" fontId="25" fillId="35" borderId="0" xfId="0" applyFont="1" applyFill="1" applyAlignment="1">
      <alignment horizontal="center" vertical="center"/>
    </xf>
    <xf numFmtId="0" fontId="25" fillId="36" borderId="0" xfId="0" applyFont="1" applyFill="1" applyAlignment="1">
      <alignment horizontal="center" vertical="center"/>
    </xf>
  </cellXfs>
  <cellStyles count="49">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1 2" xfId="44" xr:uid="{D38A17EF-3EC3-4E8A-91BF-C33B94FF7ED3}"/>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Fecha" xfId="46" xr:uid="{3E2C28E8-F265-473F-9F33-3935343A919B}"/>
    <cellStyle name="Incorrecto" xfId="7" builtinId="27" customBuiltin="1"/>
    <cellStyle name="Millares [0] 2" xfId="48" xr:uid="{D9BA9BED-4900-4F09-A31A-B979DB5EDA09}"/>
    <cellStyle name="Neutral" xfId="8" builtinId="28" customBuiltin="1"/>
    <cellStyle name="Normal" xfId="0" builtinId="0"/>
    <cellStyle name="Notas" xfId="15" builtinId="10" customBuiltin="1"/>
    <cellStyle name="Porcentaje 2" xfId="47" xr:uid="{B30CA582-BF15-4340-BC17-8FF4DED26C08}"/>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3 2" xfId="45" xr:uid="{DBB8D767-58EE-470F-9814-A0F968519935}"/>
    <cellStyle name="Título 4" xfId="43" xr:uid="{EF645673-0FBE-47D0-B09D-85B8C18F0018}"/>
    <cellStyle name="Total" xfId="17" builtinId="25" customBuiltin="1"/>
    <cellStyle name="zHiddenText" xfId="42" xr:uid="{07C21BB8-4D3C-49FB-92FA-BAA7D90BC33F}"/>
  </cellStyles>
  <dxfs count="55">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0"/>
        <name val="Times New Roman"/>
        <family val="1"/>
        <scheme val="none"/>
      </font>
      <numFmt numFmtId="166" formatCode="#,##0.00_ ;\-#,##0.00\ "/>
    </dxf>
    <dxf>
      <font>
        <b/>
        <i val="0"/>
        <strike val="0"/>
        <condense val="0"/>
        <extend val="0"/>
        <outline val="0"/>
        <shadow val="0"/>
        <u val="none"/>
        <vertAlign val="baseline"/>
        <sz val="10"/>
        <color rgb="FFFF0000"/>
        <name val="Times New Roman"/>
        <family val="1"/>
        <scheme val="none"/>
      </font>
      <fill>
        <patternFill patternType="none">
          <fgColor indexed="64"/>
          <bgColor indexed="65"/>
        </patternFill>
      </fill>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alignment horizontal="center" vertical="center" textRotation="0" indent="0" justifyLastLine="0" shrinkToFit="0" readingOrder="0"/>
    </dxf>
    <dxf>
      <font>
        <strike val="0"/>
        <outline val="0"/>
        <shadow val="0"/>
        <u val="none"/>
        <vertAlign val="baseline"/>
        <sz val="10"/>
        <name val="Times New Roman"/>
        <family val="1"/>
        <scheme val="none"/>
      </font>
      <alignment horizontal="center" vertical="center" textRotation="0" wrapText="0" indent="0" justifyLastLine="0" shrinkToFit="0" readingOrder="0"/>
    </dxf>
    <dxf>
      <font>
        <strike val="0"/>
        <outline val="0"/>
        <shadow val="0"/>
        <u val="none"/>
        <vertAlign val="baseline"/>
        <sz val="10"/>
        <name val="Times New Roman"/>
        <family val="1"/>
        <scheme val="none"/>
      </font>
      <alignment horizontal="left" vertical="bottom" textRotation="0" wrapText="1" relativeIndent="1" justifyLastLine="0" shrinkToFit="0" readingOrder="0"/>
    </dxf>
    <dxf>
      <font>
        <strike val="0"/>
        <outline val="0"/>
        <shadow val="0"/>
        <u val="none"/>
        <vertAlign val="baseline"/>
        <sz val="10"/>
        <name val="Times New Roman"/>
        <family val="1"/>
        <scheme val="none"/>
      </font>
    </dxf>
    <dxf>
      <font>
        <b/>
        <strike val="0"/>
        <outline val="0"/>
        <shadow val="0"/>
        <u val="none"/>
        <vertAlign val="baseline"/>
        <sz val="10"/>
        <color theme="0"/>
        <name val="Times New Roman"/>
        <family val="1"/>
        <scheme val="none"/>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ListaTareasPendientes" pivot="0" count="9" xr9:uid="{7FCE7310-D5CD-4816-8D8E-4C6ACD20A9FB}">
      <tableStyleElement type="wholeTable" dxfId="54"/>
      <tableStyleElement type="headerRow" dxfId="53"/>
      <tableStyleElement type="totalRow" dxfId="52"/>
      <tableStyleElement type="firstColumn" dxfId="51"/>
      <tableStyleElement type="lastColumn" dxfId="50"/>
      <tableStyleElement type="firstRowStripe" dxfId="49"/>
      <tableStyleElement type="secondRowStripe" dxfId="48"/>
      <tableStyleElement type="firstColumnStripe" dxfId="47"/>
      <tableStyleElement type="secondColumn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70505-FEC9-48B0-A239-4032A6EEA912}" name="Hitos4352" displayName="Hitos4352" ref="B9:H49" totalsRowShown="0" headerRowDxfId="45" dataDxfId="44">
  <autoFilter ref="B9:H49" xr:uid="{DD82988E-1813-40AE-BDE7-9F0200A703CB}"/>
  <tableColumns count="7">
    <tableColumn id="1" xr3:uid="{6DD0CE5E-4E47-46A8-8FD5-3212AC0E35D9}" name="Descripción del hito" dataDxfId="43"/>
    <tableColumn id="2" xr3:uid="{90D4D82C-70C5-4938-9ADF-38E5842CC346}" name="Categoría" dataDxfId="42"/>
    <tableColumn id="3" xr3:uid="{6238DC8A-53CB-46F1-BDB0-3C6381EFE09D}" name="Asignado a" dataDxfId="41"/>
    <tableColumn id="4" xr3:uid="{28B4063D-3D97-4FA3-9B4A-863108CC7ED0}" name="Progreso" dataDxfId="40"/>
    <tableColumn id="5" xr3:uid="{B0B49910-9C42-4986-B0AE-26DB10E0FF0C}" name="Inicio" dataDxfId="39" dataCellStyle="Fecha"/>
    <tableColumn id="7" xr3:uid="{CA19EB92-A57B-4F17-AD3B-8B61B4DBC9DB}" name="Fin" dataDxfId="38" dataCellStyle="Fecha"/>
    <tableColumn id="6" xr3:uid="{73FE535A-4CF2-4536-8F89-2CA246D43823}" name="Días" dataDxfId="37"/>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B00-7087-4246-B5F9-6B4817717132}">
  <dimension ref="A1:I43"/>
  <sheetViews>
    <sheetView topLeftCell="A13" workbookViewId="0">
      <selection activeCell="B43" sqref="B43"/>
    </sheetView>
  </sheetViews>
  <sheetFormatPr baseColWidth="10" defaultRowHeight="15"/>
  <cols>
    <col min="1" max="1" width="5" bestFit="1" customWidth="1"/>
    <col min="2" max="2" width="45" bestFit="1" customWidth="1"/>
    <col min="3" max="4" width="10.42578125" bestFit="1" customWidth="1"/>
    <col min="5" max="5" width="24.42578125" bestFit="1" customWidth="1"/>
    <col min="6" max="6" width="13" bestFit="1" customWidth="1"/>
    <col min="7" max="7" width="12.42578125" bestFit="1" customWidth="1"/>
    <col min="8" max="8" width="15.85546875" bestFit="1" customWidth="1"/>
    <col min="9" max="9" width="13.42578125" bestFit="1" customWidth="1"/>
  </cols>
  <sheetData>
    <row r="1" spans="1:9">
      <c r="A1" s="6" t="s">
        <v>0</v>
      </c>
      <c r="B1" s="6" t="s">
        <v>1</v>
      </c>
      <c r="C1" s="6" t="s">
        <v>2</v>
      </c>
      <c r="D1" s="6" t="s">
        <v>3</v>
      </c>
      <c r="E1" s="6" t="s">
        <v>172</v>
      </c>
      <c r="F1" s="6" t="s">
        <v>4</v>
      </c>
      <c r="G1" s="6" t="s">
        <v>5</v>
      </c>
      <c r="H1" s="6" t="s">
        <v>173</v>
      </c>
      <c r="I1" s="6" t="s">
        <v>6</v>
      </c>
    </row>
    <row r="2" spans="1:9">
      <c r="A2" s="7">
        <v>1</v>
      </c>
      <c r="B2" s="7" t="s">
        <v>300</v>
      </c>
      <c r="C2" s="7"/>
      <c r="D2" s="7"/>
      <c r="E2" s="7"/>
      <c r="F2" s="7"/>
      <c r="G2" s="7"/>
      <c r="H2" s="7"/>
      <c r="I2" s="7"/>
    </row>
    <row r="3" spans="1:9">
      <c r="A3" t="s">
        <v>174</v>
      </c>
      <c r="B3" t="s">
        <v>175</v>
      </c>
      <c r="C3" t="s">
        <v>176</v>
      </c>
      <c r="D3" t="s">
        <v>177</v>
      </c>
      <c r="E3">
        <v>1</v>
      </c>
      <c r="G3" t="s">
        <v>7</v>
      </c>
      <c r="H3" t="s">
        <v>178</v>
      </c>
      <c r="I3" t="s">
        <v>179</v>
      </c>
    </row>
    <row r="4" spans="1:9">
      <c r="A4" t="s">
        <v>180</v>
      </c>
      <c r="B4" t="s">
        <v>8</v>
      </c>
      <c r="C4" t="s">
        <v>177</v>
      </c>
      <c r="D4" t="s">
        <v>181</v>
      </c>
      <c r="E4">
        <v>1</v>
      </c>
      <c r="F4" t="s">
        <v>174</v>
      </c>
      <c r="G4" t="s">
        <v>7</v>
      </c>
      <c r="H4" t="s">
        <v>9</v>
      </c>
      <c r="I4" t="s">
        <v>179</v>
      </c>
    </row>
    <row r="5" spans="1:9">
      <c r="A5" t="s">
        <v>182</v>
      </c>
      <c r="B5" t="s">
        <v>10</v>
      </c>
      <c r="C5" t="s">
        <v>177</v>
      </c>
      <c r="D5" t="s">
        <v>183</v>
      </c>
      <c r="E5">
        <v>2</v>
      </c>
      <c r="F5" t="s">
        <v>174</v>
      </c>
      <c r="G5" t="s">
        <v>11</v>
      </c>
      <c r="H5" t="s">
        <v>12</v>
      </c>
      <c r="I5" t="s">
        <v>179</v>
      </c>
    </row>
    <row r="6" spans="1:9">
      <c r="A6" t="s">
        <v>184</v>
      </c>
      <c r="B6" t="s">
        <v>185</v>
      </c>
      <c r="C6" t="s">
        <v>183</v>
      </c>
      <c r="D6" t="s">
        <v>186</v>
      </c>
      <c r="E6">
        <v>1</v>
      </c>
      <c r="F6" t="s">
        <v>182</v>
      </c>
      <c r="G6" t="s">
        <v>7</v>
      </c>
      <c r="H6" t="s">
        <v>13</v>
      </c>
      <c r="I6" t="s">
        <v>179</v>
      </c>
    </row>
    <row r="7" spans="1:9">
      <c r="A7" t="s">
        <v>187</v>
      </c>
      <c r="B7" t="s">
        <v>14</v>
      </c>
      <c r="C7" t="s">
        <v>183</v>
      </c>
      <c r="D7" t="s">
        <v>186</v>
      </c>
      <c r="E7">
        <v>1</v>
      </c>
      <c r="F7" t="s">
        <v>182</v>
      </c>
      <c r="G7" t="s">
        <v>7</v>
      </c>
      <c r="H7" t="s">
        <v>15</v>
      </c>
      <c r="I7" t="s">
        <v>179</v>
      </c>
    </row>
    <row r="8" spans="1:9">
      <c r="A8" t="s">
        <v>188</v>
      </c>
      <c r="B8" t="s">
        <v>16</v>
      </c>
      <c r="C8" t="s">
        <v>183</v>
      </c>
      <c r="D8" t="s">
        <v>186</v>
      </c>
      <c r="E8">
        <v>1</v>
      </c>
      <c r="F8" t="s">
        <v>182</v>
      </c>
      <c r="G8" t="s">
        <v>7</v>
      </c>
      <c r="H8" t="s">
        <v>17</v>
      </c>
      <c r="I8" t="s">
        <v>179</v>
      </c>
    </row>
    <row r="9" spans="1:9">
      <c r="A9" t="s">
        <v>189</v>
      </c>
      <c r="B9" t="s">
        <v>18</v>
      </c>
      <c r="C9" t="s">
        <v>183</v>
      </c>
      <c r="D9" t="s">
        <v>186</v>
      </c>
      <c r="E9">
        <v>1</v>
      </c>
      <c r="F9" t="s">
        <v>182</v>
      </c>
      <c r="G9" t="s">
        <v>7</v>
      </c>
      <c r="H9" t="s">
        <v>19</v>
      </c>
      <c r="I9" t="s">
        <v>179</v>
      </c>
    </row>
    <row r="10" spans="1:9">
      <c r="A10" t="s">
        <v>190</v>
      </c>
      <c r="B10" t="s">
        <v>20</v>
      </c>
      <c r="C10" t="s">
        <v>183</v>
      </c>
      <c r="D10" t="s">
        <v>186</v>
      </c>
      <c r="E10">
        <v>1</v>
      </c>
      <c r="F10" t="s">
        <v>182</v>
      </c>
      <c r="G10" t="s">
        <v>7</v>
      </c>
      <c r="H10" t="s">
        <v>21</v>
      </c>
      <c r="I10" t="s">
        <v>179</v>
      </c>
    </row>
    <row r="11" spans="1:9">
      <c r="A11" t="s">
        <v>191</v>
      </c>
      <c r="B11" t="s">
        <v>22</v>
      </c>
      <c r="C11" t="s">
        <v>181</v>
      </c>
      <c r="D11" t="s">
        <v>183</v>
      </c>
      <c r="E11">
        <v>1</v>
      </c>
      <c r="F11" t="s">
        <v>180</v>
      </c>
      <c r="G11" t="s">
        <v>7</v>
      </c>
      <c r="H11" t="s">
        <v>23</v>
      </c>
      <c r="I11" t="s">
        <v>179</v>
      </c>
    </row>
    <row r="12" spans="1:9">
      <c r="A12" t="s">
        <v>192</v>
      </c>
      <c r="B12" t="s">
        <v>193</v>
      </c>
      <c r="C12" t="s">
        <v>183</v>
      </c>
      <c r="D12" t="s">
        <v>186</v>
      </c>
      <c r="E12">
        <v>1</v>
      </c>
      <c r="F12" t="s">
        <v>182</v>
      </c>
      <c r="G12" t="s">
        <v>11</v>
      </c>
      <c r="H12" t="s">
        <v>12</v>
      </c>
      <c r="I12" t="s">
        <v>179</v>
      </c>
    </row>
    <row r="13" spans="1:9">
      <c r="A13" t="s">
        <v>194</v>
      </c>
      <c r="B13" t="s">
        <v>24</v>
      </c>
      <c r="C13" t="s">
        <v>186</v>
      </c>
      <c r="D13" t="s">
        <v>195</v>
      </c>
      <c r="E13">
        <v>1</v>
      </c>
      <c r="F13" t="s">
        <v>188</v>
      </c>
      <c r="G13" t="s">
        <v>11</v>
      </c>
      <c r="H13" t="s">
        <v>17</v>
      </c>
      <c r="I13" t="s">
        <v>179</v>
      </c>
    </row>
    <row r="14" spans="1:9">
      <c r="A14" t="s">
        <v>196</v>
      </c>
      <c r="B14" t="s">
        <v>25</v>
      </c>
      <c r="C14" t="s">
        <v>177</v>
      </c>
      <c r="D14" t="s">
        <v>181</v>
      </c>
      <c r="E14">
        <v>1</v>
      </c>
      <c r="F14" t="s">
        <v>174</v>
      </c>
      <c r="G14" t="s">
        <v>26</v>
      </c>
      <c r="H14" t="s">
        <v>19</v>
      </c>
      <c r="I14" t="s">
        <v>179</v>
      </c>
    </row>
    <row r="15" spans="1:9">
      <c r="A15">
        <v>2</v>
      </c>
      <c r="B15" t="s">
        <v>71</v>
      </c>
    </row>
    <row r="16" spans="1:9">
      <c r="A16" t="s">
        <v>197</v>
      </c>
      <c r="B16" t="s">
        <v>27</v>
      </c>
      <c r="C16" t="s">
        <v>186</v>
      </c>
      <c r="D16" t="s">
        <v>198</v>
      </c>
      <c r="E16">
        <v>3</v>
      </c>
      <c r="F16" t="s">
        <v>199</v>
      </c>
      <c r="G16" t="s">
        <v>26</v>
      </c>
      <c r="H16" t="s">
        <v>12</v>
      </c>
      <c r="I16" t="s">
        <v>29</v>
      </c>
    </row>
    <row r="17" spans="1:9">
      <c r="A17" t="s">
        <v>200</v>
      </c>
      <c r="B17" t="s">
        <v>28</v>
      </c>
      <c r="C17" t="s">
        <v>183</v>
      </c>
      <c r="D17" t="s">
        <v>195</v>
      </c>
      <c r="E17">
        <v>2</v>
      </c>
      <c r="F17" t="s">
        <v>182</v>
      </c>
      <c r="G17" t="s">
        <v>7</v>
      </c>
      <c r="H17" t="s">
        <v>12</v>
      </c>
      <c r="I17" t="s">
        <v>29</v>
      </c>
    </row>
    <row r="18" spans="1:9">
      <c r="A18" t="s">
        <v>201</v>
      </c>
      <c r="B18" t="s">
        <v>30</v>
      </c>
      <c r="C18" t="s">
        <v>198</v>
      </c>
      <c r="D18" t="s">
        <v>202</v>
      </c>
      <c r="E18">
        <v>2</v>
      </c>
      <c r="F18" t="s">
        <v>203</v>
      </c>
      <c r="G18" t="s">
        <v>26</v>
      </c>
      <c r="H18" t="s">
        <v>13</v>
      </c>
      <c r="I18" t="s">
        <v>29</v>
      </c>
    </row>
    <row r="19" spans="1:9">
      <c r="A19" t="s">
        <v>204</v>
      </c>
      <c r="B19" t="s">
        <v>205</v>
      </c>
      <c r="C19" t="s">
        <v>202</v>
      </c>
      <c r="D19" t="s">
        <v>206</v>
      </c>
      <c r="E19">
        <v>2</v>
      </c>
      <c r="F19" t="s">
        <v>201</v>
      </c>
      <c r="G19" t="s">
        <v>26</v>
      </c>
      <c r="H19" t="s">
        <v>12</v>
      </c>
      <c r="I19" t="s">
        <v>29</v>
      </c>
    </row>
    <row r="20" spans="1:9">
      <c r="A20" t="s">
        <v>207</v>
      </c>
      <c r="B20" t="s">
        <v>31</v>
      </c>
      <c r="C20" t="s">
        <v>198</v>
      </c>
      <c r="D20" t="s">
        <v>208</v>
      </c>
      <c r="E20">
        <v>1</v>
      </c>
      <c r="F20" t="s">
        <v>197</v>
      </c>
      <c r="G20" t="s">
        <v>7</v>
      </c>
      <c r="H20" t="s">
        <v>17</v>
      </c>
      <c r="I20" t="s">
        <v>29</v>
      </c>
    </row>
    <row r="21" spans="1:9">
      <c r="A21" t="s">
        <v>209</v>
      </c>
      <c r="B21" t="s">
        <v>32</v>
      </c>
      <c r="C21" t="s">
        <v>206</v>
      </c>
      <c r="D21" t="s">
        <v>210</v>
      </c>
      <c r="E21">
        <v>1</v>
      </c>
      <c r="F21" t="s">
        <v>211</v>
      </c>
      <c r="G21" t="s">
        <v>11</v>
      </c>
      <c r="H21" t="s">
        <v>21</v>
      </c>
      <c r="I21" t="s">
        <v>29</v>
      </c>
    </row>
    <row r="22" spans="1:9">
      <c r="A22">
        <v>3</v>
      </c>
      <c r="B22" t="s">
        <v>74</v>
      </c>
    </row>
    <row r="23" spans="1:9">
      <c r="A23" t="s">
        <v>212</v>
      </c>
      <c r="B23" t="s">
        <v>213</v>
      </c>
      <c r="C23" t="s">
        <v>210</v>
      </c>
      <c r="D23" t="s">
        <v>214</v>
      </c>
      <c r="E23">
        <v>4</v>
      </c>
      <c r="F23" t="s">
        <v>209</v>
      </c>
      <c r="G23" t="s">
        <v>26</v>
      </c>
      <c r="H23" t="s">
        <v>12</v>
      </c>
      <c r="I23" t="s">
        <v>33</v>
      </c>
    </row>
    <row r="24" spans="1:9">
      <c r="A24" t="s">
        <v>215</v>
      </c>
      <c r="B24" t="s">
        <v>216</v>
      </c>
      <c r="C24" t="s">
        <v>214</v>
      </c>
      <c r="D24" t="s">
        <v>217</v>
      </c>
      <c r="E24">
        <v>2</v>
      </c>
      <c r="F24" t="s">
        <v>212</v>
      </c>
      <c r="G24" t="s">
        <v>26</v>
      </c>
      <c r="H24" t="s">
        <v>17</v>
      </c>
      <c r="I24" t="s">
        <v>33</v>
      </c>
    </row>
    <row r="25" spans="1:9">
      <c r="A25" t="s">
        <v>218</v>
      </c>
      <c r="B25" t="s">
        <v>219</v>
      </c>
      <c r="C25" t="s">
        <v>214</v>
      </c>
      <c r="D25" t="s">
        <v>220</v>
      </c>
      <c r="E25">
        <v>3</v>
      </c>
      <c r="F25" t="s">
        <v>212</v>
      </c>
      <c r="G25" t="s">
        <v>11</v>
      </c>
      <c r="H25" t="s">
        <v>17</v>
      </c>
      <c r="I25" t="s">
        <v>33</v>
      </c>
    </row>
    <row r="26" spans="1:9">
      <c r="A26" t="s">
        <v>221</v>
      </c>
      <c r="B26" t="s">
        <v>222</v>
      </c>
      <c r="C26" t="s">
        <v>220</v>
      </c>
      <c r="D26" t="s">
        <v>223</v>
      </c>
      <c r="E26">
        <v>3</v>
      </c>
      <c r="F26" t="s">
        <v>224</v>
      </c>
      <c r="G26" t="s">
        <v>26</v>
      </c>
      <c r="H26" t="s">
        <v>12</v>
      </c>
      <c r="I26" t="s">
        <v>33</v>
      </c>
    </row>
    <row r="27" spans="1:9">
      <c r="A27" t="s">
        <v>225</v>
      </c>
      <c r="B27" t="s">
        <v>34</v>
      </c>
      <c r="C27" t="s">
        <v>223</v>
      </c>
      <c r="D27" t="s">
        <v>226</v>
      </c>
      <c r="E27">
        <v>3</v>
      </c>
      <c r="F27" t="s">
        <v>221</v>
      </c>
      <c r="G27" t="s">
        <v>26</v>
      </c>
      <c r="H27" t="s">
        <v>12</v>
      </c>
      <c r="I27" t="s">
        <v>33</v>
      </c>
    </row>
    <row r="28" spans="1:9">
      <c r="A28" t="s">
        <v>227</v>
      </c>
      <c r="B28" t="s">
        <v>35</v>
      </c>
      <c r="C28" t="s">
        <v>217</v>
      </c>
      <c r="D28" t="s">
        <v>228</v>
      </c>
      <c r="E28">
        <v>2</v>
      </c>
      <c r="F28" t="s">
        <v>215</v>
      </c>
      <c r="G28" t="s">
        <v>26</v>
      </c>
      <c r="H28" t="s">
        <v>17</v>
      </c>
      <c r="I28" t="s">
        <v>33</v>
      </c>
    </row>
    <row r="29" spans="1:9">
      <c r="A29" t="s">
        <v>229</v>
      </c>
      <c r="B29" t="s">
        <v>36</v>
      </c>
      <c r="C29" t="s">
        <v>226</v>
      </c>
      <c r="D29" t="s">
        <v>230</v>
      </c>
      <c r="E29">
        <v>2</v>
      </c>
      <c r="F29" t="s">
        <v>231</v>
      </c>
      <c r="G29" t="s">
        <v>7</v>
      </c>
      <c r="H29" t="s">
        <v>17</v>
      </c>
      <c r="I29" t="s">
        <v>33</v>
      </c>
    </row>
    <row r="30" spans="1:9">
      <c r="A30" t="s">
        <v>232</v>
      </c>
      <c r="B30" t="s">
        <v>37</v>
      </c>
      <c r="C30" t="s">
        <v>230</v>
      </c>
      <c r="D30" t="s">
        <v>233</v>
      </c>
      <c r="E30">
        <v>1</v>
      </c>
      <c r="F30" t="s">
        <v>229</v>
      </c>
      <c r="G30" t="s">
        <v>11</v>
      </c>
      <c r="H30" t="s">
        <v>21</v>
      </c>
      <c r="I30" t="s">
        <v>33</v>
      </c>
    </row>
    <row r="31" spans="1:9">
      <c r="A31">
        <v>4</v>
      </c>
      <c r="B31" t="s">
        <v>90</v>
      </c>
    </row>
    <row r="32" spans="1:9">
      <c r="A32" t="s">
        <v>234</v>
      </c>
      <c r="B32" t="s">
        <v>38</v>
      </c>
      <c r="C32" t="s">
        <v>233</v>
      </c>
      <c r="D32" t="s">
        <v>235</v>
      </c>
      <c r="E32">
        <v>5</v>
      </c>
      <c r="F32" t="s">
        <v>232</v>
      </c>
      <c r="G32" t="s">
        <v>26</v>
      </c>
      <c r="H32" t="s">
        <v>12</v>
      </c>
      <c r="I32" t="s">
        <v>39</v>
      </c>
    </row>
    <row r="33" spans="1:9">
      <c r="A33" t="s">
        <v>236</v>
      </c>
      <c r="B33" t="s">
        <v>237</v>
      </c>
      <c r="C33" t="s">
        <v>233</v>
      </c>
      <c r="D33" t="s">
        <v>238</v>
      </c>
      <c r="E33">
        <v>2</v>
      </c>
      <c r="F33" t="s">
        <v>232</v>
      </c>
      <c r="G33" t="s">
        <v>26</v>
      </c>
      <c r="H33" t="s">
        <v>13</v>
      </c>
      <c r="I33" t="s">
        <v>39</v>
      </c>
    </row>
    <row r="34" spans="1:9">
      <c r="A34" t="s">
        <v>239</v>
      </c>
      <c r="B34" t="s">
        <v>240</v>
      </c>
      <c r="C34" t="s">
        <v>235</v>
      </c>
      <c r="D34" t="s">
        <v>241</v>
      </c>
      <c r="E34">
        <v>2</v>
      </c>
      <c r="F34" t="s">
        <v>234</v>
      </c>
      <c r="G34" t="s">
        <v>26</v>
      </c>
      <c r="H34" t="s">
        <v>17</v>
      </c>
      <c r="I34" t="s">
        <v>39</v>
      </c>
    </row>
    <row r="35" spans="1:9">
      <c r="A35" t="s">
        <v>242</v>
      </c>
      <c r="B35" t="s">
        <v>40</v>
      </c>
      <c r="C35" t="s">
        <v>241</v>
      </c>
      <c r="D35" t="s">
        <v>243</v>
      </c>
      <c r="E35">
        <v>2</v>
      </c>
      <c r="F35" t="s">
        <v>244</v>
      </c>
      <c r="G35" t="s">
        <v>11</v>
      </c>
      <c r="H35" t="s">
        <v>21</v>
      </c>
      <c r="I35" t="s">
        <v>39</v>
      </c>
    </row>
    <row r="36" spans="1:9">
      <c r="A36" t="s">
        <v>245</v>
      </c>
      <c r="B36" t="s">
        <v>41</v>
      </c>
      <c r="C36" t="s">
        <v>235</v>
      </c>
      <c r="D36" t="s">
        <v>246</v>
      </c>
      <c r="E36">
        <v>3</v>
      </c>
      <c r="F36" t="s">
        <v>234</v>
      </c>
      <c r="G36" t="s">
        <v>26</v>
      </c>
      <c r="H36" t="s">
        <v>12</v>
      </c>
      <c r="I36" t="s">
        <v>39</v>
      </c>
    </row>
    <row r="37" spans="1:9">
      <c r="A37" t="s">
        <v>247</v>
      </c>
      <c r="B37" t="s">
        <v>248</v>
      </c>
      <c r="C37" t="s">
        <v>235</v>
      </c>
      <c r="D37" t="s">
        <v>241</v>
      </c>
      <c r="E37">
        <v>2</v>
      </c>
      <c r="F37" t="s">
        <v>234</v>
      </c>
      <c r="G37" t="s">
        <v>7</v>
      </c>
      <c r="H37" t="s">
        <v>17</v>
      </c>
      <c r="I37" t="s">
        <v>39</v>
      </c>
    </row>
    <row r="38" spans="1:9">
      <c r="A38" t="s">
        <v>249</v>
      </c>
      <c r="B38" t="s">
        <v>42</v>
      </c>
      <c r="C38" t="s">
        <v>246</v>
      </c>
      <c r="D38" t="s">
        <v>250</v>
      </c>
      <c r="E38">
        <v>2</v>
      </c>
      <c r="F38" t="s">
        <v>251</v>
      </c>
      <c r="G38" t="s">
        <v>11</v>
      </c>
      <c r="H38" t="s">
        <v>17</v>
      </c>
      <c r="I38" t="s">
        <v>39</v>
      </c>
    </row>
    <row r="39" spans="1:9">
      <c r="A39" t="s">
        <v>252</v>
      </c>
      <c r="B39" t="s">
        <v>43</v>
      </c>
      <c r="C39" t="s">
        <v>250</v>
      </c>
      <c r="D39" t="s">
        <v>253</v>
      </c>
      <c r="E39">
        <v>1</v>
      </c>
      <c r="F39" t="s">
        <v>249</v>
      </c>
      <c r="G39" t="s">
        <v>7</v>
      </c>
      <c r="H39" t="s">
        <v>178</v>
      </c>
      <c r="I39" t="s">
        <v>39</v>
      </c>
    </row>
    <row r="40" spans="1:9">
      <c r="A40" t="s">
        <v>44</v>
      </c>
      <c r="B40" t="s">
        <v>45</v>
      </c>
      <c r="C40" t="s">
        <v>183</v>
      </c>
      <c r="D40" t="s">
        <v>183</v>
      </c>
      <c r="E40">
        <v>0</v>
      </c>
      <c r="F40" t="s">
        <v>182</v>
      </c>
      <c r="G40" t="s">
        <v>7</v>
      </c>
      <c r="H40" t="s">
        <v>178</v>
      </c>
      <c r="I40" t="s">
        <v>179</v>
      </c>
    </row>
    <row r="41" spans="1:9">
      <c r="A41" t="s">
        <v>46</v>
      </c>
      <c r="B41" t="s">
        <v>47</v>
      </c>
      <c r="C41" t="s">
        <v>210</v>
      </c>
      <c r="D41" t="s">
        <v>210</v>
      </c>
      <c r="E41">
        <v>0</v>
      </c>
      <c r="F41" t="s">
        <v>209</v>
      </c>
      <c r="G41" t="s">
        <v>11</v>
      </c>
      <c r="H41" t="s">
        <v>178</v>
      </c>
      <c r="I41" t="s">
        <v>29</v>
      </c>
    </row>
    <row r="42" spans="1:9">
      <c r="A42" t="s">
        <v>48</v>
      </c>
      <c r="B42" t="s">
        <v>49</v>
      </c>
      <c r="C42" t="s">
        <v>233</v>
      </c>
      <c r="D42" t="s">
        <v>233</v>
      </c>
      <c r="E42">
        <v>0</v>
      </c>
      <c r="F42" t="s">
        <v>232</v>
      </c>
      <c r="G42" t="s">
        <v>11</v>
      </c>
      <c r="H42" t="s">
        <v>178</v>
      </c>
      <c r="I42" t="s">
        <v>33</v>
      </c>
    </row>
    <row r="43" spans="1:9">
      <c r="A43" t="s">
        <v>50</v>
      </c>
      <c r="B43" t="s">
        <v>51</v>
      </c>
      <c r="C43" t="s">
        <v>250</v>
      </c>
      <c r="D43" t="s">
        <v>250</v>
      </c>
      <c r="E43">
        <v>0</v>
      </c>
      <c r="F43" t="s">
        <v>249</v>
      </c>
      <c r="G43" t="s">
        <v>11</v>
      </c>
      <c r="H43" t="s">
        <v>178</v>
      </c>
      <c r="I4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E9A3-F317-464F-B284-331D4ABA39CA}">
  <sheetPr>
    <pageSetUpPr fitToPage="1"/>
  </sheetPr>
  <dimension ref="A2:KX49"/>
  <sheetViews>
    <sheetView showGridLines="0" showRuler="0" zoomScale="80" zoomScaleNormal="80" zoomScalePageLayoutView="70" workbookViewId="0">
      <pane xSplit="8" ySplit="9" topLeftCell="I16" activePane="bottomRight" state="frozen"/>
      <selection activeCell="B1" sqref="B1"/>
      <selection pane="topRight" activeCell="B1" sqref="B1"/>
      <selection pane="bottomLeft" activeCell="B1" sqref="B1"/>
      <selection pane="bottomRight" activeCell="E30" sqref="E30"/>
    </sheetView>
  </sheetViews>
  <sheetFormatPr baseColWidth="10" defaultColWidth="9.140625" defaultRowHeight="12.75"/>
  <cols>
    <col min="1" max="1" width="4.7109375" style="34" customWidth="1"/>
    <col min="2" max="2" width="83.85546875" style="10" customWidth="1"/>
    <col min="3" max="3" width="20.85546875" style="10" customWidth="1"/>
    <col min="4" max="4" width="36.5703125" style="10" customWidth="1"/>
    <col min="5" max="5" width="14.28515625" style="10" bestFit="1" customWidth="1"/>
    <col min="6" max="6" width="15.42578125" style="59" bestFit="1" customWidth="1"/>
    <col min="7" max="7" width="15.85546875" style="59" bestFit="1" customWidth="1"/>
    <col min="8" max="8" width="10.42578125" style="10" customWidth="1"/>
    <col min="9" max="9" width="1.140625" style="10" customWidth="1"/>
    <col min="10" max="313" width="3.5703125" style="10" customWidth="1"/>
    <col min="314" max="314" width="7.85546875" style="10" bestFit="1" customWidth="1"/>
    <col min="315" max="341" width="3.5703125" style="10" customWidth="1"/>
    <col min="342" max="342" width="7.42578125" style="10" bestFit="1" customWidth="1"/>
    <col min="343" max="402" width="3.5703125" style="10" customWidth="1"/>
    <col min="403" max="403" width="7.7109375" style="10" bestFit="1" customWidth="1"/>
    <col min="404" max="432" width="3.5703125" style="10" customWidth="1"/>
    <col min="433" max="433" width="7.140625" style="10" bestFit="1" customWidth="1"/>
    <col min="434" max="463" width="3.5703125" style="10" customWidth="1"/>
    <col min="464" max="464" width="7.7109375" style="10" bestFit="1" customWidth="1"/>
    <col min="465" max="494" width="3.5703125" style="10" customWidth="1"/>
    <col min="495" max="495" width="7.140625" style="10" bestFit="1" customWidth="1"/>
    <col min="496" max="524" width="3.5703125" style="10" customWidth="1"/>
    <col min="525" max="16384" width="9.140625" style="10"/>
  </cols>
  <sheetData>
    <row r="2" spans="1:310" ht="25.5" customHeight="1">
      <c r="A2" s="8"/>
      <c r="B2" s="71" t="s">
        <v>319</v>
      </c>
      <c r="C2" s="71"/>
      <c r="D2" s="71"/>
      <c r="E2" s="71"/>
      <c r="F2" s="71"/>
      <c r="G2" s="71"/>
      <c r="H2" s="71"/>
      <c r="I2" s="71"/>
      <c r="J2" s="72"/>
      <c r="K2" s="72"/>
      <c r="L2" s="72"/>
      <c r="M2" s="72"/>
      <c r="N2" s="72"/>
      <c r="O2" s="72"/>
      <c r="P2" s="72"/>
      <c r="Q2" s="72"/>
      <c r="R2" s="72"/>
      <c r="S2" s="72"/>
      <c r="T2" s="72"/>
      <c r="U2" s="72"/>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310" ht="14.25" customHeight="1">
      <c r="A3" s="8"/>
      <c r="B3" s="11" t="s">
        <v>175</v>
      </c>
      <c r="C3" s="12"/>
      <c r="D3" s="13"/>
      <c r="E3" s="13"/>
      <c r="F3" s="14"/>
      <c r="G3" s="14"/>
      <c r="H3" s="13"/>
      <c r="I3" s="13"/>
      <c r="J3" s="13"/>
      <c r="K3" s="15"/>
      <c r="L3" s="15"/>
      <c r="M3" s="15"/>
    </row>
    <row r="4" spans="1:310">
      <c r="A4" s="8"/>
      <c r="B4" s="16" t="s">
        <v>301</v>
      </c>
      <c r="C4" s="17" t="s">
        <v>320</v>
      </c>
      <c r="D4" s="18"/>
      <c r="E4" s="19"/>
      <c r="F4" s="20"/>
      <c r="G4" s="20"/>
      <c r="H4" s="21" t="s">
        <v>302</v>
      </c>
      <c r="I4" s="19"/>
      <c r="J4" s="73" t="s">
        <v>303</v>
      </c>
      <c r="K4" s="73"/>
      <c r="L4" s="73"/>
      <c r="M4" s="73"/>
      <c r="O4" s="74" t="s">
        <v>304</v>
      </c>
      <c r="P4" s="74"/>
      <c r="Q4" s="74"/>
      <c r="R4" s="74"/>
      <c r="T4" s="75" t="s">
        <v>305</v>
      </c>
      <c r="U4" s="75"/>
      <c r="V4" s="75"/>
      <c r="W4" s="75"/>
      <c r="Y4" s="69" t="s">
        <v>306</v>
      </c>
      <c r="Z4" s="69"/>
      <c r="AA4" s="69"/>
      <c r="AB4" s="69"/>
      <c r="AD4" s="70" t="s">
        <v>307</v>
      </c>
      <c r="AE4" s="70"/>
      <c r="AF4" s="70"/>
      <c r="AG4" s="70"/>
    </row>
    <row r="5" spans="1:310">
      <c r="A5" s="8"/>
      <c r="B5" s="22" t="s">
        <v>308</v>
      </c>
      <c r="C5" s="18" t="s">
        <v>321</v>
      </c>
      <c r="D5" s="18"/>
      <c r="E5" s="19"/>
      <c r="F5" s="20"/>
      <c r="G5" s="20"/>
      <c r="H5" s="19"/>
      <c r="I5" s="19"/>
    </row>
    <row r="6" spans="1:310">
      <c r="A6" s="8"/>
      <c r="B6" s="23" t="s">
        <v>309</v>
      </c>
      <c r="C6" s="24">
        <v>45971</v>
      </c>
      <c r="D6" s="24"/>
      <c r="E6" s="19"/>
      <c r="F6" s="20"/>
      <c r="G6" s="20"/>
      <c r="H6" s="19"/>
      <c r="I6" s="19"/>
      <c r="J6" s="68">
        <v>45717</v>
      </c>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v>45748</v>
      </c>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v>45778</v>
      </c>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v>45809</v>
      </c>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v>45839</v>
      </c>
      <c r="EC6" s="68"/>
      <c r="ED6" s="68"/>
      <c r="EE6" s="68"/>
      <c r="EF6" s="68"/>
      <c r="EG6" s="68"/>
      <c r="EH6" s="68"/>
      <c r="EI6" s="68"/>
      <c r="EJ6" s="68"/>
      <c r="EK6" s="68"/>
      <c r="EL6" s="68"/>
      <c r="EM6" s="68"/>
      <c r="EN6" s="68"/>
      <c r="EO6" s="68"/>
      <c r="EP6" s="68"/>
      <c r="EQ6" s="68"/>
      <c r="ER6" s="68"/>
      <c r="ES6" s="68"/>
      <c r="ET6" s="68"/>
      <c r="EU6" s="68"/>
      <c r="EV6" s="68"/>
      <c r="EW6" s="68"/>
      <c r="EX6" s="68"/>
      <c r="EY6" s="68"/>
      <c r="EZ6" s="68"/>
      <c r="FA6" s="68"/>
      <c r="FB6" s="68"/>
      <c r="FC6" s="68"/>
      <c r="FD6" s="68"/>
      <c r="FE6" s="68"/>
      <c r="FF6" s="68"/>
      <c r="FG6" s="68">
        <v>45870</v>
      </c>
      <c r="FH6" s="68"/>
      <c r="FI6" s="68"/>
      <c r="FJ6" s="68"/>
      <c r="FK6" s="68"/>
      <c r="FL6" s="68"/>
      <c r="FM6" s="68"/>
      <c r="FN6" s="68"/>
      <c r="FO6" s="68"/>
      <c r="FP6" s="68"/>
      <c r="FQ6" s="68"/>
      <c r="FR6" s="68"/>
      <c r="FS6" s="68"/>
      <c r="FT6" s="68"/>
      <c r="FU6" s="68"/>
      <c r="FV6" s="68"/>
      <c r="FW6" s="68"/>
      <c r="FX6" s="68"/>
      <c r="FY6" s="68"/>
      <c r="FZ6" s="68"/>
      <c r="GA6" s="68"/>
      <c r="GB6" s="68"/>
      <c r="GC6" s="68"/>
      <c r="GD6" s="68"/>
      <c r="GE6" s="68"/>
      <c r="GF6" s="68"/>
      <c r="GG6" s="68"/>
      <c r="GH6" s="68"/>
      <c r="GI6" s="68"/>
      <c r="GJ6" s="68"/>
      <c r="GK6" s="68"/>
      <c r="GL6" s="68">
        <v>45901</v>
      </c>
      <c r="GM6" s="68"/>
      <c r="GN6" s="68"/>
      <c r="GO6" s="68"/>
      <c r="GP6" s="68"/>
      <c r="GQ6" s="68"/>
      <c r="GR6" s="68"/>
      <c r="GS6" s="68"/>
      <c r="GT6" s="68"/>
      <c r="GU6" s="68"/>
      <c r="GV6" s="68"/>
      <c r="GW6" s="68"/>
      <c r="GX6" s="68"/>
      <c r="GY6" s="68"/>
      <c r="GZ6" s="68"/>
      <c r="HA6" s="68"/>
      <c r="HB6" s="68"/>
      <c r="HC6" s="68"/>
      <c r="HD6" s="68"/>
      <c r="HE6" s="68"/>
      <c r="HF6" s="68"/>
      <c r="HG6" s="68"/>
      <c r="HH6" s="68"/>
      <c r="HI6" s="68"/>
      <c r="HJ6" s="68"/>
      <c r="HK6" s="68"/>
      <c r="HL6" s="68">
        <v>45931</v>
      </c>
      <c r="HM6" s="68"/>
      <c r="HN6" s="68"/>
      <c r="HO6" s="68"/>
      <c r="HP6" s="68"/>
      <c r="HQ6" s="68"/>
      <c r="HR6" s="68"/>
      <c r="HS6" s="68"/>
      <c r="HT6" s="68"/>
      <c r="HU6" s="68"/>
      <c r="HV6" s="68"/>
      <c r="HW6" s="68"/>
      <c r="HX6" s="68"/>
      <c r="HY6" s="68"/>
      <c r="HZ6" s="68"/>
      <c r="IA6" s="68"/>
      <c r="IB6" s="68"/>
      <c r="IC6" s="68"/>
      <c r="ID6" s="68"/>
      <c r="IE6" s="68"/>
      <c r="IF6" s="68"/>
      <c r="IG6" s="68"/>
      <c r="IH6" s="68"/>
      <c r="II6" s="68"/>
      <c r="IJ6" s="68"/>
      <c r="IK6" s="68"/>
      <c r="IL6" s="68"/>
      <c r="IM6" s="68"/>
      <c r="IN6" s="68"/>
      <c r="IO6" s="68"/>
      <c r="IP6" s="68"/>
      <c r="IQ6" s="68">
        <v>45962</v>
      </c>
      <c r="IR6" s="68"/>
      <c r="IS6" s="68"/>
      <c r="IT6" s="68"/>
      <c r="IU6" s="68"/>
      <c r="IV6" s="68"/>
      <c r="IW6" s="68"/>
      <c r="IX6" s="68"/>
      <c r="IY6" s="68"/>
      <c r="IZ6" s="68"/>
      <c r="JA6" s="68"/>
      <c r="JB6" s="68"/>
      <c r="JC6" s="68"/>
      <c r="JD6" s="68"/>
      <c r="JE6" s="68"/>
      <c r="JF6" s="68"/>
      <c r="JG6" s="68"/>
      <c r="JH6" s="68"/>
      <c r="JI6" s="68"/>
      <c r="JJ6" s="68"/>
      <c r="JK6" s="68"/>
      <c r="JL6" s="68"/>
      <c r="JM6" s="68"/>
      <c r="JN6" s="68"/>
      <c r="JO6" s="68"/>
      <c r="JP6" s="68"/>
      <c r="JQ6" s="68"/>
      <c r="JR6" s="68"/>
      <c r="JS6" s="68"/>
      <c r="JT6" s="68"/>
      <c r="JU6" s="68"/>
      <c r="JV6" s="68">
        <v>45992</v>
      </c>
      <c r="JW6" s="68"/>
      <c r="JX6" s="68"/>
      <c r="JY6" s="68"/>
      <c r="JZ6" s="68"/>
      <c r="KA6" s="68"/>
      <c r="KB6" s="68"/>
      <c r="KC6" s="68"/>
      <c r="KD6" s="68"/>
      <c r="KE6" s="68"/>
      <c r="KF6" s="68"/>
      <c r="KG6" s="68"/>
      <c r="KH6" s="68"/>
      <c r="KI6" s="68"/>
      <c r="KJ6" s="68"/>
      <c r="KK6" s="68"/>
      <c r="KL6" s="68"/>
      <c r="KM6" s="68"/>
      <c r="KN6" s="68"/>
      <c r="KO6" s="68"/>
      <c r="KP6" s="68"/>
      <c r="KQ6" s="68"/>
      <c r="KR6" s="68"/>
      <c r="KS6" s="68"/>
      <c r="KT6" s="68"/>
      <c r="KU6" s="68"/>
      <c r="KV6" s="68"/>
      <c r="KW6" s="68"/>
      <c r="KX6" s="68"/>
    </row>
    <row r="7" spans="1:310">
      <c r="A7" s="8"/>
      <c r="B7" s="23" t="s">
        <v>310</v>
      </c>
      <c r="C7" s="25">
        <v>1</v>
      </c>
      <c r="D7" s="18"/>
      <c r="E7" s="19"/>
      <c r="F7" s="19"/>
      <c r="G7" s="19"/>
      <c r="H7" s="19"/>
      <c r="I7" s="26"/>
      <c r="J7" s="27">
        <v>45717</v>
      </c>
      <c r="K7" s="27">
        <v>45718</v>
      </c>
      <c r="L7" s="27">
        <v>45719</v>
      </c>
      <c r="M7" s="27">
        <v>45720</v>
      </c>
      <c r="N7" s="27">
        <v>45721</v>
      </c>
      <c r="O7" s="27">
        <v>45722</v>
      </c>
      <c r="P7" s="27">
        <v>45723</v>
      </c>
      <c r="Q7" s="27">
        <v>45724</v>
      </c>
      <c r="R7" s="27">
        <v>45725</v>
      </c>
      <c r="S7" s="27">
        <v>45726</v>
      </c>
      <c r="T7" s="27">
        <v>45727</v>
      </c>
      <c r="U7" s="27">
        <v>45728</v>
      </c>
      <c r="V7" s="27">
        <v>45729</v>
      </c>
      <c r="W7" s="27">
        <v>45730</v>
      </c>
      <c r="X7" s="27">
        <v>45731</v>
      </c>
      <c r="Y7" s="27">
        <v>45732</v>
      </c>
      <c r="Z7" s="27">
        <v>45733</v>
      </c>
      <c r="AA7" s="27">
        <v>45734</v>
      </c>
      <c r="AB7" s="27">
        <v>45735</v>
      </c>
      <c r="AC7" s="27">
        <v>45736</v>
      </c>
      <c r="AD7" s="27">
        <v>45737</v>
      </c>
      <c r="AE7" s="27">
        <v>45738</v>
      </c>
      <c r="AF7" s="27">
        <v>45739</v>
      </c>
      <c r="AG7" s="27">
        <v>45740</v>
      </c>
      <c r="AH7" s="27">
        <v>45741</v>
      </c>
      <c r="AI7" s="27">
        <v>45742</v>
      </c>
      <c r="AJ7" s="27">
        <v>45743</v>
      </c>
      <c r="AK7" s="27">
        <v>45744</v>
      </c>
      <c r="AL7" s="27">
        <v>45745</v>
      </c>
      <c r="AM7" s="27">
        <v>45746</v>
      </c>
      <c r="AN7" s="27">
        <v>45747</v>
      </c>
      <c r="AO7" s="27">
        <v>45748</v>
      </c>
      <c r="AP7" s="27">
        <v>45749</v>
      </c>
      <c r="AQ7" s="27">
        <v>45750</v>
      </c>
      <c r="AR7" s="27">
        <v>45751</v>
      </c>
      <c r="AS7" s="27">
        <v>45752</v>
      </c>
      <c r="AT7" s="27">
        <v>45753</v>
      </c>
      <c r="AU7" s="27">
        <v>45754</v>
      </c>
      <c r="AV7" s="27">
        <v>45755</v>
      </c>
      <c r="AW7" s="27">
        <v>45756</v>
      </c>
      <c r="AX7" s="27">
        <v>45757</v>
      </c>
      <c r="AY7" s="27">
        <v>45758</v>
      </c>
      <c r="AZ7" s="27">
        <v>45759</v>
      </c>
      <c r="BA7" s="27">
        <v>45760</v>
      </c>
      <c r="BB7" s="27">
        <v>45761</v>
      </c>
      <c r="BC7" s="27">
        <v>45762</v>
      </c>
      <c r="BD7" s="27">
        <v>45763</v>
      </c>
      <c r="BE7" s="27">
        <v>45764</v>
      </c>
      <c r="BF7" s="27">
        <v>45765</v>
      </c>
      <c r="BG7" s="27">
        <v>45766</v>
      </c>
      <c r="BH7" s="27">
        <v>45767</v>
      </c>
      <c r="BI7" s="27">
        <v>45768</v>
      </c>
      <c r="BJ7" s="27">
        <v>45769</v>
      </c>
      <c r="BK7" s="27">
        <v>45770</v>
      </c>
      <c r="BL7" s="27">
        <v>45771</v>
      </c>
      <c r="BM7" s="27">
        <v>45772</v>
      </c>
      <c r="BN7" s="27">
        <v>45773</v>
      </c>
      <c r="BO7" s="27">
        <v>45774</v>
      </c>
      <c r="BP7" s="27">
        <v>45775</v>
      </c>
      <c r="BQ7" s="27">
        <v>45776</v>
      </c>
      <c r="BR7" s="27">
        <v>45777</v>
      </c>
      <c r="BS7" s="27">
        <v>45778</v>
      </c>
      <c r="BT7" s="27">
        <v>45779</v>
      </c>
      <c r="BU7" s="27">
        <v>45780</v>
      </c>
      <c r="BV7" s="27">
        <v>45781</v>
      </c>
      <c r="BW7" s="27">
        <v>45782</v>
      </c>
      <c r="BX7" s="27">
        <v>45783</v>
      </c>
      <c r="BY7" s="27">
        <v>45784</v>
      </c>
      <c r="BZ7" s="27">
        <v>45785</v>
      </c>
      <c r="CA7" s="27">
        <v>45786</v>
      </c>
      <c r="CB7" s="27">
        <v>45787</v>
      </c>
      <c r="CC7" s="27">
        <v>45788</v>
      </c>
      <c r="CD7" s="27">
        <v>45789</v>
      </c>
      <c r="CE7" s="27">
        <v>45790</v>
      </c>
      <c r="CF7" s="27">
        <v>45791</v>
      </c>
      <c r="CG7" s="27">
        <v>45792</v>
      </c>
      <c r="CH7" s="27">
        <v>45793</v>
      </c>
      <c r="CI7" s="27">
        <v>45794</v>
      </c>
      <c r="CJ7" s="27">
        <v>45795</v>
      </c>
      <c r="CK7" s="27">
        <v>45796</v>
      </c>
      <c r="CL7" s="27">
        <v>45797</v>
      </c>
      <c r="CM7" s="27">
        <v>45798</v>
      </c>
      <c r="CN7" s="27">
        <v>45799</v>
      </c>
      <c r="CO7" s="27">
        <v>45800</v>
      </c>
      <c r="CP7" s="27">
        <v>45801</v>
      </c>
      <c r="CQ7" s="27">
        <v>45802</v>
      </c>
      <c r="CR7" s="27">
        <v>45803</v>
      </c>
      <c r="CS7" s="27">
        <v>45804</v>
      </c>
      <c r="CT7" s="27">
        <v>45805</v>
      </c>
      <c r="CU7" s="27">
        <v>45806</v>
      </c>
      <c r="CV7" s="27">
        <v>45807</v>
      </c>
      <c r="CW7" s="27">
        <v>45808</v>
      </c>
      <c r="CX7" s="27">
        <v>45809</v>
      </c>
      <c r="CY7" s="27">
        <v>45810</v>
      </c>
      <c r="CZ7" s="27">
        <v>45811</v>
      </c>
      <c r="DA7" s="27">
        <v>45812</v>
      </c>
      <c r="DB7" s="27">
        <v>45813</v>
      </c>
      <c r="DC7" s="27">
        <v>45814</v>
      </c>
      <c r="DD7" s="27">
        <v>45815</v>
      </c>
      <c r="DE7" s="27">
        <v>45816</v>
      </c>
      <c r="DF7" s="27">
        <v>45817</v>
      </c>
      <c r="DG7" s="27">
        <v>45818</v>
      </c>
      <c r="DH7" s="27">
        <v>45819</v>
      </c>
      <c r="DI7" s="27">
        <v>45820</v>
      </c>
      <c r="DJ7" s="27">
        <v>45821</v>
      </c>
      <c r="DK7" s="27">
        <v>45822</v>
      </c>
      <c r="DL7" s="27">
        <v>45823</v>
      </c>
      <c r="DM7" s="27">
        <v>45824</v>
      </c>
      <c r="DN7" s="27">
        <v>45825</v>
      </c>
      <c r="DO7" s="27">
        <v>45826</v>
      </c>
      <c r="DP7" s="27">
        <v>45827</v>
      </c>
      <c r="DQ7" s="27">
        <v>45828</v>
      </c>
      <c r="DR7" s="27">
        <v>45829</v>
      </c>
      <c r="DS7" s="27">
        <v>45830</v>
      </c>
      <c r="DT7" s="27">
        <v>45831</v>
      </c>
      <c r="DU7" s="27">
        <v>45832</v>
      </c>
      <c r="DV7" s="27">
        <v>45833</v>
      </c>
      <c r="DW7" s="27">
        <v>45834</v>
      </c>
      <c r="DX7" s="27">
        <v>45835</v>
      </c>
      <c r="DY7" s="27">
        <v>45836</v>
      </c>
      <c r="DZ7" s="27">
        <v>45837</v>
      </c>
      <c r="EA7" s="27">
        <v>45838</v>
      </c>
      <c r="EB7" s="27">
        <v>45839</v>
      </c>
      <c r="EC7" s="27">
        <v>45840</v>
      </c>
      <c r="ED7" s="27">
        <v>45841</v>
      </c>
      <c r="EE7" s="27">
        <v>45842</v>
      </c>
      <c r="EF7" s="27">
        <v>45843</v>
      </c>
      <c r="EG7" s="27">
        <v>45844</v>
      </c>
      <c r="EH7" s="27">
        <v>45845</v>
      </c>
      <c r="EI7" s="27">
        <v>45846</v>
      </c>
      <c r="EJ7" s="27">
        <v>45847</v>
      </c>
      <c r="EK7" s="27">
        <v>45848</v>
      </c>
      <c r="EL7" s="27">
        <v>45849</v>
      </c>
      <c r="EM7" s="27">
        <v>45850</v>
      </c>
      <c r="EN7" s="27">
        <v>45851</v>
      </c>
      <c r="EO7" s="27">
        <v>45852</v>
      </c>
      <c r="EP7" s="27">
        <v>45853</v>
      </c>
      <c r="EQ7" s="27">
        <v>45854</v>
      </c>
      <c r="ER7" s="27">
        <v>45855</v>
      </c>
      <c r="ES7" s="27">
        <v>45856</v>
      </c>
      <c r="ET7" s="27">
        <v>45857</v>
      </c>
      <c r="EU7" s="27">
        <v>45858</v>
      </c>
      <c r="EV7" s="27">
        <v>45859</v>
      </c>
      <c r="EW7" s="27">
        <v>45860</v>
      </c>
      <c r="EX7" s="27">
        <v>45861</v>
      </c>
      <c r="EY7" s="27">
        <v>45862</v>
      </c>
      <c r="EZ7" s="27">
        <v>45863</v>
      </c>
      <c r="FA7" s="27">
        <v>45864</v>
      </c>
      <c r="FB7" s="27">
        <v>45865</v>
      </c>
      <c r="FC7" s="27">
        <v>45866</v>
      </c>
      <c r="FD7" s="27">
        <v>45867</v>
      </c>
      <c r="FE7" s="27">
        <v>45868</v>
      </c>
      <c r="FF7" s="27">
        <v>45869</v>
      </c>
      <c r="FG7" s="27">
        <v>45870</v>
      </c>
      <c r="FH7" s="27">
        <v>45871</v>
      </c>
      <c r="FI7" s="27">
        <v>45872</v>
      </c>
      <c r="FJ7" s="27">
        <v>45873</v>
      </c>
      <c r="FK7" s="27">
        <v>45874</v>
      </c>
      <c r="FL7" s="27">
        <v>45875</v>
      </c>
      <c r="FM7" s="27">
        <v>45876</v>
      </c>
      <c r="FN7" s="27">
        <v>45877</v>
      </c>
      <c r="FO7" s="27">
        <v>45878</v>
      </c>
      <c r="FP7" s="27">
        <v>45879</v>
      </c>
      <c r="FQ7" s="27">
        <v>45880</v>
      </c>
      <c r="FR7" s="27">
        <v>45881</v>
      </c>
      <c r="FS7" s="27">
        <v>45882</v>
      </c>
      <c r="FT7" s="27">
        <v>45883</v>
      </c>
      <c r="FU7" s="27">
        <v>45884</v>
      </c>
      <c r="FV7" s="27">
        <v>45885</v>
      </c>
      <c r="FW7" s="27">
        <v>45886</v>
      </c>
      <c r="FX7" s="27">
        <v>45887</v>
      </c>
      <c r="FY7" s="27">
        <v>45888</v>
      </c>
      <c r="FZ7" s="27">
        <v>45889</v>
      </c>
      <c r="GA7" s="27">
        <v>45890</v>
      </c>
      <c r="GB7" s="27">
        <v>45891</v>
      </c>
      <c r="GC7" s="27">
        <v>45892</v>
      </c>
      <c r="GD7" s="27">
        <v>45893</v>
      </c>
      <c r="GE7" s="27">
        <v>45894</v>
      </c>
      <c r="GF7" s="27">
        <v>45895</v>
      </c>
      <c r="GG7" s="27">
        <v>45896</v>
      </c>
      <c r="GH7" s="27">
        <v>45897</v>
      </c>
      <c r="GI7" s="27">
        <v>45898</v>
      </c>
      <c r="GJ7" s="27">
        <v>45899</v>
      </c>
      <c r="GK7" s="27">
        <v>45900</v>
      </c>
      <c r="GL7" s="27">
        <v>45901</v>
      </c>
      <c r="GM7" s="27">
        <v>45902</v>
      </c>
      <c r="GN7" s="27">
        <v>45903</v>
      </c>
      <c r="GO7" s="27">
        <v>45904</v>
      </c>
      <c r="GP7" s="27">
        <v>45905</v>
      </c>
      <c r="GQ7" s="27">
        <v>45240</v>
      </c>
      <c r="GR7" s="27">
        <v>45241</v>
      </c>
      <c r="GS7" s="27">
        <v>45242</v>
      </c>
      <c r="GT7" s="27">
        <v>45243</v>
      </c>
      <c r="GU7" s="27">
        <v>45244</v>
      </c>
      <c r="GV7" s="27">
        <v>45245</v>
      </c>
      <c r="GW7" s="27">
        <v>45246</v>
      </c>
      <c r="GX7" s="27">
        <v>45247</v>
      </c>
      <c r="GY7" s="27">
        <v>45248</v>
      </c>
      <c r="GZ7" s="27">
        <v>45249</v>
      </c>
      <c r="HA7" s="27">
        <v>45250</v>
      </c>
      <c r="HB7" s="27">
        <v>45251</v>
      </c>
      <c r="HC7" s="27">
        <v>45252</v>
      </c>
      <c r="HD7" s="27">
        <v>45253</v>
      </c>
      <c r="HE7" s="27">
        <v>45254</v>
      </c>
      <c r="HF7" s="27">
        <v>45255</v>
      </c>
      <c r="HG7" s="27">
        <v>45256</v>
      </c>
      <c r="HH7" s="27">
        <v>45257</v>
      </c>
      <c r="HI7" s="27">
        <v>45258</v>
      </c>
      <c r="HJ7" s="27">
        <v>45259</v>
      </c>
      <c r="HK7" s="27">
        <v>45260</v>
      </c>
      <c r="HL7" s="27">
        <v>45261</v>
      </c>
      <c r="HM7" s="27">
        <v>45262</v>
      </c>
      <c r="HN7" s="27">
        <v>45263</v>
      </c>
      <c r="HO7" s="27">
        <v>45264</v>
      </c>
      <c r="HP7" s="27">
        <v>45265</v>
      </c>
      <c r="HQ7" s="27">
        <v>45266</v>
      </c>
      <c r="HR7" s="27">
        <v>45267</v>
      </c>
      <c r="HS7" s="27">
        <v>45268</v>
      </c>
      <c r="HT7" s="27">
        <v>45269</v>
      </c>
      <c r="HU7" s="27">
        <v>45270</v>
      </c>
      <c r="HV7" s="27">
        <v>45271</v>
      </c>
      <c r="HW7" s="27">
        <v>45272</v>
      </c>
      <c r="HX7" s="27">
        <v>45273</v>
      </c>
      <c r="HY7" s="27">
        <v>45274</v>
      </c>
      <c r="HZ7" s="27">
        <v>45275</v>
      </c>
      <c r="IA7" s="27">
        <v>45276</v>
      </c>
      <c r="IB7" s="27">
        <v>45277</v>
      </c>
      <c r="IC7" s="27">
        <v>45278</v>
      </c>
      <c r="ID7" s="27">
        <v>45279</v>
      </c>
      <c r="IE7" s="27">
        <v>45280</v>
      </c>
      <c r="IF7" s="27">
        <v>45281</v>
      </c>
      <c r="IG7" s="27">
        <v>45282</v>
      </c>
      <c r="IH7" s="27">
        <v>45283</v>
      </c>
      <c r="II7" s="27">
        <v>45284</v>
      </c>
      <c r="IJ7" s="27">
        <v>45285</v>
      </c>
      <c r="IK7" s="27">
        <v>45286</v>
      </c>
      <c r="IL7" s="27">
        <v>45287</v>
      </c>
      <c r="IM7" s="27">
        <v>45288</v>
      </c>
      <c r="IN7" s="27">
        <v>45289</v>
      </c>
      <c r="IO7" s="27">
        <v>45290</v>
      </c>
      <c r="IP7" s="27">
        <v>45291</v>
      </c>
      <c r="IQ7" s="27">
        <v>45292</v>
      </c>
      <c r="IR7" s="27">
        <v>45293</v>
      </c>
      <c r="IS7" s="27">
        <v>45294</v>
      </c>
      <c r="IT7" s="27">
        <v>45295</v>
      </c>
      <c r="IU7" s="27">
        <v>45296</v>
      </c>
      <c r="IV7" s="27">
        <v>45297</v>
      </c>
      <c r="IW7" s="27">
        <v>45298</v>
      </c>
      <c r="IX7" s="27">
        <v>45299</v>
      </c>
      <c r="IY7" s="27">
        <v>45300</v>
      </c>
      <c r="IZ7" s="27">
        <v>45301</v>
      </c>
      <c r="JA7" s="27">
        <v>45302</v>
      </c>
      <c r="JB7" s="27">
        <v>45303</v>
      </c>
      <c r="JC7" s="27">
        <v>45304</v>
      </c>
      <c r="JD7" s="27">
        <v>45305</v>
      </c>
      <c r="JE7" s="27">
        <v>45306</v>
      </c>
      <c r="JF7" s="27">
        <v>45307</v>
      </c>
      <c r="JG7" s="27">
        <v>45308</v>
      </c>
      <c r="JH7" s="27">
        <v>45309</v>
      </c>
      <c r="JI7" s="27">
        <v>45310</v>
      </c>
      <c r="JJ7" s="27">
        <v>45311</v>
      </c>
      <c r="JK7" s="27">
        <v>45312</v>
      </c>
      <c r="JL7" s="27">
        <v>45313</v>
      </c>
      <c r="JM7" s="27">
        <v>45314</v>
      </c>
      <c r="JN7" s="27">
        <v>45315</v>
      </c>
      <c r="JO7" s="27">
        <v>45316</v>
      </c>
      <c r="JP7" s="27">
        <v>45317</v>
      </c>
      <c r="JQ7" s="27">
        <v>45318</v>
      </c>
      <c r="JR7" s="27">
        <v>45319</v>
      </c>
      <c r="JS7" s="27">
        <v>45320</v>
      </c>
      <c r="JT7" s="27">
        <v>45321</v>
      </c>
      <c r="JU7" s="27">
        <v>45322</v>
      </c>
      <c r="JV7" s="27">
        <v>45323</v>
      </c>
      <c r="JW7" s="27">
        <v>45324</v>
      </c>
      <c r="JX7" s="27">
        <v>45325</v>
      </c>
      <c r="JY7" s="27">
        <v>45326</v>
      </c>
      <c r="JZ7" s="27">
        <v>45327</v>
      </c>
      <c r="KA7" s="27">
        <v>45328</v>
      </c>
      <c r="KB7" s="27">
        <v>45329</v>
      </c>
      <c r="KC7" s="27">
        <v>45330</v>
      </c>
      <c r="KD7" s="27">
        <v>45331</v>
      </c>
      <c r="KE7" s="27">
        <v>45332</v>
      </c>
      <c r="KF7" s="27">
        <v>45333</v>
      </c>
      <c r="KG7" s="27">
        <v>45334</v>
      </c>
      <c r="KH7" s="27">
        <v>45335</v>
      </c>
      <c r="KI7" s="27">
        <v>45336</v>
      </c>
      <c r="KJ7" s="27">
        <v>45337</v>
      </c>
      <c r="KK7" s="27">
        <v>45338</v>
      </c>
      <c r="KL7" s="27">
        <v>45339</v>
      </c>
      <c r="KM7" s="27">
        <v>45340</v>
      </c>
      <c r="KN7" s="27">
        <v>45341</v>
      </c>
      <c r="KO7" s="27">
        <v>45342</v>
      </c>
      <c r="KP7" s="27">
        <v>45343</v>
      </c>
      <c r="KQ7" s="27">
        <v>45344</v>
      </c>
      <c r="KR7" s="27">
        <v>45345</v>
      </c>
      <c r="KS7" s="27">
        <v>45346</v>
      </c>
      <c r="KT7" s="27">
        <v>45347</v>
      </c>
      <c r="KU7" s="27">
        <v>45348</v>
      </c>
      <c r="KV7" s="27">
        <v>45349</v>
      </c>
      <c r="KW7" s="27">
        <v>45350</v>
      </c>
      <c r="KX7" s="27">
        <v>45351</v>
      </c>
    </row>
    <row r="8" spans="1:310">
      <c r="A8" s="8"/>
      <c r="B8" s="18"/>
      <c r="C8" s="18"/>
      <c r="D8" s="18"/>
      <c r="E8" s="19"/>
      <c r="F8" s="19"/>
      <c r="G8" s="19"/>
      <c r="H8" s="19"/>
      <c r="I8" s="26"/>
      <c r="J8" s="28"/>
      <c r="K8" s="29"/>
      <c r="L8" s="29"/>
      <c r="M8" s="28"/>
      <c r="N8" s="29"/>
      <c r="O8" s="29"/>
      <c r="P8" s="28"/>
      <c r="Q8" s="29"/>
      <c r="R8" s="29"/>
      <c r="S8" s="28"/>
      <c r="T8" s="29"/>
      <c r="U8" s="29"/>
      <c r="V8" s="28"/>
      <c r="W8" s="29"/>
      <c r="X8" s="29"/>
      <c r="Y8" s="28"/>
      <c r="Z8" s="29"/>
      <c r="AA8" s="29"/>
      <c r="AB8" s="28"/>
      <c r="AC8" s="29"/>
      <c r="AD8" s="29"/>
      <c r="AE8" s="28"/>
      <c r="AF8" s="29"/>
      <c r="AG8" s="29"/>
      <c r="AH8" s="28"/>
      <c r="AI8" s="29"/>
      <c r="AJ8" s="29"/>
      <c r="AK8" s="28"/>
      <c r="AL8" s="29"/>
      <c r="AM8" s="29"/>
      <c r="AN8" s="28"/>
      <c r="AO8" s="29"/>
      <c r="AP8" s="29"/>
      <c r="AQ8" s="28"/>
      <c r="AR8" s="29"/>
      <c r="AS8" s="29"/>
      <c r="AT8" s="28"/>
      <c r="AU8" s="29"/>
      <c r="AV8" s="29"/>
      <c r="AW8" s="28"/>
      <c r="AX8" s="29"/>
      <c r="AY8" s="29"/>
      <c r="AZ8" s="28"/>
      <c r="BA8" s="29"/>
      <c r="BB8" s="29"/>
      <c r="BC8" s="28"/>
      <c r="BD8" s="29"/>
      <c r="BE8" s="29"/>
      <c r="BF8" s="28"/>
      <c r="BG8" s="29"/>
      <c r="BH8" s="29"/>
      <c r="BI8" s="28"/>
      <c r="BJ8" s="29"/>
      <c r="BK8" s="29"/>
      <c r="BL8" s="28"/>
      <c r="BM8" s="29"/>
      <c r="BN8" s="29"/>
      <c r="BO8" s="28"/>
      <c r="BP8" s="29"/>
      <c r="BQ8" s="29"/>
      <c r="BR8" s="28"/>
      <c r="BS8" s="29"/>
      <c r="BT8" s="29"/>
      <c r="BU8" s="28"/>
      <c r="BV8" s="29"/>
      <c r="BW8" s="29"/>
      <c r="BX8" s="28"/>
      <c r="BY8" s="29"/>
      <c r="BZ8" s="29"/>
      <c r="CA8" s="28"/>
      <c r="CB8" s="29"/>
      <c r="CC8" s="29"/>
      <c r="CD8" s="28"/>
      <c r="CE8" s="29"/>
      <c r="CF8" s="29"/>
      <c r="CG8" s="28"/>
      <c r="CH8" s="29"/>
      <c r="CI8" s="29"/>
      <c r="CJ8" s="28"/>
      <c r="CK8" s="29"/>
      <c r="CL8" s="29"/>
      <c r="CM8" s="28"/>
      <c r="CN8" s="29"/>
      <c r="CO8" s="29"/>
      <c r="CP8" s="28"/>
      <c r="CQ8" s="29"/>
      <c r="CR8" s="29"/>
      <c r="CS8" s="28"/>
      <c r="CT8" s="29"/>
      <c r="CU8" s="29"/>
      <c r="CV8" s="28"/>
      <c r="CW8" s="29"/>
      <c r="CX8" s="29"/>
      <c r="CY8" s="28"/>
      <c r="CZ8" s="29"/>
      <c r="DA8" s="28"/>
      <c r="DB8" s="29"/>
      <c r="DC8" s="29"/>
      <c r="DD8" s="28"/>
      <c r="DE8" s="29"/>
      <c r="DF8" s="29"/>
      <c r="DG8" s="28"/>
      <c r="DH8" s="29"/>
      <c r="DI8" s="29"/>
      <c r="DJ8" s="28"/>
      <c r="DK8" s="29"/>
      <c r="DL8" s="29"/>
      <c r="DM8" s="28"/>
      <c r="DN8" s="29"/>
      <c r="DO8" s="29"/>
      <c r="DP8" s="28"/>
      <c r="DQ8" s="29"/>
      <c r="DR8" s="29"/>
      <c r="DS8" s="28"/>
      <c r="DT8" s="29"/>
      <c r="DU8" s="29"/>
      <c r="DV8" s="28"/>
      <c r="DW8" s="29"/>
      <c r="DX8" s="29"/>
      <c r="DY8" s="28"/>
      <c r="DZ8" s="29"/>
      <c r="EA8" s="29"/>
      <c r="EB8" s="28"/>
      <c r="EC8" s="29"/>
      <c r="ED8" s="29"/>
      <c r="EE8" s="28"/>
      <c r="EF8" s="29"/>
      <c r="EG8" s="29"/>
      <c r="EH8" s="28"/>
      <c r="EI8" s="29"/>
      <c r="EJ8" s="29"/>
      <c r="EK8" s="28"/>
      <c r="EL8" s="29"/>
      <c r="EM8" s="29"/>
      <c r="EN8" s="28"/>
      <c r="EO8" s="29"/>
      <c r="EP8" s="29"/>
      <c r="EQ8" s="28"/>
      <c r="ER8" s="29"/>
      <c r="ES8" s="29"/>
      <c r="ET8" s="28"/>
      <c r="EU8" s="29"/>
      <c r="EV8" s="29"/>
      <c r="EW8" s="28"/>
      <c r="EX8" s="29"/>
      <c r="EY8" s="29"/>
      <c r="EZ8" s="28"/>
      <c r="FA8" s="29"/>
      <c r="FB8" s="29"/>
      <c r="FC8" s="28"/>
      <c r="FD8" s="29"/>
      <c r="FE8" s="29"/>
      <c r="FF8" s="28"/>
      <c r="FG8" s="29"/>
      <c r="FH8" s="29"/>
      <c r="FI8" s="28"/>
      <c r="FJ8" s="29"/>
      <c r="FK8" s="29"/>
      <c r="FL8" s="28"/>
      <c r="FM8" s="29"/>
      <c r="FN8" s="29"/>
      <c r="FO8" s="28"/>
      <c r="FP8" s="29"/>
      <c r="FQ8" s="29"/>
      <c r="FR8" s="28"/>
      <c r="FS8" s="29"/>
      <c r="FT8" s="29"/>
      <c r="FU8" s="28"/>
      <c r="FV8" s="29"/>
      <c r="FW8" s="29"/>
      <c r="FX8" s="28"/>
      <c r="FY8" s="29"/>
      <c r="FZ8" s="29"/>
      <c r="GA8" s="28"/>
      <c r="GB8" s="29"/>
      <c r="GC8" s="29"/>
      <c r="GD8" s="28"/>
      <c r="GE8" s="29"/>
      <c r="GF8" s="29"/>
      <c r="GG8" s="28"/>
      <c r="GH8" s="29"/>
      <c r="GI8" s="29"/>
      <c r="GJ8" s="28"/>
      <c r="GK8" s="29"/>
      <c r="GL8" s="29"/>
      <c r="GM8" s="28"/>
      <c r="GN8" s="29"/>
      <c r="GO8" s="29"/>
      <c r="GP8" s="28"/>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row>
    <row r="9" spans="1:310">
      <c r="A9" s="8"/>
      <c r="B9" s="30" t="s">
        <v>311</v>
      </c>
      <c r="C9" s="31" t="s">
        <v>312</v>
      </c>
      <c r="D9" s="31" t="s">
        <v>313</v>
      </c>
      <c r="E9" s="31" t="s">
        <v>314</v>
      </c>
      <c r="F9" s="31" t="s">
        <v>2</v>
      </c>
      <c r="G9" s="31" t="s">
        <v>3</v>
      </c>
      <c r="H9" s="31" t="s">
        <v>315</v>
      </c>
      <c r="I9" s="32"/>
      <c r="J9" s="33" t="str">
        <f t="shared" ref="J9:BU9" si="0">LEFT(TEXT(J7,"ddd"),1)</f>
        <v>s</v>
      </c>
      <c r="K9" s="33" t="str">
        <f t="shared" si="0"/>
        <v>d</v>
      </c>
      <c r="L9" s="33" t="str">
        <f t="shared" si="0"/>
        <v>l</v>
      </c>
      <c r="M9" s="33" t="str">
        <f t="shared" si="0"/>
        <v>m</v>
      </c>
      <c r="N9" s="33" t="str">
        <f t="shared" si="0"/>
        <v>m</v>
      </c>
      <c r="O9" s="33" t="str">
        <f t="shared" si="0"/>
        <v>j</v>
      </c>
      <c r="P9" s="33" t="str">
        <f t="shared" si="0"/>
        <v>v</v>
      </c>
      <c r="Q9" s="33" t="str">
        <f t="shared" si="0"/>
        <v>s</v>
      </c>
      <c r="R9" s="33" t="str">
        <f t="shared" si="0"/>
        <v>d</v>
      </c>
      <c r="S9" s="33" t="str">
        <f t="shared" si="0"/>
        <v>l</v>
      </c>
      <c r="T9" s="33" t="str">
        <f t="shared" si="0"/>
        <v>m</v>
      </c>
      <c r="U9" s="33" t="str">
        <f t="shared" si="0"/>
        <v>m</v>
      </c>
      <c r="V9" s="33" t="str">
        <f t="shared" si="0"/>
        <v>j</v>
      </c>
      <c r="W9" s="33" t="str">
        <f t="shared" si="0"/>
        <v>v</v>
      </c>
      <c r="X9" s="33" t="str">
        <f t="shared" si="0"/>
        <v>s</v>
      </c>
      <c r="Y9" s="33" t="str">
        <f t="shared" si="0"/>
        <v>d</v>
      </c>
      <c r="Z9" s="33" t="str">
        <f t="shared" si="0"/>
        <v>l</v>
      </c>
      <c r="AA9" s="33" t="str">
        <f t="shared" si="0"/>
        <v>m</v>
      </c>
      <c r="AB9" s="33" t="str">
        <f t="shared" si="0"/>
        <v>m</v>
      </c>
      <c r="AC9" s="33" t="str">
        <f t="shared" si="0"/>
        <v>j</v>
      </c>
      <c r="AD9" s="33" t="str">
        <f t="shared" si="0"/>
        <v>v</v>
      </c>
      <c r="AE9" s="33" t="str">
        <f t="shared" si="0"/>
        <v>s</v>
      </c>
      <c r="AF9" s="33" t="str">
        <f t="shared" si="0"/>
        <v>d</v>
      </c>
      <c r="AG9" s="33" t="str">
        <f t="shared" si="0"/>
        <v>l</v>
      </c>
      <c r="AH9" s="33" t="str">
        <f t="shared" si="0"/>
        <v>m</v>
      </c>
      <c r="AI9" s="33" t="str">
        <f t="shared" si="0"/>
        <v>m</v>
      </c>
      <c r="AJ9" s="33" t="str">
        <f t="shared" si="0"/>
        <v>j</v>
      </c>
      <c r="AK9" s="33" t="str">
        <f t="shared" si="0"/>
        <v>v</v>
      </c>
      <c r="AL9" s="33" t="str">
        <f t="shared" si="0"/>
        <v>s</v>
      </c>
      <c r="AM9" s="33" t="str">
        <f t="shared" si="0"/>
        <v>d</v>
      </c>
      <c r="AN9" s="33" t="str">
        <f t="shared" si="0"/>
        <v>l</v>
      </c>
      <c r="AO9" s="33" t="str">
        <f t="shared" si="0"/>
        <v>m</v>
      </c>
      <c r="AP9" s="33" t="str">
        <f t="shared" si="0"/>
        <v>m</v>
      </c>
      <c r="AQ9" s="33" t="str">
        <f t="shared" si="0"/>
        <v>j</v>
      </c>
      <c r="AR9" s="33" t="str">
        <f t="shared" si="0"/>
        <v>v</v>
      </c>
      <c r="AS9" s="33" t="str">
        <f t="shared" si="0"/>
        <v>s</v>
      </c>
      <c r="AT9" s="33" t="str">
        <f t="shared" si="0"/>
        <v>d</v>
      </c>
      <c r="AU9" s="33" t="str">
        <f t="shared" si="0"/>
        <v>l</v>
      </c>
      <c r="AV9" s="33" t="str">
        <f t="shared" si="0"/>
        <v>m</v>
      </c>
      <c r="AW9" s="33" t="str">
        <f t="shared" si="0"/>
        <v>m</v>
      </c>
      <c r="AX9" s="33" t="str">
        <f t="shared" si="0"/>
        <v>j</v>
      </c>
      <c r="AY9" s="33" t="str">
        <f t="shared" si="0"/>
        <v>v</v>
      </c>
      <c r="AZ9" s="33" t="str">
        <f t="shared" si="0"/>
        <v>s</v>
      </c>
      <c r="BA9" s="33" t="str">
        <f t="shared" si="0"/>
        <v>d</v>
      </c>
      <c r="BB9" s="33" t="str">
        <f t="shared" si="0"/>
        <v>l</v>
      </c>
      <c r="BC9" s="33" t="str">
        <f t="shared" si="0"/>
        <v>m</v>
      </c>
      <c r="BD9" s="33" t="str">
        <f t="shared" si="0"/>
        <v>m</v>
      </c>
      <c r="BE9" s="33" t="str">
        <f t="shared" si="0"/>
        <v>j</v>
      </c>
      <c r="BF9" s="33" t="str">
        <f t="shared" si="0"/>
        <v>v</v>
      </c>
      <c r="BG9" s="33" t="str">
        <f t="shared" si="0"/>
        <v>s</v>
      </c>
      <c r="BH9" s="33" t="str">
        <f t="shared" si="0"/>
        <v>d</v>
      </c>
      <c r="BI9" s="33" t="str">
        <f t="shared" si="0"/>
        <v>l</v>
      </c>
      <c r="BJ9" s="33" t="str">
        <f t="shared" si="0"/>
        <v>m</v>
      </c>
      <c r="BK9" s="33" t="str">
        <f t="shared" si="0"/>
        <v>m</v>
      </c>
      <c r="BL9" s="33" t="str">
        <f t="shared" si="0"/>
        <v>j</v>
      </c>
      <c r="BM9" s="33" t="str">
        <f t="shared" si="0"/>
        <v>v</v>
      </c>
      <c r="BN9" s="33" t="str">
        <f t="shared" si="0"/>
        <v>s</v>
      </c>
      <c r="BO9" s="33" t="str">
        <f t="shared" si="0"/>
        <v>d</v>
      </c>
      <c r="BP9" s="33" t="str">
        <f t="shared" si="0"/>
        <v>l</v>
      </c>
      <c r="BQ9" s="33" t="str">
        <f t="shared" si="0"/>
        <v>m</v>
      </c>
      <c r="BR9" s="33" t="str">
        <f t="shared" si="0"/>
        <v>m</v>
      </c>
      <c r="BS9" s="33" t="str">
        <f t="shared" si="0"/>
        <v>j</v>
      </c>
      <c r="BT9" s="33" t="str">
        <f t="shared" si="0"/>
        <v>v</v>
      </c>
      <c r="BU9" s="33" t="str">
        <f t="shared" si="0"/>
        <v>s</v>
      </c>
      <c r="BV9" s="33" t="str">
        <f t="shared" ref="BV9:EG9" si="1">LEFT(TEXT(BV7,"ddd"),1)</f>
        <v>d</v>
      </c>
      <c r="BW9" s="33" t="str">
        <f t="shared" si="1"/>
        <v>l</v>
      </c>
      <c r="BX9" s="33" t="str">
        <f t="shared" si="1"/>
        <v>m</v>
      </c>
      <c r="BY9" s="33" t="str">
        <f t="shared" si="1"/>
        <v>m</v>
      </c>
      <c r="BZ9" s="33" t="str">
        <f t="shared" si="1"/>
        <v>j</v>
      </c>
      <c r="CA9" s="33" t="str">
        <f t="shared" si="1"/>
        <v>v</v>
      </c>
      <c r="CB9" s="33" t="str">
        <f t="shared" si="1"/>
        <v>s</v>
      </c>
      <c r="CC9" s="33" t="str">
        <f t="shared" si="1"/>
        <v>d</v>
      </c>
      <c r="CD9" s="33" t="str">
        <f t="shared" si="1"/>
        <v>l</v>
      </c>
      <c r="CE9" s="33" t="str">
        <f t="shared" si="1"/>
        <v>m</v>
      </c>
      <c r="CF9" s="33" t="str">
        <f t="shared" si="1"/>
        <v>m</v>
      </c>
      <c r="CG9" s="33" t="str">
        <f t="shared" si="1"/>
        <v>j</v>
      </c>
      <c r="CH9" s="33" t="str">
        <f t="shared" si="1"/>
        <v>v</v>
      </c>
      <c r="CI9" s="33" t="str">
        <f t="shared" si="1"/>
        <v>s</v>
      </c>
      <c r="CJ9" s="33" t="str">
        <f t="shared" si="1"/>
        <v>d</v>
      </c>
      <c r="CK9" s="33" t="str">
        <f t="shared" si="1"/>
        <v>l</v>
      </c>
      <c r="CL9" s="33" t="str">
        <f t="shared" si="1"/>
        <v>m</v>
      </c>
      <c r="CM9" s="33" t="str">
        <f t="shared" si="1"/>
        <v>m</v>
      </c>
      <c r="CN9" s="33" t="str">
        <f t="shared" si="1"/>
        <v>j</v>
      </c>
      <c r="CO9" s="33" t="str">
        <f t="shared" si="1"/>
        <v>v</v>
      </c>
      <c r="CP9" s="33" t="str">
        <f t="shared" si="1"/>
        <v>s</v>
      </c>
      <c r="CQ9" s="33" t="str">
        <f t="shared" si="1"/>
        <v>d</v>
      </c>
      <c r="CR9" s="33" t="str">
        <f t="shared" si="1"/>
        <v>l</v>
      </c>
      <c r="CS9" s="33" t="str">
        <f t="shared" si="1"/>
        <v>m</v>
      </c>
      <c r="CT9" s="33" t="str">
        <f t="shared" si="1"/>
        <v>m</v>
      </c>
      <c r="CU9" s="33" t="str">
        <f t="shared" si="1"/>
        <v>j</v>
      </c>
      <c r="CV9" s="33" t="str">
        <f t="shared" si="1"/>
        <v>v</v>
      </c>
      <c r="CW9" s="33" t="str">
        <f t="shared" si="1"/>
        <v>s</v>
      </c>
      <c r="CX9" s="33" t="str">
        <f t="shared" si="1"/>
        <v>d</v>
      </c>
      <c r="CY9" s="33" t="str">
        <f t="shared" si="1"/>
        <v>l</v>
      </c>
      <c r="CZ9" s="33" t="str">
        <f t="shared" si="1"/>
        <v>m</v>
      </c>
      <c r="DA9" s="33" t="str">
        <f t="shared" si="1"/>
        <v>m</v>
      </c>
      <c r="DB9" s="33" t="str">
        <f t="shared" si="1"/>
        <v>j</v>
      </c>
      <c r="DC9" s="33" t="str">
        <f t="shared" si="1"/>
        <v>v</v>
      </c>
      <c r="DD9" s="33" t="str">
        <f t="shared" si="1"/>
        <v>s</v>
      </c>
      <c r="DE9" s="33" t="str">
        <f t="shared" si="1"/>
        <v>d</v>
      </c>
      <c r="DF9" s="33" t="str">
        <f t="shared" si="1"/>
        <v>l</v>
      </c>
      <c r="DG9" s="33" t="str">
        <f t="shared" si="1"/>
        <v>m</v>
      </c>
      <c r="DH9" s="33" t="str">
        <f t="shared" si="1"/>
        <v>m</v>
      </c>
      <c r="DI9" s="33" t="str">
        <f t="shared" si="1"/>
        <v>j</v>
      </c>
      <c r="DJ9" s="33" t="str">
        <f t="shared" si="1"/>
        <v>v</v>
      </c>
      <c r="DK9" s="33" t="str">
        <f t="shared" si="1"/>
        <v>s</v>
      </c>
      <c r="DL9" s="33" t="str">
        <f t="shared" si="1"/>
        <v>d</v>
      </c>
      <c r="DM9" s="33" t="str">
        <f t="shared" si="1"/>
        <v>l</v>
      </c>
      <c r="DN9" s="33" t="str">
        <f t="shared" si="1"/>
        <v>m</v>
      </c>
      <c r="DO9" s="33" t="str">
        <f t="shared" si="1"/>
        <v>m</v>
      </c>
      <c r="DP9" s="33" t="str">
        <f t="shared" si="1"/>
        <v>j</v>
      </c>
      <c r="DQ9" s="33" t="str">
        <f t="shared" si="1"/>
        <v>v</v>
      </c>
      <c r="DR9" s="33" t="str">
        <f t="shared" si="1"/>
        <v>s</v>
      </c>
      <c r="DS9" s="33" t="str">
        <f t="shared" si="1"/>
        <v>d</v>
      </c>
      <c r="DT9" s="33" t="str">
        <f t="shared" si="1"/>
        <v>l</v>
      </c>
      <c r="DU9" s="33" t="str">
        <f t="shared" si="1"/>
        <v>m</v>
      </c>
      <c r="DV9" s="33" t="str">
        <f t="shared" si="1"/>
        <v>m</v>
      </c>
      <c r="DW9" s="33" t="str">
        <f t="shared" si="1"/>
        <v>j</v>
      </c>
      <c r="DX9" s="33" t="str">
        <f t="shared" si="1"/>
        <v>v</v>
      </c>
      <c r="DY9" s="33" t="str">
        <f t="shared" si="1"/>
        <v>s</v>
      </c>
      <c r="DZ9" s="33" t="str">
        <f t="shared" si="1"/>
        <v>d</v>
      </c>
      <c r="EA9" s="33" t="str">
        <f t="shared" si="1"/>
        <v>l</v>
      </c>
      <c r="EB9" s="33" t="str">
        <f t="shared" si="1"/>
        <v>m</v>
      </c>
      <c r="EC9" s="33" t="str">
        <f t="shared" si="1"/>
        <v>m</v>
      </c>
      <c r="ED9" s="33" t="str">
        <f t="shared" si="1"/>
        <v>j</v>
      </c>
      <c r="EE9" s="33" t="str">
        <f t="shared" si="1"/>
        <v>v</v>
      </c>
      <c r="EF9" s="33" t="str">
        <f t="shared" si="1"/>
        <v>s</v>
      </c>
      <c r="EG9" s="33" t="str">
        <f t="shared" si="1"/>
        <v>d</v>
      </c>
      <c r="EH9" s="33" t="str">
        <f t="shared" ref="EH9:GS9" si="2">LEFT(TEXT(EH7,"ddd"),1)</f>
        <v>l</v>
      </c>
      <c r="EI9" s="33" t="str">
        <f t="shared" si="2"/>
        <v>m</v>
      </c>
      <c r="EJ9" s="33" t="str">
        <f t="shared" si="2"/>
        <v>m</v>
      </c>
      <c r="EK9" s="33" t="str">
        <f t="shared" si="2"/>
        <v>j</v>
      </c>
      <c r="EL9" s="33" t="str">
        <f t="shared" si="2"/>
        <v>v</v>
      </c>
      <c r="EM9" s="33" t="str">
        <f t="shared" si="2"/>
        <v>s</v>
      </c>
      <c r="EN9" s="33" t="str">
        <f t="shared" si="2"/>
        <v>d</v>
      </c>
      <c r="EO9" s="33" t="str">
        <f t="shared" si="2"/>
        <v>l</v>
      </c>
      <c r="EP9" s="33" t="str">
        <f t="shared" si="2"/>
        <v>m</v>
      </c>
      <c r="EQ9" s="33" t="str">
        <f t="shared" si="2"/>
        <v>m</v>
      </c>
      <c r="ER9" s="33" t="str">
        <f t="shared" si="2"/>
        <v>j</v>
      </c>
      <c r="ES9" s="33" t="str">
        <f t="shared" si="2"/>
        <v>v</v>
      </c>
      <c r="ET9" s="33" t="str">
        <f t="shared" si="2"/>
        <v>s</v>
      </c>
      <c r="EU9" s="33" t="str">
        <f t="shared" si="2"/>
        <v>d</v>
      </c>
      <c r="EV9" s="33" t="str">
        <f t="shared" si="2"/>
        <v>l</v>
      </c>
      <c r="EW9" s="33" t="str">
        <f t="shared" si="2"/>
        <v>m</v>
      </c>
      <c r="EX9" s="33" t="str">
        <f t="shared" si="2"/>
        <v>m</v>
      </c>
      <c r="EY9" s="33" t="str">
        <f t="shared" si="2"/>
        <v>j</v>
      </c>
      <c r="EZ9" s="33" t="str">
        <f t="shared" si="2"/>
        <v>v</v>
      </c>
      <c r="FA9" s="33" t="str">
        <f t="shared" si="2"/>
        <v>s</v>
      </c>
      <c r="FB9" s="33" t="str">
        <f t="shared" si="2"/>
        <v>d</v>
      </c>
      <c r="FC9" s="33" t="str">
        <f t="shared" si="2"/>
        <v>l</v>
      </c>
      <c r="FD9" s="33" t="str">
        <f t="shared" si="2"/>
        <v>m</v>
      </c>
      <c r="FE9" s="33" t="str">
        <f t="shared" si="2"/>
        <v>m</v>
      </c>
      <c r="FF9" s="33" t="str">
        <f t="shared" si="2"/>
        <v>j</v>
      </c>
      <c r="FG9" s="33" t="str">
        <f t="shared" si="2"/>
        <v>v</v>
      </c>
      <c r="FH9" s="33" t="str">
        <f t="shared" si="2"/>
        <v>s</v>
      </c>
      <c r="FI9" s="33" t="str">
        <f t="shared" si="2"/>
        <v>d</v>
      </c>
      <c r="FJ9" s="33" t="str">
        <f t="shared" si="2"/>
        <v>l</v>
      </c>
      <c r="FK9" s="33" t="str">
        <f t="shared" si="2"/>
        <v>m</v>
      </c>
      <c r="FL9" s="33" t="str">
        <f t="shared" si="2"/>
        <v>m</v>
      </c>
      <c r="FM9" s="33" t="str">
        <f t="shared" si="2"/>
        <v>j</v>
      </c>
      <c r="FN9" s="33" t="str">
        <f t="shared" si="2"/>
        <v>v</v>
      </c>
      <c r="FO9" s="33" t="str">
        <f t="shared" si="2"/>
        <v>s</v>
      </c>
      <c r="FP9" s="33" t="str">
        <f t="shared" si="2"/>
        <v>d</v>
      </c>
      <c r="FQ9" s="33" t="str">
        <f t="shared" si="2"/>
        <v>l</v>
      </c>
      <c r="FR9" s="33" t="str">
        <f t="shared" si="2"/>
        <v>m</v>
      </c>
      <c r="FS9" s="33" t="str">
        <f t="shared" si="2"/>
        <v>m</v>
      </c>
      <c r="FT9" s="33" t="str">
        <f t="shared" si="2"/>
        <v>j</v>
      </c>
      <c r="FU9" s="33" t="str">
        <f t="shared" si="2"/>
        <v>v</v>
      </c>
      <c r="FV9" s="33" t="str">
        <f t="shared" si="2"/>
        <v>s</v>
      </c>
      <c r="FW9" s="33" t="str">
        <f t="shared" si="2"/>
        <v>d</v>
      </c>
      <c r="FX9" s="33" t="str">
        <f t="shared" si="2"/>
        <v>l</v>
      </c>
      <c r="FY9" s="33" t="str">
        <f t="shared" si="2"/>
        <v>m</v>
      </c>
      <c r="FZ9" s="33" t="str">
        <f t="shared" si="2"/>
        <v>m</v>
      </c>
      <c r="GA9" s="33" t="str">
        <f t="shared" si="2"/>
        <v>j</v>
      </c>
      <c r="GB9" s="33" t="str">
        <f t="shared" si="2"/>
        <v>v</v>
      </c>
      <c r="GC9" s="33" t="str">
        <f t="shared" si="2"/>
        <v>s</v>
      </c>
      <c r="GD9" s="33" t="str">
        <f t="shared" si="2"/>
        <v>d</v>
      </c>
      <c r="GE9" s="33" t="str">
        <f t="shared" si="2"/>
        <v>l</v>
      </c>
      <c r="GF9" s="33" t="str">
        <f t="shared" si="2"/>
        <v>m</v>
      </c>
      <c r="GG9" s="33" t="str">
        <f t="shared" si="2"/>
        <v>m</v>
      </c>
      <c r="GH9" s="33" t="str">
        <f t="shared" si="2"/>
        <v>j</v>
      </c>
      <c r="GI9" s="33" t="str">
        <f t="shared" si="2"/>
        <v>v</v>
      </c>
      <c r="GJ9" s="33" t="str">
        <f t="shared" si="2"/>
        <v>s</v>
      </c>
      <c r="GK9" s="33" t="str">
        <f t="shared" si="2"/>
        <v>d</v>
      </c>
      <c r="GL9" s="33" t="str">
        <f t="shared" si="2"/>
        <v>l</v>
      </c>
      <c r="GM9" s="33" t="str">
        <f t="shared" si="2"/>
        <v>m</v>
      </c>
      <c r="GN9" s="33" t="str">
        <f t="shared" si="2"/>
        <v>m</v>
      </c>
      <c r="GO9" s="33" t="str">
        <f t="shared" si="2"/>
        <v>j</v>
      </c>
      <c r="GP9" s="33" t="str">
        <f t="shared" si="2"/>
        <v>v</v>
      </c>
      <c r="GQ9" s="33" t="str">
        <f t="shared" si="2"/>
        <v>v</v>
      </c>
      <c r="GR9" s="33" t="str">
        <f t="shared" si="2"/>
        <v>s</v>
      </c>
      <c r="GS9" s="33" t="str">
        <f t="shared" si="2"/>
        <v>d</v>
      </c>
      <c r="GT9" s="33" t="str">
        <f t="shared" ref="GT9:JE9" si="3">LEFT(TEXT(GT7,"ddd"),1)</f>
        <v>l</v>
      </c>
      <c r="GU9" s="33" t="str">
        <f t="shared" si="3"/>
        <v>m</v>
      </c>
      <c r="GV9" s="33" t="str">
        <f t="shared" si="3"/>
        <v>m</v>
      </c>
      <c r="GW9" s="33" t="str">
        <f t="shared" si="3"/>
        <v>j</v>
      </c>
      <c r="GX9" s="33" t="str">
        <f t="shared" si="3"/>
        <v>v</v>
      </c>
      <c r="GY9" s="33" t="str">
        <f t="shared" si="3"/>
        <v>s</v>
      </c>
      <c r="GZ9" s="33" t="str">
        <f t="shared" si="3"/>
        <v>d</v>
      </c>
      <c r="HA9" s="33" t="str">
        <f t="shared" si="3"/>
        <v>l</v>
      </c>
      <c r="HB9" s="33" t="str">
        <f t="shared" si="3"/>
        <v>m</v>
      </c>
      <c r="HC9" s="33" t="str">
        <f t="shared" si="3"/>
        <v>m</v>
      </c>
      <c r="HD9" s="33" t="str">
        <f t="shared" si="3"/>
        <v>j</v>
      </c>
      <c r="HE9" s="33" t="str">
        <f t="shared" si="3"/>
        <v>v</v>
      </c>
      <c r="HF9" s="33" t="str">
        <f t="shared" si="3"/>
        <v>s</v>
      </c>
      <c r="HG9" s="33" t="str">
        <f t="shared" si="3"/>
        <v>d</v>
      </c>
      <c r="HH9" s="33" t="str">
        <f t="shared" si="3"/>
        <v>l</v>
      </c>
      <c r="HI9" s="33" t="str">
        <f t="shared" si="3"/>
        <v>m</v>
      </c>
      <c r="HJ9" s="33" t="str">
        <f t="shared" si="3"/>
        <v>m</v>
      </c>
      <c r="HK9" s="33" t="str">
        <f t="shared" si="3"/>
        <v>j</v>
      </c>
      <c r="HL9" s="33" t="str">
        <f t="shared" si="3"/>
        <v>v</v>
      </c>
      <c r="HM9" s="33" t="str">
        <f t="shared" si="3"/>
        <v>s</v>
      </c>
      <c r="HN9" s="33" t="str">
        <f t="shared" si="3"/>
        <v>d</v>
      </c>
      <c r="HO9" s="33" t="str">
        <f t="shared" si="3"/>
        <v>l</v>
      </c>
      <c r="HP9" s="33" t="str">
        <f t="shared" si="3"/>
        <v>m</v>
      </c>
      <c r="HQ9" s="33" t="str">
        <f t="shared" si="3"/>
        <v>m</v>
      </c>
      <c r="HR9" s="33" t="str">
        <f t="shared" si="3"/>
        <v>j</v>
      </c>
      <c r="HS9" s="33" t="str">
        <f t="shared" si="3"/>
        <v>v</v>
      </c>
      <c r="HT9" s="33" t="str">
        <f t="shared" si="3"/>
        <v>s</v>
      </c>
      <c r="HU9" s="33" t="str">
        <f t="shared" si="3"/>
        <v>d</v>
      </c>
      <c r="HV9" s="33" t="str">
        <f t="shared" si="3"/>
        <v>l</v>
      </c>
      <c r="HW9" s="33" t="str">
        <f t="shared" si="3"/>
        <v>m</v>
      </c>
      <c r="HX9" s="33" t="str">
        <f t="shared" si="3"/>
        <v>m</v>
      </c>
      <c r="HY9" s="33" t="str">
        <f t="shared" si="3"/>
        <v>j</v>
      </c>
      <c r="HZ9" s="33" t="str">
        <f t="shared" si="3"/>
        <v>v</v>
      </c>
      <c r="IA9" s="33" t="str">
        <f t="shared" si="3"/>
        <v>s</v>
      </c>
      <c r="IB9" s="33" t="str">
        <f t="shared" si="3"/>
        <v>d</v>
      </c>
      <c r="IC9" s="33" t="str">
        <f t="shared" si="3"/>
        <v>l</v>
      </c>
      <c r="ID9" s="33" t="str">
        <f t="shared" si="3"/>
        <v>m</v>
      </c>
      <c r="IE9" s="33" t="str">
        <f t="shared" si="3"/>
        <v>m</v>
      </c>
      <c r="IF9" s="33" t="str">
        <f t="shared" si="3"/>
        <v>j</v>
      </c>
      <c r="IG9" s="33" t="str">
        <f t="shared" si="3"/>
        <v>v</v>
      </c>
      <c r="IH9" s="33" t="str">
        <f t="shared" si="3"/>
        <v>s</v>
      </c>
      <c r="II9" s="33" t="str">
        <f t="shared" si="3"/>
        <v>d</v>
      </c>
      <c r="IJ9" s="33" t="str">
        <f t="shared" si="3"/>
        <v>l</v>
      </c>
      <c r="IK9" s="33" t="str">
        <f t="shared" si="3"/>
        <v>m</v>
      </c>
      <c r="IL9" s="33" t="str">
        <f t="shared" si="3"/>
        <v>m</v>
      </c>
      <c r="IM9" s="33" t="str">
        <f t="shared" si="3"/>
        <v>j</v>
      </c>
      <c r="IN9" s="33" t="str">
        <f t="shared" si="3"/>
        <v>v</v>
      </c>
      <c r="IO9" s="33" t="str">
        <f t="shared" si="3"/>
        <v>s</v>
      </c>
      <c r="IP9" s="33" t="str">
        <f t="shared" si="3"/>
        <v>d</v>
      </c>
      <c r="IQ9" s="33" t="str">
        <f t="shared" si="3"/>
        <v>l</v>
      </c>
      <c r="IR9" s="33" t="str">
        <f t="shared" si="3"/>
        <v>m</v>
      </c>
      <c r="IS9" s="33" t="str">
        <f t="shared" si="3"/>
        <v>m</v>
      </c>
      <c r="IT9" s="33" t="str">
        <f t="shared" si="3"/>
        <v>j</v>
      </c>
      <c r="IU9" s="33" t="str">
        <f t="shared" si="3"/>
        <v>v</v>
      </c>
      <c r="IV9" s="33" t="str">
        <f t="shared" si="3"/>
        <v>s</v>
      </c>
      <c r="IW9" s="33" t="str">
        <f t="shared" si="3"/>
        <v>d</v>
      </c>
      <c r="IX9" s="33" t="str">
        <f t="shared" si="3"/>
        <v>l</v>
      </c>
      <c r="IY9" s="33" t="str">
        <f t="shared" si="3"/>
        <v>m</v>
      </c>
      <c r="IZ9" s="33" t="str">
        <f t="shared" si="3"/>
        <v>m</v>
      </c>
      <c r="JA9" s="33" t="str">
        <f t="shared" si="3"/>
        <v>j</v>
      </c>
      <c r="JB9" s="33" t="str">
        <f t="shared" si="3"/>
        <v>v</v>
      </c>
      <c r="JC9" s="33" t="str">
        <f t="shared" si="3"/>
        <v>s</v>
      </c>
      <c r="JD9" s="33" t="str">
        <f t="shared" si="3"/>
        <v>d</v>
      </c>
      <c r="JE9" s="33" t="str">
        <f t="shared" si="3"/>
        <v>l</v>
      </c>
      <c r="JF9" s="33" t="str">
        <f t="shared" ref="JF9:KX9" si="4">LEFT(TEXT(JF7,"ddd"),1)</f>
        <v>m</v>
      </c>
      <c r="JG9" s="33" t="str">
        <f t="shared" si="4"/>
        <v>m</v>
      </c>
      <c r="JH9" s="33" t="str">
        <f t="shared" si="4"/>
        <v>j</v>
      </c>
      <c r="JI9" s="33" t="str">
        <f t="shared" si="4"/>
        <v>v</v>
      </c>
      <c r="JJ9" s="33" t="str">
        <f t="shared" si="4"/>
        <v>s</v>
      </c>
      <c r="JK9" s="33" t="str">
        <f t="shared" si="4"/>
        <v>d</v>
      </c>
      <c r="JL9" s="33" t="str">
        <f t="shared" si="4"/>
        <v>l</v>
      </c>
      <c r="JM9" s="33" t="str">
        <f t="shared" si="4"/>
        <v>m</v>
      </c>
      <c r="JN9" s="33" t="str">
        <f t="shared" si="4"/>
        <v>m</v>
      </c>
      <c r="JO9" s="33" t="str">
        <f t="shared" si="4"/>
        <v>j</v>
      </c>
      <c r="JP9" s="33" t="str">
        <f t="shared" si="4"/>
        <v>v</v>
      </c>
      <c r="JQ9" s="33" t="str">
        <f t="shared" si="4"/>
        <v>s</v>
      </c>
      <c r="JR9" s="33" t="str">
        <f t="shared" si="4"/>
        <v>d</v>
      </c>
      <c r="JS9" s="33" t="str">
        <f t="shared" si="4"/>
        <v>l</v>
      </c>
      <c r="JT9" s="33" t="str">
        <f t="shared" si="4"/>
        <v>m</v>
      </c>
      <c r="JU9" s="33" t="str">
        <f t="shared" si="4"/>
        <v>m</v>
      </c>
      <c r="JV9" s="33" t="str">
        <f t="shared" si="4"/>
        <v>j</v>
      </c>
      <c r="JW9" s="33" t="str">
        <f t="shared" si="4"/>
        <v>v</v>
      </c>
      <c r="JX9" s="33" t="str">
        <f t="shared" si="4"/>
        <v>s</v>
      </c>
      <c r="JY9" s="33" t="str">
        <f t="shared" si="4"/>
        <v>d</v>
      </c>
      <c r="JZ9" s="33" t="str">
        <f t="shared" si="4"/>
        <v>l</v>
      </c>
      <c r="KA9" s="33" t="str">
        <f t="shared" si="4"/>
        <v>m</v>
      </c>
      <c r="KB9" s="33" t="str">
        <f t="shared" si="4"/>
        <v>m</v>
      </c>
      <c r="KC9" s="33" t="str">
        <f t="shared" si="4"/>
        <v>j</v>
      </c>
      <c r="KD9" s="33" t="str">
        <f t="shared" si="4"/>
        <v>v</v>
      </c>
      <c r="KE9" s="33" t="str">
        <f t="shared" si="4"/>
        <v>s</v>
      </c>
      <c r="KF9" s="33" t="str">
        <f t="shared" si="4"/>
        <v>d</v>
      </c>
      <c r="KG9" s="33" t="str">
        <f t="shared" si="4"/>
        <v>l</v>
      </c>
      <c r="KH9" s="33" t="str">
        <f t="shared" si="4"/>
        <v>m</v>
      </c>
      <c r="KI9" s="33" t="str">
        <f t="shared" si="4"/>
        <v>m</v>
      </c>
      <c r="KJ9" s="33" t="str">
        <f t="shared" si="4"/>
        <v>j</v>
      </c>
      <c r="KK9" s="33" t="str">
        <f t="shared" si="4"/>
        <v>v</v>
      </c>
      <c r="KL9" s="33" t="str">
        <f t="shared" si="4"/>
        <v>s</v>
      </c>
      <c r="KM9" s="33" t="str">
        <f t="shared" si="4"/>
        <v>d</v>
      </c>
      <c r="KN9" s="33" t="str">
        <f t="shared" si="4"/>
        <v>l</v>
      </c>
      <c r="KO9" s="33" t="str">
        <f t="shared" si="4"/>
        <v>m</v>
      </c>
      <c r="KP9" s="33" t="str">
        <f t="shared" si="4"/>
        <v>m</v>
      </c>
      <c r="KQ9" s="33" t="str">
        <f t="shared" si="4"/>
        <v>j</v>
      </c>
      <c r="KR9" s="33" t="str">
        <f t="shared" si="4"/>
        <v>v</v>
      </c>
      <c r="KS9" s="33" t="str">
        <f t="shared" si="4"/>
        <v>s</v>
      </c>
      <c r="KT9" s="33" t="str">
        <f t="shared" si="4"/>
        <v>d</v>
      </c>
      <c r="KU9" s="33" t="str">
        <f t="shared" si="4"/>
        <v>l</v>
      </c>
      <c r="KV9" s="33" t="str">
        <f t="shared" si="4"/>
        <v>m</v>
      </c>
      <c r="KW9" s="33" t="str">
        <f t="shared" si="4"/>
        <v>m</v>
      </c>
      <c r="KX9" s="33" t="str">
        <f t="shared" si="4"/>
        <v>j</v>
      </c>
    </row>
    <row r="10" spans="1:310">
      <c r="B10" s="35" t="s">
        <v>316</v>
      </c>
      <c r="C10" s="36" t="s">
        <v>306</v>
      </c>
      <c r="D10" s="37" t="s">
        <v>335</v>
      </c>
      <c r="E10" s="36">
        <f>+((E11*H11)+(E24*H24))/SUM(H11+H24)</f>
        <v>0.18283582089552239</v>
      </c>
      <c r="F10" s="38">
        <f>+F11</f>
        <v>45978</v>
      </c>
      <c r="G10" s="38">
        <f>+G41</f>
        <v>46044</v>
      </c>
      <c r="H10" s="39">
        <f>+SUM(H11+H24)</f>
        <v>67</v>
      </c>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row>
    <row r="11" spans="1:310">
      <c r="A11" s="40" t="s">
        <v>317</v>
      </c>
      <c r="B11" s="41" t="s">
        <v>322</v>
      </c>
      <c r="C11" s="42" t="s">
        <v>306</v>
      </c>
      <c r="D11" s="43" t="s">
        <v>335</v>
      </c>
      <c r="E11" s="42">
        <f>+((E12*H12)+(E13*H13)+(E14*H14)+(E15*H15)+(E16*H16)+(E17*H17)+(E18*H18)+(E19*H19)+(E20*H20)+(E21*H21)+(E22*H22)+(E23*H23))/SUM(H12:H23)</f>
        <v>0.53846153846153844</v>
      </c>
      <c r="F11" s="44">
        <f>+F12</f>
        <v>45978</v>
      </c>
      <c r="G11" s="44">
        <f>+G23</f>
        <v>45990</v>
      </c>
      <c r="H11" s="45">
        <f>+SUM(H12:H23)</f>
        <v>13</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row>
    <row r="12" spans="1:310">
      <c r="B12" s="46" t="s">
        <v>323</v>
      </c>
      <c r="C12" s="47" t="s">
        <v>254</v>
      </c>
      <c r="D12" s="48" t="s">
        <v>318</v>
      </c>
      <c r="E12" s="49">
        <v>1</v>
      </c>
      <c r="F12" s="50">
        <v>45978</v>
      </c>
      <c r="G12" s="50">
        <f>+Hitos4352[[#This Row],[Inicio]]+Hitos4352[[#This Row],[Días]]</f>
        <v>45979</v>
      </c>
      <c r="H12" s="51">
        <v>1</v>
      </c>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row>
    <row r="13" spans="1:310" s="15" customFormat="1">
      <c r="A13" s="8"/>
      <c r="B13" s="46" t="s">
        <v>324</v>
      </c>
      <c r="C13" s="47" t="s">
        <v>254</v>
      </c>
      <c r="D13" s="48" t="s">
        <v>318</v>
      </c>
      <c r="E13" s="49">
        <v>0</v>
      </c>
      <c r="F13" s="50">
        <f>+G12</f>
        <v>45979</v>
      </c>
      <c r="G13" s="50">
        <f>+Hitos4352[[#This Row],[Inicio]]+Hitos4352[[#This Row],[Días]]</f>
        <v>45980</v>
      </c>
      <c r="H13" s="51">
        <v>1</v>
      </c>
      <c r="I13" s="14"/>
      <c r="J13" s="56" t="str">
        <f t="shared" ref="J13:Y41" si="5">IF(AND($C13="Objetivo",J$7&gt;=$F13,J$7&lt;=$F13+$H13-1),2,IF(AND($C13="Hito",J$7&gt;=$F13,J$7&lt;=$F13+$H13-1),1,""))</f>
        <v/>
      </c>
      <c r="K13" s="56" t="str">
        <f t="shared" si="5"/>
        <v/>
      </c>
      <c r="L13" s="56" t="str">
        <f t="shared" si="5"/>
        <v/>
      </c>
      <c r="M13" s="56" t="str">
        <f t="shared" si="5"/>
        <v/>
      </c>
      <c r="N13" s="56" t="str">
        <f t="shared" si="5"/>
        <v/>
      </c>
      <c r="O13" s="56" t="str">
        <f t="shared" si="5"/>
        <v/>
      </c>
      <c r="P13" s="56" t="str">
        <f t="shared" si="5"/>
        <v/>
      </c>
      <c r="Q13" s="56" t="str">
        <f t="shared" si="5"/>
        <v/>
      </c>
      <c r="R13" s="56" t="str">
        <f t="shared" si="5"/>
        <v/>
      </c>
      <c r="S13" s="56" t="str">
        <f t="shared" si="5"/>
        <v/>
      </c>
      <c r="T13" s="56" t="str">
        <f t="shared" si="5"/>
        <v/>
      </c>
      <c r="U13" s="56" t="str">
        <f t="shared" si="5"/>
        <v/>
      </c>
      <c r="V13" s="56" t="str">
        <f t="shared" si="5"/>
        <v/>
      </c>
      <c r="W13" s="56" t="str">
        <f t="shared" si="5"/>
        <v/>
      </c>
      <c r="X13" s="56" t="str">
        <f t="shared" si="5"/>
        <v/>
      </c>
      <c r="Y13" s="56" t="str">
        <f t="shared" si="5"/>
        <v/>
      </c>
      <c r="Z13" s="56" t="str">
        <f t="shared" ref="Z13:CK20" si="6">IF(AND($C13="Objetivo",Z$7&gt;=$F13,Z$7&lt;=$F13+$H13-1),2,IF(AND($C13="Hito",Z$7&gt;=$F13,Z$7&lt;=$F13+$H13-1),1,""))</f>
        <v/>
      </c>
      <c r="AA13" s="56" t="str">
        <f t="shared" si="6"/>
        <v/>
      </c>
      <c r="AB13" s="56" t="str">
        <f t="shared" si="6"/>
        <v/>
      </c>
      <c r="AC13" s="56" t="str">
        <f t="shared" si="6"/>
        <v/>
      </c>
      <c r="AD13" s="56" t="str">
        <f t="shared" si="6"/>
        <v/>
      </c>
      <c r="AE13" s="56" t="str">
        <f t="shared" si="6"/>
        <v/>
      </c>
      <c r="AF13" s="56" t="str">
        <f t="shared" si="6"/>
        <v/>
      </c>
      <c r="AG13" s="56" t="str">
        <f t="shared" si="6"/>
        <v/>
      </c>
      <c r="AH13" s="56" t="str">
        <f t="shared" si="6"/>
        <v/>
      </c>
      <c r="AI13" s="56" t="str">
        <f t="shared" si="6"/>
        <v/>
      </c>
      <c r="AJ13" s="56" t="str">
        <f t="shared" si="6"/>
        <v/>
      </c>
      <c r="AK13" s="56" t="str">
        <f t="shared" si="6"/>
        <v/>
      </c>
      <c r="AL13" s="56" t="str">
        <f t="shared" si="6"/>
        <v/>
      </c>
      <c r="AM13" s="56" t="str">
        <f t="shared" si="6"/>
        <v/>
      </c>
      <c r="AN13" s="56" t="str">
        <f t="shared" si="6"/>
        <v/>
      </c>
      <c r="AO13" s="56" t="str">
        <f t="shared" si="6"/>
        <v/>
      </c>
      <c r="AP13" s="56" t="str">
        <f t="shared" si="6"/>
        <v/>
      </c>
      <c r="AQ13" s="56" t="str">
        <f t="shared" si="6"/>
        <v/>
      </c>
      <c r="AR13" s="56" t="str">
        <f t="shared" si="6"/>
        <v/>
      </c>
      <c r="AS13" s="56" t="str">
        <f t="shared" si="6"/>
        <v/>
      </c>
      <c r="AT13" s="56" t="str">
        <f t="shared" si="6"/>
        <v/>
      </c>
      <c r="AU13" s="56" t="str">
        <f t="shared" si="6"/>
        <v/>
      </c>
      <c r="AV13" s="56" t="str">
        <f t="shared" si="6"/>
        <v/>
      </c>
      <c r="AW13" s="56" t="str">
        <f t="shared" si="6"/>
        <v/>
      </c>
      <c r="AX13" s="56" t="str">
        <f t="shared" si="6"/>
        <v/>
      </c>
      <c r="AY13" s="56" t="str">
        <f t="shared" si="6"/>
        <v/>
      </c>
      <c r="AZ13" s="56" t="str">
        <f t="shared" si="6"/>
        <v/>
      </c>
      <c r="BA13" s="56" t="str">
        <f t="shared" si="6"/>
        <v/>
      </c>
      <c r="BB13" s="56" t="str">
        <f t="shared" si="6"/>
        <v/>
      </c>
      <c r="BC13" s="56" t="str">
        <f t="shared" si="6"/>
        <v/>
      </c>
      <c r="BD13" s="56" t="str">
        <f t="shared" si="6"/>
        <v/>
      </c>
      <c r="BE13" s="56" t="str">
        <f t="shared" si="6"/>
        <v/>
      </c>
      <c r="BF13" s="56" t="str">
        <f t="shared" si="6"/>
        <v/>
      </c>
      <c r="BG13" s="56" t="str">
        <f t="shared" si="6"/>
        <v/>
      </c>
      <c r="BH13" s="56" t="str">
        <f t="shared" si="6"/>
        <v/>
      </c>
      <c r="BI13" s="56" t="str">
        <f t="shared" si="6"/>
        <v/>
      </c>
      <c r="BJ13" s="56" t="str">
        <f t="shared" si="6"/>
        <v/>
      </c>
      <c r="BK13" s="56" t="str">
        <f t="shared" si="6"/>
        <v/>
      </c>
      <c r="BL13" s="56" t="str">
        <f t="shared" si="6"/>
        <v/>
      </c>
      <c r="BM13" s="56" t="str">
        <f t="shared" si="6"/>
        <v/>
      </c>
      <c r="BN13" s="56" t="str">
        <f t="shared" si="6"/>
        <v/>
      </c>
      <c r="BO13" s="56" t="str">
        <f t="shared" si="6"/>
        <v/>
      </c>
      <c r="BP13" s="56" t="str">
        <f t="shared" si="6"/>
        <v/>
      </c>
      <c r="BQ13" s="56" t="str">
        <f t="shared" si="6"/>
        <v/>
      </c>
      <c r="BR13" s="56" t="str">
        <f t="shared" si="6"/>
        <v/>
      </c>
      <c r="BS13" s="56" t="str">
        <f t="shared" si="6"/>
        <v/>
      </c>
      <c r="BT13" s="56" t="str">
        <f t="shared" si="6"/>
        <v/>
      </c>
      <c r="BU13" s="56" t="str">
        <f t="shared" si="6"/>
        <v/>
      </c>
      <c r="BV13" s="56" t="str">
        <f t="shared" si="6"/>
        <v/>
      </c>
      <c r="BW13" s="56" t="str">
        <f t="shared" si="6"/>
        <v/>
      </c>
      <c r="BX13" s="56" t="str">
        <f t="shared" si="6"/>
        <v/>
      </c>
      <c r="BY13" s="56" t="str">
        <f t="shared" si="6"/>
        <v/>
      </c>
      <c r="BZ13" s="56" t="str">
        <f t="shared" si="6"/>
        <v/>
      </c>
      <c r="CA13" s="56" t="str">
        <f t="shared" si="6"/>
        <v/>
      </c>
      <c r="CB13" s="56" t="str">
        <f t="shared" si="6"/>
        <v/>
      </c>
      <c r="CC13" s="56" t="str">
        <f t="shared" si="6"/>
        <v/>
      </c>
      <c r="CD13" s="56" t="str">
        <f t="shared" si="6"/>
        <v/>
      </c>
      <c r="CE13" s="56" t="str">
        <f t="shared" si="6"/>
        <v/>
      </c>
      <c r="CF13" s="56" t="str">
        <f t="shared" si="6"/>
        <v/>
      </c>
      <c r="CG13" s="56" t="str">
        <f t="shared" si="6"/>
        <v/>
      </c>
      <c r="CH13" s="56" t="str">
        <f t="shared" si="6"/>
        <v/>
      </c>
      <c r="CI13" s="56" t="str">
        <f t="shared" si="6"/>
        <v/>
      </c>
      <c r="CJ13" s="56" t="str">
        <f t="shared" si="6"/>
        <v/>
      </c>
      <c r="CK13" s="56" t="str">
        <f t="shared" si="6"/>
        <v/>
      </c>
      <c r="CL13" s="56" t="str">
        <f t="shared" ref="CL13:EW20" si="7">IF(AND($C13="Objetivo",CL$7&gt;=$F13,CL$7&lt;=$F13+$H13-1),2,IF(AND($C13="Hito",CL$7&gt;=$F13,CL$7&lt;=$F13+$H13-1),1,""))</f>
        <v/>
      </c>
      <c r="CM13" s="56" t="str">
        <f t="shared" si="7"/>
        <v/>
      </c>
      <c r="CN13" s="56" t="str">
        <f t="shared" si="7"/>
        <v/>
      </c>
      <c r="CO13" s="56" t="str">
        <f t="shared" si="7"/>
        <v/>
      </c>
      <c r="CP13" s="56" t="str">
        <f t="shared" si="7"/>
        <v/>
      </c>
      <c r="CQ13" s="56" t="str">
        <f t="shared" si="7"/>
        <v/>
      </c>
      <c r="CR13" s="56" t="str">
        <f t="shared" si="7"/>
        <v/>
      </c>
      <c r="CS13" s="56" t="str">
        <f t="shared" si="7"/>
        <v/>
      </c>
      <c r="CT13" s="56" t="str">
        <f t="shared" si="7"/>
        <v/>
      </c>
      <c r="CU13" s="56" t="str">
        <f t="shared" si="7"/>
        <v/>
      </c>
      <c r="CV13" s="56" t="str">
        <f t="shared" si="7"/>
        <v/>
      </c>
      <c r="CW13" s="56" t="str">
        <f t="shared" si="7"/>
        <v/>
      </c>
      <c r="CX13" s="56" t="str">
        <f t="shared" si="7"/>
        <v/>
      </c>
      <c r="CY13" s="56" t="str">
        <f t="shared" si="7"/>
        <v/>
      </c>
      <c r="CZ13" s="56" t="str">
        <f t="shared" si="7"/>
        <v/>
      </c>
      <c r="DA13" s="56" t="str">
        <f t="shared" si="7"/>
        <v/>
      </c>
      <c r="DB13" s="56" t="str">
        <f t="shared" si="7"/>
        <v/>
      </c>
      <c r="DC13" s="56" t="str">
        <f t="shared" si="7"/>
        <v/>
      </c>
      <c r="DD13" s="56" t="str">
        <f t="shared" si="7"/>
        <v/>
      </c>
      <c r="DE13" s="56" t="str">
        <f t="shared" si="7"/>
        <v/>
      </c>
      <c r="DF13" s="56" t="str">
        <f t="shared" si="7"/>
        <v/>
      </c>
      <c r="DG13" s="56" t="str">
        <f t="shared" si="7"/>
        <v/>
      </c>
      <c r="DH13" s="56" t="str">
        <f t="shared" si="7"/>
        <v/>
      </c>
      <c r="DI13" s="56" t="str">
        <f t="shared" si="7"/>
        <v/>
      </c>
      <c r="DJ13" s="56" t="str">
        <f t="shared" si="7"/>
        <v/>
      </c>
      <c r="DK13" s="56" t="str">
        <f t="shared" si="7"/>
        <v/>
      </c>
      <c r="DL13" s="56" t="str">
        <f t="shared" si="7"/>
        <v/>
      </c>
      <c r="DM13" s="56" t="str">
        <f t="shared" si="7"/>
        <v/>
      </c>
      <c r="DN13" s="56" t="str">
        <f t="shared" si="7"/>
        <v/>
      </c>
      <c r="DO13" s="56" t="str">
        <f t="shared" si="7"/>
        <v/>
      </c>
      <c r="DP13" s="56" t="str">
        <f t="shared" si="7"/>
        <v/>
      </c>
      <c r="DQ13" s="56" t="str">
        <f t="shared" si="7"/>
        <v/>
      </c>
      <c r="DR13" s="56" t="str">
        <f t="shared" si="7"/>
        <v/>
      </c>
      <c r="DS13" s="56" t="str">
        <f t="shared" si="7"/>
        <v/>
      </c>
      <c r="DT13" s="56" t="str">
        <f t="shared" si="7"/>
        <v/>
      </c>
      <c r="DU13" s="56" t="str">
        <f t="shared" si="7"/>
        <v/>
      </c>
      <c r="DV13" s="56" t="str">
        <f t="shared" si="7"/>
        <v/>
      </c>
      <c r="DW13" s="56" t="str">
        <f t="shared" si="7"/>
        <v/>
      </c>
      <c r="DX13" s="56" t="str">
        <f t="shared" si="7"/>
        <v/>
      </c>
      <c r="DY13" s="56" t="str">
        <f t="shared" si="7"/>
        <v/>
      </c>
      <c r="DZ13" s="56" t="str">
        <f t="shared" si="7"/>
        <v/>
      </c>
      <c r="EA13" s="56" t="str">
        <f t="shared" si="7"/>
        <v/>
      </c>
      <c r="EB13" s="56" t="str">
        <f t="shared" si="7"/>
        <v/>
      </c>
      <c r="EC13" s="56" t="str">
        <f t="shared" si="7"/>
        <v/>
      </c>
      <c r="ED13" s="56" t="str">
        <f t="shared" si="7"/>
        <v/>
      </c>
      <c r="EE13" s="56" t="str">
        <f t="shared" si="7"/>
        <v/>
      </c>
      <c r="EF13" s="56" t="str">
        <f t="shared" si="7"/>
        <v/>
      </c>
      <c r="EG13" s="56" t="str">
        <f t="shared" si="7"/>
        <v/>
      </c>
      <c r="EH13" s="56" t="str">
        <f t="shared" si="7"/>
        <v/>
      </c>
      <c r="EI13" s="56" t="str">
        <f t="shared" si="7"/>
        <v/>
      </c>
      <c r="EJ13" s="56" t="str">
        <f t="shared" si="7"/>
        <v/>
      </c>
      <c r="EK13" s="56" t="str">
        <f t="shared" si="7"/>
        <v/>
      </c>
      <c r="EL13" s="56" t="str">
        <f t="shared" si="7"/>
        <v/>
      </c>
      <c r="EM13" s="56" t="str">
        <f t="shared" si="7"/>
        <v/>
      </c>
      <c r="EN13" s="56" t="str">
        <f t="shared" si="7"/>
        <v/>
      </c>
      <c r="EO13" s="56" t="str">
        <f t="shared" si="7"/>
        <v/>
      </c>
      <c r="EP13" s="56" t="str">
        <f t="shared" si="7"/>
        <v/>
      </c>
      <c r="EQ13" s="56" t="str">
        <f t="shared" si="7"/>
        <v/>
      </c>
      <c r="ER13" s="56" t="str">
        <f t="shared" si="7"/>
        <v/>
      </c>
      <c r="ES13" s="56" t="str">
        <f t="shared" si="7"/>
        <v/>
      </c>
      <c r="ET13" s="56" t="str">
        <f t="shared" si="7"/>
        <v/>
      </c>
      <c r="EU13" s="56" t="str">
        <f t="shared" si="7"/>
        <v/>
      </c>
      <c r="EV13" s="56" t="str">
        <f t="shared" si="7"/>
        <v/>
      </c>
      <c r="EW13" s="56" t="str">
        <f t="shared" si="7"/>
        <v/>
      </c>
      <c r="EX13" s="56" t="str">
        <f t="shared" ref="EX13:HI20" si="8">IF(AND($C13="Objetivo",EX$7&gt;=$F13,EX$7&lt;=$F13+$H13-1),2,IF(AND($C13="Hito",EX$7&gt;=$F13,EX$7&lt;=$F13+$H13-1),1,""))</f>
        <v/>
      </c>
      <c r="EY13" s="56" t="str">
        <f t="shared" si="8"/>
        <v/>
      </c>
      <c r="EZ13" s="56" t="str">
        <f t="shared" si="8"/>
        <v/>
      </c>
      <c r="FA13" s="56" t="str">
        <f t="shared" si="8"/>
        <v/>
      </c>
      <c r="FB13" s="56" t="str">
        <f t="shared" si="8"/>
        <v/>
      </c>
      <c r="FC13" s="56" t="str">
        <f t="shared" si="8"/>
        <v/>
      </c>
      <c r="FD13" s="56" t="str">
        <f t="shared" si="8"/>
        <v/>
      </c>
      <c r="FE13" s="56" t="str">
        <f t="shared" si="8"/>
        <v/>
      </c>
      <c r="FF13" s="56" t="str">
        <f t="shared" si="8"/>
        <v/>
      </c>
      <c r="FG13" s="56" t="str">
        <f t="shared" si="8"/>
        <v/>
      </c>
      <c r="FH13" s="56" t="str">
        <f t="shared" si="8"/>
        <v/>
      </c>
      <c r="FI13" s="56" t="str">
        <f t="shared" si="8"/>
        <v/>
      </c>
      <c r="FJ13" s="56" t="str">
        <f t="shared" si="8"/>
        <v/>
      </c>
      <c r="FK13" s="56" t="str">
        <f t="shared" si="8"/>
        <v/>
      </c>
      <c r="FL13" s="56" t="str">
        <f t="shared" si="8"/>
        <v/>
      </c>
      <c r="FM13" s="56" t="str">
        <f t="shared" si="8"/>
        <v/>
      </c>
      <c r="FN13" s="56" t="str">
        <f t="shared" si="8"/>
        <v/>
      </c>
      <c r="FO13" s="56" t="str">
        <f t="shared" si="8"/>
        <v/>
      </c>
      <c r="FP13" s="56" t="str">
        <f t="shared" si="8"/>
        <v/>
      </c>
      <c r="FQ13" s="56" t="str">
        <f t="shared" si="8"/>
        <v/>
      </c>
      <c r="FR13" s="56" t="str">
        <f t="shared" si="8"/>
        <v/>
      </c>
      <c r="FS13" s="56" t="str">
        <f t="shared" si="8"/>
        <v/>
      </c>
      <c r="FT13" s="56" t="str">
        <f t="shared" si="8"/>
        <v/>
      </c>
      <c r="FU13" s="56" t="str">
        <f t="shared" si="8"/>
        <v/>
      </c>
      <c r="FV13" s="56" t="str">
        <f t="shared" si="8"/>
        <v/>
      </c>
      <c r="FW13" s="56" t="str">
        <f t="shared" si="8"/>
        <v/>
      </c>
      <c r="FX13" s="56" t="str">
        <f t="shared" si="8"/>
        <v/>
      </c>
      <c r="FY13" s="56" t="str">
        <f t="shared" si="8"/>
        <v/>
      </c>
      <c r="FZ13" s="56" t="str">
        <f t="shared" si="8"/>
        <v/>
      </c>
      <c r="GA13" s="56" t="str">
        <f t="shared" si="8"/>
        <v/>
      </c>
      <c r="GB13" s="56" t="str">
        <f t="shared" si="8"/>
        <v/>
      </c>
      <c r="GC13" s="56" t="str">
        <f t="shared" si="8"/>
        <v/>
      </c>
      <c r="GD13" s="56" t="str">
        <f t="shared" si="8"/>
        <v/>
      </c>
      <c r="GE13" s="56" t="str">
        <f t="shared" si="8"/>
        <v/>
      </c>
      <c r="GF13" s="56" t="str">
        <f t="shared" si="8"/>
        <v/>
      </c>
      <c r="GG13" s="56" t="str">
        <f t="shared" si="8"/>
        <v/>
      </c>
      <c r="GH13" s="56" t="str">
        <f t="shared" si="8"/>
        <v/>
      </c>
      <c r="GI13" s="56" t="str">
        <f t="shared" si="8"/>
        <v/>
      </c>
      <c r="GJ13" s="56" t="str">
        <f t="shared" si="8"/>
        <v/>
      </c>
      <c r="GK13" s="56" t="str">
        <f t="shared" si="8"/>
        <v/>
      </c>
      <c r="GL13" s="56" t="str">
        <f t="shared" si="8"/>
        <v/>
      </c>
      <c r="GM13" s="56" t="str">
        <f t="shared" si="8"/>
        <v/>
      </c>
      <c r="GN13" s="56" t="str">
        <f t="shared" si="8"/>
        <v/>
      </c>
      <c r="GO13" s="56" t="str">
        <f t="shared" si="8"/>
        <v/>
      </c>
      <c r="GP13" s="56" t="str">
        <f t="shared" si="8"/>
        <v/>
      </c>
      <c r="GQ13" s="56" t="str">
        <f t="shared" si="8"/>
        <v/>
      </c>
      <c r="GR13" s="56" t="str">
        <f t="shared" si="8"/>
        <v/>
      </c>
      <c r="GS13" s="56" t="str">
        <f t="shared" si="8"/>
        <v/>
      </c>
      <c r="GT13" s="56" t="str">
        <f t="shared" si="8"/>
        <v/>
      </c>
      <c r="GU13" s="56" t="str">
        <f t="shared" si="8"/>
        <v/>
      </c>
      <c r="GV13" s="56" t="str">
        <f t="shared" si="8"/>
        <v/>
      </c>
      <c r="GW13" s="56" t="str">
        <f t="shared" si="8"/>
        <v/>
      </c>
      <c r="GX13" s="56" t="str">
        <f t="shared" si="8"/>
        <v/>
      </c>
      <c r="GY13" s="56" t="str">
        <f t="shared" si="8"/>
        <v/>
      </c>
      <c r="GZ13" s="56" t="str">
        <f t="shared" si="8"/>
        <v/>
      </c>
      <c r="HA13" s="56" t="str">
        <f t="shared" si="8"/>
        <v/>
      </c>
      <c r="HB13" s="56" t="str">
        <f t="shared" si="8"/>
        <v/>
      </c>
      <c r="HC13" s="56" t="str">
        <f t="shared" si="8"/>
        <v/>
      </c>
      <c r="HD13" s="56" t="str">
        <f t="shared" si="8"/>
        <v/>
      </c>
      <c r="HE13" s="56" t="str">
        <f t="shared" si="8"/>
        <v/>
      </c>
      <c r="HF13" s="56" t="str">
        <f t="shared" si="8"/>
        <v/>
      </c>
      <c r="HG13" s="56" t="str">
        <f t="shared" si="8"/>
        <v/>
      </c>
      <c r="HH13" s="56" t="str">
        <f t="shared" si="8"/>
        <v/>
      </c>
      <c r="HI13" s="56" t="str">
        <f t="shared" si="8"/>
        <v/>
      </c>
      <c r="HJ13" s="56" t="str">
        <f t="shared" ref="HJ13:JU20" si="9">IF(AND($C13="Objetivo",HJ$7&gt;=$F13,HJ$7&lt;=$F13+$H13-1),2,IF(AND($C13="Hito",HJ$7&gt;=$F13,HJ$7&lt;=$F13+$H13-1),1,""))</f>
        <v/>
      </c>
      <c r="HK13" s="56" t="str">
        <f t="shared" si="9"/>
        <v/>
      </c>
      <c r="HL13" s="56" t="str">
        <f t="shared" si="9"/>
        <v/>
      </c>
      <c r="HM13" s="56" t="str">
        <f t="shared" si="9"/>
        <v/>
      </c>
      <c r="HN13" s="56" t="str">
        <f t="shared" si="9"/>
        <v/>
      </c>
      <c r="HO13" s="56" t="str">
        <f t="shared" si="9"/>
        <v/>
      </c>
      <c r="HP13" s="56" t="str">
        <f t="shared" si="9"/>
        <v/>
      </c>
      <c r="HQ13" s="56" t="str">
        <f t="shared" si="9"/>
        <v/>
      </c>
      <c r="HR13" s="56" t="str">
        <f t="shared" si="9"/>
        <v/>
      </c>
      <c r="HS13" s="56" t="str">
        <f t="shared" si="9"/>
        <v/>
      </c>
      <c r="HT13" s="56" t="str">
        <f t="shared" si="9"/>
        <v/>
      </c>
      <c r="HU13" s="56" t="str">
        <f t="shared" si="9"/>
        <v/>
      </c>
      <c r="HV13" s="56" t="str">
        <f t="shared" si="9"/>
        <v/>
      </c>
      <c r="HW13" s="56" t="str">
        <f t="shared" si="9"/>
        <v/>
      </c>
      <c r="HX13" s="56" t="str">
        <f t="shared" si="9"/>
        <v/>
      </c>
      <c r="HY13" s="56" t="str">
        <f t="shared" si="9"/>
        <v/>
      </c>
      <c r="HZ13" s="56" t="str">
        <f t="shared" si="9"/>
        <v/>
      </c>
      <c r="IA13" s="56" t="str">
        <f t="shared" si="9"/>
        <v/>
      </c>
      <c r="IB13" s="56" t="str">
        <f t="shared" si="9"/>
        <v/>
      </c>
      <c r="IC13" s="56" t="str">
        <f t="shared" si="9"/>
        <v/>
      </c>
      <c r="ID13" s="56" t="str">
        <f t="shared" si="9"/>
        <v/>
      </c>
      <c r="IE13" s="56" t="str">
        <f t="shared" si="9"/>
        <v/>
      </c>
      <c r="IF13" s="56" t="str">
        <f t="shared" si="9"/>
        <v/>
      </c>
      <c r="IG13" s="56" t="str">
        <f t="shared" si="9"/>
        <v/>
      </c>
      <c r="IH13" s="56" t="str">
        <f t="shared" si="9"/>
        <v/>
      </c>
      <c r="II13" s="56" t="str">
        <f t="shared" si="9"/>
        <v/>
      </c>
      <c r="IJ13" s="56" t="str">
        <f t="shared" si="9"/>
        <v/>
      </c>
      <c r="IK13" s="56" t="str">
        <f t="shared" si="9"/>
        <v/>
      </c>
      <c r="IL13" s="56" t="str">
        <f t="shared" si="9"/>
        <v/>
      </c>
      <c r="IM13" s="56" t="str">
        <f t="shared" si="9"/>
        <v/>
      </c>
      <c r="IN13" s="56" t="str">
        <f t="shared" si="9"/>
        <v/>
      </c>
      <c r="IO13" s="56" t="str">
        <f t="shared" si="9"/>
        <v/>
      </c>
      <c r="IP13" s="56" t="str">
        <f t="shared" si="9"/>
        <v/>
      </c>
      <c r="IQ13" s="56" t="str">
        <f t="shared" si="9"/>
        <v/>
      </c>
      <c r="IR13" s="56" t="str">
        <f t="shared" si="9"/>
        <v/>
      </c>
      <c r="IS13" s="56" t="str">
        <f t="shared" si="9"/>
        <v/>
      </c>
      <c r="IT13" s="56" t="str">
        <f t="shared" si="9"/>
        <v/>
      </c>
      <c r="IU13" s="56" t="str">
        <f t="shared" si="9"/>
        <v/>
      </c>
      <c r="IV13" s="56" t="str">
        <f t="shared" si="9"/>
        <v/>
      </c>
      <c r="IW13" s="56" t="str">
        <f t="shared" si="9"/>
        <v/>
      </c>
      <c r="IX13" s="56" t="str">
        <f t="shared" si="9"/>
        <v/>
      </c>
      <c r="IY13" s="56" t="str">
        <f t="shared" si="9"/>
        <v/>
      </c>
      <c r="IZ13" s="56" t="str">
        <f t="shared" si="9"/>
        <v/>
      </c>
      <c r="JA13" s="56" t="str">
        <f t="shared" si="9"/>
        <v/>
      </c>
      <c r="JB13" s="56" t="str">
        <f t="shared" si="9"/>
        <v/>
      </c>
      <c r="JC13" s="56" t="str">
        <f t="shared" si="9"/>
        <v/>
      </c>
      <c r="JD13" s="56" t="str">
        <f t="shared" si="9"/>
        <v/>
      </c>
      <c r="JE13" s="56" t="str">
        <f t="shared" si="9"/>
        <v/>
      </c>
      <c r="JF13" s="56" t="str">
        <f t="shared" si="9"/>
        <v/>
      </c>
      <c r="JG13" s="56" t="str">
        <f t="shared" si="9"/>
        <v/>
      </c>
      <c r="JH13" s="56" t="str">
        <f t="shared" si="9"/>
        <v/>
      </c>
      <c r="JI13" s="56" t="str">
        <f t="shared" si="9"/>
        <v/>
      </c>
      <c r="JJ13" s="56" t="str">
        <f t="shared" si="9"/>
        <v/>
      </c>
      <c r="JK13" s="56" t="str">
        <f t="shared" si="9"/>
        <v/>
      </c>
      <c r="JL13" s="56" t="str">
        <f t="shared" si="9"/>
        <v/>
      </c>
      <c r="JM13" s="56" t="str">
        <f t="shared" si="9"/>
        <v/>
      </c>
      <c r="JN13" s="56" t="str">
        <f t="shared" si="9"/>
        <v/>
      </c>
      <c r="JO13" s="56" t="str">
        <f t="shared" si="9"/>
        <v/>
      </c>
      <c r="JP13" s="56" t="str">
        <f t="shared" si="9"/>
        <v/>
      </c>
      <c r="JQ13" s="56" t="str">
        <f t="shared" si="9"/>
        <v/>
      </c>
      <c r="JR13" s="56" t="str">
        <f t="shared" si="9"/>
        <v/>
      </c>
      <c r="JS13" s="56" t="str">
        <f t="shared" si="9"/>
        <v/>
      </c>
      <c r="JT13" s="56" t="str">
        <f t="shared" si="9"/>
        <v/>
      </c>
      <c r="JU13" s="56" t="str">
        <f t="shared" si="9"/>
        <v/>
      </c>
      <c r="JV13" s="56" t="str">
        <f t="shared" ref="JV13:KX20" si="10">IF(AND($C13="Objetivo",JV$7&gt;=$F13,JV$7&lt;=$F13+$H13-1),2,IF(AND($C13="Hito",JV$7&gt;=$F13,JV$7&lt;=$F13+$H13-1),1,""))</f>
        <v/>
      </c>
      <c r="JW13" s="56" t="str">
        <f t="shared" si="10"/>
        <v/>
      </c>
      <c r="JX13" s="56" t="str">
        <f t="shared" si="10"/>
        <v/>
      </c>
      <c r="JY13" s="56" t="str">
        <f t="shared" si="10"/>
        <v/>
      </c>
      <c r="JZ13" s="56" t="str">
        <f t="shared" si="10"/>
        <v/>
      </c>
      <c r="KA13" s="56" t="str">
        <f t="shared" si="10"/>
        <v/>
      </c>
      <c r="KB13" s="56" t="str">
        <f t="shared" si="10"/>
        <v/>
      </c>
      <c r="KC13" s="56" t="str">
        <f t="shared" si="10"/>
        <v/>
      </c>
      <c r="KD13" s="56" t="str">
        <f t="shared" si="10"/>
        <v/>
      </c>
      <c r="KE13" s="56" t="str">
        <f t="shared" si="10"/>
        <v/>
      </c>
      <c r="KF13" s="56" t="str">
        <f t="shared" si="10"/>
        <v/>
      </c>
      <c r="KG13" s="56" t="str">
        <f t="shared" si="10"/>
        <v/>
      </c>
      <c r="KH13" s="56" t="str">
        <f t="shared" si="10"/>
        <v/>
      </c>
      <c r="KI13" s="56" t="str">
        <f t="shared" si="10"/>
        <v/>
      </c>
      <c r="KJ13" s="56" t="str">
        <f t="shared" si="10"/>
        <v/>
      </c>
      <c r="KK13" s="56" t="str">
        <f t="shared" si="10"/>
        <v/>
      </c>
      <c r="KL13" s="56" t="str">
        <f t="shared" si="10"/>
        <v/>
      </c>
      <c r="KM13" s="56" t="str">
        <f t="shared" si="10"/>
        <v/>
      </c>
      <c r="KN13" s="56" t="str">
        <f t="shared" si="10"/>
        <v/>
      </c>
      <c r="KO13" s="56" t="str">
        <f t="shared" si="10"/>
        <v/>
      </c>
      <c r="KP13" s="56" t="str">
        <f t="shared" si="10"/>
        <v/>
      </c>
      <c r="KQ13" s="56" t="str">
        <f t="shared" si="10"/>
        <v/>
      </c>
      <c r="KR13" s="56" t="str">
        <f t="shared" si="10"/>
        <v/>
      </c>
      <c r="KS13" s="56" t="str">
        <f t="shared" si="10"/>
        <v/>
      </c>
      <c r="KT13" s="56" t="str">
        <f t="shared" si="10"/>
        <v/>
      </c>
      <c r="KU13" s="56" t="str">
        <f t="shared" si="10"/>
        <v/>
      </c>
      <c r="KV13" s="56" t="str">
        <f t="shared" si="10"/>
        <v/>
      </c>
      <c r="KW13" s="56" t="str">
        <f t="shared" si="10"/>
        <v/>
      </c>
      <c r="KX13" s="56" t="str">
        <f t="shared" si="10"/>
        <v/>
      </c>
    </row>
    <row r="14" spans="1:310" s="15" customFormat="1">
      <c r="A14" s="8"/>
      <c r="B14" s="46" t="s">
        <v>325</v>
      </c>
      <c r="C14" s="47" t="s">
        <v>303</v>
      </c>
      <c r="D14" s="48" t="s">
        <v>318</v>
      </c>
      <c r="E14" s="49">
        <v>0.5</v>
      </c>
      <c r="F14" s="50">
        <f t="shared" ref="F14:F19" si="11">+G13</f>
        <v>45980</v>
      </c>
      <c r="G14" s="50">
        <f>+Hitos4352[[#This Row],[Inicio]]+Hitos4352[[#This Row],[Días]]</f>
        <v>45982</v>
      </c>
      <c r="H14" s="51">
        <v>2</v>
      </c>
      <c r="I14" s="14"/>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c r="IX14" s="56"/>
      <c r="IY14" s="56"/>
      <c r="IZ14" s="56"/>
      <c r="JA14" s="56"/>
      <c r="JB14" s="56"/>
      <c r="JC14" s="56"/>
      <c r="JD14" s="56"/>
      <c r="JE14" s="56"/>
      <c r="JF14" s="56"/>
      <c r="JG14" s="56"/>
      <c r="JH14" s="56"/>
      <c r="JI14" s="56"/>
      <c r="JJ14" s="56"/>
      <c r="JK14" s="56"/>
      <c r="JL14" s="56"/>
      <c r="JM14" s="56"/>
      <c r="JN14" s="56"/>
      <c r="JO14" s="56"/>
      <c r="JP14" s="56"/>
      <c r="JQ14" s="56"/>
      <c r="JR14" s="56"/>
      <c r="JS14" s="56"/>
      <c r="JT14" s="56"/>
      <c r="JU14" s="56"/>
      <c r="JV14" s="56"/>
      <c r="JW14" s="56"/>
      <c r="JX14" s="56"/>
      <c r="JY14" s="56"/>
      <c r="JZ14" s="56"/>
      <c r="KA14" s="56"/>
      <c r="KB14" s="56"/>
      <c r="KC14" s="56"/>
      <c r="KD14" s="56"/>
      <c r="KE14" s="56"/>
      <c r="KF14" s="56"/>
      <c r="KG14" s="56"/>
      <c r="KH14" s="56"/>
      <c r="KI14" s="56"/>
      <c r="KJ14" s="56"/>
      <c r="KK14" s="56"/>
      <c r="KL14" s="56"/>
      <c r="KM14" s="56"/>
      <c r="KN14" s="56"/>
      <c r="KO14" s="56"/>
      <c r="KP14" s="56"/>
      <c r="KQ14" s="56"/>
      <c r="KR14" s="56"/>
      <c r="KS14" s="56"/>
      <c r="KT14" s="56"/>
      <c r="KU14" s="56"/>
      <c r="KV14" s="56"/>
      <c r="KW14" s="56"/>
      <c r="KX14" s="56"/>
    </row>
    <row r="15" spans="1:310" s="15" customFormat="1">
      <c r="A15" s="8"/>
      <c r="B15" s="46" t="s">
        <v>326</v>
      </c>
      <c r="C15" s="47" t="s">
        <v>303</v>
      </c>
      <c r="D15" s="48" t="s">
        <v>318</v>
      </c>
      <c r="E15" s="49">
        <v>1</v>
      </c>
      <c r="F15" s="50">
        <f t="shared" si="11"/>
        <v>45982</v>
      </c>
      <c r="G15" s="50">
        <f>+Hitos4352[[#This Row],[Inicio]]+Hitos4352[[#This Row],[Días]]</f>
        <v>45983</v>
      </c>
      <c r="H15" s="51">
        <v>1</v>
      </c>
      <c r="I15" s="14"/>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c r="IX15" s="56"/>
      <c r="IY15" s="56"/>
      <c r="IZ15" s="56"/>
      <c r="JA15" s="56"/>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c r="JZ15" s="56"/>
      <c r="KA15" s="56"/>
      <c r="KB15" s="56"/>
      <c r="KC15" s="56"/>
      <c r="KD15" s="56"/>
      <c r="KE15" s="56"/>
      <c r="KF15" s="56"/>
      <c r="KG15" s="56"/>
      <c r="KH15" s="56"/>
      <c r="KI15" s="56"/>
      <c r="KJ15" s="56"/>
      <c r="KK15" s="56"/>
      <c r="KL15" s="56"/>
      <c r="KM15" s="56"/>
      <c r="KN15" s="56"/>
      <c r="KO15" s="56"/>
      <c r="KP15" s="56"/>
      <c r="KQ15" s="56"/>
      <c r="KR15" s="56"/>
      <c r="KS15" s="56"/>
      <c r="KT15" s="56"/>
      <c r="KU15" s="56"/>
      <c r="KV15" s="56"/>
      <c r="KW15" s="56"/>
      <c r="KX15" s="56"/>
    </row>
    <row r="16" spans="1:310" s="15" customFormat="1">
      <c r="A16" s="8"/>
      <c r="B16" s="46" t="s">
        <v>327</v>
      </c>
      <c r="C16" s="47" t="s">
        <v>303</v>
      </c>
      <c r="D16" s="48" t="s">
        <v>318</v>
      </c>
      <c r="E16" s="49">
        <v>0</v>
      </c>
      <c r="F16" s="50">
        <f t="shared" si="11"/>
        <v>45983</v>
      </c>
      <c r="G16" s="50">
        <f>+Hitos4352[[#This Row],[Inicio]]+Hitos4352[[#This Row],[Días]]</f>
        <v>45984</v>
      </c>
      <c r="H16" s="51">
        <v>1</v>
      </c>
      <c r="I16" s="14"/>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row>
    <row r="17" spans="1:310" s="15" customFormat="1">
      <c r="A17" s="8"/>
      <c r="B17" s="46" t="s">
        <v>328</v>
      </c>
      <c r="C17" s="47" t="s">
        <v>303</v>
      </c>
      <c r="D17" s="48" t="s">
        <v>318</v>
      </c>
      <c r="E17" s="49">
        <v>1</v>
      </c>
      <c r="F17" s="50">
        <f t="shared" si="11"/>
        <v>45984</v>
      </c>
      <c r="G17" s="50">
        <f>+Hitos4352[[#This Row],[Inicio]]+Hitos4352[[#This Row],[Días]]</f>
        <v>45985</v>
      </c>
      <c r="H17" s="51">
        <v>1</v>
      </c>
      <c r="I17" s="14"/>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c r="IX17" s="56"/>
      <c r="IY17" s="56"/>
      <c r="IZ17" s="56"/>
      <c r="JA17" s="56"/>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c r="JZ17" s="56"/>
      <c r="KA17" s="56"/>
      <c r="KB17" s="56"/>
      <c r="KC17" s="56"/>
      <c r="KD17" s="56"/>
      <c r="KE17" s="56"/>
      <c r="KF17" s="56"/>
      <c r="KG17" s="56"/>
      <c r="KH17" s="56"/>
      <c r="KI17" s="56"/>
      <c r="KJ17" s="56"/>
      <c r="KK17" s="56"/>
      <c r="KL17" s="56"/>
      <c r="KM17" s="56"/>
      <c r="KN17" s="56"/>
      <c r="KO17" s="56"/>
      <c r="KP17" s="56"/>
      <c r="KQ17" s="56"/>
      <c r="KR17" s="56"/>
      <c r="KS17" s="56"/>
      <c r="KT17" s="56"/>
      <c r="KU17" s="56"/>
      <c r="KV17" s="56"/>
      <c r="KW17" s="56"/>
      <c r="KX17" s="56"/>
    </row>
    <row r="18" spans="1:310" s="15" customFormat="1">
      <c r="A18" s="8"/>
      <c r="B18" s="46" t="s">
        <v>329</v>
      </c>
      <c r="C18" s="47" t="s">
        <v>303</v>
      </c>
      <c r="D18" s="48" t="s">
        <v>318</v>
      </c>
      <c r="E18" s="49">
        <v>1</v>
      </c>
      <c r="F18" s="50">
        <f t="shared" si="11"/>
        <v>45985</v>
      </c>
      <c r="G18" s="50">
        <f>+Hitos4352[[#This Row],[Inicio]]+Hitos4352[[#This Row],[Días]]</f>
        <v>45986</v>
      </c>
      <c r="H18" s="51">
        <v>1</v>
      </c>
      <c r="I18" s="14"/>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c r="IX18" s="56"/>
      <c r="IY18" s="56"/>
      <c r="IZ18" s="56"/>
      <c r="JA18" s="56"/>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c r="JZ18" s="56"/>
      <c r="KA18" s="56"/>
      <c r="KB18" s="56"/>
      <c r="KC18" s="56"/>
      <c r="KD18" s="56"/>
      <c r="KE18" s="56"/>
      <c r="KF18" s="56"/>
      <c r="KG18" s="56"/>
      <c r="KH18" s="56"/>
      <c r="KI18" s="56"/>
      <c r="KJ18" s="56"/>
      <c r="KK18" s="56"/>
      <c r="KL18" s="56"/>
      <c r="KM18" s="56"/>
      <c r="KN18" s="56"/>
      <c r="KO18" s="56"/>
      <c r="KP18" s="56"/>
      <c r="KQ18" s="56"/>
      <c r="KR18" s="56"/>
      <c r="KS18" s="56"/>
      <c r="KT18" s="56"/>
      <c r="KU18" s="56"/>
      <c r="KV18" s="56"/>
      <c r="KW18" s="56"/>
      <c r="KX18" s="56"/>
    </row>
    <row r="19" spans="1:310" s="15" customFormat="1">
      <c r="A19" s="8"/>
      <c r="B19" s="46" t="s">
        <v>330</v>
      </c>
      <c r="C19" s="47" t="s">
        <v>303</v>
      </c>
      <c r="D19" s="48" t="s">
        <v>318</v>
      </c>
      <c r="E19" s="49">
        <v>0</v>
      </c>
      <c r="F19" s="50">
        <f t="shared" si="11"/>
        <v>45986</v>
      </c>
      <c r="G19" s="50">
        <f>+Hitos4352[[#This Row],[Inicio]]+Hitos4352[[#This Row],[Días]]</f>
        <v>45987</v>
      </c>
      <c r="H19" s="51">
        <v>1</v>
      </c>
      <c r="I19" s="14">
        <v>1.8</v>
      </c>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c r="IX19" s="56"/>
      <c r="IY19" s="56"/>
      <c r="IZ19" s="56"/>
      <c r="JA19" s="56"/>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c r="JZ19" s="56"/>
      <c r="KA19" s="56"/>
      <c r="KB19" s="56"/>
      <c r="KC19" s="56"/>
      <c r="KD19" s="56"/>
      <c r="KE19" s="56"/>
      <c r="KF19" s="56"/>
      <c r="KG19" s="56"/>
      <c r="KH19" s="56"/>
      <c r="KI19" s="56"/>
      <c r="KJ19" s="56"/>
      <c r="KK19" s="56"/>
      <c r="KL19" s="56"/>
      <c r="KM19" s="56"/>
      <c r="KN19" s="56"/>
      <c r="KO19" s="56"/>
      <c r="KP19" s="56"/>
      <c r="KQ19" s="56"/>
      <c r="KR19" s="56"/>
      <c r="KS19" s="56"/>
      <c r="KT19" s="56"/>
      <c r="KU19" s="56"/>
      <c r="KV19" s="56"/>
      <c r="KW19" s="56"/>
      <c r="KX19" s="56"/>
    </row>
    <row r="20" spans="1:310" s="15" customFormat="1">
      <c r="A20" s="8"/>
      <c r="B20" s="46" t="s">
        <v>331</v>
      </c>
      <c r="C20" s="47" t="s">
        <v>303</v>
      </c>
      <c r="D20" s="48" t="s">
        <v>318</v>
      </c>
      <c r="E20" s="49">
        <v>0</v>
      </c>
      <c r="F20" s="50">
        <f>+F21</f>
        <v>45987</v>
      </c>
      <c r="G20" s="50">
        <f>+Hitos4352[[#This Row],[Inicio]]+Hitos4352[[#This Row],[Días]]</f>
        <v>45988</v>
      </c>
      <c r="H20" s="51">
        <v>1</v>
      </c>
      <c r="I20" s="14"/>
      <c r="J20" s="56" t="str">
        <f t="shared" si="5"/>
        <v/>
      </c>
      <c r="K20" s="56" t="str">
        <f t="shared" si="5"/>
        <v/>
      </c>
      <c r="L20" s="56" t="str">
        <f t="shared" si="5"/>
        <v/>
      </c>
      <c r="M20" s="56" t="str">
        <f t="shared" si="5"/>
        <v/>
      </c>
      <c r="N20" s="56" t="str">
        <f t="shared" si="5"/>
        <v/>
      </c>
      <c r="O20" s="56" t="str">
        <f t="shared" si="5"/>
        <v/>
      </c>
      <c r="P20" s="56" t="str">
        <f t="shared" si="5"/>
        <v/>
      </c>
      <c r="Q20" s="56" t="str">
        <f t="shared" si="5"/>
        <v/>
      </c>
      <c r="R20" s="56" t="str">
        <f t="shared" si="5"/>
        <v/>
      </c>
      <c r="S20" s="56" t="str">
        <f t="shared" si="5"/>
        <v/>
      </c>
      <c r="T20" s="56" t="str">
        <f t="shared" si="5"/>
        <v/>
      </c>
      <c r="U20" s="56" t="str">
        <f t="shared" si="5"/>
        <v/>
      </c>
      <c r="V20" s="56" t="str">
        <f t="shared" si="5"/>
        <v/>
      </c>
      <c r="W20" s="56" t="str">
        <f t="shared" si="5"/>
        <v/>
      </c>
      <c r="X20" s="56" t="str">
        <f t="shared" si="5"/>
        <v/>
      </c>
      <c r="Y20" s="56" t="str">
        <f t="shared" si="5"/>
        <v/>
      </c>
      <c r="Z20" s="56" t="str">
        <f t="shared" si="6"/>
        <v/>
      </c>
      <c r="AA20" s="56" t="str">
        <f t="shared" si="6"/>
        <v/>
      </c>
      <c r="AB20" s="56" t="str">
        <f t="shared" si="6"/>
        <v/>
      </c>
      <c r="AC20" s="56" t="str">
        <f t="shared" si="6"/>
        <v/>
      </c>
      <c r="AD20" s="56" t="str">
        <f t="shared" si="6"/>
        <v/>
      </c>
      <c r="AE20" s="56" t="str">
        <f t="shared" si="6"/>
        <v/>
      </c>
      <c r="AF20" s="56" t="str">
        <f t="shared" si="6"/>
        <v/>
      </c>
      <c r="AG20" s="56" t="str">
        <f t="shared" si="6"/>
        <v/>
      </c>
      <c r="AH20" s="56" t="str">
        <f t="shared" si="6"/>
        <v/>
      </c>
      <c r="AI20" s="56" t="str">
        <f t="shared" si="6"/>
        <v/>
      </c>
      <c r="AJ20" s="56" t="str">
        <f t="shared" si="6"/>
        <v/>
      </c>
      <c r="AK20" s="56" t="str">
        <f t="shared" si="6"/>
        <v/>
      </c>
      <c r="AL20" s="56" t="str">
        <f t="shared" si="6"/>
        <v/>
      </c>
      <c r="AM20" s="56" t="str">
        <f t="shared" si="6"/>
        <v/>
      </c>
      <c r="AN20" s="56" t="str">
        <f t="shared" si="6"/>
        <v/>
      </c>
      <c r="AO20" s="56" t="str">
        <f t="shared" si="6"/>
        <v/>
      </c>
      <c r="AP20" s="56" t="str">
        <f t="shared" si="6"/>
        <v/>
      </c>
      <c r="AQ20" s="56" t="str">
        <f t="shared" si="6"/>
        <v/>
      </c>
      <c r="AR20" s="56" t="str">
        <f t="shared" si="6"/>
        <v/>
      </c>
      <c r="AS20" s="56" t="str">
        <f t="shared" si="6"/>
        <v/>
      </c>
      <c r="AT20" s="56" t="str">
        <f t="shared" si="6"/>
        <v/>
      </c>
      <c r="AU20" s="56" t="str">
        <f t="shared" si="6"/>
        <v/>
      </c>
      <c r="AV20" s="56" t="str">
        <f t="shared" si="6"/>
        <v/>
      </c>
      <c r="AW20" s="56" t="str">
        <f t="shared" si="6"/>
        <v/>
      </c>
      <c r="AX20" s="56" t="str">
        <f t="shared" si="6"/>
        <v/>
      </c>
      <c r="AY20" s="56" t="str">
        <f t="shared" si="6"/>
        <v/>
      </c>
      <c r="AZ20" s="56" t="str">
        <f t="shared" si="6"/>
        <v/>
      </c>
      <c r="BA20" s="56" t="str">
        <f t="shared" si="6"/>
        <v/>
      </c>
      <c r="BB20" s="56" t="str">
        <f t="shared" si="6"/>
        <v/>
      </c>
      <c r="BC20" s="56" t="str">
        <f t="shared" si="6"/>
        <v/>
      </c>
      <c r="BD20" s="56" t="str">
        <f t="shared" si="6"/>
        <v/>
      </c>
      <c r="BE20" s="56" t="str">
        <f t="shared" si="6"/>
        <v/>
      </c>
      <c r="BF20" s="56" t="str">
        <f t="shared" si="6"/>
        <v/>
      </c>
      <c r="BG20" s="56" t="str">
        <f t="shared" si="6"/>
        <v/>
      </c>
      <c r="BH20" s="56" t="str">
        <f t="shared" si="6"/>
        <v/>
      </c>
      <c r="BI20" s="56" t="str">
        <f t="shared" si="6"/>
        <v/>
      </c>
      <c r="BJ20" s="56" t="str">
        <f t="shared" si="6"/>
        <v/>
      </c>
      <c r="BK20" s="56" t="str">
        <f t="shared" si="6"/>
        <v/>
      </c>
      <c r="BL20" s="56" t="str">
        <f t="shared" si="6"/>
        <v/>
      </c>
      <c r="BM20" s="56" t="str">
        <f t="shared" si="6"/>
        <v/>
      </c>
      <c r="BN20" s="56" t="str">
        <f t="shared" si="6"/>
        <v/>
      </c>
      <c r="BO20" s="56" t="str">
        <f t="shared" si="6"/>
        <v/>
      </c>
      <c r="BP20" s="56" t="str">
        <f t="shared" si="6"/>
        <v/>
      </c>
      <c r="BQ20" s="56" t="str">
        <f t="shared" si="6"/>
        <v/>
      </c>
      <c r="BR20" s="56" t="str">
        <f t="shared" si="6"/>
        <v/>
      </c>
      <c r="BS20" s="56" t="str">
        <f t="shared" si="6"/>
        <v/>
      </c>
      <c r="BT20" s="56" t="str">
        <f t="shared" si="6"/>
        <v/>
      </c>
      <c r="BU20" s="56" t="str">
        <f t="shared" si="6"/>
        <v/>
      </c>
      <c r="BV20" s="56" t="str">
        <f t="shared" si="6"/>
        <v/>
      </c>
      <c r="BW20" s="56" t="str">
        <f t="shared" si="6"/>
        <v/>
      </c>
      <c r="BX20" s="56" t="str">
        <f t="shared" si="6"/>
        <v/>
      </c>
      <c r="BY20" s="56" t="str">
        <f t="shared" si="6"/>
        <v/>
      </c>
      <c r="BZ20" s="56" t="str">
        <f t="shared" si="6"/>
        <v/>
      </c>
      <c r="CA20" s="56" t="str">
        <f t="shared" si="6"/>
        <v/>
      </c>
      <c r="CB20" s="56" t="str">
        <f t="shared" si="6"/>
        <v/>
      </c>
      <c r="CC20" s="56" t="str">
        <f t="shared" si="6"/>
        <v/>
      </c>
      <c r="CD20" s="56" t="str">
        <f t="shared" si="6"/>
        <v/>
      </c>
      <c r="CE20" s="56" t="str">
        <f t="shared" si="6"/>
        <v/>
      </c>
      <c r="CF20" s="56" t="str">
        <f t="shared" si="6"/>
        <v/>
      </c>
      <c r="CG20" s="56" t="str">
        <f t="shared" si="6"/>
        <v/>
      </c>
      <c r="CH20" s="56" t="str">
        <f t="shared" si="6"/>
        <v/>
      </c>
      <c r="CI20" s="56" t="str">
        <f t="shared" si="6"/>
        <v/>
      </c>
      <c r="CJ20" s="56" t="str">
        <f t="shared" si="6"/>
        <v/>
      </c>
      <c r="CK20" s="56" t="str">
        <f t="shared" si="6"/>
        <v/>
      </c>
      <c r="CL20" s="56" t="str">
        <f t="shared" si="7"/>
        <v/>
      </c>
      <c r="CM20" s="56" t="str">
        <f t="shared" si="7"/>
        <v/>
      </c>
      <c r="CN20" s="56" t="str">
        <f t="shared" si="7"/>
        <v/>
      </c>
      <c r="CO20" s="56" t="str">
        <f t="shared" si="7"/>
        <v/>
      </c>
      <c r="CP20" s="56" t="str">
        <f t="shared" si="7"/>
        <v/>
      </c>
      <c r="CQ20" s="56" t="str">
        <f t="shared" si="7"/>
        <v/>
      </c>
      <c r="CR20" s="56" t="str">
        <f t="shared" si="7"/>
        <v/>
      </c>
      <c r="CS20" s="56" t="str">
        <f t="shared" si="7"/>
        <v/>
      </c>
      <c r="CT20" s="56" t="str">
        <f t="shared" si="7"/>
        <v/>
      </c>
      <c r="CU20" s="56" t="str">
        <f t="shared" si="7"/>
        <v/>
      </c>
      <c r="CV20" s="56" t="str">
        <f t="shared" si="7"/>
        <v/>
      </c>
      <c r="CW20" s="56" t="str">
        <f t="shared" si="7"/>
        <v/>
      </c>
      <c r="CX20" s="56" t="str">
        <f t="shared" si="7"/>
        <v/>
      </c>
      <c r="CY20" s="56" t="str">
        <f t="shared" si="7"/>
        <v/>
      </c>
      <c r="CZ20" s="56" t="str">
        <f t="shared" si="7"/>
        <v/>
      </c>
      <c r="DA20" s="56" t="str">
        <f t="shared" si="7"/>
        <v/>
      </c>
      <c r="DB20" s="56" t="str">
        <f t="shared" si="7"/>
        <v/>
      </c>
      <c r="DC20" s="56" t="str">
        <f t="shared" si="7"/>
        <v/>
      </c>
      <c r="DD20" s="56" t="str">
        <f t="shared" si="7"/>
        <v/>
      </c>
      <c r="DE20" s="56" t="str">
        <f t="shared" si="7"/>
        <v/>
      </c>
      <c r="DF20" s="56" t="str">
        <f t="shared" si="7"/>
        <v/>
      </c>
      <c r="DG20" s="56" t="str">
        <f t="shared" si="7"/>
        <v/>
      </c>
      <c r="DH20" s="56" t="str">
        <f t="shared" si="7"/>
        <v/>
      </c>
      <c r="DI20" s="56" t="str">
        <f t="shared" si="7"/>
        <v/>
      </c>
      <c r="DJ20" s="56" t="str">
        <f t="shared" si="7"/>
        <v/>
      </c>
      <c r="DK20" s="56" t="str">
        <f t="shared" si="7"/>
        <v/>
      </c>
      <c r="DL20" s="56" t="str">
        <f t="shared" si="7"/>
        <v/>
      </c>
      <c r="DM20" s="56" t="str">
        <f t="shared" si="7"/>
        <v/>
      </c>
      <c r="DN20" s="56" t="str">
        <f t="shared" si="7"/>
        <v/>
      </c>
      <c r="DO20" s="56" t="str">
        <f t="shared" si="7"/>
        <v/>
      </c>
      <c r="DP20" s="56" t="str">
        <f t="shared" si="7"/>
        <v/>
      </c>
      <c r="DQ20" s="56" t="str">
        <f t="shared" si="7"/>
        <v/>
      </c>
      <c r="DR20" s="56" t="str">
        <f t="shared" si="7"/>
        <v/>
      </c>
      <c r="DS20" s="56" t="str">
        <f t="shared" si="7"/>
        <v/>
      </c>
      <c r="DT20" s="56" t="str">
        <f t="shared" si="7"/>
        <v/>
      </c>
      <c r="DU20" s="56" t="str">
        <f t="shared" si="7"/>
        <v/>
      </c>
      <c r="DV20" s="56" t="str">
        <f t="shared" si="7"/>
        <v/>
      </c>
      <c r="DW20" s="56" t="str">
        <f t="shared" si="7"/>
        <v/>
      </c>
      <c r="DX20" s="56" t="str">
        <f t="shared" si="7"/>
        <v/>
      </c>
      <c r="DY20" s="56" t="str">
        <f t="shared" si="7"/>
        <v/>
      </c>
      <c r="DZ20" s="56" t="str">
        <f t="shared" si="7"/>
        <v/>
      </c>
      <c r="EA20" s="56" t="str">
        <f t="shared" si="7"/>
        <v/>
      </c>
      <c r="EB20" s="56" t="str">
        <f t="shared" si="7"/>
        <v/>
      </c>
      <c r="EC20" s="56" t="str">
        <f t="shared" si="7"/>
        <v/>
      </c>
      <c r="ED20" s="56" t="str">
        <f t="shared" si="7"/>
        <v/>
      </c>
      <c r="EE20" s="56" t="str">
        <f t="shared" si="7"/>
        <v/>
      </c>
      <c r="EF20" s="56" t="str">
        <f t="shared" si="7"/>
        <v/>
      </c>
      <c r="EG20" s="56" t="str">
        <f t="shared" si="7"/>
        <v/>
      </c>
      <c r="EH20" s="56" t="str">
        <f t="shared" si="7"/>
        <v/>
      </c>
      <c r="EI20" s="56" t="str">
        <f t="shared" si="7"/>
        <v/>
      </c>
      <c r="EJ20" s="56" t="str">
        <f t="shared" si="7"/>
        <v/>
      </c>
      <c r="EK20" s="56" t="str">
        <f t="shared" si="7"/>
        <v/>
      </c>
      <c r="EL20" s="56" t="str">
        <f t="shared" si="7"/>
        <v/>
      </c>
      <c r="EM20" s="56" t="str">
        <f t="shared" si="7"/>
        <v/>
      </c>
      <c r="EN20" s="56" t="str">
        <f t="shared" si="7"/>
        <v/>
      </c>
      <c r="EO20" s="56" t="str">
        <f t="shared" si="7"/>
        <v/>
      </c>
      <c r="EP20" s="56" t="str">
        <f t="shared" si="7"/>
        <v/>
      </c>
      <c r="EQ20" s="56" t="str">
        <f t="shared" si="7"/>
        <v/>
      </c>
      <c r="ER20" s="56" t="str">
        <f t="shared" si="7"/>
        <v/>
      </c>
      <c r="ES20" s="56" t="str">
        <f t="shared" si="7"/>
        <v/>
      </c>
      <c r="ET20" s="56" t="str">
        <f t="shared" si="7"/>
        <v/>
      </c>
      <c r="EU20" s="56" t="str">
        <f t="shared" si="7"/>
        <v/>
      </c>
      <c r="EV20" s="56" t="str">
        <f t="shared" si="7"/>
        <v/>
      </c>
      <c r="EW20" s="56" t="str">
        <f t="shared" si="7"/>
        <v/>
      </c>
      <c r="EX20" s="56" t="str">
        <f t="shared" si="8"/>
        <v/>
      </c>
      <c r="EY20" s="56" t="str">
        <f t="shared" si="8"/>
        <v/>
      </c>
      <c r="EZ20" s="56" t="str">
        <f t="shared" si="8"/>
        <v/>
      </c>
      <c r="FA20" s="56" t="str">
        <f t="shared" si="8"/>
        <v/>
      </c>
      <c r="FB20" s="56" t="str">
        <f t="shared" si="8"/>
        <v/>
      </c>
      <c r="FC20" s="56" t="str">
        <f t="shared" si="8"/>
        <v/>
      </c>
      <c r="FD20" s="56" t="str">
        <f t="shared" si="8"/>
        <v/>
      </c>
      <c r="FE20" s="56" t="str">
        <f t="shared" si="8"/>
        <v/>
      </c>
      <c r="FF20" s="56" t="str">
        <f t="shared" si="8"/>
        <v/>
      </c>
      <c r="FG20" s="56" t="str">
        <f t="shared" si="8"/>
        <v/>
      </c>
      <c r="FH20" s="56" t="str">
        <f t="shared" si="8"/>
        <v/>
      </c>
      <c r="FI20" s="56" t="str">
        <f t="shared" si="8"/>
        <v/>
      </c>
      <c r="FJ20" s="56" t="str">
        <f t="shared" si="8"/>
        <v/>
      </c>
      <c r="FK20" s="56" t="str">
        <f t="shared" si="8"/>
        <v/>
      </c>
      <c r="FL20" s="56" t="str">
        <f t="shared" si="8"/>
        <v/>
      </c>
      <c r="FM20" s="56" t="str">
        <f t="shared" si="8"/>
        <v/>
      </c>
      <c r="FN20" s="56" t="str">
        <f t="shared" si="8"/>
        <v/>
      </c>
      <c r="FO20" s="56" t="str">
        <f t="shared" si="8"/>
        <v/>
      </c>
      <c r="FP20" s="56" t="str">
        <f t="shared" si="8"/>
        <v/>
      </c>
      <c r="FQ20" s="56" t="str">
        <f t="shared" si="8"/>
        <v/>
      </c>
      <c r="FR20" s="56" t="str">
        <f t="shared" si="8"/>
        <v/>
      </c>
      <c r="FS20" s="56" t="str">
        <f t="shared" si="8"/>
        <v/>
      </c>
      <c r="FT20" s="56" t="str">
        <f t="shared" si="8"/>
        <v/>
      </c>
      <c r="FU20" s="56" t="str">
        <f t="shared" si="8"/>
        <v/>
      </c>
      <c r="FV20" s="56" t="str">
        <f t="shared" si="8"/>
        <v/>
      </c>
      <c r="FW20" s="56" t="str">
        <f t="shared" si="8"/>
        <v/>
      </c>
      <c r="FX20" s="56" t="str">
        <f t="shared" si="8"/>
        <v/>
      </c>
      <c r="FY20" s="56" t="str">
        <f t="shared" si="8"/>
        <v/>
      </c>
      <c r="FZ20" s="56" t="str">
        <f t="shared" si="8"/>
        <v/>
      </c>
      <c r="GA20" s="56" t="str">
        <f t="shared" si="8"/>
        <v/>
      </c>
      <c r="GB20" s="56" t="str">
        <f t="shared" si="8"/>
        <v/>
      </c>
      <c r="GC20" s="56" t="str">
        <f t="shared" si="8"/>
        <v/>
      </c>
      <c r="GD20" s="56" t="str">
        <f t="shared" si="8"/>
        <v/>
      </c>
      <c r="GE20" s="56" t="str">
        <f t="shared" si="8"/>
        <v/>
      </c>
      <c r="GF20" s="56" t="str">
        <f t="shared" si="8"/>
        <v/>
      </c>
      <c r="GG20" s="56" t="str">
        <f t="shared" si="8"/>
        <v/>
      </c>
      <c r="GH20" s="56" t="str">
        <f t="shared" si="8"/>
        <v/>
      </c>
      <c r="GI20" s="56" t="str">
        <f t="shared" si="8"/>
        <v/>
      </c>
      <c r="GJ20" s="56" t="str">
        <f t="shared" si="8"/>
        <v/>
      </c>
      <c r="GK20" s="56" t="str">
        <f t="shared" si="8"/>
        <v/>
      </c>
      <c r="GL20" s="56" t="str">
        <f t="shared" si="8"/>
        <v/>
      </c>
      <c r="GM20" s="56" t="str">
        <f t="shared" si="8"/>
        <v/>
      </c>
      <c r="GN20" s="56" t="str">
        <f t="shared" si="8"/>
        <v/>
      </c>
      <c r="GO20" s="56" t="str">
        <f t="shared" si="8"/>
        <v/>
      </c>
      <c r="GP20" s="56" t="str">
        <f t="shared" si="8"/>
        <v/>
      </c>
      <c r="GQ20" s="56" t="str">
        <f t="shared" si="8"/>
        <v/>
      </c>
      <c r="GR20" s="56" t="str">
        <f t="shared" si="8"/>
        <v/>
      </c>
      <c r="GS20" s="56" t="str">
        <f t="shared" si="8"/>
        <v/>
      </c>
      <c r="GT20" s="56" t="str">
        <f t="shared" si="8"/>
        <v/>
      </c>
      <c r="GU20" s="56" t="str">
        <f t="shared" si="8"/>
        <v/>
      </c>
      <c r="GV20" s="56" t="str">
        <f t="shared" si="8"/>
        <v/>
      </c>
      <c r="GW20" s="56" t="str">
        <f t="shared" si="8"/>
        <v/>
      </c>
      <c r="GX20" s="56" t="str">
        <f t="shared" si="8"/>
        <v/>
      </c>
      <c r="GY20" s="56" t="str">
        <f t="shared" si="8"/>
        <v/>
      </c>
      <c r="GZ20" s="56" t="str">
        <f t="shared" si="8"/>
        <v/>
      </c>
      <c r="HA20" s="56" t="str">
        <f t="shared" si="8"/>
        <v/>
      </c>
      <c r="HB20" s="56" t="str">
        <f t="shared" si="8"/>
        <v/>
      </c>
      <c r="HC20" s="56" t="str">
        <f t="shared" si="8"/>
        <v/>
      </c>
      <c r="HD20" s="56" t="str">
        <f t="shared" si="8"/>
        <v/>
      </c>
      <c r="HE20" s="56" t="str">
        <f t="shared" si="8"/>
        <v/>
      </c>
      <c r="HF20" s="56" t="str">
        <f t="shared" si="8"/>
        <v/>
      </c>
      <c r="HG20" s="56" t="str">
        <f t="shared" si="8"/>
        <v/>
      </c>
      <c r="HH20" s="56" t="str">
        <f t="shared" si="8"/>
        <v/>
      </c>
      <c r="HI20" s="56" t="str">
        <f t="shared" si="8"/>
        <v/>
      </c>
      <c r="HJ20" s="56" t="str">
        <f t="shared" si="9"/>
        <v/>
      </c>
      <c r="HK20" s="56" t="str">
        <f t="shared" si="9"/>
        <v/>
      </c>
      <c r="HL20" s="56" t="str">
        <f t="shared" si="9"/>
        <v/>
      </c>
      <c r="HM20" s="56" t="str">
        <f t="shared" si="9"/>
        <v/>
      </c>
      <c r="HN20" s="56" t="str">
        <f t="shared" si="9"/>
        <v/>
      </c>
      <c r="HO20" s="56" t="str">
        <f t="shared" si="9"/>
        <v/>
      </c>
      <c r="HP20" s="56" t="str">
        <f t="shared" si="9"/>
        <v/>
      </c>
      <c r="HQ20" s="56" t="str">
        <f t="shared" si="9"/>
        <v/>
      </c>
      <c r="HR20" s="56" t="str">
        <f t="shared" si="9"/>
        <v/>
      </c>
      <c r="HS20" s="56" t="str">
        <f t="shared" si="9"/>
        <v/>
      </c>
      <c r="HT20" s="56" t="str">
        <f t="shared" si="9"/>
        <v/>
      </c>
      <c r="HU20" s="56" t="str">
        <f t="shared" si="9"/>
        <v/>
      </c>
      <c r="HV20" s="56" t="str">
        <f t="shared" si="9"/>
        <v/>
      </c>
      <c r="HW20" s="56" t="str">
        <f t="shared" si="9"/>
        <v/>
      </c>
      <c r="HX20" s="56" t="str">
        <f t="shared" si="9"/>
        <v/>
      </c>
      <c r="HY20" s="56" t="str">
        <f t="shared" si="9"/>
        <v/>
      </c>
      <c r="HZ20" s="56" t="str">
        <f t="shared" si="9"/>
        <v/>
      </c>
      <c r="IA20" s="56" t="str">
        <f t="shared" si="9"/>
        <v/>
      </c>
      <c r="IB20" s="56" t="str">
        <f t="shared" si="9"/>
        <v/>
      </c>
      <c r="IC20" s="56" t="str">
        <f t="shared" si="9"/>
        <v/>
      </c>
      <c r="ID20" s="56" t="str">
        <f t="shared" si="9"/>
        <v/>
      </c>
      <c r="IE20" s="56" t="str">
        <f t="shared" si="9"/>
        <v/>
      </c>
      <c r="IF20" s="56" t="str">
        <f t="shared" si="9"/>
        <v/>
      </c>
      <c r="IG20" s="56" t="str">
        <f t="shared" si="9"/>
        <v/>
      </c>
      <c r="IH20" s="56" t="str">
        <f t="shared" si="9"/>
        <v/>
      </c>
      <c r="II20" s="56" t="str">
        <f t="shared" si="9"/>
        <v/>
      </c>
      <c r="IJ20" s="56" t="str">
        <f t="shared" si="9"/>
        <v/>
      </c>
      <c r="IK20" s="56" t="str">
        <f t="shared" si="9"/>
        <v/>
      </c>
      <c r="IL20" s="56" t="str">
        <f t="shared" si="9"/>
        <v/>
      </c>
      <c r="IM20" s="56" t="str">
        <f t="shared" si="9"/>
        <v/>
      </c>
      <c r="IN20" s="56" t="str">
        <f t="shared" si="9"/>
        <v/>
      </c>
      <c r="IO20" s="56" t="str">
        <f t="shared" si="9"/>
        <v/>
      </c>
      <c r="IP20" s="56" t="str">
        <f t="shared" si="9"/>
        <v/>
      </c>
      <c r="IQ20" s="56" t="str">
        <f t="shared" si="9"/>
        <v/>
      </c>
      <c r="IR20" s="56" t="str">
        <f t="shared" si="9"/>
        <v/>
      </c>
      <c r="IS20" s="56" t="str">
        <f t="shared" si="9"/>
        <v/>
      </c>
      <c r="IT20" s="56" t="str">
        <f t="shared" si="9"/>
        <v/>
      </c>
      <c r="IU20" s="56" t="str">
        <f t="shared" si="9"/>
        <v/>
      </c>
      <c r="IV20" s="56" t="str">
        <f t="shared" si="9"/>
        <v/>
      </c>
      <c r="IW20" s="56" t="str">
        <f t="shared" si="9"/>
        <v/>
      </c>
      <c r="IX20" s="56" t="str">
        <f t="shared" si="9"/>
        <v/>
      </c>
      <c r="IY20" s="56" t="str">
        <f t="shared" si="9"/>
        <v/>
      </c>
      <c r="IZ20" s="56" t="str">
        <f t="shared" si="9"/>
        <v/>
      </c>
      <c r="JA20" s="56" t="str">
        <f t="shared" si="9"/>
        <v/>
      </c>
      <c r="JB20" s="56" t="str">
        <f t="shared" si="9"/>
        <v/>
      </c>
      <c r="JC20" s="56" t="str">
        <f t="shared" si="9"/>
        <v/>
      </c>
      <c r="JD20" s="56" t="str">
        <f t="shared" si="9"/>
        <v/>
      </c>
      <c r="JE20" s="56" t="str">
        <f t="shared" si="9"/>
        <v/>
      </c>
      <c r="JF20" s="56" t="str">
        <f t="shared" si="9"/>
        <v/>
      </c>
      <c r="JG20" s="56" t="str">
        <f t="shared" si="9"/>
        <v/>
      </c>
      <c r="JH20" s="56" t="str">
        <f t="shared" si="9"/>
        <v/>
      </c>
      <c r="JI20" s="56" t="str">
        <f t="shared" si="9"/>
        <v/>
      </c>
      <c r="JJ20" s="56" t="str">
        <f t="shared" si="9"/>
        <v/>
      </c>
      <c r="JK20" s="56" t="str">
        <f t="shared" si="9"/>
        <v/>
      </c>
      <c r="JL20" s="56" t="str">
        <f t="shared" si="9"/>
        <v/>
      </c>
      <c r="JM20" s="56" t="str">
        <f t="shared" si="9"/>
        <v/>
      </c>
      <c r="JN20" s="56" t="str">
        <f t="shared" si="9"/>
        <v/>
      </c>
      <c r="JO20" s="56" t="str">
        <f t="shared" si="9"/>
        <v/>
      </c>
      <c r="JP20" s="56" t="str">
        <f t="shared" si="9"/>
        <v/>
      </c>
      <c r="JQ20" s="56" t="str">
        <f t="shared" si="9"/>
        <v/>
      </c>
      <c r="JR20" s="56" t="str">
        <f t="shared" si="9"/>
        <v/>
      </c>
      <c r="JS20" s="56" t="str">
        <f t="shared" si="9"/>
        <v/>
      </c>
      <c r="JT20" s="56" t="str">
        <f t="shared" si="9"/>
        <v/>
      </c>
      <c r="JU20" s="56" t="str">
        <f t="shared" si="9"/>
        <v/>
      </c>
      <c r="JV20" s="56" t="str">
        <f t="shared" si="10"/>
        <v/>
      </c>
      <c r="JW20" s="56" t="str">
        <f t="shared" si="10"/>
        <v/>
      </c>
      <c r="JX20" s="56" t="str">
        <f t="shared" si="10"/>
        <v/>
      </c>
      <c r="JY20" s="56" t="str">
        <f t="shared" si="10"/>
        <v/>
      </c>
      <c r="JZ20" s="56" t="str">
        <f t="shared" si="10"/>
        <v/>
      </c>
      <c r="KA20" s="56" t="str">
        <f t="shared" si="10"/>
        <v/>
      </c>
      <c r="KB20" s="56" t="str">
        <f t="shared" si="10"/>
        <v/>
      </c>
      <c r="KC20" s="56" t="str">
        <f t="shared" si="10"/>
        <v/>
      </c>
      <c r="KD20" s="56" t="str">
        <f t="shared" si="10"/>
        <v/>
      </c>
      <c r="KE20" s="56" t="str">
        <f t="shared" si="10"/>
        <v/>
      </c>
      <c r="KF20" s="56" t="str">
        <f t="shared" si="10"/>
        <v/>
      </c>
      <c r="KG20" s="56" t="str">
        <f t="shared" si="10"/>
        <v/>
      </c>
      <c r="KH20" s="56" t="str">
        <f t="shared" si="10"/>
        <v/>
      </c>
      <c r="KI20" s="56" t="str">
        <f t="shared" si="10"/>
        <v/>
      </c>
      <c r="KJ20" s="56" t="str">
        <f t="shared" si="10"/>
        <v/>
      </c>
      <c r="KK20" s="56" t="str">
        <f t="shared" si="10"/>
        <v/>
      </c>
      <c r="KL20" s="56" t="str">
        <f t="shared" si="10"/>
        <v/>
      </c>
      <c r="KM20" s="56" t="str">
        <f t="shared" si="10"/>
        <v/>
      </c>
      <c r="KN20" s="56" t="str">
        <f t="shared" si="10"/>
        <v/>
      </c>
      <c r="KO20" s="56" t="str">
        <f t="shared" si="10"/>
        <v/>
      </c>
      <c r="KP20" s="56" t="str">
        <f t="shared" si="10"/>
        <v/>
      </c>
      <c r="KQ20" s="56" t="str">
        <f t="shared" si="10"/>
        <v/>
      </c>
      <c r="KR20" s="56" t="str">
        <f t="shared" si="10"/>
        <v/>
      </c>
      <c r="KS20" s="56" t="str">
        <f t="shared" si="10"/>
        <v/>
      </c>
      <c r="KT20" s="56" t="str">
        <f t="shared" si="10"/>
        <v/>
      </c>
      <c r="KU20" s="56" t="str">
        <f t="shared" si="10"/>
        <v/>
      </c>
      <c r="KV20" s="56" t="str">
        <f t="shared" si="10"/>
        <v/>
      </c>
      <c r="KW20" s="56" t="str">
        <f t="shared" si="10"/>
        <v/>
      </c>
      <c r="KX20" s="56" t="str">
        <f t="shared" si="10"/>
        <v/>
      </c>
    </row>
    <row r="21" spans="1:310" s="15" customFormat="1">
      <c r="A21" s="8"/>
      <c r="B21" s="46" t="s">
        <v>332</v>
      </c>
      <c r="C21" s="47" t="s">
        <v>303</v>
      </c>
      <c r="D21" s="48" t="s">
        <v>318</v>
      </c>
      <c r="E21" s="49">
        <v>1</v>
      </c>
      <c r="F21" s="50">
        <f>+G19</f>
        <v>45987</v>
      </c>
      <c r="G21" s="50">
        <f>+Hitos4352[[#This Row],[Inicio]]+Hitos4352[[#This Row],[Días]]</f>
        <v>45988</v>
      </c>
      <c r="H21" s="51">
        <v>1</v>
      </c>
      <c r="I21" s="14"/>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c r="IX21" s="56"/>
      <c r="IY21" s="56"/>
      <c r="IZ21" s="56"/>
      <c r="JA21" s="56"/>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c r="JZ21" s="56"/>
      <c r="KA21" s="56"/>
      <c r="KB21" s="56"/>
      <c r="KC21" s="56"/>
      <c r="KD21" s="56"/>
      <c r="KE21" s="56"/>
      <c r="KF21" s="56"/>
      <c r="KG21" s="56"/>
      <c r="KH21" s="56"/>
      <c r="KI21" s="56"/>
      <c r="KJ21" s="56"/>
      <c r="KK21" s="56"/>
      <c r="KL21" s="56"/>
      <c r="KM21" s="56"/>
      <c r="KN21" s="56"/>
      <c r="KO21" s="56"/>
      <c r="KP21" s="56"/>
      <c r="KQ21" s="56"/>
      <c r="KR21" s="56"/>
      <c r="KS21" s="56"/>
      <c r="KT21" s="56"/>
      <c r="KU21" s="56"/>
      <c r="KV21" s="56"/>
      <c r="KW21" s="56"/>
      <c r="KX21" s="56"/>
    </row>
    <row r="22" spans="1:310" s="15" customFormat="1">
      <c r="A22" s="8"/>
      <c r="B22" s="46" t="s">
        <v>333</v>
      </c>
      <c r="C22" s="47" t="s">
        <v>303</v>
      </c>
      <c r="D22" s="48" t="s">
        <v>318</v>
      </c>
      <c r="E22" s="49">
        <v>1</v>
      </c>
      <c r="F22" s="50">
        <f>+G21</f>
        <v>45988</v>
      </c>
      <c r="G22" s="50">
        <f>+Hitos4352[[#This Row],[Inicio]]+Hitos4352[[#This Row],[Días]]</f>
        <v>45989</v>
      </c>
      <c r="H22" s="51">
        <v>1</v>
      </c>
      <c r="I22" s="14"/>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c r="IX22" s="56"/>
      <c r="IY22" s="56"/>
      <c r="IZ22" s="56"/>
      <c r="JA22" s="56"/>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c r="JZ22" s="56"/>
      <c r="KA22" s="56"/>
      <c r="KB22" s="56"/>
      <c r="KC22" s="56"/>
      <c r="KD22" s="56"/>
      <c r="KE22" s="56"/>
      <c r="KF22" s="56"/>
      <c r="KG22" s="56"/>
      <c r="KH22" s="56"/>
      <c r="KI22" s="56"/>
      <c r="KJ22" s="56"/>
      <c r="KK22" s="56"/>
      <c r="KL22" s="56"/>
      <c r="KM22" s="56"/>
      <c r="KN22" s="56"/>
      <c r="KO22" s="56"/>
      <c r="KP22" s="56"/>
      <c r="KQ22" s="56"/>
      <c r="KR22" s="56"/>
      <c r="KS22" s="56"/>
      <c r="KT22" s="56"/>
      <c r="KU22" s="56"/>
      <c r="KV22" s="56"/>
      <c r="KW22" s="56"/>
      <c r="KX22" s="56"/>
    </row>
    <row r="23" spans="1:310" s="15" customFormat="1">
      <c r="A23" s="8"/>
      <c r="B23" s="46" t="s">
        <v>334</v>
      </c>
      <c r="C23" s="47" t="s">
        <v>303</v>
      </c>
      <c r="D23" s="48" t="s">
        <v>318</v>
      </c>
      <c r="E23" s="49">
        <v>0</v>
      </c>
      <c r="F23" s="50">
        <f>+G22</f>
        <v>45989</v>
      </c>
      <c r="G23" s="50">
        <f>+Hitos4352[[#This Row],[Inicio]]+Hitos4352[[#This Row],[Días]]</f>
        <v>45990</v>
      </c>
      <c r="H23" s="51">
        <v>1</v>
      </c>
      <c r="I23" s="14"/>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c r="IX23" s="56"/>
      <c r="IY23" s="56"/>
      <c r="IZ23" s="56"/>
      <c r="JA23" s="56"/>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c r="JZ23" s="56"/>
      <c r="KA23" s="56"/>
      <c r="KB23" s="56"/>
      <c r="KC23" s="56"/>
      <c r="KD23" s="56"/>
      <c r="KE23" s="56"/>
      <c r="KF23" s="56"/>
      <c r="KG23" s="56"/>
      <c r="KH23" s="56"/>
      <c r="KI23" s="56"/>
      <c r="KJ23" s="56"/>
      <c r="KK23" s="56"/>
      <c r="KL23" s="56"/>
      <c r="KM23" s="56"/>
      <c r="KN23" s="56"/>
      <c r="KO23" s="56"/>
      <c r="KP23" s="56"/>
      <c r="KQ23" s="56"/>
      <c r="KR23" s="56"/>
      <c r="KS23" s="56"/>
      <c r="KT23" s="56"/>
      <c r="KU23" s="56"/>
      <c r="KV23" s="56"/>
      <c r="KW23" s="56"/>
      <c r="KX23" s="56"/>
    </row>
    <row r="24" spans="1:310" s="15" customFormat="1">
      <c r="A24" s="40" t="s">
        <v>317</v>
      </c>
      <c r="B24" s="41" t="s">
        <v>336</v>
      </c>
      <c r="C24" s="42" t="s">
        <v>306</v>
      </c>
      <c r="D24" s="43" t="s">
        <v>335</v>
      </c>
      <c r="E24" s="42">
        <f>+((E25*H25)+(E32*H32)+(E41*H41))/SUM(H25,H32,H41)</f>
        <v>9.7222222222222224E-2</v>
      </c>
      <c r="F24" s="44">
        <f>+F25</f>
        <v>45990</v>
      </c>
      <c r="G24" s="44">
        <f>+G41</f>
        <v>46044</v>
      </c>
      <c r="H24" s="45">
        <f>+SUM(H25,H32,H41)</f>
        <v>54</v>
      </c>
      <c r="I24" s="14"/>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row>
    <row r="25" spans="1:310" s="15" customFormat="1">
      <c r="A25" s="8"/>
      <c r="B25" s="46" t="s">
        <v>351</v>
      </c>
      <c r="C25" s="47" t="s">
        <v>305</v>
      </c>
      <c r="D25" s="48" t="s">
        <v>335</v>
      </c>
      <c r="E25" s="60">
        <f>+((E26*H26)+(E27*H27)+(E28*H28)+(E29*H29)+(E30*H30)+(E31*H31))/SUM(H26:H31)</f>
        <v>0.23863636363636365</v>
      </c>
      <c r="F25" s="50">
        <f>+F26</f>
        <v>45990</v>
      </c>
      <c r="G25" s="50">
        <f>+G31</f>
        <v>46012</v>
      </c>
      <c r="H25" s="51">
        <f>+SUM(H26:H31)</f>
        <v>22</v>
      </c>
      <c r="I25" s="14"/>
      <c r="J25" s="56" t="str">
        <f t="shared" si="5"/>
        <v/>
      </c>
      <c r="K25" s="56" t="str">
        <f t="shared" si="5"/>
        <v/>
      </c>
      <c r="L25" s="56" t="str">
        <f t="shared" si="5"/>
        <v/>
      </c>
      <c r="M25" s="56" t="str">
        <f t="shared" si="5"/>
        <v/>
      </c>
      <c r="N25" s="56" t="str">
        <f t="shared" si="5"/>
        <v/>
      </c>
      <c r="O25" s="56" t="str">
        <f t="shared" si="5"/>
        <v/>
      </c>
      <c r="P25" s="56" t="str">
        <f t="shared" si="5"/>
        <v/>
      </c>
      <c r="Q25" s="56" t="str">
        <f t="shared" si="5"/>
        <v/>
      </c>
      <c r="R25" s="56" t="str">
        <f t="shared" si="5"/>
        <v/>
      </c>
      <c r="S25" s="56" t="str">
        <f t="shared" si="5"/>
        <v/>
      </c>
      <c r="T25" s="56" t="str">
        <f t="shared" si="5"/>
        <v/>
      </c>
      <c r="U25" s="56" t="str">
        <f t="shared" si="5"/>
        <v/>
      </c>
      <c r="V25" s="56" t="str">
        <f t="shared" si="5"/>
        <v/>
      </c>
      <c r="W25" s="56" t="str">
        <f t="shared" si="5"/>
        <v/>
      </c>
      <c r="X25" s="56" t="str">
        <f t="shared" si="5"/>
        <v/>
      </c>
      <c r="Y25" s="56" t="str">
        <f t="shared" si="5"/>
        <v/>
      </c>
      <c r="Z25" s="56" t="str">
        <f t="shared" ref="Z25:AO41" si="12">IF(AND($C25="Objetivo",Z$7&gt;=$F25,Z$7&lt;=$F25+$H25-1),2,IF(AND($C25="Hito",Z$7&gt;=$F25,Z$7&lt;=$F25+$H25-1),1,""))</f>
        <v/>
      </c>
      <c r="AA25" s="56" t="str">
        <f t="shared" si="12"/>
        <v/>
      </c>
      <c r="AB25" s="56" t="str">
        <f t="shared" si="12"/>
        <v/>
      </c>
      <c r="AC25" s="56" t="str">
        <f t="shared" si="12"/>
        <v/>
      </c>
      <c r="AD25" s="56" t="str">
        <f t="shared" si="12"/>
        <v/>
      </c>
      <c r="AE25" s="56" t="str">
        <f t="shared" si="12"/>
        <v/>
      </c>
      <c r="AF25" s="56" t="str">
        <f t="shared" si="12"/>
        <v/>
      </c>
      <c r="AG25" s="56" t="str">
        <f t="shared" si="12"/>
        <v/>
      </c>
      <c r="AH25" s="56" t="str">
        <f t="shared" si="12"/>
        <v/>
      </c>
      <c r="AI25" s="56" t="str">
        <f t="shared" si="12"/>
        <v/>
      </c>
      <c r="AJ25" s="56" t="str">
        <f t="shared" si="12"/>
        <v/>
      </c>
      <c r="AK25" s="56" t="str">
        <f t="shared" si="12"/>
        <v/>
      </c>
      <c r="AL25" s="56" t="str">
        <f t="shared" si="12"/>
        <v/>
      </c>
      <c r="AM25" s="56" t="str">
        <f t="shared" si="12"/>
        <v/>
      </c>
      <c r="AN25" s="56" t="str">
        <f t="shared" si="12"/>
        <v/>
      </c>
      <c r="AO25" s="56" t="str">
        <f t="shared" si="12"/>
        <v/>
      </c>
      <c r="AP25" s="56" t="str">
        <f t="shared" ref="AP25:BE41" si="13">IF(AND($C25="Objetivo",AP$7&gt;=$F25,AP$7&lt;=$F25+$H25-1),2,IF(AND($C25="Hito",AP$7&gt;=$F25,AP$7&lt;=$F25+$H25-1),1,""))</f>
        <v/>
      </c>
      <c r="AQ25" s="56" t="str">
        <f t="shared" si="13"/>
        <v/>
      </c>
      <c r="AR25" s="56" t="str">
        <f t="shared" si="13"/>
        <v/>
      </c>
      <c r="AS25" s="56" t="str">
        <f t="shared" si="13"/>
        <v/>
      </c>
      <c r="AT25" s="56" t="str">
        <f t="shared" si="13"/>
        <v/>
      </c>
      <c r="AU25" s="56" t="str">
        <f t="shared" si="13"/>
        <v/>
      </c>
      <c r="AV25" s="56" t="str">
        <f t="shared" si="13"/>
        <v/>
      </c>
      <c r="AW25" s="56" t="str">
        <f t="shared" si="13"/>
        <v/>
      </c>
      <c r="AX25" s="56" t="str">
        <f t="shared" si="13"/>
        <v/>
      </c>
      <c r="AY25" s="56" t="str">
        <f t="shared" si="13"/>
        <v/>
      </c>
      <c r="AZ25" s="56" t="str">
        <f t="shared" si="13"/>
        <v/>
      </c>
      <c r="BA25" s="56" t="str">
        <f t="shared" si="13"/>
        <v/>
      </c>
      <c r="BB25" s="56" t="str">
        <f t="shared" si="13"/>
        <v/>
      </c>
      <c r="BC25" s="56" t="str">
        <f t="shared" si="13"/>
        <v/>
      </c>
      <c r="BD25" s="56" t="str">
        <f t="shared" si="13"/>
        <v/>
      </c>
      <c r="BE25" s="56" t="str">
        <f t="shared" si="13"/>
        <v/>
      </c>
      <c r="BF25" s="56" t="str">
        <f t="shared" ref="BF25:BU41" si="14">IF(AND($C25="Objetivo",BF$7&gt;=$F25,BF$7&lt;=$F25+$H25-1),2,IF(AND($C25="Hito",BF$7&gt;=$F25,BF$7&lt;=$F25+$H25-1),1,""))</f>
        <v/>
      </c>
      <c r="BG25" s="56" t="str">
        <f t="shared" si="14"/>
        <v/>
      </c>
      <c r="BH25" s="56" t="str">
        <f t="shared" si="14"/>
        <v/>
      </c>
      <c r="BI25" s="56" t="str">
        <f t="shared" si="14"/>
        <v/>
      </c>
      <c r="BJ25" s="56" t="str">
        <f t="shared" si="14"/>
        <v/>
      </c>
      <c r="BK25" s="56" t="str">
        <f t="shared" si="14"/>
        <v/>
      </c>
      <c r="BL25" s="56" t="str">
        <f t="shared" si="14"/>
        <v/>
      </c>
      <c r="BM25" s="56" t="str">
        <f t="shared" si="14"/>
        <v/>
      </c>
      <c r="BN25" s="56" t="str">
        <f t="shared" si="14"/>
        <v/>
      </c>
      <c r="BO25" s="56" t="str">
        <f t="shared" si="14"/>
        <v/>
      </c>
      <c r="BP25" s="56" t="str">
        <f t="shared" si="14"/>
        <v/>
      </c>
      <c r="BQ25" s="56" t="str">
        <f t="shared" si="14"/>
        <v/>
      </c>
      <c r="BR25" s="56" t="str">
        <f t="shared" si="14"/>
        <v/>
      </c>
      <c r="BS25" s="56" t="str">
        <f t="shared" si="14"/>
        <v/>
      </c>
      <c r="BT25" s="56" t="str">
        <f t="shared" si="14"/>
        <v/>
      </c>
      <c r="BU25" s="56" t="str">
        <f t="shared" si="14"/>
        <v/>
      </c>
      <c r="BV25" s="56" t="str">
        <f t="shared" ref="BV25:CK41" si="15">IF(AND($C25="Objetivo",BV$7&gt;=$F25,BV$7&lt;=$F25+$H25-1),2,IF(AND($C25="Hito",BV$7&gt;=$F25,BV$7&lt;=$F25+$H25-1),1,""))</f>
        <v/>
      </c>
      <c r="BW25" s="56" t="str">
        <f t="shared" si="15"/>
        <v/>
      </c>
      <c r="BX25" s="56" t="str">
        <f t="shared" si="15"/>
        <v/>
      </c>
      <c r="BY25" s="56" t="str">
        <f t="shared" si="15"/>
        <v/>
      </c>
      <c r="BZ25" s="56" t="str">
        <f t="shared" si="15"/>
        <v/>
      </c>
      <c r="CA25" s="56" t="str">
        <f t="shared" si="15"/>
        <v/>
      </c>
      <c r="CB25" s="56" t="str">
        <f t="shared" si="15"/>
        <v/>
      </c>
      <c r="CC25" s="56" t="str">
        <f t="shared" si="15"/>
        <v/>
      </c>
      <c r="CD25" s="56" t="str">
        <f t="shared" si="15"/>
        <v/>
      </c>
      <c r="CE25" s="56" t="str">
        <f t="shared" si="15"/>
        <v/>
      </c>
      <c r="CF25" s="56" t="str">
        <f t="shared" si="15"/>
        <v/>
      </c>
      <c r="CG25" s="56" t="str">
        <f t="shared" si="15"/>
        <v/>
      </c>
      <c r="CH25" s="56" t="str">
        <f t="shared" si="15"/>
        <v/>
      </c>
      <c r="CI25" s="56" t="str">
        <f t="shared" si="15"/>
        <v/>
      </c>
      <c r="CJ25" s="56" t="str">
        <f t="shared" si="15"/>
        <v/>
      </c>
      <c r="CK25" s="56" t="str">
        <f t="shared" si="15"/>
        <v/>
      </c>
      <c r="CL25" s="56" t="str">
        <f t="shared" ref="CL25:DA41" si="16">IF(AND($C25="Objetivo",CL$7&gt;=$F25,CL$7&lt;=$F25+$H25-1),2,IF(AND($C25="Hito",CL$7&gt;=$F25,CL$7&lt;=$F25+$H25-1),1,""))</f>
        <v/>
      </c>
      <c r="CM25" s="56" t="str">
        <f t="shared" si="16"/>
        <v/>
      </c>
      <c r="CN25" s="56" t="str">
        <f t="shared" si="16"/>
        <v/>
      </c>
      <c r="CO25" s="56" t="str">
        <f t="shared" si="16"/>
        <v/>
      </c>
      <c r="CP25" s="56" t="str">
        <f t="shared" si="16"/>
        <v/>
      </c>
      <c r="CQ25" s="56" t="str">
        <f t="shared" si="16"/>
        <v/>
      </c>
      <c r="CR25" s="56" t="str">
        <f t="shared" si="16"/>
        <v/>
      </c>
      <c r="CS25" s="56" t="str">
        <f t="shared" si="16"/>
        <v/>
      </c>
      <c r="CT25" s="56" t="str">
        <f t="shared" si="16"/>
        <v/>
      </c>
      <c r="CU25" s="56" t="str">
        <f t="shared" si="16"/>
        <v/>
      </c>
      <c r="CV25" s="56" t="str">
        <f t="shared" si="16"/>
        <v/>
      </c>
      <c r="CW25" s="56" t="str">
        <f t="shared" si="16"/>
        <v/>
      </c>
      <c r="CX25" s="56" t="str">
        <f t="shared" si="16"/>
        <v/>
      </c>
      <c r="CY25" s="56" t="str">
        <f t="shared" si="16"/>
        <v/>
      </c>
      <c r="CZ25" s="56" t="str">
        <f t="shared" si="16"/>
        <v/>
      </c>
      <c r="DA25" s="56" t="str">
        <f t="shared" si="16"/>
        <v/>
      </c>
      <c r="DB25" s="56" t="str">
        <f t="shared" ref="DB25:DQ41" si="17">IF(AND($C25="Objetivo",DB$7&gt;=$F25,DB$7&lt;=$F25+$H25-1),2,IF(AND($C25="Hito",DB$7&gt;=$F25,DB$7&lt;=$F25+$H25-1),1,""))</f>
        <v/>
      </c>
      <c r="DC25" s="56" t="str">
        <f t="shared" si="17"/>
        <v/>
      </c>
      <c r="DD25" s="56" t="str">
        <f t="shared" si="17"/>
        <v/>
      </c>
      <c r="DE25" s="56" t="str">
        <f t="shared" si="17"/>
        <v/>
      </c>
      <c r="DF25" s="56" t="str">
        <f t="shared" si="17"/>
        <v/>
      </c>
      <c r="DG25" s="56" t="str">
        <f t="shared" si="17"/>
        <v/>
      </c>
      <c r="DH25" s="56" t="str">
        <f t="shared" si="17"/>
        <v/>
      </c>
      <c r="DI25" s="56" t="str">
        <f t="shared" si="17"/>
        <v/>
      </c>
      <c r="DJ25" s="56" t="str">
        <f t="shared" si="17"/>
        <v/>
      </c>
      <c r="DK25" s="56" t="str">
        <f t="shared" si="17"/>
        <v/>
      </c>
      <c r="DL25" s="56" t="str">
        <f t="shared" si="17"/>
        <v/>
      </c>
      <c r="DM25" s="56" t="str">
        <f t="shared" si="17"/>
        <v/>
      </c>
      <c r="DN25" s="56" t="str">
        <f t="shared" si="17"/>
        <v/>
      </c>
      <c r="DO25" s="56" t="str">
        <f t="shared" si="17"/>
        <v/>
      </c>
      <c r="DP25" s="56" t="str">
        <f t="shared" si="17"/>
        <v/>
      </c>
      <c r="DQ25" s="56" t="str">
        <f t="shared" si="17"/>
        <v/>
      </c>
      <c r="DR25" s="56" t="str">
        <f t="shared" ref="DR25:EG41" si="18">IF(AND($C25="Objetivo",DR$7&gt;=$F25,DR$7&lt;=$F25+$H25-1),2,IF(AND($C25="Hito",DR$7&gt;=$F25,DR$7&lt;=$F25+$H25-1),1,""))</f>
        <v/>
      </c>
      <c r="DS25" s="56" t="str">
        <f t="shared" si="18"/>
        <v/>
      </c>
      <c r="DT25" s="56" t="str">
        <f t="shared" si="18"/>
        <v/>
      </c>
      <c r="DU25" s="56" t="str">
        <f t="shared" si="18"/>
        <v/>
      </c>
      <c r="DV25" s="56" t="str">
        <f t="shared" si="18"/>
        <v/>
      </c>
      <c r="DW25" s="56" t="str">
        <f t="shared" si="18"/>
        <v/>
      </c>
      <c r="DX25" s="56" t="str">
        <f t="shared" si="18"/>
        <v/>
      </c>
      <c r="DY25" s="56" t="str">
        <f t="shared" si="18"/>
        <v/>
      </c>
      <c r="DZ25" s="56" t="str">
        <f t="shared" si="18"/>
        <v/>
      </c>
      <c r="EA25" s="56" t="str">
        <f t="shared" si="18"/>
        <v/>
      </c>
      <c r="EB25" s="56" t="str">
        <f t="shared" si="18"/>
        <v/>
      </c>
      <c r="EC25" s="56" t="str">
        <f t="shared" si="18"/>
        <v/>
      </c>
      <c r="ED25" s="56" t="str">
        <f t="shared" si="18"/>
        <v/>
      </c>
      <c r="EE25" s="56" t="str">
        <f t="shared" si="18"/>
        <v/>
      </c>
      <c r="EF25" s="56" t="str">
        <f t="shared" si="18"/>
        <v/>
      </c>
      <c r="EG25" s="56" t="str">
        <f t="shared" si="18"/>
        <v/>
      </c>
      <c r="EH25" s="56" t="str">
        <f t="shared" ref="EH25:EW41" si="19">IF(AND($C25="Objetivo",EH$7&gt;=$F25,EH$7&lt;=$F25+$H25-1),2,IF(AND($C25="Hito",EH$7&gt;=$F25,EH$7&lt;=$F25+$H25-1),1,""))</f>
        <v/>
      </c>
      <c r="EI25" s="56" t="str">
        <f t="shared" si="19"/>
        <v/>
      </c>
      <c r="EJ25" s="56" t="str">
        <f t="shared" si="19"/>
        <v/>
      </c>
      <c r="EK25" s="56" t="str">
        <f t="shared" si="19"/>
        <v/>
      </c>
      <c r="EL25" s="56" t="str">
        <f t="shared" si="19"/>
        <v/>
      </c>
      <c r="EM25" s="56" t="str">
        <f t="shared" si="19"/>
        <v/>
      </c>
      <c r="EN25" s="56" t="str">
        <f t="shared" si="19"/>
        <v/>
      </c>
      <c r="EO25" s="56" t="str">
        <f t="shared" si="19"/>
        <v/>
      </c>
      <c r="EP25" s="56" t="str">
        <f t="shared" si="19"/>
        <v/>
      </c>
      <c r="EQ25" s="56" t="str">
        <f t="shared" si="19"/>
        <v/>
      </c>
      <c r="ER25" s="56" t="str">
        <f t="shared" si="19"/>
        <v/>
      </c>
      <c r="ES25" s="56" t="str">
        <f t="shared" si="19"/>
        <v/>
      </c>
      <c r="ET25" s="56" t="str">
        <f t="shared" si="19"/>
        <v/>
      </c>
      <c r="EU25" s="56" t="str">
        <f t="shared" si="19"/>
        <v/>
      </c>
      <c r="EV25" s="56" t="str">
        <f t="shared" si="19"/>
        <v/>
      </c>
      <c r="EW25" s="56" t="str">
        <f t="shared" si="19"/>
        <v/>
      </c>
      <c r="EX25" s="56" t="str">
        <f t="shared" ref="EX25:FM41" si="20">IF(AND($C25="Objetivo",EX$7&gt;=$F25,EX$7&lt;=$F25+$H25-1),2,IF(AND($C25="Hito",EX$7&gt;=$F25,EX$7&lt;=$F25+$H25-1),1,""))</f>
        <v/>
      </c>
      <c r="EY25" s="56" t="str">
        <f t="shared" si="20"/>
        <v/>
      </c>
      <c r="EZ25" s="56" t="str">
        <f t="shared" si="20"/>
        <v/>
      </c>
      <c r="FA25" s="56" t="str">
        <f t="shared" si="20"/>
        <v/>
      </c>
      <c r="FB25" s="56" t="str">
        <f t="shared" si="20"/>
        <v/>
      </c>
      <c r="FC25" s="56" t="str">
        <f t="shared" si="20"/>
        <v/>
      </c>
      <c r="FD25" s="56" t="str">
        <f t="shared" si="20"/>
        <v/>
      </c>
      <c r="FE25" s="56" t="str">
        <f t="shared" si="20"/>
        <v/>
      </c>
      <c r="FF25" s="56" t="str">
        <f t="shared" si="20"/>
        <v/>
      </c>
      <c r="FG25" s="56" t="str">
        <f t="shared" si="20"/>
        <v/>
      </c>
      <c r="FH25" s="56" t="str">
        <f t="shared" si="20"/>
        <v/>
      </c>
      <c r="FI25" s="56" t="str">
        <f t="shared" si="20"/>
        <v/>
      </c>
      <c r="FJ25" s="56" t="str">
        <f t="shared" si="20"/>
        <v/>
      </c>
      <c r="FK25" s="56" t="str">
        <f t="shared" si="20"/>
        <v/>
      </c>
      <c r="FL25" s="56" t="str">
        <f t="shared" si="20"/>
        <v/>
      </c>
      <c r="FM25" s="56" t="str">
        <f t="shared" si="20"/>
        <v/>
      </c>
      <c r="FN25" s="56" t="str">
        <f t="shared" ref="FN25:GC41" si="21">IF(AND($C25="Objetivo",FN$7&gt;=$F25,FN$7&lt;=$F25+$H25-1),2,IF(AND($C25="Hito",FN$7&gt;=$F25,FN$7&lt;=$F25+$H25-1),1,""))</f>
        <v/>
      </c>
      <c r="FO25" s="56" t="str">
        <f t="shared" si="21"/>
        <v/>
      </c>
      <c r="FP25" s="56" t="str">
        <f t="shared" si="21"/>
        <v/>
      </c>
      <c r="FQ25" s="56" t="str">
        <f t="shared" si="21"/>
        <v/>
      </c>
      <c r="FR25" s="56" t="str">
        <f t="shared" si="21"/>
        <v/>
      </c>
      <c r="FS25" s="56" t="str">
        <f t="shared" si="21"/>
        <v/>
      </c>
      <c r="FT25" s="56" t="str">
        <f t="shared" si="21"/>
        <v/>
      </c>
      <c r="FU25" s="56" t="str">
        <f t="shared" si="21"/>
        <v/>
      </c>
      <c r="FV25" s="56" t="str">
        <f t="shared" si="21"/>
        <v/>
      </c>
      <c r="FW25" s="56" t="str">
        <f t="shared" si="21"/>
        <v/>
      </c>
      <c r="FX25" s="56" t="str">
        <f t="shared" si="21"/>
        <v/>
      </c>
      <c r="FY25" s="56" t="str">
        <f t="shared" si="21"/>
        <v/>
      </c>
      <c r="FZ25" s="56" t="str">
        <f t="shared" si="21"/>
        <v/>
      </c>
      <c r="GA25" s="56" t="str">
        <f t="shared" si="21"/>
        <v/>
      </c>
      <c r="GB25" s="56" t="str">
        <f t="shared" si="21"/>
        <v/>
      </c>
      <c r="GC25" s="56" t="str">
        <f t="shared" si="21"/>
        <v/>
      </c>
      <c r="GD25" s="56" t="str">
        <f t="shared" ref="GD25:GS41" si="22">IF(AND($C25="Objetivo",GD$7&gt;=$F25,GD$7&lt;=$F25+$H25-1),2,IF(AND($C25="Hito",GD$7&gt;=$F25,GD$7&lt;=$F25+$H25-1),1,""))</f>
        <v/>
      </c>
      <c r="GE25" s="56" t="str">
        <f t="shared" si="22"/>
        <v/>
      </c>
      <c r="GF25" s="56" t="str">
        <f t="shared" si="22"/>
        <v/>
      </c>
      <c r="GG25" s="56" t="str">
        <f t="shared" si="22"/>
        <v/>
      </c>
      <c r="GH25" s="56" t="str">
        <f t="shared" si="22"/>
        <v/>
      </c>
      <c r="GI25" s="56" t="str">
        <f t="shared" si="22"/>
        <v/>
      </c>
      <c r="GJ25" s="56" t="str">
        <f t="shared" si="22"/>
        <v/>
      </c>
      <c r="GK25" s="56" t="str">
        <f t="shared" si="22"/>
        <v/>
      </c>
      <c r="GL25" s="56" t="str">
        <f t="shared" si="22"/>
        <v/>
      </c>
      <c r="GM25" s="56" t="str">
        <f t="shared" si="22"/>
        <v/>
      </c>
      <c r="GN25" s="56" t="str">
        <f t="shared" si="22"/>
        <v/>
      </c>
      <c r="GO25" s="56" t="str">
        <f t="shared" si="22"/>
        <v/>
      </c>
      <c r="GP25" s="56" t="str">
        <f t="shared" si="22"/>
        <v/>
      </c>
      <c r="GQ25" s="56" t="str">
        <f t="shared" si="22"/>
        <v/>
      </c>
      <c r="GR25" s="56" t="str">
        <f t="shared" si="22"/>
        <v/>
      </c>
      <c r="GS25" s="56" t="str">
        <f t="shared" si="22"/>
        <v/>
      </c>
      <c r="GT25" s="56" t="str">
        <f t="shared" ref="GT25:HI41" si="23">IF(AND($C25="Objetivo",GT$7&gt;=$F25,GT$7&lt;=$F25+$H25-1),2,IF(AND($C25="Hito",GT$7&gt;=$F25,GT$7&lt;=$F25+$H25-1),1,""))</f>
        <v/>
      </c>
      <c r="GU25" s="56" t="str">
        <f t="shared" si="23"/>
        <v/>
      </c>
      <c r="GV25" s="56" t="str">
        <f t="shared" si="23"/>
        <v/>
      </c>
      <c r="GW25" s="56" t="str">
        <f t="shared" si="23"/>
        <v/>
      </c>
      <c r="GX25" s="56" t="str">
        <f t="shared" si="23"/>
        <v/>
      </c>
      <c r="GY25" s="56" t="str">
        <f t="shared" si="23"/>
        <v/>
      </c>
      <c r="GZ25" s="56" t="str">
        <f t="shared" si="23"/>
        <v/>
      </c>
      <c r="HA25" s="56" t="str">
        <f t="shared" si="23"/>
        <v/>
      </c>
      <c r="HB25" s="56" t="str">
        <f t="shared" si="23"/>
        <v/>
      </c>
      <c r="HC25" s="56" t="str">
        <f t="shared" si="23"/>
        <v/>
      </c>
      <c r="HD25" s="56" t="str">
        <f t="shared" si="23"/>
        <v/>
      </c>
      <c r="HE25" s="56" t="str">
        <f t="shared" si="23"/>
        <v/>
      </c>
      <c r="HF25" s="56" t="str">
        <f t="shared" si="23"/>
        <v/>
      </c>
      <c r="HG25" s="56" t="str">
        <f t="shared" si="23"/>
        <v/>
      </c>
      <c r="HH25" s="56" t="str">
        <f t="shared" si="23"/>
        <v/>
      </c>
      <c r="HI25" s="56" t="str">
        <f t="shared" si="23"/>
        <v/>
      </c>
      <c r="HJ25" s="56" t="str">
        <f t="shared" ref="HJ25:HY41" si="24">IF(AND($C25="Objetivo",HJ$7&gt;=$F25,HJ$7&lt;=$F25+$H25-1),2,IF(AND($C25="Hito",HJ$7&gt;=$F25,HJ$7&lt;=$F25+$H25-1),1,""))</f>
        <v/>
      </c>
      <c r="HK25" s="56" t="str">
        <f t="shared" si="24"/>
        <v/>
      </c>
      <c r="HL25" s="56" t="str">
        <f t="shared" si="24"/>
        <v/>
      </c>
      <c r="HM25" s="56" t="str">
        <f t="shared" si="24"/>
        <v/>
      </c>
      <c r="HN25" s="56" t="str">
        <f t="shared" si="24"/>
        <v/>
      </c>
      <c r="HO25" s="56" t="str">
        <f t="shared" si="24"/>
        <v/>
      </c>
      <c r="HP25" s="56" t="str">
        <f t="shared" si="24"/>
        <v/>
      </c>
      <c r="HQ25" s="56" t="str">
        <f t="shared" si="24"/>
        <v/>
      </c>
      <c r="HR25" s="56" t="str">
        <f t="shared" si="24"/>
        <v/>
      </c>
      <c r="HS25" s="56" t="str">
        <f t="shared" si="24"/>
        <v/>
      </c>
      <c r="HT25" s="56" t="str">
        <f t="shared" si="24"/>
        <v/>
      </c>
      <c r="HU25" s="56" t="str">
        <f t="shared" si="24"/>
        <v/>
      </c>
      <c r="HV25" s="56" t="str">
        <f t="shared" si="24"/>
        <v/>
      </c>
      <c r="HW25" s="56" t="str">
        <f t="shared" si="24"/>
        <v/>
      </c>
      <c r="HX25" s="56" t="str">
        <f t="shared" si="24"/>
        <v/>
      </c>
      <c r="HY25" s="56" t="str">
        <f t="shared" si="24"/>
        <v/>
      </c>
      <c r="HZ25" s="56" t="str">
        <f t="shared" ref="HZ25:IO41" si="25">IF(AND($C25="Objetivo",HZ$7&gt;=$F25,HZ$7&lt;=$F25+$H25-1),2,IF(AND($C25="Hito",HZ$7&gt;=$F25,HZ$7&lt;=$F25+$H25-1),1,""))</f>
        <v/>
      </c>
      <c r="IA25" s="56" t="str">
        <f t="shared" si="25"/>
        <v/>
      </c>
      <c r="IB25" s="56" t="str">
        <f t="shared" si="25"/>
        <v/>
      </c>
      <c r="IC25" s="56" t="str">
        <f t="shared" si="25"/>
        <v/>
      </c>
      <c r="ID25" s="56" t="str">
        <f t="shared" si="25"/>
        <v/>
      </c>
      <c r="IE25" s="56" t="str">
        <f t="shared" si="25"/>
        <v/>
      </c>
      <c r="IF25" s="56" t="str">
        <f t="shared" si="25"/>
        <v/>
      </c>
      <c r="IG25" s="56" t="str">
        <f t="shared" si="25"/>
        <v/>
      </c>
      <c r="IH25" s="56" t="str">
        <f t="shared" si="25"/>
        <v/>
      </c>
      <c r="II25" s="56" t="str">
        <f t="shared" si="25"/>
        <v/>
      </c>
      <c r="IJ25" s="56" t="str">
        <f t="shared" si="25"/>
        <v/>
      </c>
      <c r="IK25" s="56" t="str">
        <f t="shared" si="25"/>
        <v/>
      </c>
      <c r="IL25" s="56" t="str">
        <f t="shared" si="25"/>
        <v/>
      </c>
      <c r="IM25" s="56" t="str">
        <f t="shared" si="25"/>
        <v/>
      </c>
      <c r="IN25" s="56" t="str">
        <f t="shared" si="25"/>
        <v/>
      </c>
      <c r="IO25" s="56" t="str">
        <f t="shared" si="25"/>
        <v/>
      </c>
      <c r="IP25" s="56" t="str">
        <f t="shared" ref="IP25:JE41" si="26">IF(AND($C25="Objetivo",IP$7&gt;=$F25,IP$7&lt;=$F25+$H25-1),2,IF(AND($C25="Hito",IP$7&gt;=$F25,IP$7&lt;=$F25+$H25-1),1,""))</f>
        <v/>
      </c>
      <c r="IQ25" s="56" t="str">
        <f t="shared" si="26"/>
        <v/>
      </c>
      <c r="IR25" s="56" t="str">
        <f t="shared" si="26"/>
        <v/>
      </c>
      <c r="IS25" s="56" t="str">
        <f t="shared" si="26"/>
        <v/>
      </c>
      <c r="IT25" s="56" t="str">
        <f t="shared" si="26"/>
        <v/>
      </c>
      <c r="IU25" s="56" t="str">
        <f t="shared" si="26"/>
        <v/>
      </c>
      <c r="IV25" s="56" t="str">
        <f t="shared" si="26"/>
        <v/>
      </c>
      <c r="IW25" s="56" t="str">
        <f t="shared" si="26"/>
        <v/>
      </c>
      <c r="IX25" s="56" t="str">
        <f t="shared" si="26"/>
        <v/>
      </c>
      <c r="IY25" s="56" t="str">
        <f t="shared" si="26"/>
        <v/>
      </c>
      <c r="IZ25" s="56" t="str">
        <f t="shared" si="26"/>
        <v/>
      </c>
      <c r="JA25" s="56" t="str">
        <f t="shared" si="26"/>
        <v/>
      </c>
      <c r="JB25" s="56" t="str">
        <f t="shared" si="26"/>
        <v/>
      </c>
      <c r="JC25" s="56" t="str">
        <f t="shared" si="26"/>
        <v/>
      </c>
      <c r="JD25" s="56" t="str">
        <f t="shared" si="26"/>
        <v/>
      </c>
      <c r="JE25" s="56" t="str">
        <f t="shared" si="26"/>
        <v/>
      </c>
      <c r="JF25" s="56" t="str">
        <f t="shared" ref="JF25:JU41" si="27">IF(AND($C25="Objetivo",JF$7&gt;=$F25,JF$7&lt;=$F25+$H25-1),2,IF(AND($C25="Hito",JF$7&gt;=$F25,JF$7&lt;=$F25+$H25-1),1,""))</f>
        <v/>
      </c>
      <c r="JG25" s="56" t="str">
        <f t="shared" si="27"/>
        <v/>
      </c>
      <c r="JH25" s="56" t="str">
        <f t="shared" si="27"/>
        <v/>
      </c>
      <c r="JI25" s="56" t="str">
        <f t="shared" si="27"/>
        <v/>
      </c>
      <c r="JJ25" s="56" t="str">
        <f t="shared" si="27"/>
        <v/>
      </c>
      <c r="JK25" s="56" t="str">
        <f t="shared" si="27"/>
        <v/>
      </c>
      <c r="JL25" s="56" t="str">
        <f t="shared" si="27"/>
        <v/>
      </c>
      <c r="JM25" s="56" t="str">
        <f t="shared" si="27"/>
        <v/>
      </c>
      <c r="JN25" s="56" t="str">
        <f t="shared" si="27"/>
        <v/>
      </c>
      <c r="JO25" s="56" t="str">
        <f t="shared" si="27"/>
        <v/>
      </c>
      <c r="JP25" s="56" t="str">
        <f t="shared" si="27"/>
        <v/>
      </c>
      <c r="JQ25" s="56" t="str">
        <f t="shared" si="27"/>
        <v/>
      </c>
      <c r="JR25" s="56" t="str">
        <f t="shared" si="27"/>
        <v/>
      </c>
      <c r="JS25" s="56" t="str">
        <f t="shared" si="27"/>
        <v/>
      </c>
      <c r="JT25" s="56" t="str">
        <f t="shared" si="27"/>
        <v/>
      </c>
      <c r="JU25" s="56" t="str">
        <f t="shared" si="27"/>
        <v/>
      </c>
      <c r="JV25" s="56" t="str">
        <f t="shared" ref="JV25:KK41" si="28">IF(AND($C25="Objetivo",JV$7&gt;=$F25,JV$7&lt;=$F25+$H25-1),2,IF(AND($C25="Hito",JV$7&gt;=$F25,JV$7&lt;=$F25+$H25-1),1,""))</f>
        <v/>
      </c>
      <c r="JW25" s="56" t="str">
        <f t="shared" si="28"/>
        <v/>
      </c>
      <c r="JX25" s="56" t="str">
        <f t="shared" si="28"/>
        <v/>
      </c>
      <c r="JY25" s="56" t="str">
        <f t="shared" si="28"/>
        <v/>
      </c>
      <c r="JZ25" s="56" t="str">
        <f t="shared" si="28"/>
        <v/>
      </c>
      <c r="KA25" s="56" t="str">
        <f t="shared" si="28"/>
        <v/>
      </c>
      <c r="KB25" s="56" t="str">
        <f t="shared" si="28"/>
        <v/>
      </c>
      <c r="KC25" s="56" t="str">
        <f t="shared" si="28"/>
        <v/>
      </c>
      <c r="KD25" s="56" t="str">
        <f t="shared" si="28"/>
        <v/>
      </c>
      <c r="KE25" s="56" t="str">
        <f t="shared" si="28"/>
        <v/>
      </c>
      <c r="KF25" s="56" t="str">
        <f t="shared" si="28"/>
        <v/>
      </c>
      <c r="KG25" s="56" t="str">
        <f t="shared" si="28"/>
        <v/>
      </c>
      <c r="KH25" s="56" t="str">
        <f t="shared" si="28"/>
        <v/>
      </c>
      <c r="KI25" s="56" t="str">
        <f t="shared" si="28"/>
        <v/>
      </c>
      <c r="KJ25" s="56" t="str">
        <f t="shared" si="28"/>
        <v/>
      </c>
      <c r="KK25" s="56" t="str">
        <f t="shared" si="28"/>
        <v/>
      </c>
      <c r="KL25" s="56" t="str">
        <f t="shared" ref="KL25:KX41" si="29">IF(AND($C25="Objetivo",KL$7&gt;=$F25,KL$7&lt;=$F25+$H25-1),2,IF(AND($C25="Hito",KL$7&gt;=$F25,KL$7&lt;=$F25+$H25-1),1,""))</f>
        <v/>
      </c>
      <c r="KM25" s="56" t="str">
        <f t="shared" si="29"/>
        <v/>
      </c>
      <c r="KN25" s="56" t="str">
        <f t="shared" si="29"/>
        <v/>
      </c>
      <c r="KO25" s="56" t="str">
        <f t="shared" si="29"/>
        <v/>
      </c>
      <c r="KP25" s="56" t="str">
        <f t="shared" si="29"/>
        <v/>
      </c>
      <c r="KQ25" s="56" t="str">
        <f t="shared" si="29"/>
        <v/>
      </c>
      <c r="KR25" s="56" t="str">
        <f t="shared" si="29"/>
        <v/>
      </c>
      <c r="KS25" s="56" t="str">
        <f t="shared" si="29"/>
        <v/>
      </c>
      <c r="KT25" s="56" t="str">
        <f t="shared" si="29"/>
        <v/>
      </c>
      <c r="KU25" s="56" t="str">
        <f t="shared" si="29"/>
        <v/>
      </c>
      <c r="KV25" s="56" t="str">
        <f t="shared" si="29"/>
        <v/>
      </c>
      <c r="KW25" s="56" t="str">
        <f t="shared" si="29"/>
        <v/>
      </c>
      <c r="KX25" s="56" t="str">
        <f t="shared" si="29"/>
        <v/>
      </c>
    </row>
    <row r="26" spans="1:310" s="15" customFormat="1">
      <c r="A26" s="8"/>
      <c r="B26" s="52" t="s">
        <v>337</v>
      </c>
      <c r="C26" s="53" t="s">
        <v>305</v>
      </c>
      <c r="D26" s="22" t="s">
        <v>335</v>
      </c>
      <c r="E26" s="54">
        <v>0.25</v>
      </c>
      <c r="F26" s="55">
        <f>+G11</f>
        <v>45990</v>
      </c>
      <c r="G26" s="57">
        <f>+Hitos4352[[#This Row],[Inicio]]+Hitos4352[[#This Row],[Días]]</f>
        <v>45997</v>
      </c>
      <c r="H26" s="58">
        <v>7</v>
      </c>
      <c r="I26" s="14"/>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c r="IX26" s="56"/>
      <c r="IY26" s="56"/>
      <c r="IZ26" s="56"/>
      <c r="JA26" s="56"/>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c r="JZ26" s="56"/>
      <c r="KA26" s="56"/>
      <c r="KB26" s="56"/>
      <c r="KC26" s="56"/>
      <c r="KD26" s="56"/>
      <c r="KE26" s="56"/>
      <c r="KF26" s="56"/>
      <c r="KG26" s="56"/>
      <c r="KH26" s="56"/>
      <c r="KI26" s="56"/>
      <c r="KJ26" s="56"/>
      <c r="KK26" s="56"/>
      <c r="KL26" s="56"/>
      <c r="KM26" s="56"/>
      <c r="KN26" s="56"/>
      <c r="KO26" s="56"/>
      <c r="KP26" s="56"/>
      <c r="KQ26" s="56"/>
      <c r="KR26" s="56"/>
      <c r="KS26" s="56"/>
      <c r="KT26" s="56"/>
      <c r="KU26" s="56"/>
      <c r="KV26" s="56"/>
      <c r="KW26" s="56"/>
      <c r="KX26" s="56"/>
    </row>
    <row r="27" spans="1:310" s="15" customFormat="1">
      <c r="A27" s="8"/>
      <c r="B27" s="52" t="s">
        <v>338</v>
      </c>
      <c r="C27" s="53" t="s">
        <v>305</v>
      </c>
      <c r="D27" s="22" t="s">
        <v>335</v>
      </c>
      <c r="E27" s="54">
        <v>0.5</v>
      </c>
      <c r="F27" s="55">
        <f>+G26</f>
        <v>45997</v>
      </c>
      <c r="G27" s="57">
        <f>+Hitos4352[[#This Row],[Inicio]]+Hitos4352[[#This Row],[Días]]</f>
        <v>46004</v>
      </c>
      <c r="H27" s="58">
        <v>7</v>
      </c>
      <c r="I27" s="14"/>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row>
    <row r="28" spans="1:310" s="15" customFormat="1">
      <c r="A28" s="8"/>
      <c r="B28" s="52" t="s">
        <v>339</v>
      </c>
      <c r="C28" s="53" t="s">
        <v>305</v>
      </c>
      <c r="D28" s="22" t="s">
        <v>335</v>
      </c>
      <c r="E28" s="54">
        <v>0</v>
      </c>
      <c r="F28" s="55">
        <f>+G27</f>
        <v>46004</v>
      </c>
      <c r="G28" s="57">
        <f>+Hitos4352[[#This Row],[Inicio]]+Hitos4352[[#This Row],[Días]]</f>
        <v>46006</v>
      </c>
      <c r="H28" s="58">
        <v>2</v>
      </c>
      <c r="I28" s="14"/>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row>
    <row r="29" spans="1:310" s="15" customFormat="1">
      <c r="A29" s="8"/>
      <c r="B29" s="52" t="s">
        <v>340</v>
      </c>
      <c r="C29" s="53" t="s">
        <v>305</v>
      </c>
      <c r="D29" s="22" t="s">
        <v>335</v>
      </c>
      <c r="E29" s="54">
        <v>0</v>
      </c>
      <c r="F29" s="55">
        <f>+G28</f>
        <v>46006</v>
      </c>
      <c r="G29" s="57">
        <f>+Hitos4352[[#This Row],[Inicio]]+Hitos4352[[#This Row],[Días]]</f>
        <v>46008</v>
      </c>
      <c r="H29" s="58">
        <v>2</v>
      </c>
      <c r="I29" s="14"/>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c r="IX29" s="56"/>
      <c r="IY29" s="56"/>
      <c r="IZ29" s="56"/>
      <c r="JA29" s="56"/>
      <c r="JB29" s="56"/>
      <c r="JC29" s="56"/>
      <c r="JD29" s="56"/>
      <c r="JE29" s="56"/>
      <c r="JF29" s="56"/>
      <c r="JG29" s="56"/>
      <c r="JH29" s="56"/>
      <c r="JI29" s="56"/>
      <c r="JJ29" s="56"/>
      <c r="JK29" s="56"/>
      <c r="JL29" s="56"/>
      <c r="JM29" s="56"/>
      <c r="JN29" s="56"/>
      <c r="JO29" s="56"/>
      <c r="JP29" s="56"/>
      <c r="JQ29" s="56"/>
      <c r="JR29" s="56"/>
      <c r="JS29" s="56"/>
      <c r="JT29" s="56"/>
      <c r="JU29" s="56"/>
      <c r="JV29" s="56"/>
      <c r="JW29" s="56"/>
      <c r="JX29" s="56"/>
      <c r="JY29" s="56"/>
      <c r="JZ29" s="56"/>
      <c r="KA29" s="56"/>
      <c r="KB29" s="56"/>
      <c r="KC29" s="56"/>
      <c r="KD29" s="56"/>
      <c r="KE29" s="56"/>
      <c r="KF29" s="56"/>
      <c r="KG29" s="56"/>
      <c r="KH29" s="56"/>
      <c r="KI29" s="56"/>
      <c r="KJ29" s="56"/>
      <c r="KK29" s="56"/>
      <c r="KL29" s="56"/>
      <c r="KM29" s="56"/>
      <c r="KN29" s="56"/>
      <c r="KO29" s="56"/>
      <c r="KP29" s="56"/>
      <c r="KQ29" s="56"/>
      <c r="KR29" s="56"/>
      <c r="KS29" s="56"/>
      <c r="KT29" s="56"/>
      <c r="KU29" s="56"/>
      <c r="KV29" s="56"/>
      <c r="KW29" s="56"/>
      <c r="KX29" s="56"/>
    </row>
    <row r="30" spans="1:310" s="15" customFormat="1">
      <c r="A30" s="8"/>
      <c r="B30" s="52" t="s">
        <v>341</v>
      </c>
      <c r="C30" s="53" t="s">
        <v>305</v>
      </c>
      <c r="D30" s="22" t="s">
        <v>335</v>
      </c>
      <c r="E30" s="54">
        <v>0</v>
      </c>
      <c r="F30" s="55">
        <f>+G29</f>
        <v>46008</v>
      </c>
      <c r="G30" s="57">
        <f>+Hitos4352[[#This Row],[Inicio]]+Hitos4352[[#This Row],[Días]]</f>
        <v>46010</v>
      </c>
      <c r="H30" s="58">
        <v>2</v>
      </c>
      <c r="I30" s="14"/>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c r="IX30" s="56"/>
      <c r="IY30" s="56"/>
      <c r="IZ30" s="56"/>
      <c r="JA30" s="56"/>
      <c r="JB30" s="56"/>
      <c r="JC30" s="56"/>
      <c r="JD30" s="56"/>
      <c r="JE30" s="56"/>
      <c r="JF30" s="56"/>
      <c r="JG30" s="56"/>
      <c r="JH30" s="56"/>
      <c r="JI30" s="56"/>
      <c r="JJ30" s="56"/>
      <c r="JK30" s="56"/>
      <c r="JL30" s="56"/>
      <c r="JM30" s="56"/>
      <c r="JN30" s="56"/>
      <c r="JO30" s="56"/>
      <c r="JP30" s="56"/>
      <c r="JQ30" s="56"/>
      <c r="JR30" s="56"/>
      <c r="JS30" s="56"/>
      <c r="JT30" s="56"/>
      <c r="JU30" s="56"/>
      <c r="JV30" s="56"/>
      <c r="JW30" s="56"/>
      <c r="JX30" s="56"/>
      <c r="JY30" s="56"/>
      <c r="JZ30" s="56"/>
      <c r="KA30" s="56"/>
      <c r="KB30" s="56"/>
      <c r="KC30" s="56"/>
      <c r="KD30" s="56"/>
      <c r="KE30" s="56"/>
      <c r="KF30" s="56"/>
      <c r="KG30" s="56"/>
      <c r="KH30" s="56"/>
      <c r="KI30" s="56"/>
      <c r="KJ30" s="56"/>
      <c r="KK30" s="56"/>
      <c r="KL30" s="56"/>
      <c r="KM30" s="56"/>
      <c r="KN30" s="56"/>
      <c r="KO30" s="56"/>
      <c r="KP30" s="56"/>
      <c r="KQ30" s="56"/>
      <c r="KR30" s="56"/>
      <c r="KS30" s="56"/>
      <c r="KT30" s="56"/>
      <c r="KU30" s="56"/>
      <c r="KV30" s="56"/>
      <c r="KW30" s="56"/>
      <c r="KX30" s="56"/>
    </row>
    <row r="31" spans="1:310" s="15" customFormat="1">
      <c r="A31" s="8"/>
      <c r="B31" s="52" t="s">
        <v>342</v>
      </c>
      <c r="C31" s="53" t="s">
        <v>305</v>
      </c>
      <c r="D31" s="22" t="s">
        <v>335</v>
      </c>
      <c r="E31" s="54">
        <v>0</v>
      </c>
      <c r="F31" s="55">
        <f>+G30</f>
        <v>46010</v>
      </c>
      <c r="G31" s="57">
        <f>+Hitos4352[[#This Row],[Inicio]]+Hitos4352[[#This Row],[Días]]</f>
        <v>46012</v>
      </c>
      <c r="H31" s="58">
        <v>2</v>
      </c>
      <c r="I31" s="14"/>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c r="IX31" s="56"/>
      <c r="IY31" s="56"/>
      <c r="IZ31" s="56"/>
      <c r="JA31" s="56"/>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c r="JZ31" s="56"/>
      <c r="KA31" s="56"/>
      <c r="KB31" s="56"/>
      <c r="KC31" s="56"/>
      <c r="KD31" s="56"/>
      <c r="KE31" s="56"/>
      <c r="KF31" s="56"/>
      <c r="KG31" s="56"/>
      <c r="KH31" s="56"/>
      <c r="KI31" s="56"/>
      <c r="KJ31" s="56"/>
      <c r="KK31" s="56"/>
      <c r="KL31" s="56"/>
      <c r="KM31" s="56"/>
      <c r="KN31" s="56"/>
      <c r="KO31" s="56"/>
      <c r="KP31" s="56"/>
      <c r="KQ31" s="56"/>
      <c r="KR31" s="56"/>
      <c r="KS31" s="56"/>
      <c r="KT31" s="56"/>
      <c r="KU31" s="56"/>
      <c r="KV31" s="56"/>
      <c r="KW31" s="56"/>
      <c r="KX31" s="56"/>
    </row>
    <row r="32" spans="1:310" s="15" customFormat="1">
      <c r="A32" s="8"/>
      <c r="B32" s="46" t="s">
        <v>352</v>
      </c>
      <c r="C32" s="47" t="s">
        <v>305</v>
      </c>
      <c r="D32" s="48" t="s">
        <v>335</v>
      </c>
      <c r="E32" s="60">
        <f>+((E33*H33)+(E34*H34)+(E35*H35)+(E36*H36)+(E37*H37)+(E38*H38)+(E39*H39)+(E40*H40))/SUM(H33:H40)</f>
        <v>0</v>
      </c>
      <c r="F32" s="50">
        <f>+F33</f>
        <v>46012</v>
      </c>
      <c r="G32" s="50">
        <f>+G40</f>
        <v>46028</v>
      </c>
      <c r="H32" s="51">
        <f>+SUM(H33:H40)</f>
        <v>16</v>
      </c>
      <c r="I32" s="14"/>
      <c r="J32" s="56" t="str">
        <f t="shared" si="5"/>
        <v/>
      </c>
      <c r="K32" s="56" t="str">
        <f t="shared" si="5"/>
        <v/>
      </c>
      <c r="L32" s="56" t="str">
        <f t="shared" si="5"/>
        <v/>
      </c>
      <c r="M32" s="56" t="str">
        <f t="shared" si="5"/>
        <v/>
      </c>
      <c r="N32" s="56" t="str">
        <f t="shared" si="5"/>
        <v/>
      </c>
      <c r="O32" s="56" t="str">
        <f t="shared" si="5"/>
        <v/>
      </c>
      <c r="P32" s="56" t="str">
        <f t="shared" si="5"/>
        <v/>
      </c>
      <c r="Q32" s="56" t="str">
        <f t="shared" si="5"/>
        <v/>
      </c>
      <c r="R32" s="56" t="str">
        <f t="shared" si="5"/>
        <v/>
      </c>
      <c r="S32" s="56" t="str">
        <f t="shared" si="5"/>
        <v/>
      </c>
      <c r="T32" s="56" t="str">
        <f t="shared" si="5"/>
        <v/>
      </c>
      <c r="U32" s="56" t="str">
        <f t="shared" si="5"/>
        <v/>
      </c>
      <c r="V32" s="56" t="str">
        <f t="shared" si="5"/>
        <v/>
      </c>
      <c r="W32" s="56" t="str">
        <f t="shared" si="5"/>
        <v/>
      </c>
      <c r="X32" s="56" t="str">
        <f t="shared" si="5"/>
        <v/>
      </c>
      <c r="Y32" s="56" t="str">
        <f t="shared" si="5"/>
        <v/>
      </c>
      <c r="Z32" s="56" t="str">
        <f t="shared" si="12"/>
        <v/>
      </c>
      <c r="AA32" s="56" t="str">
        <f t="shared" si="12"/>
        <v/>
      </c>
      <c r="AB32" s="56" t="str">
        <f t="shared" si="12"/>
        <v/>
      </c>
      <c r="AC32" s="56" t="str">
        <f t="shared" si="12"/>
        <v/>
      </c>
      <c r="AD32" s="56" t="str">
        <f t="shared" si="12"/>
        <v/>
      </c>
      <c r="AE32" s="56" t="str">
        <f t="shared" si="12"/>
        <v/>
      </c>
      <c r="AF32" s="56" t="str">
        <f t="shared" si="12"/>
        <v/>
      </c>
      <c r="AG32" s="56" t="str">
        <f t="shared" si="12"/>
        <v/>
      </c>
      <c r="AH32" s="56" t="str">
        <f t="shared" si="12"/>
        <v/>
      </c>
      <c r="AI32" s="56" t="str">
        <f t="shared" si="12"/>
        <v/>
      </c>
      <c r="AJ32" s="56" t="str">
        <f t="shared" si="12"/>
        <v/>
      </c>
      <c r="AK32" s="56" t="str">
        <f t="shared" si="12"/>
        <v/>
      </c>
      <c r="AL32" s="56" t="str">
        <f t="shared" si="12"/>
        <v/>
      </c>
      <c r="AM32" s="56" t="str">
        <f t="shared" si="12"/>
        <v/>
      </c>
      <c r="AN32" s="56" t="str">
        <f t="shared" si="12"/>
        <v/>
      </c>
      <c r="AO32" s="56" t="str">
        <f t="shared" si="12"/>
        <v/>
      </c>
      <c r="AP32" s="56" t="str">
        <f t="shared" si="13"/>
        <v/>
      </c>
      <c r="AQ32" s="56" t="str">
        <f t="shared" si="13"/>
        <v/>
      </c>
      <c r="AR32" s="56" t="str">
        <f t="shared" si="13"/>
        <v/>
      </c>
      <c r="AS32" s="56" t="str">
        <f t="shared" si="13"/>
        <v/>
      </c>
      <c r="AT32" s="56" t="str">
        <f t="shared" si="13"/>
        <v/>
      </c>
      <c r="AU32" s="56" t="str">
        <f t="shared" si="13"/>
        <v/>
      </c>
      <c r="AV32" s="56" t="str">
        <f t="shared" si="13"/>
        <v/>
      </c>
      <c r="AW32" s="56" t="str">
        <f t="shared" si="13"/>
        <v/>
      </c>
      <c r="AX32" s="56" t="str">
        <f t="shared" si="13"/>
        <v/>
      </c>
      <c r="AY32" s="56" t="str">
        <f t="shared" si="13"/>
        <v/>
      </c>
      <c r="AZ32" s="56" t="str">
        <f t="shared" si="13"/>
        <v/>
      </c>
      <c r="BA32" s="56" t="str">
        <f t="shared" si="13"/>
        <v/>
      </c>
      <c r="BB32" s="56" t="str">
        <f t="shared" si="13"/>
        <v/>
      </c>
      <c r="BC32" s="56" t="str">
        <f t="shared" si="13"/>
        <v/>
      </c>
      <c r="BD32" s="56" t="str">
        <f t="shared" si="13"/>
        <v/>
      </c>
      <c r="BE32" s="56" t="str">
        <f t="shared" si="13"/>
        <v/>
      </c>
      <c r="BF32" s="56" t="str">
        <f t="shared" si="14"/>
        <v/>
      </c>
      <c r="BG32" s="56" t="str">
        <f t="shared" si="14"/>
        <v/>
      </c>
      <c r="BH32" s="56" t="str">
        <f t="shared" si="14"/>
        <v/>
      </c>
      <c r="BI32" s="56" t="str">
        <f t="shared" si="14"/>
        <v/>
      </c>
      <c r="BJ32" s="56" t="str">
        <f t="shared" si="14"/>
        <v/>
      </c>
      <c r="BK32" s="56" t="str">
        <f t="shared" si="14"/>
        <v/>
      </c>
      <c r="BL32" s="56" t="str">
        <f t="shared" si="14"/>
        <v/>
      </c>
      <c r="BM32" s="56" t="str">
        <f t="shared" si="14"/>
        <v/>
      </c>
      <c r="BN32" s="56" t="str">
        <f t="shared" si="14"/>
        <v/>
      </c>
      <c r="BO32" s="56" t="str">
        <f t="shared" si="14"/>
        <v/>
      </c>
      <c r="BP32" s="56" t="str">
        <f t="shared" si="14"/>
        <v/>
      </c>
      <c r="BQ32" s="56" t="str">
        <f t="shared" si="14"/>
        <v/>
      </c>
      <c r="BR32" s="56" t="str">
        <f t="shared" si="14"/>
        <v/>
      </c>
      <c r="BS32" s="56" t="str">
        <f t="shared" si="14"/>
        <v/>
      </c>
      <c r="BT32" s="56" t="str">
        <f t="shared" si="14"/>
        <v/>
      </c>
      <c r="BU32" s="56" t="str">
        <f t="shared" si="14"/>
        <v/>
      </c>
      <c r="BV32" s="56" t="str">
        <f t="shared" si="15"/>
        <v/>
      </c>
      <c r="BW32" s="56" t="str">
        <f t="shared" si="15"/>
        <v/>
      </c>
      <c r="BX32" s="56" t="str">
        <f t="shared" si="15"/>
        <v/>
      </c>
      <c r="BY32" s="56" t="str">
        <f t="shared" si="15"/>
        <v/>
      </c>
      <c r="BZ32" s="56" t="str">
        <f t="shared" si="15"/>
        <v/>
      </c>
      <c r="CA32" s="56" t="str">
        <f t="shared" si="15"/>
        <v/>
      </c>
      <c r="CB32" s="56" t="str">
        <f t="shared" si="15"/>
        <v/>
      </c>
      <c r="CC32" s="56" t="str">
        <f t="shared" si="15"/>
        <v/>
      </c>
      <c r="CD32" s="56" t="str">
        <f t="shared" si="15"/>
        <v/>
      </c>
      <c r="CE32" s="56" t="str">
        <f t="shared" si="15"/>
        <v/>
      </c>
      <c r="CF32" s="56" t="str">
        <f t="shared" si="15"/>
        <v/>
      </c>
      <c r="CG32" s="56" t="str">
        <f t="shared" si="15"/>
        <v/>
      </c>
      <c r="CH32" s="56" t="str">
        <f t="shared" si="15"/>
        <v/>
      </c>
      <c r="CI32" s="56" t="str">
        <f t="shared" si="15"/>
        <v/>
      </c>
      <c r="CJ32" s="56" t="str">
        <f t="shared" si="15"/>
        <v/>
      </c>
      <c r="CK32" s="56" t="str">
        <f t="shared" si="15"/>
        <v/>
      </c>
      <c r="CL32" s="56" t="str">
        <f t="shared" si="16"/>
        <v/>
      </c>
      <c r="CM32" s="56" t="str">
        <f t="shared" si="16"/>
        <v/>
      </c>
      <c r="CN32" s="56" t="str">
        <f t="shared" si="16"/>
        <v/>
      </c>
      <c r="CO32" s="56" t="str">
        <f t="shared" si="16"/>
        <v/>
      </c>
      <c r="CP32" s="56" t="str">
        <f t="shared" si="16"/>
        <v/>
      </c>
      <c r="CQ32" s="56" t="str">
        <f t="shared" si="16"/>
        <v/>
      </c>
      <c r="CR32" s="56" t="str">
        <f t="shared" si="16"/>
        <v/>
      </c>
      <c r="CS32" s="56" t="str">
        <f t="shared" si="16"/>
        <v/>
      </c>
      <c r="CT32" s="56" t="str">
        <f t="shared" si="16"/>
        <v/>
      </c>
      <c r="CU32" s="56" t="str">
        <f t="shared" si="16"/>
        <v/>
      </c>
      <c r="CV32" s="56" t="str">
        <f t="shared" si="16"/>
        <v/>
      </c>
      <c r="CW32" s="56" t="str">
        <f t="shared" si="16"/>
        <v/>
      </c>
      <c r="CX32" s="56" t="str">
        <f t="shared" si="16"/>
        <v/>
      </c>
      <c r="CY32" s="56" t="str">
        <f t="shared" si="16"/>
        <v/>
      </c>
      <c r="CZ32" s="56" t="str">
        <f t="shared" si="16"/>
        <v/>
      </c>
      <c r="DA32" s="56" t="str">
        <f t="shared" si="16"/>
        <v/>
      </c>
      <c r="DB32" s="56" t="str">
        <f t="shared" si="17"/>
        <v/>
      </c>
      <c r="DC32" s="56" t="str">
        <f t="shared" si="17"/>
        <v/>
      </c>
      <c r="DD32" s="56" t="str">
        <f t="shared" si="17"/>
        <v/>
      </c>
      <c r="DE32" s="56" t="str">
        <f t="shared" si="17"/>
        <v/>
      </c>
      <c r="DF32" s="56" t="str">
        <f t="shared" si="17"/>
        <v/>
      </c>
      <c r="DG32" s="56" t="str">
        <f t="shared" si="17"/>
        <v/>
      </c>
      <c r="DH32" s="56" t="str">
        <f t="shared" si="17"/>
        <v/>
      </c>
      <c r="DI32" s="56" t="str">
        <f t="shared" si="17"/>
        <v/>
      </c>
      <c r="DJ32" s="56" t="str">
        <f t="shared" si="17"/>
        <v/>
      </c>
      <c r="DK32" s="56" t="str">
        <f t="shared" si="17"/>
        <v/>
      </c>
      <c r="DL32" s="56" t="str">
        <f t="shared" si="17"/>
        <v/>
      </c>
      <c r="DM32" s="56" t="str">
        <f t="shared" si="17"/>
        <v/>
      </c>
      <c r="DN32" s="56" t="str">
        <f t="shared" si="17"/>
        <v/>
      </c>
      <c r="DO32" s="56" t="str">
        <f t="shared" si="17"/>
        <v/>
      </c>
      <c r="DP32" s="56" t="str">
        <f t="shared" si="17"/>
        <v/>
      </c>
      <c r="DQ32" s="56" t="str">
        <f t="shared" si="17"/>
        <v/>
      </c>
      <c r="DR32" s="56" t="str">
        <f t="shared" si="18"/>
        <v/>
      </c>
      <c r="DS32" s="56" t="str">
        <f t="shared" si="18"/>
        <v/>
      </c>
      <c r="DT32" s="56" t="str">
        <f t="shared" si="18"/>
        <v/>
      </c>
      <c r="DU32" s="56" t="str">
        <f t="shared" si="18"/>
        <v/>
      </c>
      <c r="DV32" s="56" t="str">
        <f t="shared" si="18"/>
        <v/>
      </c>
      <c r="DW32" s="56" t="str">
        <f t="shared" si="18"/>
        <v/>
      </c>
      <c r="DX32" s="56" t="str">
        <f t="shared" si="18"/>
        <v/>
      </c>
      <c r="DY32" s="56" t="str">
        <f t="shared" si="18"/>
        <v/>
      </c>
      <c r="DZ32" s="56" t="str">
        <f t="shared" si="18"/>
        <v/>
      </c>
      <c r="EA32" s="56" t="str">
        <f t="shared" si="18"/>
        <v/>
      </c>
      <c r="EB32" s="56" t="str">
        <f t="shared" si="18"/>
        <v/>
      </c>
      <c r="EC32" s="56" t="str">
        <f t="shared" si="18"/>
        <v/>
      </c>
      <c r="ED32" s="56" t="str">
        <f t="shared" si="18"/>
        <v/>
      </c>
      <c r="EE32" s="56" t="str">
        <f t="shared" si="18"/>
        <v/>
      </c>
      <c r="EF32" s="56" t="str">
        <f t="shared" si="18"/>
        <v/>
      </c>
      <c r="EG32" s="56" t="str">
        <f t="shared" si="18"/>
        <v/>
      </c>
      <c r="EH32" s="56" t="str">
        <f t="shared" si="19"/>
        <v/>
      </c>
      <c r="EI32" s="56" t="str">
        <f t="shared" si="19"/>
        <v/>
      </c>
      <c r="EJ32" s="56" t="str">
        <f t="shared" si="19"/>
        <v/>
      </c>
      <c r="EK32" s="56" t="str">
        <f t="shared" si="19"/>
        <v/>
      </c>
      <c r="EL32" s="56" t="str">
        <f t="shared" si="19"/>
        <v/>
      </c>
      <c r="EM32" s="56" t="str">
        <f t="shared" si="19"/>
        <v/>
      </c>
      <c r="EN32" s="56" t="str">
        <f t="shared" si="19"/>
        <v/>
      </c>
      <c r="EO32" s="56" t="str">
        <f t="shared" si="19"/>
        <v/>
      </c>
      <c r="EP32" s="56" t="str">
        <f t="shared" si="19"/>
        <v/>
      </c>
      <c r="EQ32" s="56" t="str">
        <f t="shared" si="19"/>
        <v/>
      </c>
      <c r="ER32" s="56" t="str">
        <f t="shared" si="19"/>
        <v/>
      </c>
      <c r="ES32" s="56" t="str">
        <f t="shared" si="19"/>
        <v/>
      </c>
      <c r="ET32" s="56" t="str">
        <f t="shared" si="19"/>
        <v/>
      </c>
      <c r="EU32" s="56" t="str">
        <f t="shared" si="19"/>
        <v/>
      </c>
      <c r="EV32" s="56" t="str">
        <f t="shared" si="19"/>
        <v/>
      </c>
      <c r="EW32" s="56" t="str">
        <f t="shared" si="19"/>
        <v/>
      </c>
      <c r="EX32" s="56" t="str">
        <f t="shared" si="20"/>
        <v/>
      </c>
      <c r="EY32" s="56" t="str">
        <f t="shared" si="20"/>
        <v/>
      </c>
      <c r="EZ32" s="56" t="str">
        <f t="shared" si="20"/>
        <v/>
      </c>
      <c r="FA32" s="56" t="str">
        <f t="shared" si="20"/>
        <v/>
      </c>
      <c r="FB32" s="56" t="str">
        <f t="shared" si="20"/>
        <v/>
      </c>
      <c r="FC32" s="56" t="str">
        <f t="shared" si="20"/>
        <v/>
      </c>
      <c r="FD32" s="56" t="str">
        <f t="shared" si="20"/>
        <v/>
      </c>
      <c r="FE32" s="56" t="str">
        <f t="shared" si="20"/>
        <v/>
      </c>
      <c r="FF32" s="56" t="str">
        <f t="shared" si="20"/>
        <v/>
      </c>
      <c r="FG32" s="56" t="str">
        <f t="shared" si="20"/>
        <v/>
      </c>
      <c r="FH32" s="56" t="str">
        <f t="shared" si="20"/>
        <v/>
      </c>
      <c r="FI32" s="56" t="str">
        <f t="shared" si="20"/>
        <v/>
      </c>
      <c r="FJ32" s="56" t="str">
        <f t="shared" si="20"/>
        <v/>
      </c>
      <c r="FK32" s="56" t="str">
        <f t="shared" si="20"/>
        <v/>
      </c>
      <c r="FL32" s="56" t="str">
        <f t="shared" si="20"/>
        <v/>
      </c>
      <c r="FM32" s="56" t="str">
        <f t="shared" si="20"/>
        <v/>
      </c>
      <c r="FN32" s="56" t="str">
        <f t="shared" si="21"/>
        <v/>
      </c>
      <c r="FO32" s="56" t="str">
        <f t="shared" si="21"/>
        <v/>
      </c>
      <c r="FP32" s="56" t="str">
        <f t="shared" si="21"/>
        <v/>
      </c>
      <c r="FQ32" s="56" t="str">
        <f t="shared" si="21"/>
        <v/>
      </c>
      <c r="FR32" s="56" t="str">
        <f t="shared" si="21"/>
        <v/>
      </c>
      <c r="FS32" s="56" t="str">
        <f t="shared" si="21"/>
        <v/>
      </c>
      <c r="FT32" s="56" t="str">
        <f t="shared" si="21"/>
        <v/>
      </c>
      <c r="FU32" s="56" t="str">
        <f t="shared" si="21"/>
        <v/>
      </c>
      <c r="FV32" s="56" t="str">
        <f t="shared" si="21"/>
        <v/>
      </c>
      <c r="FW32" s="56" t="str">
        <f t="shared" si="21"/>
        <v/>
      </c>
      <c r="FX32" s="56" t="str">
        <f t="shared" si="21"/>
        <v/>
      </c>
      <c r="FY32" s="56" t="str">
        <f t="shared" si="21"/>
        <v/>
      </c>
      <c r="FZ32" s="56" t="str">
        <f t="shared" si="21"/>
        <v/>
      </c>
      <c r="GA32" s="56" t="str">
        <f t="shared" si="21"/>
        <v/>
      </c>
      <c r="GB32" s="56" t="str">
        <f t="shared" si="21"/>
        <v/>
      </c>
      <c r="GC32" s="56" t="str">
        <f t="shared" si="21"/>
        <v/>
      </c>
      <c r="GD32" s="56" t="str">
        <f t="shared" si="22"/>
        <v/>
      </c>
      <c r="GE32" s="56" t="str">
        <f t="shared" si="22"/>
        <v/>
      </c>
      <c r="GF32" s="56" t="str">
        <f t="shared" si="22"/>
        <v/>
      </c>
      <c r="GG32" s="56" t="str">
        <f t="shared" si="22"/>
        <v/>
      </c>
      <c r="GH32" s="56" t="str">
        <f t="shared" si="22"/>
        <v/>
      </c>
      <c r="GI32" s="56" t="str">
        <f t="shared" si="22"/>
        <v/>
      </c>
      <c r="GJ32" s="56" t="str">
        <f t="shared" si="22"/>
        <v/>
      </c>
      <c r="GK32" s="56" t="str">
        <f t="shared" si="22"/>
        <v/>
      </c>
      <c r="GL32" s="56" t="str">
        <f t="shared" si="22"/>
        <v/>
      </c>
      <c r="GM32" s="56" t="str">
        <f t="shared" si="22"/>
        <v/>
      </c>
      <c r="GN32" s="56" t="str">
        <f t="shared" si="22"/>
        <v/>
      </c>
      <c r="GO32" s="56" t="str">
        <f t="shared" si="22"/>
        <v/>
      </c>
      <c r="GP32" s="56" t="str">
        <f t="shared" si="22"/>
        <v/>
      </c>
      <c r="GQ32" s="56" t="str">
        <f t="shared" si="22"/>
        <v/>
      </c>
      <c r="GR32" s="56" t="str">
        <f t="shared" si="22"/>
        <v/>
      </c>
      <c r="GS32" s="56" t="str">
        <f t="shared" si="22"/>
        <v/>
      </c>
      <c r="GT32" s="56" t="str">
        <f t="shared" si="23"/>
        <v/>
      </c>
      <c r="GU32" s="56" t="str">
        <f t="shared" si="23"/>
        <v/>
      </c>
      <c r="GV32" s="56" t="str">
        <f t="shared" si="23"/>
        <v/>
      </c>
      <c r="GW32" s="56" t="str">
        <f t="shared" si="23"/>
        <v/>
      </c>
      <c r="GX32" s="56" t="str">
        <f t="shared" si="23"/>
        <v/>
      </c>
      <c r="GY32" s="56" t="str">
        <f t="shared" si="23"/>
        <v/>
      </c>
      <c r="GZ32" s="56" t="str">
        <f t="shared" si="23"/>
        <v/>
      </c>
      <c r="HA32" s="56" t="str">
        <f t="shared" si="23"/>
        <v/>
      </c>
      <c r="HB32" s="56" t="str">
        <f t="shared" si="23"/>
        <v/>
      </c>
      <c r="HC32" s="56" t="str">
        <f t="shared" si="23"/>
        <v/>
      </c>
      <c r="HD32" s="56" t="str">
        <f t="shared" si="23"/>
        <v/>
      </c>
      <c r="HE32" s="56" t="str">
        <f t="shared" si="23"/>
        <v/>
      </c>
      <c r="HF32" s="56" t="str">
        <f t="shared" si="23"/>
        <v/>
      </c>
      <c r="HG32" s="56" t="str">
        <f t="shared" si="23"/>
        <v/>
      </c>
      <c r="HH32" s="56" t="str">
        <f t="shared" si="23"/>
        <v/>
      </c>
      <c r="HI32" s="56" t="str">
        <f t="shared" si="23"/>
        <v/>
      </c>
      <c r="HJ32" s="56" t="str">
        <f t="shared" si="24"/>
        <v/>
      </c>
      <c r="HK32" s="56" t="str">
        <f t="shared" si="24"/>
        <v/>
      </c>
      <c r="HL32" s="56" t="str">
        <f t="shared" si="24"/>
        <v/>
      </c>
      <c r="HM32" s="56" t="str">
        <f t="shared" si="24"/>
        <v/>
      </c>
      <c r="HN32" s="56" t="str">
        <f t="shared" si="24"/>
        <v/>
      </c>
      <c r="HO32" s="56" t="str">
        <f t="shared" si="24"/>
        <v/>
      </c>
      <c r="HP32" s="56" t="str">
        <f t="shared" si="24"/>
        <v/>
      </c>
      <c r="HQ32" s="56" t="str">
        <f t="shared" si="24"/>
        <v/>
      </c>
      <c r="HR32" s="56" t="str">
        <f t="shared" si="24"/>
        <v/>
      </c>
      <c r="HS32" s="56" t="str">
        <f t="shared" si="24"/>
        <v/>
      </c>
      <c r="HT32" s="56" t="str">
        <f t="shared" si="24"/>
        <v/>
      </c>
      <c r="HU32" s="56" t="str">
        <f t="shared" si="24"/>
        <v/>
      </c>
      <c r="HV32" s="56" t="str">
        <f t="shared" si="24"/>
        <v/>
      </c>
      <c r="HW32" s="56" t="str">
        <f t="shared" si="24"/>
        <v/>
      </c>
      <c r="HX32" s="56" t="str">
        <f t="shared" si="24"/>
        <v/>
      </c>
      <c r="HY32" s="56" t="str">
        <f t="shared" si="24"/>
        <v/>
      </c>
      <c r="HZ32" s="56" t="str">
        <f t="shared" si="25"/>
        <v/>
      </c>
      <c r="IA32" s="56" t="str">
        <f t="shared" si="25"/>
        <v/>
      </c>
      <c r="IB32" s="56" t="str">
        <f t="shared" si="25"/>
        <v/>
      </c>
      <c r="IC32" s="56" t="str">
        <f t="shared" si="25"/>
        <v/>
      </c>
      <c r="ID32" s="56" t="str">
        <f t="shared" si="25"/>
        <v/>
      </c>
      <c r="IE32" s="56" t="str">
        <f t="shared" si="25"/>
        <v/>
      </c>
      <c r="IF32" s="56" t="str">
        <f t="shared" si="25"/>
        <v/>
      </c>
      <c r="IG32" s="56" t="str">
        <f t="shared" si="25"/>
        <v/>
      </c>
      <c r="IH32" s="56" t="str">
        <f t="shared" si="25"/>
        <v/>
      </c>
      <c r="II32" s="56" t="str">
        <f t="shared" si="25"/>
        <v/>
      </c>
      <c r="IJ32" s="56" t="str">
        <f t="shared" si="25"/>
        <v/>
      </c>
      <c r="IK32" s="56" t="str">
        <f t="shared" si="25"/>
        <v/>
      </c>
      <c r="IL32" s="56" t="str">
        <f t="shared" si="25"/>
        <v/>
      </c>
      <c r="IM32" s="56" t="str">
        <f t="shared" si="25"/>
        <v/>
      </c>
      <c r="IN32" s="56" t="str">
        <f t="shared" si="25"/>
        <v/>
      </c>
      <c r="IO32" s="56" t="str">
        <f t="shared" si="25"/>
        <v/>
      </c>
      <c r="IP32" s="56" t="str">
        <f t="shared" si="26"/>
        <v/>
      </c>
      <c r="IQ32" s="56" t="str">
        <f t="shared" si="26"/>
        <v/>
      </c>
      <c r="IR32" s="56" t="str">
        <f t="shared" si="26"/>
        <v/>
      </c>
      <c r="IS32" s="56" t="str">
        <f t="shared" si="26"/>
        <v/>
      </c>
      <c r="IT32" s="56" t="str">
        <f t="shared" si="26"/>
        <v/>
      </c>
      <c r="IU32" s="56" t="str">
        <f t="shared" si="26"/>
        <v/>
      </c>
      <c r="IV32" s="56" t="str">
        <f t="shared" si="26"/>
        <v/>
      </c>
      <c r="IW32" s="56" t="str">
        <f t="shared" si="26"/>
        <v/>
      </c>
      <c r="IX32" s="56" t="str">
        <f t="shared" si="26"/>
        <v/>
      </c>
      <c r="IY32" s="56" t="str">
        <f t="shared" si="26"/>
        <v/>
      </c>
      <c r="IZ32" s="56" t="str">
        <f t="shared" si="26"/>
        <v/>
      </c>
      <c r="JA32" s="56" t="str">
        <f t="shared" si="26"/>
        <v/>
      </c>
      <c r="JB32" s="56" t="str">
        <f t="shared" si="26"/>
        <v/>
      </c>
      <c r="JC32" s="56" t="str">
        <f t="shared" si="26"/>
        <v/>
      </c>
      <c r="JD32" s="56" t="str">
        <f t="shared" si="26"/>
        <v/>
      </c>
      <c r="JE32" s="56" t="str">
        <f t="shared" si="26"/>
        <v/>
      </c>
      <c r="JF32" s="56" t="str">
        <f t="shared" si="27"/>
        <v/>
      </c>
      <c r="JG32" s="56" t="str">
        <f t="shared" si="27"/>
        <v/>
      </c>
      <c r="JH32" s="56" t="str">
        <f t="shared" si="27"/>
        <v/>
      </c>
      <c r="JI32" s="56" t="str">
        <f t="shared" si="27"/>
        <v/>
      </c>
      <c r="JJ32" s="56" t="str">
        <f t="shared" si="27"/>
        <v/>
      </c>
      <c r="JK32" s="56" t="str">
        <f t="shared" si="27"/>
        <v/>
      </c>
      <c r="JL32" s="56" t="str">
        <f t="shared" si="27"/>
        <v/>
      </c>
      <c r="JM32" s="56" t="str">
        <f t="shared" si="27"/>
        <v/>
      </c>
      <c r="JN32" s="56" t="str">
        <f t="shared" si="27"/>
        <v/>
      </c>
      <c r="JO32" s="56" t="str">
        <f t="shared" si="27"/>
        <v/>
      </c>
      <c r="JP32" s="56" t="str">
        <f t="shared" si="27"/>
        <v/>
      </c>
      <c r="JQ32" s="56" t="str">
        <f t="shared" si="27"/>
        <v/>
      </c>
      <c r="JR32" s="56" t="str">
        <f t="shared" si="27"/>
        <v/>
      </c>
      <c r="JS32" s="56" t="str">
        <f t="shared" si="27"/>
        <v/>
      </c>
      <c r="JT32" s="56" t="str">
        <f t="shared" si="27"/>
        <v/>
      </c>
      <c r="JU32" s="56" t="str">
        <f t="shared" si="27"/>
        <v/>
      </c>
      <c r="JV32" s="56" t="str">
        <f t="shared" si="28"/>
        <v/>
      </c>
      <c r="JW32" s="56" t="str">
        <f t="shared" si="28"/>
        <v/>
      </c>
      <c r="JX32" s="56" t="str">
        <f t="shared" si="28"/>
        <v/>
      </c>
      <c r="JY32" s="56" t="str">
        <f t="shared" si="28"/>
        <v/>
      </c>
      <c r="JZ32" s="56" t="str">
        <f t="shared" si="28"/>
        <v/>
      </c>
      <c r="KA32" s="56" t="str">
        <f t="shared" si="28"/>
        <v/>
      </c>
      <c r="KB32" s="56" t="str">
        <f t="shared" si="28"/>
        <v/>
      </c>
      <c r="KC32" s="56" t="str">
        <f t="shared" si="28"/>
        <v/>
      </c>
      <c r="KD32" s="56" t="str">
        <f t="shared" si="28"/>
        <v/>
      </c>
      <c r="KE32" s="56" t="str">
        <f t="shared" si="28"/>
        <v/>
      </c>
      <c r="KF32" s="56" t="str">
        <f t="shared" si="28"/>
        <v/>
      </c>
      <c r="KG32" s="56" t="str">
        <f t="shared" si="28"/>
        <v/>
      </c>
      <c r="KH32" s="56" t="str">
        <f t="shared" si="28"/>
        <v/>
      </c>
      <c r="KI32" s="56" t="str">
        <f t="shared" si="28"/>
        <v/>
      </c>
      <c r="KJ32" s="56" t="str">
        <f t="shared" si="28"/>
        <v/>
      </c>
      <c r="KK32" s="56" t="str">
        <f t="shared" si="28"/>
        <v/>
      </c>
      <c r="KL32" s="56" t="str">
        <f t="shared" si="29"/>
        <v/>
      </c>
      <c r="KM32" s="56" t="str">
        <f t="shared" si="29"/>
        <v/>
      </c>
      <c r="KN32" s="56" t="str">
        <f t="shared" si="29"/>
        <v/>
      </c>
      <c r="KO32" s="56" t="str">
        <f t="shared" si="29"/>
        <v/>
      </c>
      <c r="KP32" s="56" t="str">
        <f t="shared" si="29"/>
        <v/>
      </c>
      <c r="KQ32" s="56" t="str">
        <f t="shared" si="29"/>
        <v/>
      </c>
      <c r="KR32" s="56" t="str">
        <f t="shared" si="29"/>
        <v/>
      </c>
      <c r="KS32" s="56" t="str">
        <f t="shared" si="29"/>
        <v/>
      </c>
      <c r="KT32" s="56" t="str">
        <f t="shared" si="29"/>
        <v/>
      </c>
      <c r="KU32" s="56" t="str">
        <f t="shared" si="29"/>
        <v/>
      </c>
      <c r="KV32" s="56" t="str">
        <f t="shared" si="29"/>
        <v/>
      </c>
      <c r="KW32" s="56" t="str">
        <f t="shared" si="29"/>
        <v/>
      </c>
      <c r="KX32" s="56" t="str">
        <f t="shared" si="29"/>
        <v/>
      </c>
    </row>
    <row r="33" spans="1:310" s="15" customFormat="1">
      <c r="A33" s="8"/>
      <c r="B33" s="52" t="s">
        <v>343</v>
      </c>
      <c r="C33" s="53" t="s">
        <v>305</v>
      </c>
      <c r="D33" s="22" t="s">
        <v>335</v>
      </c>
      <c r="E33" s="54">
        <v>0</v>
      </c>
      <c r="F33" s="55">
        <f>+G25</f>
        <v>46012</v>
      </c>
      <c r="G33" s="57">
        <f>+Hitos4352[[#This Row],[Inicio]]+Hitos4352[[#This Row],[Días]]</f>
        <v>46014</v>
      </c>
      <c r="H33" s="58">
        <v>2</v>
      </c>
      <c r="I33" s="14"/>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c r="FU33" s="56"/>
      <c r="FV33" s="56"/>
      <c r="FW33" s="56"/>
      <c r="FX33" s="56"/>
      <c r="FY33" s="56"/>
      <c r="FZ33" s="56"/>
      <c r="GA33" s="56"/>
      <c r="GB33" s="56"/>
      <c r="GC33" s="56"/>
      <c r="GD33" s="56"/>
      <c r="GE33" s="56"/>
      <c r="GF33" s="56"/>
      <c r="GG33" s="56"/>
      <c r="GH33" s="56"/>
      <c r="GI33" s="56"/>
      <c r="GJ33" s="56"/>
      <c r="GK33" s="56"/>
      <c r="GL33" s="56"/>
      <c r="GM33" s="56"/>
      <c r="GN33" s="56"/>
      <c r="GO33" s="56"/>
      <c r="GP33" s="56"/>
      <c r="GQ33" s="56"/>
      <c r="GR33" s="56"/>
      <c r="GS33" s="56"/>
      <c r="GT33" s="56"/>
      <c r="GU33" s="56"/>
      <c r="GV33" s="56"/>
      <c r="GW33" s="56"/>
      <c r="GX33" s="56"/>
      <c r="GY33" s="56"/>
      <c r="GZ33" s="56"/>
      <c r="HA33" s="56"/>
      <c r="HB33" s="56"/>
      <c r="HC33" s="56"/>
      <c r="HD33" s="56"/>
      <c r="HE33" s="56"/>
      <c r="HF33" s="56"/>
      <c r="HG33" s="56"/>
      <c r="HH33" s="56"/>
      <c r="HI33" s="56"/>
      <c r="HJ33" s="56"/>
      <c r="HK33" s="56"/>
      <c r="HL33" s="56"/>
      <c r="HM33" s="56"/>
      <c r="HN33" s="56"/>
      <c r="HO33" s="56"/>
      <c r="HP33" s="56"/>
      <c r="HQ33" s="56"/>
      <c r="HR33" s="56"/>
      <c r="HS33" s="56"/>
      <c r="HT33" s="56"/>
      <c r="HU33" s="56"/>
      <c r="HV33" s="56"/>
      <c r="HW33" s="56"/>
      <c r="HX33" s="56"/>
      <c r="HY33" s="56"/>
      <c r="HZ33" s="56"/>
      <c r="IA33" s="56"/>
      <c r="IB33" s="56"/>
      <c r="IC33" s="56"/>
      <c r="ID33" s="56"/>
      <c r="IE33" s="56"/>
      <c r="IF33" s="56"/>
      <c r="IG33" s="56"/>
      <c r="IH33" s="56"/>
      <c r="II33" s="56"/>
      <c r="IJ33" s="56"/>
      <c r="IK33" s="56"/>
      <c r="IL33" s="56"/>
      <c r="IM33" s="56"/>
      <c r="IN33" s="56"/>
      <c r="IO33" s="56"/>
      <c r="IP33" s="56"/>
      <c r="IQ33" s="56"/>
      <c r="IR33" s="56"/>
      <c r="IS33" s="56"/>
      <c r="IT33" s="56"/>
      <c r="IU33" s="56"/>
      <c r="IV33" s="56"/>
      <c r="IW33" s="56"/>
      <c r="IX33" s="56"/>
      <c r="IY33" s="56"/>
      <c r="IZ33" s="56"/>
      <c r="JA33" s="56"/>
      <c r="JB33" s="56"/>
      <c r="JC33" s="56"/>
      <c r="JD33" s="56"/>
      <c r="JE33" s="56"/>
      <c r="JF33" s="56"/>
      <c r="JG33" s="56"/>
      <c r="JH33" s="56"/>
      <c r="JI33" s="56"/>
      <c r="JJ33" s="56"/>
      <c r="JK33" s="56"/>
      <c r="JL33" s="56"/>
      <c r="JM33" s="56"/>
      <c r="JN33" s="56"/>
      <c r="JO33" s="56"/>
      <c r="JP33" s="56"/>
      <c r="JQ33" s="56"/>
      <c r="JR33" s="56"/>
      <c r="JS33" s="56"/>
      <c r="JT33" s="56"/>
      <c r="JU33" s="56"/>
      <c r="JV33" s="56"/>
      <c r="JW33" s="56"/>
      <c r="JX33" s="56"/>
      <c r="JY33" s="56"/>
      <c r="JZ33" s="56"/>
      <c r="KA33" s="56"/>
      <c r="KB33" s="56"/>
      <c r="KC33" s="56"/>
      <c r="KD33" s="56"/>
      <c r="KE33" s="56"/>
      <c r="KF33" s="56"/>
      <c r="KG33" s="56"/>
      <c r="KH33" s="56"/>
      <c r="KI33" s="56"/>
      <c r="KJ33" s="56"/>
      <c r="KK33" s="56"/>
      <c r="KL33" s="56"/>
      <c r="KM33" s="56"/>
      <c r="KN33" s="56"/>
      <c r="KO33" s="56"/>
      <c r="KP33" s="56"/>
      <c r="KQ33" s="56"/>
      <c r="KR33" s="56"/>
      <c r="KS33" s="56"/>
      <c r="KT33" s="56"/>
      <c r="KU33" s="56"/>
      <c r="KV33" s="56"/>
      <c r="KW33" s="56"/>
      <c r="KX33" s="56"/>
    </row>
    <row r="34" spans="1:310" s="15" customFormat="1">
      <c r="A34" s="8"/>
      <c r="B34" s="52" t="s">
        <v>344</v>
      </c>
      <c r="C34" s="53" t="s">
        <v>305</v>
      </c>
      <c r="D34" s="22" t="s">
        <v>335</v>
      </c>
      <c r="E34" s="54">
        <v>0</v>
      </c>
      <c r="F34" s="55">
        <f t="shared" ref="F34:F40" si="30">+G33</f>
        <v>46014</v>
      </c>
      <c r="G34" s="57">
        <f>+Hitos4352[[#This Row],[Inicio]]+Hitos4352[[#This Row],[Días]]</f>
        <v>46016</v>
      </c>
      <c r="H34" s="58">
        <v>2</v>
      </c>
      <c r="I34" s="14"/>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c r="IN34" s="56"/>
      <c r="IO34" s="56"/>
      <c r="IP34" s="56"/>
      <c r="IQ34" s="56"/>
      <c r="IR34" s="56"/>
      <c r="IS34" s="56"/>
      <c r="IT34" s="56"/>
      <c r="IU34" s="56"/>
      <c r="IV34" s="56"/>
      <c r="IW34" s="56"/>
      <c r="IX34" s="56"/>
      <c r="IY34" s="56"/>
      <c r="IZ34" s="56"/>
      <c r="JA34" s="56"/>
      <c r="JB34" s="56"/>
      <c r="JC34" s="56"/>
      <c r="JD34" s="56"/>
      <c r="JE34" s="56"/>
      <c r="JF34" s="56"/>
      <c r="JG34" s="56"/>
      <c r="JH34" s="56"/>
      <c r="JI34" s="56"/>
      <c r="JJ34" s="56"/>
      <c r="JK34" s="56"/>
      <c r="JL34" s="56"/>
      <c r="JM34" s="56"/>
      <c r="JN34" s="56"/>
      <c r="JO34" s="56"/>
      <c r="JP34" s="56"/>
      <c r="JQ34" s="56"/>
      <c r="JR34" s="56"/>
      <c r="JS34" s="56"/>
      <c r="JT34" s="56"/>
      <c r="JU34" s="56"/>
      <c r="JV34" s="56"/>
      <c r="JW34" s="56"/>
      <c r="JX34" s="56"/>
      <c r="JY34" s="56"/>
      <c r="JZ34" s="56"/>
      <c r="KA34" s="56"/>
      <c r="KB34" s="56"/>
      <c r="KC34" s="56"/>
      <c r="KD34" s="56"/>
      <c r="KE34" s="56"/>
      <c r="KF34" s="56"/>
      <c r="KG34" s="56"/>
      <c r="KH34" s="56"/>
      <c r="KI34" s="56"/>
      <c r="KJ34" s="56"/>
      <c r="KK34" s="56"/>
      <c r="KL34" s="56"/>
      <c r="KM34" s="56"/>
      <c r="KN34" s="56"/>
      <c r="KO34" s="56"/>
      <c r="KP34" s="56"/>
      <c r="KQ34" s="56"/>
      <c r="KR34" s="56"/>
      <c r="KS34" s="56"/>
      <c r="KT34" s="56"/>
      <c r="KU34" s="56"/>
      <c r="KV34" s="56"/>
      <c r="KW34" s="56"/>
      <c r="KX34" s="56"/>
    </row>
    <row r="35" spans="1:310" s="15" customFormat="1">
      <c r="A35" s="8"/>
      <c r="B35" s="52" t="s">
        <v>345</v>
      </c>
      <c r="C35" s="53" t="s">
        <v>305</v>
      </c>
      <c r="D35" s="22" t="s">
        <v>335</v>
      </c>
      <c r="E35" s="54">
        <v>0</v>
      </c>
      <c r="F35" s="55">
        <f t="shared" si="30"/>
        <v>46016</v>
      </c>
      <c r="G35" s="57">
        <f>+Hitos4352[[#This Row],[Inicio]]+Hitos4352[[#This Row],[Días]]</f>
        <v>46018</v>
      </c>
      <c r="H35" s="58">
        <v>2</v>
      </c>
      <c r="I35" s="14"/>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c r="IX35" s="56"/>
      <c r="IY35" s="56"/>
      <c r="IZ35" s="56"/>
      <c r="JA35" s="56"/>
      <c r="JB35" s="56"/>
      <c r="JC35" s="56"/>
      <c r="JD35" s="56"/>
      <c r="JE35" s="56"/>
      <c r="JF35" s="56"/>
      <c r="JG35" s="56"/>
      <c r="JH35" s="56"/>
      <c r="JI35" s="56"/>
      <c r="JJ35" s="56"/>
      <c r="JK35" s="56"/>
      <c r="JL35" s="56"/>
      <c r="JM35" s="56"/>
      <c r="JN35" s="56"/>
      <c r="JO35" s="56"/>
      <c r="JP35" s="56"/>
      <c r="JQ35" s="56"/>
      <c r="JR35" s="56"/>
      <c r="JS35" s="56"/>
      <c r="JT35" s="56"/>
      <c r="JU35" s="56"/>
      <c r="JV35" s="56"/>
      <c r="JW35" s="56"/>
      <c r="JX35" s="56"/>
      <c r="JY35" s="56"/>
      <c r="JZ35" s="56"/>
      <c r="KA35" s="56"/>
      <c r="KB35" s="56"/>
      <c r="KC35" s="56"/>
      <c r="KD35" s="56"/>
      <c r="KE35" s="56"/>
      <c r="KF35" s="56"/>
      <c r="KG35" s="56"/>
      <c r="KH35" s="56"/>
      <c r="KI35" s="56"/>
      <c r="KJ35" s="56"/>
      <c r="KK35" s="56"/>
      <c r="KL35" s="56"/>
      <c r="KM35" s="56"/>
      <c r="KN35" s="56"/>
      <c r="KO35" s="56"/>
      <c r="KP35" s="56"/>
      <c r="KQ35" s="56"/>
      <c r="KR35" s="56"/>
      <c r="KS35" s="56"/>
      <c r="KT35" s="56"/>
      <c r="KU35" s="56"/>
      <c r="KV35" s="56"/>
      <c r="KW35" s="56"/>
      <c r="KX35" s="56"/>
    </row>
    <row r="36" spans="1:310" s="15" customFormat="1">
      <c r="A36" s="8"/>
      <c r="B36" s="52" t="s">
        <v>346</v>
      </c>
      <c r="C36" s="53" t="s">
        <v>305</v>
      </c>
      <c r="D36" s="22" t="s">
        <v>335</v>
      </c>
      <c r="E36" s="54">
        <v>0</v>
      </c>
      <c r="F36" s="55">
        <f t="shared" si="30"/>
        <v>46018</v>
      </c>
      <c r="G36" s="57">
        <f>+Hitos4352[[#This Row],[Inicio]]+Hitos4352[[#This Row],[Días]]</f>
        <v>46020</v>
      </c>
      <c r="H36" s="58">
        <v>2</v>
      </c>
      <c r="I36" s="14"/>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c r="IX36" s="56"/>
      <c r="IY36" s="56"/>
      <c r="IZ36" s="56"/>
      <c r="JA36" s="56"/>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c r="JZ36" s="56"/>
      <c r="KA36" s="56"/>
      <c r="KB36" s="56"/>
      <c r="KC36" s="56"/>
      <c r="KD36" s="56"/>
      <c r="KE36" s="56"/>
      <c r="KF36" s="56"/>
      <c r="KG36" s="56"/>
      <c r="KH36" s="56"/>
      <c r="KI36" s="56"/>
      <c r="KJ36" s="56"/>
      <c r="KK36" s="56"/>
      <c r="KL36" s="56"/>
      <c r="KM36" s="56"/>
      <c r="KN36" s="56"/>
      <c r="KO36" s="56"/>
      <c r="KP36" s="56"/>
      <c r="KQ36" s="56"/>
      <c r="KR36" s="56"/>
      <c r="KS36" s="56"/>
      <c r="KT36" s="56"/>
      <c r="KU36" s="56"/>
      <c r="KV36" s="56"/>
      <c r="KW36" s="56"/>
      <c r="KX36" s="56"/>
    </row>
    <row r="37" spans="1:310" s="15" customFormat="1">
      <c r="A37" s="8"/>
      <c r="B37" s="52" t="s">
        <v>347</v>
      </c>
      <c r="C37" s="53" t="s">
        <v>305</v>
      </c>
      <c r="D37" s="22" t="s">
        <v>335</v>
      </c>
      <c r="E37" s="54">
        <v>0</v>
      </c>
      <c r="F37" s="55">
        <f t="shared" si="30"/>
        <v>46020</v>
      </c>
      <c r="G37" s="57">
        <f>+Hitos4352[[#This Row],[Inicio]]+Hitos4352[[#This Row],[Días]]</f>
        <v>46022</v>
      </c>
      <c r="H37" s="58">
        <v>2</v>
      </c>
      <c r="I37" s="14"/>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c r="IX37" s="56"/>
      <c r="IY37" s="56"/>
      <c r="IZ37" s="56"/>
      <c r="JA37" s="56"/>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c r="JZ37" s="56"/>
      <c r="KA37" s="56"/>
      <c r="KB37" s="56"/>
      <c r="KC37" s="56"/>
      <c r="KD37" s="56"/>
      <c r="KE37" s="56"/>
      <c r="KF37" s="56"/>
      <c r="KG37" s="56"/>
      <c r="KH37" s="56"/>
      <c r="KI37" s="56"/>
      <c r="KJ37" s="56"/>
      <c r="KK37" s="56"/>
      <c r="KL37" s="56"/>
      <c r="KM37" s="56"/>
      <c r="KN37" s="56"/>
      <c r="KO37" s="56"/>
      <c r="KP37" s="56"/>
      <c r="KQ37" s="56"/>
      <c r="KR37" s="56"/>
      <c r="KS37" s="56"/>
      <c r="KT37" s="56"/>
      <c r="KU37" s="56"/>
      <c r="KV37" s="56"/>
      <c r="KW37" s="56"/>
      <c r="KX37" s="56"/>
    </row>
    <row r="38" spans="1:310" s="15" customFormat="1">
      <c r="A38" s="8"/>
      <c r="B38" s="52" t="s">
        <v>348</v>
      </c>
      <c r="C38" s="53" t="s">
        <v>305</v>
      </c>
      <c r="D38" s="22" t="s">
        <v>335</v>
      </c>
      <c r="E38" s="54">
        <v>0</v>
      </c>
      <c r="F38" s="55">
        <f t="shared" si="30"/>
        <v>46022</v>
      </c>
      <c r="G38" s="57">
        <f>+Hitos4352[[#This Row],[Inicio]]+Hitos4352[[#This Row],[Días]]</f>
        <v>46024</v>
      </c>
      <c r="H38" s="58">
        <v>2</v>
      </c>
      <c r="I38" s="14"/>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c r="IX38" s="56"/>
      <c r="IY38" s="56"/>
      <c r="IZ38" s="56"/>
      <c r="JA38" s="56"/>
      <c r="JB38" s="56"/>
      <c r="JC38" s="56"/>
      <c r="JD38" s="56"/>
      <c r="JE38" s="56"/>
      <c r="JF38" s="56"/>
      <c r="JG38" s="56"/>
      <c r="JH38" s="56"/>
      <c r="JI38" s="56"/>
      <c r="JJ38" s="56"/>
      <c r="JK38" s="56"/>
      <c r="JL38" s="56"/>
      <c r="JM38" s="56"/>
      <c r="JN38" s="56"/>
      <c r="JO38" s="56"/>
      <c r="JP38" s="56"/>
      <c r="JQ38" s="56"/>
      <c r="JR38" s="56"/>
      <c r="JS38" s="56"/>
      <c r="JT38" s="56"/>
      <c r="JU38" s="56"/>
      <c r="JV38" s="56"/>
      <c r="JW38" s="56"/>
      <c r="JX38" s="56"/>
      <c r="JY38" s="56"/>
      <c r="JZ38" s="56"/>
      <c r="KA38" s="56"/>
      <c r="KB38" s="56"/>
      <c r="KC38" s="56"/>
      <c r="KD38" s="56"/>
      <c r="KE38" s="56"/>
      <c r="KF38" s="56"/>
      <c r="KG38" s="56"/>
      <c r="KH38" s="56"/>
      <c r="KI38" s="56"/>
      <c r="KJ38" s="56"/>
      <c r="KK38" s="56"/>
      <c r="KL38" s="56"/>
      <c r="KM38" s="56"/>
      <c r="KN38" s="56"/>
      <c r="KO38" s="56"/>
      <c r="KP38" s="56"/>
      <c r="KQ38" s="56"/>
      <c r="KR38" s="56"/>
      <c r="KS38" s="56"/>
      <c r="KT38" s="56"/>
      <c r="KU38" s="56"/>
      <c r="KV38" s="56"/>
      <c r="KW38" s="56"/>
      <c r="KX38" s="56"/>
    </row>
    <row r="39" spans="1:310" s="15" customFormat="1">
      <c r="A39" s="8"/>
      <c r="B39" s="52" t="s">
        <v>349</v>
      </c>
      <c r="C39" s="53" t="s">
        <v>305</v>
      </c>
      <c r="D39" s="22" t="s">
        <v>335</v>
      </c>
      <c r="E39" s="54">
        <v>0</v>
      </c>
      <c r="F39" s="55">
        <f t="shared" si="30"/>
        <v>46024</v>
      </c>
      <c r="G39" s="57">
        <f>+Hitos4352[[#This Row],[Inicio]]+Hitos4352[[#This Row],[Días]]</f>
        <v>46026</v>
      </c>
      <c r="H39" s="58">
        <v>2</v>
      </c>
      <c r="I39" s="14"/>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c r="IX39" s="56"/>
      <c r="IY39" s="56"/>
      <c r="IZ39" s="56"/>
      <c r="JA39" s="56"/>
      <c r="JB39" s="56"/>
      <c r="JC39" s="56"/>
      <c r="JD39" s="56"/>
      <c r="JE39" s="56"/>
      <c r="JF39" s="56"/>
      <c r="JG39" s="56"/>
      <c r="JH39" s="56"/>
      <c r="JI39" s="56"/>
      <c r="JJ39" s="56"/>
      <c r="JK39" s="56"/>
      <c r="JL39" s="56"/>
      <c r="JM39" s="56"/>
      <c r="JN39" s="56"/>
      <c r="JO39" s="56"/>
      <c r="JP39" s="56"/>
      <c r="JQ39" s="56"/>
      <c r="JR39" s="56"/>
      <c r="JS39" s="56"/>
      <c r="JT39" s="56"/>
      <c r="JU39" s="56"/>
      <c r="JV39" s="56"/>
      <c r="JW39" s="56"/>
      <c r="JX39" s="56"/>
      <c r="JY39" s="56"/>
      <c r="JZ39" s="56"/>
      <c r="KA39" s="56"/>
      <c r="KB39" s="56"/>
      <c r="KC39" s="56"/>
      <c r="KD39" s="56"/>
      <c r="KE39" s="56"/>
      <c r="KF39" s="56"/>
      <c r="KG39" s="56"/>
      <c r="KH39" s="56"/>
      <c r="KI39" s="56"/>
      <c r="KJ39" s="56"/>
      <c r="KK39" s="56"/>
      <c r="KL39" s="56"/>
      <c r="KM39" s="56"/>
      <c r="KN39" s="56"/>
      <c r="KO39" s="56"/>
      <c r="KP39" s="56"/>
      <c r="KQ39" s="56"/>
      <c r="KR39" s="56"/>
      <c r="KS39" s="56"/>
      <c r="KT39" s="56"/>
      <c r="KU39" s="56"/>
      <c r="KV39" s="56"/>
      <c r="KW39" s="56"/>
      <c r="KX39" s="56"/>
    </row>
    <row r="40" spans="1:310" s="15" customFormat="1">
      <c r="A40" s="8"/>
      <c r="B40" s="52" t="s">
        <v>350</v>
      </c>
      <c r="C40" s="53" t="s">
        <v>305</v>
      </c>
      <c r="D40" s="22" t="s">
        <v>335</v>
      </c>
      <c r="E40" s="54">
        <v>0</v>
      </c>
      <c r="F40" s="55">
        <f t="shared" si="30"/>
        <v>46026</v>
      </c>
      <c r="G40" s="57">
        <f>+Hitos4352[[#This Row],[Inicio]]+Hitos4352[[#This Row],[Días]]</f>
        <v>46028</v>
      </c>
      <c r="H40" s="58">
        <v>2</v>
      </c>
      <c r="I40" s="14"/>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c r="IX40" s="56"/>
      <c r="IY40" s="56"/>
      <c r="IZ40" s="56"/>
      <c r="JA40" s="56"/>
      <c r="JB40" s="56"/>
      <c r="JC40" s="56"/>
      <c r="JD40" s="56"/>
      <c r="JE40" s="56"/>
      <c r="JF40" s="56"/>
      <c r="JG40" s="56"/>
      <c r="JH40" s="56"/>
      <c r="JI40" s="56"/>
      <c r="JJ40" s="56"/>
      <c r="JK40" s="56"/>
      <c r="JL40" s="56"/>
      <c r="JM40" s="56"/>
      <c r="JN40" s="56"/>
      <c r="JO40" s="56"/>
      <c r="JP40" s="56"/>
      <c r="JQ40" s="56"/>
      <c r="JR40" s="56"/>
      <c r="JS40" s="56"/>
      <c r="JT40" s="56"/>
      <c r="JU40" s="56"/>
      <c r="JV40" s="56"/>
      <c r="JW40" s="56"/>
      <c r="JX40" s="56"/>
      <c r="JY40" s="56"/>
      <c r="JZ40" s="56"/>
      <c r="KA40" s="56"/>
      <c r="KB40" s="56"/>
      <c r="KC40" s="56"/>
      <c r="KD40" s="56"/>
      <c r="KE40" s="56"/>
      <c r="KF40" s="56"/>
      <c r="KG40" s="56"/>
      <c r="KH40" s="56"/>
      <c r="KI40" s="56"/>
      <c r="KJ40" s="56"/>
      <c r="KK40" s="56"/>
      <c r="KL40" s="56"/>
      <c r="KM40" s="56"/>
      <c r="KN40" s="56"/>
      <c r="KO40" s="56"/>
      <c r="KP40" s="56"/>
      <c r="KQ40" s="56"/>
      <c r="KR40" s="56"/>
      <c r="KS40" s="56"/>
      <c r="KT40" s="56"/>
      <c r="KU40" s="56"/>
      <c r="KV40" s="56"/>
      <c r="KW40" s="56"/>
      <c r="KX40" s="56"/>
    </row>
    <row r="41" spans="1:310" s="15" customFormat="1">
      <c r="A41" s="34"/>
      <c r="B41" s="46" t="s">
        <v>353</v>
      </c>
      <c r="C41" s="47" t="s">
        <v>305</v>
      </c>
      <c r="D41" s="48" t="s">
        <v>335</v>
      </c>
      <c r="E41" s="60">
        <f>+((E42*H42)+(E43*H43)+(E44*H44)+(E45*H45)+(E46*H46)+(E47*H47)+(E48*H48)+(E49*H49))/SUM(H42:H49)</f>
        <v>0</v>
      </c>
      <c r="F41" s="50">
        <f>+F42</f>
        <v>46028</v>
      </c>
      <c r="G41" s="50">
        <f>+G49</f>
        <v>46044</v>
      </c>
      <c r="H41" s="51">
        <f>+SUM(H42:H49)</f>
        <v>16</v>
      </c>
      <c r="I41" s="14"/>
      <c r="J41" s="56" t="str">
        <f t="shared" si="5"/>
        <v/>
      </c>
      <c r="K41" s="56" t="str">
        <f t="shared" si="5"/>
        <v/>
      </c>
      <c r="L41" s="56" t="str">
        <f t="shared" si="5"/>
        <v/>
      </c>
      <c r="M41" s="56" t="str">
        <f t="shared" si="5"/>
        <v/>
      </c>
      <c r="N41" s="56" t="str">
        <f t="shared" si="5"/>
        <v/>
      </c>
      <c r="O41" s="56" t="str">
        <f t="shared" si="5"/>
        <v/>
      </c>
      <c r="P41" s="56" t="str">
        <f t="shared" si="5"/>
        <v/>
      </c>
      <c r="Q41" s="56" t="str">
        <f t="shared" si="5"/>
        <v/>
      </c>
      <c r="R41" s="56" t="str">
        <f t="shared" si="5"/>
        <v/>
      </c>
      <c r="S41" s="56" t="str">
        <f t="shared" si="5"/>
        <v/>
      </c>
      <c r="T41" s="56" t="str">
        <f t="shared" si="5"/>
        <v/>
      </c>
      <c r="U41" s="56" t="str">
        <f t="shared" si="5"/>
        <v/>
      </c>
      <c r="V41" s="56" t="str">
        <f t="shared" si="5"/>
        <v/>
      </c>
      <c r="W41" s="56" t="str">
        <f t="shared" si="5"/>
        <v/>
      </c>
      <c r="X41" s="56" t="str">
        <f t="shared" si="5"/>
        <v/>
      </c>
      <c r="Y41" s="56" t="str">
        <f t="shared" si="5"/>
        <v/>
      </c>
      <c r="Z41" s="56" t="str">
        <f t="shared" si="12"/>
        <v/>
      </c>
      <c r="AA41" s="56" t="str">
        <f t="shared" si="12"/>
        <v/>
      </c>
      <c r="AB41" s="56" t="str">
        <f t="shared" si="12"/>
        <v/>
      </c>
      <c r="AC41" s="56" t="str">
        <f t="shared" si="12"/>
        <v/>
      </c>
      <c r="AD41" s="56" t="str">
        <f t="shared" si="12"/>
        <v/>
      </c>
      <c r="AE41" s="56" t="str">
        <f t="shared" si="12"/>
        <v/>
      </c>
      <c r="AF41" s="56" t="str">
        <f t="shared" si="12"/>
        <v/>
      </c>
      <c r="AG41" s="56" t="str">
        <f t="shared" si="12"/>
        <v/>
      </c>
      <c r="AH41" s="56" t="str">
        <f t="shared" si="12"/>
        <v/>
      </c>
      <c r="AI41" s="56" t="str">
        <f t="shared" si="12"/>
        <v/>
      </c>
      <c r="AJ41" s="56" t="str">
        <f t="shared" si="12"/>
        <v/>
      </c>
      <c r="AK41" s="56" t="str">
        <f t="shared" si="12"/>
        <v/>
      </c>
      <c r="AL41" s="56" t="str">
        <f t="shared" si="12"/>
        <v/>
      </c>
      <c r="AM41" s="56" t="str">
        <f t="shared" si="12"/>
        <v/>
      </c>
      <c r="AN41" s="56" t="str">
        <f t="shared" si="12"/>
        <v/>
      </c>
      <c r="AO41" s="56" t="str">
        <f t="shared" si="12"/>
        <v/>
      </c>
      <c r="AP41" s="56" t="str">
        <f t="shared" si="13"/>
        <v/>
      </c>
      <c r="AQ41" s="56" t="str">
        <f t="shared" si="13"/>
        <v/>
      </c>
      <c r="AR41" s="56" t="str">
        <f t="shared" si="13"/>
        <v/>
      </c>
      <c r="AS41" s="56" t="str">
        <f t="shared" si="13"/>
        <v/>
      </c>
      <c r="AT41" s="56" t="str">
        <f t="shared" si="13"/>
        <v/>
      </c>
      <c r="AU41" s="56" t="str">
        <f t="shared" si="13"/>
        <v/>
      </c>
      <c r="AV41" s="56" t="str">
        <f t="shared" si="13"/>
        <v/>
      </c>
      <c r="AW41" s="56" t="str">
        <f t="shared" si="13"/>
        <v/>
      </c>
      <c r="AX41" s="56" t="str">
        <f t="shared" si="13"/>
        <v/>
      </c>
      <c r="AY41" s="56" t="str">
        <f t="shared" si="13"/>
        <v/>
      </c>
      <c r="AZ41" s="56" t="str">
        <f t="shared" si="13"/>
        <v/>
      </c>
      <c r="BA41" s="56" t="str">
        <f t="shared" si="13"/>
        <v/>
      </c>
      <c r="BB41" s="56" t="str">
        <f t="shared" si="13"/>
        <v/>
      </c>
      <c r="BC41" s="56" t="str">
        <f t="shared" si="13"/>
        <v/>
      </c>
      <c r="BD41" s="56" t="str">
        <f t="shared" si="13"/>
        <v/>
      </c>
      <c r="BE41" s="56" t="str">
        <f t="shared" si="13"/>
        <v/>
      </c>
      <c r="BF41" s="56" t="str">
        <f t="shared" si="14"/>
        <v/>
      </c>
      <c r="BG41" s="56" t="str">
        <f t="shared" si="14"/>
        <v/>
      </c>
      <c r="BH41" s="56" t="str">
        <f t="shared" si="14"/>
        <v/>
      </c>
      <c r="BI41" s="56" t="str">
        <f t="shared" si="14"/>
        <v/>
      </c>
      <c r="BJ41" s="56" t="str">
        <f t="shared" si="14"/>
        <v/>
      </c>
      <c r="BK41" s="56" t="str">
        <f t="shared" si="14"/>
        <v/>
      </c>
      <c r="BL41" s="56" t="str">
        <f t="shared" si="14"/>
        <v/>
      </c>
      <c r="BM41" s="56" t="str">
        <f t="shared" si="14"/>
        <v/>
      </c>
      <c r="BN41" s="56" t="str">
        <f t="shared" si="14"/>
        <v/>
      </c>
      <c r="BO41" s="56" t="str">
        <f t="shared" si="14"/>
        <v/>
      </c>
      <c r="BP41" s="56" t="str">
        <f t="shared" si="14"/>
        <v/>
      </c>
      <c r="BQ41" s="56" t="str">
        <f t="shared" si="14"/>
        <v/>
      </c>
      <c r="BR41" s="56" t="str">
        <f t="shared" si="14"/>
        <v/>
      </c>
      <c r="BS41" s="56" t="str">
        <f t="shared" si="14"/>
        <v/>
      </c>
      <c r="BT41" s="56" t="str">
        <f t="shared" si="14"/>
        <v/>
      </c>
      <c r="BU41" s="56" t="str">
        <f t="shared" si="14"/>
        <v/>
      </c>
      <c r="BV41" s="56" t="str">
        <f t="shared" si="15"/>
        <v/>
      </c>
      <c r="BW41" s="56" t="str">
        <f t="shared" si="15"/>
        <v/>
      </c>
      <c r="BX41" s="56" t="str">
        <f t="shared" si="15"/>
        <v/>
      </c>
      <c r="BY41" s="56" t="str">
        <f t="shared" si="15"/>
        <v/>
      </c>
      <c r="BZ41" s="56" t="str">
        <f t="shared" si="15"/>
        <v/>
      </c>
      <c r="CA41" s="56" t="str">
        <f t="shared" si="15"/>
        <v/>
      </c>
      <c r="CB41" s="56" t="str">
        <f t="shared" si="15"/>
        <v/>
      </c>
      <c r="CC41" s="56" t="str">
        <f t="shared" si="15"/>
        <v/>
      </c>
      <c r="CD41" s="56" t="str">
        <f t="shared" si="15"/>
        <v/>
      </c>
      <c r="CE41" s="56" t="str">
        <f t="shared" si="15"/>
        <v/>
      </c>
      <c r="CF41" s="56" t="str">
        <f t="shared" si="15"/>
        <v/>
      </c>
      <c r="CG41" s="56" t="str">
        <f t="shared" si="15"/>
        <v/>
      </c>
      <c r="CH41" s="56" t="str">
        <f t="shared" si="15"/>
        <v/>
      </c>
      <c r="CI41" s="56" t="str">
        <f t="shared" si="15"/>
        <v/>
      </c>
      <c r="CJ41" s="56" t="str">
        <f t="shared" si="15"/>
        <v/>
      </c>
      <c r="CK41" s="56" t="str">
        <f t="shared" si="15"/>
        <v/>
      </c>
      <c r="CL41" s="56" t="str">
        <f t="shared" si="16"/>
        <v/>
      </c>
      <c r="CM41" s="56" t="str">
        <f t="shared" si="16"/>
        <v/>
      </c>
      <c r="CN41" s="56" t="str">
        <f t="shared" si="16"/>
        <v/>
      </c>
      <c r="CO41" s="56" t="str">
        <f t="shared" si="16"/>
        <v/>
      </c>
      <c r="CP41" s="56" t="str">
        <f t="shared" si="16"/>
        <v/>
      </c>
      <c r="CQ41" s="56" t="str">
        <f t="shared" si="16"/>
        <v/>
      </c>
      <c r="CR41" s="56" t="str">
        <f t="shared" si="16"/>
        <v/>
      </c>
      <c r="CS41" s="56" t="str">
        <f t="shared" si="16"/>
        <v/>
      </c>
      <c r="CT41" s="56" t="str">
        <f t="shared" si="16"/>
        <v/>
      </c>
      <c r="CU41" s="56" t="str">
        <f t="shared" si="16"/>
        <v/>
      </c>
      <c r="CV41" s="56" t="str">
        <f t="shared" si="16"/>
        <v/>
      </c>
      <c r="CW41" s="56" t="str">
        <f t="shared" si="16"/>
        <v/>
      </c>
      <c r="CX41" s="56" t="str">
        <f t="shared" si="16"/>
        <v/>
      </c>
      <c r="CY41" s="56" t="str">
        <f t="shared" si="16"/>
        <v/>
      </c>
      <c r="CZ41" s="56" t="str">
        <f t="shared" si="16"/>
        <v/>
      </c>
      <c r="DA41" s="56" t="str">
        <f t="shared" si="16"/>
        <v/>
      </c>
      <c r="DB41" s="56" t="str">
        <f t="shared" si="17"/>
        <v/>
      </c>
      <c r="DC41" s="56" t="str">
        <f t="shared" si="17"/>
        <v/>
      </c>
      <c r="DD41" s="56" t="str">
        <f t="shared" si="17"/>
        <v/>
      </c>
      <c r="DE41" s="56" t="str">
        <f t="shared" si="17"/>
        <v/>
      </c>
      <c r="DF41" s="56" t="str">
        <f t="shared" si="17"/>
        <v/>
      </c>
      <c r="DG41" s="56" t="str">
        <f t="shared" si="17"/>
        <v/>
      </c>
      <c r="DH41" s="56" t="str">
        <f t="shared" si="17"/>
        <v/>
      </c>
      <c r="DI41" s="56" t="str">
        <f t="shared" si="17"/>
        <v/>
      </c>
      <c r="DJ41" s="56" t="str">
        <f t="shared" si="17"/>
        <v/>
      </c>
      <c r="DK41" s="56" t="str">
        <f t="shared" si="17"/>
        <v/>
      </c>
      <c r="DL41" s="56" t="str">
        <f t="shared" si="17"/>
        <v/>
      </c>
      <c r="DM41" s="56" t="str">
        <f t="shared" si="17"/>
        <v/>
      </c>
      <c r="DN41" s="56" t="str">
        <f t="shared" si="17"/>
        <v/>
      </c>
      <c r="DO41" s="56" t="str">
        <f t="shared" si="17"/>
        <v/>
      </c>
      <c r="DP41" s="56" t="str">
        <f t="shared" si="17"/>
        <v/>
      </c>
      <c r="DQ41" s="56" t="str">
        <f t="shared" si="17"/>
        <v/>
      </c>
      <c r="DR41" s="56" t="str">
        <f t="shared" si="18"/>
        <v/>
      </c>
      <c r="DS41" s="56" t="str">
        <f t="shared" si="18"/>
        <v/>
      </c>
      <c r="DT41" s="56" t="str">
        <f t="shared" si="18"/>
        <v/>
      </c>
      <c r="DU41" s="56" t="str">
        <f t="shared" si="18"/>
        <v/>
      </c>
      <c r="DV41" s="56" t="str">
        <f t="shared" si="18"/>
        <v/>
      </c>
      <c r="DW41" s="56" t="str">
        <f t="shared" si="18"/>
        <v/>
      </c>
      <c r="DX41" s="56" t="str">
        <f t="shared" si="18"/>
        <v/>
      </c>
      <c r="DY41" s="56" t="str">
        <f t="shared" si="18"/>
        <v/>
      </c>
      <c r="DZ41" s="56" t="str">
        <f t="shared" si="18"/>
        <v/>
      </c>
      <c r="EA41" s="56" t="str">
        <f t="shared" si="18"/>
        <v/>
      </c>
      <c r="EB41" s="56" t="str">
        <f t="shared" si="18"/>
        <v/>
      </c>
      <c r="EC41" s="56" t="str">
        <f t="shared" si="18"/>
        <v/>
      </c>
      <c r="ED41" s="56" t="str">
        <f t="shared" si="18"/>
        <v/>
      </c>
      <c r="EE41" s="56" t="str">
        <f t="shared" si="18"/>
        <v/>
      </c>
      <c r="EF41" s="56" t="str">
        <f t="shared" si="18"/>
        <v/>
      </c>
      <c r="EG41" s="56" t="str">
        <f t="shared" si="18"/>
        <v/>
      </c>
      <c r="EH41" s="56" t="str">
        <f t="shared" si="19"/>
        <v/>
      </c>
      <c r="EI41" s="56" t="str">
        <f t="shared" si="19"/>
        <v/>
      </c>
      <c r="EJ41" s="56" t="str">
        <f t="shared" si="19"/>
        <v/>
      </c>
      <c r="EK41" s="56" t="str">
        <f t="shared" si="19"/>
        <v/>
      </c>
      <c r="EL41" s="56" t="str">
        <f t="shared" si="19"/>
        <v/>
      </c>
      <c r="EM41" s="56" t="str">
        <f t="shared" si="19"/>
        <v/>
      </c>
      <c r="EN41" s="56" t="str">
        <f t="shared" si="19"/>
        <v/>
      </c>
      <c r="EO41" s="56" t="str">
        <f t="shared" si="19"/>
        <v/>
      </c>
      <c r="EP41" s="56" t="str">
        <f t="shared" si="19"/>
        <v/>
      </c>
      <c r="EQ41" s="56" t="str">
        <f t="shared" si="19"/>
        <v/>
      </c>
      <c r="ER41" s="56" t="str">
        <f t="shared" si="19"/>
        <v/>
      </c>
      <c r="ES41" s="56" t="str">
        <f t="shared" si="19"/>
        <v/>
      </c>
      <c r="ET41" s="56" t="str">
        <f t="shared" si="19"/>
        <v/>
      </c>
      <c r="EU41" s="56" t="str">
        <f t="shared" si="19"/>
        <v/>
      </c>
      <c r="EV41" s="56" t="str">
        <f t="shared" si="19"/>
        <v/>
      </c>
      <c r="EW41" s="56" t="str">
        <f t="shared" si="19"/>
        <v/>
      </c>
      <c r="EX41" s="56" t="str">
        <f t="shared" si="20"/>
        <v/>
      </c>
      <c r="EY41" s="56" t="str">
        <f t="shared" si="20"/>
        <v/>
      </c>
      <c r="EZ41" s="56" t="str">
        <f t="shared" si="20"/>
        <v/>
      </c>
      <c r="FA41" s="56" t="str">
        <f t="shared" si="20"/>
        <v/>
      </c>
      <c r="FB41" s="56" t="str">
        <f t="shared" si="20"/>
        <v/>
      </c>
      <c r="FC41" s="56" t="str">
        <f t="shared" si="20"/>
        <v/>
      </c>
      <c r="FD41" s="56" t="str">
        <f t="shared" si="20"/>
        <v/>
      </c>
      <c r="FE41" s="56" t="str">
        <f t="shared" si="20"/>
        <v/>
      </c>
      <c r="FF41" s="56" t="str">
        <f t="shared" si="20"/>
        <v/>
      </c>
      <c r="FG41" s="56" t="str">
        <f t="shared" si="20"/>
        <v/>
      </c>
      <c r="FH41" s="56" t="str">
        <f t="shared" si="20"/>
        <v/>
      </c>
      <c r="FI41" s="56" t="str">
        <f t="shared" si="20"/>
        <v/>
      </c>
      <c r="FJ41" s="56" t="str">
        <f t="shared" si="20"/>
        <v/>
      </c>
      <c r="FK41" s="56" t="str">
        <f t="shared" si="20"/>
        <v/>
      </c>
      <c r="FL41" s="56" t="str">
        <f t="shared" si="20"/>
        <v/>
      </c>
      <c r="FM41" s="56" t="str">
        <f t="shared" si="20"/>
        <v/>
      </c>
      <c r="FN41" s="56" t="str">
        <f t="shared" si="21"/>
        <v/>
      </c>
      <c r="FO41" s="56" t="str">
        <f t="shared" si="21"/>
        <v/>
      </c>
      <c r="FP41" s="56" t="str">
        <f t="shared" si="21"/>
        <v/>
      </c>
      <c r="FQ41" s="56" t="str">
        <f t="shared" si="21"/>
        <v/>
      </c>
      <c r="FR41" s="56" t="str">
        <f t="shared" si="21"/>
        <v/>
      </c>
      <c r="FS41" s="56" t="str">
        <f t="shared" si="21"/>
        <v/>
      </c>
      <c r="FT41" s="56" t="str">
        <f t="shared" si="21"/>
        <v/>
      </c>
      <c r="FU41" s="56" t="str">
        <f t="shared" si="21"/>
        <v/>
      </c>
      <c r="FV41" s="56" t="str">
        <f t="shared" si="21"/>
        <v/>
      </c>
      <c r="FW41" s="56" t="str">
        <f t="shared" si="21"/>
        <v/>
      </c>
      <c r="FX41" s="56" t="str">
        <f t="shared" si="21"/>
        <v/>
      </c>
      <c r="FY41" s="56" t="str">
        <f t="shared" si="21"/>
        <v/>
      </c>
      <c r="FZ41" s="56" t="str">
        <f t="shared" si="21"/>
        <v/>
      </c>
      <c r="GA41" s="56" t="str">
        <f t="shared" si="21"/>
        <v/>
      </c>
      <c r="GB41" s="56" t="str">
        <f t="shared" si="21"/>
        <v/>
      </c>
      <c r="GC41" s="56" t="str">
        <f t="shared" si="21"/>
        <v/>
      </c>
      <c r="GD41" s="56" t="str">
        <f t="shared" si="22"/>
        <v/>
      </c>
      <c r="GE41" s="56" t="str">
        <f t="shared" si="22"/>
        <v/>
      </c>
      <c r="GF41" s="56" t="str">
        <f t="shared" si="22"/>
        <v/>
      </c>
      <c r="GG41" s="56" t="str">
        <f t="shared" si="22"/>
        <v/>
      </c>
      <c r="GH41" s="56" t="str">
        <f t="shared" si="22"/>
        <v/>
      </c>
      <c r="GI41" s="56" t="str">
        <f t="shared" si="22"/>
        <v/>
      </c>
      <c r="GJ41" s="56" t="str">
        <f t="shared" si="22"/>
        <v/>
      </c>
      <c r="GK41" s="56" t="str">
        <f t="shared" si="22"/>
        <v/>
      </c>
      <c r="GL41" s="56" t="str">
        <f t="shared" si="22"/>
        <v/>
      </c>
      <c r="GM41" s="56" t="str">
        <f t="shared" si="22"/>
        <v/>
      </c>
      <c r="GN41" s="56" t="str">
        <f t="shared" si="22"/>
        <v/>
      </c>
      <c r="GO41" s="56" t="str">
        <f t="shared" si="22"/>
        <v/>
      </c>
      <c r="GP41" s="56" t="str">
        <f t="shared" si="22"/>
        <v/>
      </c>
      <c r="GQ41" s="56" t="str">
        <f t="shared" si="22"/>
        <v/>
      </c>
      <c r="GR41" s="56" t="str">
        <f t="shared" si="22"/>
        <v/>
      </c>
      <c r="GS41" s="56" t="str">
        <f t="shared" si="22"/>
        <v/>
      </c>
      <c r="GT41" s="56" t="str">
        <f t="shared" si="23"/>
        <v/>
      </c>
      <c r="GU41" s="56" t="str">
        <f t="shared" si="23"/>
        <v/>
      </c>
      <c r="GV41" s="56" t="str">
        <f t="shared" si="23"/>
        <v/>
      </c>
      <c r="GW41" s="56" t="str">
        <f t="shared" si="23"/>
        <v/>
      </c>
      <c r="GX41" s="56" t="str">
        <f t="shared" si="23"/>
        <v/>
      </c>
      <c r="GY41" s="56" t="str">
        <f t="shared" si="23"/>
        <v/>
      </c>
      <c r="GZ41" s="56" t="str">
        <f t="shared" si="23"/>
        <v/>
      </c>
      <c r="HA41" s="56" t="str">
        <f t="shared" si="23"/>
        <v/>
      </c>
      <c r="HB41" s="56" t="str">
        <f t="shared" si="23"/>
        <v/>
      </c>
      <c r="HC41" s="56" t="str">
        <f t="shared" si="23"/>
        <v/>
      </c>
      <c r="HD41" s="56" t="str">
        <f t="shared" si="23"/>
        <v/>
      </c>
      <c r="HE41" s="56" t="str">
        <f t="shared" si="23"/>
        <v/>
      </c>
      <c r="HF41" s="56" t="str">
        <f t="shared" si="23"/>
        <v/>
      </c>
      <c r="HG41" s="56" t="str">
        <f t="shared" si="23"/>
        <v/>
      </c>
      <c r="HH41" s="56" t="str">
        <f t="shared" si="23"/>
        <v/>
      </c>
      <c r="HI41" s="56" t="str">
        <f t="shared" si="23"/>
        <v/>
      </c>
      <c r="HJ41" s="56" t="str">
        <f t="shared" si="24"/>
        <v/>
      </c>
      <c r="HK41" s="56" t="str">
        <f t="shared" si="24"/>
        <v/>
      </c>
      <c r="HL41" s="56" t="str">
        <f t="shared" si="24"/>
        <v/>
      </c>
      <c r="HM41" s="56" t="str">
        <f t="shared" si="24"/>
        <v/>
      </c>
      <c r="HN41" s="56" t="str">
        <f t="shared" si="24"/>
        <v/>
      </c>
      <c r="HO41" s="56" t="str">
        <f t="shared" si="24"/>
        <v/>
      </c>
      <c r="HP41" s="56" t="str">
        <f t="shared" si="24"/>
        <v/>
      </c>
      <c r="HQ41" s="56" t="str">
        <f t="shared" si="24"/>
        <v/>
      </c>
      <c r="HR41" s="56" t="str">
        <f t="shared" si="24"/>
        <v/>
      </c>
      <c r="HS41" s="56" t="str">
        <f t="shared" si="24"/>
        <v/>
      </c>
      <c r="HT41" s="56" t="str">
        <f t="shared" si="24"/>
        <v/>
      </c>
      <c r="HU41" s="56" t="str">
        <f t="shared" si="24"/>
        <v/>
      </c>
      <c r="HV41" s="56" t="str">
        <f t="shared" si="24"/>
        <v/>
      </c>
      <c r="HW41" s="56" t="str">
        <f t="shared" si="24"/>
        <v/>
      </c>
      <c r="HX41" s="56" t="str">
        <f t="shared" si="24"/>
        <v/>
      </c>
      <c r="HY41" s="56" t="str">
        <f t="shared" si="24"/>
        <v/>
      </c>
      <c r="HZ41" s="56" t="str">
        <f t="shared" si="25"/>
        <v/>
      </c>
      <c r="IA41" s="56" t="str">
        <f t="shared" si="25"/>
        <v/>
      </c>
      <c r="IB41" s="56" t="str">
        <f t="shared" si="25"/>
        <v/>
      </c>
      <c r="IC41" s="56" t="str">
        <f t="shared" si="25"/>
        <v/>
      </c>
      <c r="ID41" s="56" t="str">
        <f t="shared" si="25"/>
        <v/>
      </c>
      <c r="IE41" s="56" t="str">
        <f t="shared" si="25"/>
        <v/>
      </c>
      <c r="IF41" s="56" t="str">
        <f t="shared" si="25"/>
        <v/>
      </c>
      <c r="IG41" s="56" t="str">
        <f t="shared" si="25"/>
        <v/>
      </c>
      <c r="IH41" s="56" t="str">
        <f t="shared" si="25"/>
        <v/>
      </c>
      <c r="II41" s="56" t="str">
        <f t="shared" si="25"/>
        <v/>
      </c>
      <c r="IJ41" s="56" t="str">
        <f t="shared" si="25"/>
        <v/>
      </c>
      <c r="IK41" s="56" t="str">
        <f t="shared" si="25"/>
        <v/>
      </c>
      <c r="IL41" s="56" t="str">
        <f t="shared" si="25"/>
        <v/>
      </c>
      <c r="IM41" s="56" t="str">
        <f t="shared" si="25"/>
        <v/>
      </c>
      <c r="IN41" s="56" t="str">
        <f t="shared" si="25"/>
        <v/>
      </c>
      <c r="IO41" s="56" t="str">
        <f t="shared" si="25"/>
        <v/>
      </c>
      <c r="IP41" s="56" t="str">
        <f t="shared" si="26"/>
        <v/>
      </c>
      <c r="IQ41" s="56" t="str">
        <f t="shared" si="26"/>
        <v/>
      </c>
      <c r="IR41" s="56" t="str">
        <f t="shared" si="26"/>
        <v/>
      </c>
      <c r="IS41" s="56" t="str">
        <f t="shared" si="26"/>
        <v/>
      </c>
      <c r="IT41" s="56" t="str">
        <f t="shared" si="26"/>
        <v/>
      </c>
      <c r="IU41" s="56" t="str">
        <f t="shared" si="26"/>
        <v/>
      </c>
      <c r="IV41" s="56" t="str">
        <f t="shared" si="26"/>
        <v/>
      </c>
      <c r="IW41" s="56" t="str">
        <f t="shared" si="26"/>
        <v/>
      </c>
      <c r="IX41" s="56" t="str">
        <f t="shared" si="26"/>
        <v/>
      </c>
      <c r="IY41" s="56" t="str">
        <f t="shared" si="26"/>
        <v/>
      </c>
      <c r="IZ41" s="56" t="str">
        <f t="shared" si="26"/>
        <v/>
      </c>
      <c r="JA41" s="56" t="str">
        <f t="shared" si="26"/>
        <v/>
      </c>
      <c r="JB41" s="56" t="str">
        <f t="shared" si="26"/>
        <v/>
      </c>
      <c r="JC41" s="56" t="str">
        <f t="shared" si="26"/>
        <v/>
      </c>
      <c r="JD41" s="56" t="str">
        <f t="shared" si="26"/>
        <v/>
      </c>
      <c r="JE41" s="56" t="str">
        <f t="shared" si="26"/>
        <v/>
      </c>
      <c r="JF41" s="56" t="str">
        <f t="shared" si="27"/>
        <v/>
      </c>
      <c r="JG41" s="56" t="str">
        <f t="shared" si="27"/>
        <v/>
      </c>
      <c r="JH41" s="56" t="str">
        <f t="shared" si="27"/>
        <v/>
      </c>
      <c r="JI41" s="56" t="str">
        <f t="shared" si="27"/>
        <v/>
      </c>
      <c r="JJ41" s="56" t="str">
        <f t="shared" si="27"/>
        <v/>
      </c>
      <c r="JK41" s="56" t="str">
        <f t="shared" si="27"/>
        <v/>
      </c>
      <c r="JL41" s="56" t="str">
        <f t="shared" si="27"/>
        <v/>
      </c>
      <c r="JM41" s="56" t="str">
        <f t="shared" si="27"/>
        <v/>
      </c>
      <c r="JN41" s="56" t="str">
        <f t="shared" si="27"/>
        <v/>
      </c>
      <c r="JO41" s="56" t="str">
        <f t="shared" si="27"/>
        <v/>
      </c>
      <c r="JP41" s="56" t="str">
        <f t="shared" si="27"/>
        <v/>
      </c>
      <c r="JQ41" s="56" t="str">
        <f t="shared" si="27"/>
        <v/>
      </c>
      <c r="JR41" s="56" t="str">
        <f t="shared" si="27"/>
        <v/>
      </c>
      <c r="JS41" s="56" t="str">
        <f t="shared" si="27"/>
        <v/>
      </c>
      <c r="JT41" s="56" t="str">
        <f t="shared" si="27"/>
        <v/>
      </c>
      <c r="JU41" s="56" t="str">
        <f t="shared" si="27"/>
        <v/>
      </c>
      <c r="JV41" s="56" t="str">
        <f t="shared" si="28"/>
        <v/>
      </c>
      <c r="JW41" s="56" t="str">
        <f t="shared" si="28"/>
        <v/>
      </c>
      <c r="JX41" s="56" t="str">
        <f t="shared" si="28"/>
        <v/>
      </c>
      <c r="JY41" s="56" t="str">
        <f t="shared" si="28"/>
        <v/>
      </c>
      <c r="JZ41" s="56" t="str">
        <f t="shared" si="28"/>
        <v/>
      </c>
      <c r="KA41" s="56" t="str">
        <f t="shared" si="28"/>
        <v/>
      </c>
      <c r="KB41" s="56" t="str">
        <f t="shared" si="28"/>
        <v/>
      </c>
      <c r="KC41" s="56" t="str">
        <f t="shared" si="28"/>
        <v/>
      </c>
      <c r="KD41" s="56" t="str">
        <f t="shared" si="28"/>
        <v/>
      </c>
      <c r="KE41" s="56" t="str">
        <f t="shared" si="28"/>
        <v/>
      </c>
      <c r="KF41" s="56" t="str">
        <f t="shared" si="28"/>
        <v/>
      </c>
      <c r="KG41" s="56" t="str">
        <f t="shared" si="28"/>
        <v/>
      </c>
      <c r="KH41" s="56" t="str">
        <f t="shared" si="28"/>
        <v/>
      </c>
      <c r="KI41" s="56" t="str">
        <f t="shared" si="28"/>
        <v/>
      </c>
      <c r="KJ41" s="56" t="str">
        <f t="shared" si="28"/>
        <v/>
      </c>
      <c r="KK41" s="56" t="str">
        <f t="shared" si="28"/>
        <v/>
      </c>
      <c r="KL41" s="56" t="str">
        <f t="shared" si="29"/>
        <v/>
      </c>
      <c r="KM41" s="56" t="str">
        <f t="shared" si="29"/>
        <v/>
      </c>
      <c r="KN41" s="56" t="str">
        <f t="shared" si="29"/>
        <v/>
      </c>
      <c r="KO41" s="56" t="str">
        <f t="shared" si="29"/>
        <v/>
      </c>
      <c r="KP41" s="56" t="str">
        <f t="shared" si="29"/>
        <v/>
      </c>
      <c r="KQ41" s="56" t="str">
        <f t="shared" si="29"/>
        <v/>
      </c>
      <c r="KR41" s="56" t="str">
        <f t="shared" si="29"/>
        <v/>
      </c>
      <c r="KS41" s="56" t="str">
        <f t="shared" si="29"/>
        <v/>
      </c>
      <c r="KT41" s="56" t="str">
        <f t="shared" si="29"/>
        <v/>
      </c>
      <c r="KU41" s="56" t="str">
        <f t="shared" si="29"/>
        <v/>
      </c>
      <c r="KV41" s="56" t="str">
        <f t="shared" si="29"/>
        <v/>
      </c>
      <c r="KW41" s="56" t="str">
        <f t="shared" si="29"/>
        <v/>
      </c>
      <c r="KX41" s="56" t="str">
        <f t="shared" si="29"/>
        <v/>
      </c>
    </row>
    <row r="42" spans="1:310" s="15" customFormat="1">
      <c r="A42" s="34"/>
      <c r="B42" s="52" t="s">
        <v>354</v>
      </c>
      <c r="C42" s="53" t="s">
        <v>305</v>
      </c>
      <c r="D42" s="22" t="s">
        <v>335</v>
      </c>
      <c r="E42" s="54">
        <v>0</v>
      </c>
      <c r="F42" s="55">
        <f>+G32</f>
        <v>46028</v>
      </c>
      <c r="G42" s="57">
        <f>+Hitos4352[[#This Row],[Inicio]]+Hitos4352[[#This Row],[Días]]</f>
        <v>46030</v>
      </c>
      <c r="H42" s="58">
        <v>2</v>
      </c>
      <c r="I42" s="14"/>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c r="IX42" s="56"/>
      <c r="IY42" s="56"/>
      <c r="IZ42" s="56"/>
      <c r="JA42" s="56"/>
      <c r="JB42" s="56"/>
      <c r="JC42" s="56"/>
      <c r="JD42" s="56"/>
      <c r="JE42" s="56"/>
      <c r="JF42" s="56"/>
      <c r="JG42" s="56"/>
      <c r="JH42" s="56"/>
      <c r="JI42" s="56"/>
      <c r="JJ42" s="56"/>
      <c r="JK42" s="56"/>
      <c r="JL42" s="56"/>
      <c r="JM42" s="56"/>
      <c r="JN42" s="56"/>
      <c r="JO42" s="56"/>
      <c r="JP42" s="56"/>
      <c r="JQ42" s="56"/>
      <c r="JR42" s="56"/>
      <c r="JS42" s="56"/>
      <c r="JT42" s="56"/>
      <c r="JU42" s="56"/>
      <c r="JV42" s="56"/>
      <c r="JW42" s="56"/>
      <c r="JX42" s="56"/>
      <c r="JY42" s="56"/>
      <c r="JZ42" s="56"/>
      <c r="KA42" s="56"/>
      <c r="KB42" s="56"/>
      <c r="KC42" s="56"/>
      <c r="KD42" s="56"/>
      <c r="KE42" s="56"/>
      <c r="KF42" s="56"/>
      <c r="KG42" s="56"/>
      <c r="KH42" s="56"/>
      <c r="KI42" s="56"/>
      <c r="KJ42" s="56"/>
      <c r="KK42" s="56"/>
      <c r="KL42" s="56"/>
      <c r="KM42" s="56"/>
      <c r="KN42" s="56"/>
      <c r="KO42" s="56"/>
      <c r="KP42" s="56"/>
      <c r="KQ42" s="56"/>
      <c r="KR42" s="56"/>
      <c r="KS42" s="56"/>
      <c r="KT42" s="56"/>
      <c r="KU42" s="56"/>
      <c r="KV42" s="56"/>
      <c r="KW42" s="56"/>
      <c r="KX42" s="56"/>
    </row>
    <row r="43" spans="1:310" s="15" customFormat="1">
      <c r="A43" s="34"/>
      <c r="B43" s="52" t="s">
        <v>355</v>
      </c>
      <c r="C43" s="53" t="s">
        <v>305</v>
      </c>
      <c r="D43" s="22" t="s">
        <v>335</v>
      </c>
      <c r="E43" s="54">
        <v>0</v>
      </c>
      <c r="F43" s="55">
        <f t="shared" ref="F43:F49" si="31">+G42</f>
        <v>46030</v>
      </c>
      <c r="G43" s="57">
        <f>+Hitos4352[[#This Row],[Inicio]]+Hitos4352[[#This Row],[Días]]</f>
        <v>46032</v>
      </c>
      <c r="H43" s="58">
        <v>2</v>
      </c>
      <c r="I43" s="14"/>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c r="IX43" s="56"/>
      <c r="IY43" s="56"/>
      <c r="IZ43" s="56"/>
      <c r="JA43" s="56"/>
      <c r="JB43" s="56"/>
      <c r="JC43" s="56"/>
      <c r="JD43" s="56"/>
      <c r="JE43" s="56"/>
      <c r="JF43" s="56"/>
      <c r="JG43" s="56"/>
      <c r="JH43" s="56"/>
      <c r="JI43" s="56"/>
      <c r="JJ43" s="56"/>
      <c r="JK43" s="56"/>
      <c r="JL43" s="56"/>
      <c r="JM43" s="56"/>
      <c r="JN43" s="56"/>
      <c r="JO43" s="56"/>
      <c r="JP43" s="56"/>
      <c r="JQ43" s="56"/>
      <c r="JR43" s="56"/>
      <c r="JS43" s="56"/>
      <c r="JT43" s="56"/>
      <c r="JU43" s="56"/>
      <c r="JV43" s="56"/>
      <c r="JW43" s="56"/>
      <c r="JX43" s="56"/>
      <c r="JY43" s="56"/>
      <c r="JZ43" s="56"/>
      <c r="KA43" s="56"/>
      <c r="KB43" s="56"/>
      <c r="KC43" s="56"/>
      <c r="KD43" s="56"/>
      <c r="KE43" s="56"/>
      <c r="KF43" s="56"/>
      <c r="KG43" s="56"/>
      <c r="KH43" s="56"/>
      <c r="KI43" s="56"/>
      <c r="KJ43" s="56"/>
      <c r="KK43" s="56"/>
      <c r="KL43" s="56"/>
      <c r="KM43" s="56"/>
      <c r="KN43" s="56"/>
      <c r="KO43" s="56"/>
      <c r="KP43" s="56"/>
      <c r="KQ43" s="56"/>
      <c r="KR43" s="56"/>
      <c r="KS43" s="56"/>
      <c r="KT43" s="56"/>
      <c r="KU43" s="56"/>
      <c r="KV43" s="56"/>
      <c r="KW43" s="56"/>
      <c r="KX43" s="56"/>
    </row>
    <row r="44" spans="1:310" s="15" customFormat="1">
      <c r="A44" s="34"/>
      <c r="B44" s="52" t="s">
        <v>356</v>
      </c>
      <c r="C44" s="53" t="s">
        <v>305</v>
      </c>
      <c r="D44" s="22" t="s">
        <v>335</v>
      </c>
      <c r="E44" s="54">
        <v>0</v>
      </c>
      <c r="F44" s="55">
        <f t="shared" si="31"/>
        <v>46032</v>
      </c>
      <c r="G44" s="57">
        <f>+Hitos4352[[#This Row],[Inicio]]+Hitos4352[[#This Row],[Días]]</f>
        <v>46034</v>
      </c>
      <c r="H44" s="58">
        <v>2</v>
      </c>
      <c r="I44" s="14"/>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c r="IX44" s="56"/>
      <c r="IY44" s="56"/>
      <c r="IZ44" s="56"/>
      <c r="JA44" s="56"/>
      <c r="JB44" s="56"/>
      <c r="JC44" s="56"/>
      <c r="JD44" s="56"/>
      <c r="JE44" s="56"/>
      <c r="JF44" s="56"/>
      <c r="JG44" s="56"/>
      <c r="JH44" s="56"/>
      <c r="JI44" s="56"/>
      <c r="JJ44" s="56"/>
      <c r="JK44" s="56"/>
      <c r="JL44" s="56"/>
      <c r="JM44" s="56"/>
      <c r="JN44" s="56"/>
      <c r="JO44" s="56"/>
      <c r="JP44" s="56"/>
      <c r="JQ44" s="56"/>
      <c r="JR44" s="56"/>
      <c r="JS44" s="56"/>
      <c r="JT44" s="56"/>
      <c r="JU44" s="56"/>
      <c r="JV44" s="56"/>
      <c r="JW44" s="56"/>
      <c r="JX44" s="56"/>
      <c r="JY44" s="56"/>
      <c r="JZ44" s="56"/>
      <c r="KA44" s="56"/>
      <c r="KB44" s="56"/>
      <c r="KC44" s="56"/>
      <c r="KD44" s="56"/>
      <c r="KE44" s="56"/>
      <c r="KF44" s="56"/>
      <c r="KG44" s="56"/>
      <c r="KH44" s="56"/>
      <c r="KI44" s="56"/>
      <c r="KJ44" s="56"/>
      <c r="KK44" s="56"/>
      <c r="KL44" s="56"/>
      <c r="KM44" s="56"/>
      <c r="KN44" s="56"/>
      <c r="KO44" s="56"/>
      <c r="KP44" s="56"/>
      <c r="KQ44" s="56"/>
      <c r="KR44" s="56"/>
      <c r="KS44" s="56"/>
      <c r="KT44" s="56"/>
      <c r="KU44" s="56"/>
      <c r="KV44" s="56"/>
      <c r="KW44" s="56"/>
      <c r="KX44" s="56"/>
    </row>
    <row r="45" spans="1:310" s="15" customFormat="1">
      <c r="A45" s="34"/>
      <c r="B45" s="52" t="s">
        <v>357</v>
      </c>
      <c r="C45" s="53" t="s">
        <v>305</v>
      </c>
      <c r="D45" s="22" t="s">
        <v>335</v>
      </c>
      <c r="E45" s="54">
        <v>0</v>
      </c>
      <c r="F45" s="55">
        <f t="shared" si="31"/>
        <v>46034</v>
      </c>
      <c r="G45" s="57">
        <f>+Hitos4352[[#This Row],[Inicio]]+Hitos4352[[#This Row],[Días]]</f>
        <v>46036</v>
      </c>
      <c r="H45" s="58">
        <v>2</v>
      </c>
      <c r="I45" s="14"/>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c r="GV45" s="56"/>
      <c r="GW45" s="56"/>
      <c r="GX45" s="56"/>
      <c r="GY45" s="56"/>
      <c r="GZ45" s="56"/>
      <c r="HA45" s="56"/>
      <c r="HB45" s="56"/>
      <c r="HC45" s="56"/>
      <c r="HD45" s="56"/>
      <c r="HE45" s="56"/>
      <c r="HF45" s="56"/>
      <c r="HG45" s="56"/>
      <c r="HH45" s="56"/>
      <c r="HI45" s="56"/>
      <c r="HJ45" s="56"/>
      <c r="HK45" s="56"/>
      <c r="HL45" s="56"/>
      <c r="HM45" s="56"/>
      <c r="HN45" s="56"/>
      <c r="HO45" s="56"/>
      <c r="HP45" s="56"/>
      <c r="HQ45" s="56"/>
      <c r="HR45" s="56"/>
      <c r="HS45" s="56"/>
      <c r="HT45" s="56"/>
      <c r="HU45" s="56"/>
      <c r="HV45" s="56"/>
      <c r="HW45" s="56"/>
      <c r="HX45" s="56"/>
      <c r="HY45" s="56"/>
      <c r="HZ45" s="56"/>
      <c r="IA45" s="56"/>
      <c r="IB45" s="56"/>
      <c r="IC45" s="56"/>
      <c r="ID45" s="56"/>
      <c r="IE45" s="56"/>
      <c r="IF45" s="56"/>
      <c r="IG45" s="56"/>
      <c r="IH45" s="56"/>
      <c r="II45" s="56"/>
      <c r="IJ45" s="56"/>
      <c r="IK45" s="56"/>
      <c r="IL45" s="56"/>
      <c r="IM45" s="56"/>
      <c r="IN45" s="56"/>
      <c r="IO45" s="56"/>
      <c r="IP45" s="56"/>
      <c r="IQ45" s="56"/>
      <c r="IR45" s="56"/>
      <c r="IS45" s="56"/>
      <c r="IT45" s="56"/>
      <c r="IU45" s="56"/>
      <c r="IV45" s="56"/>
      <c r="IW45" s="56"/>
      <c r="IX45" s="56"/>
      <c r="IY45" s="56"/>
      <c r="IZ45" s="56"/>
      <c r="JA45" s="56"/>
      <c r="JB45" s="56"/>
      <c r="JC45" s="56"/>
      <c r="JD45" s="56"/>
      <c r="JE45" s="56"/>
      <c r="JF45" s="56"/>
      <c r="JG45" s="56"/>
      <c r="JH45" s="56"/>
      <c r="JI45" s="56"/>
      <c r="JJ45" s="56"/>
      <c r="JK45" s="56"/>
      <c r="JL45" s="56"/>
      <c r="JM45" s="56"/>
      <c r="JN45" s="56"/>
      <c r="JO45" s="56"/>
      <c r="JP45" s="56"/>
      <c r="JQ45" s="56"/>
      <c r="JR45" s="56"/>
      <c r="JS45" s="56"/>
      <c r="JT45" s="56"/>
      <c r="JU45" s="56"/>
      <c r="JV45" s="56"/>
      <c r="JW45" s="56"/>
      <c r="JX45" s="56"/>
      <c r="JY45" s="56"/>
      <c r="JZ45" s="56"/>
      <c r="KA45" s="56"/>
      <c r="KB45" s="56"/>
      <c r="KC45" s="56"/>
      <c r="KD45" s="56"/>
      <c r="KE45" s="56"/>
      <c r="KF45" s="56"/>
      <c r="KG45" s="56"/>
      <c r="KH45" s="56"/>
      <c r="KI45" s="56"/>
      <c r="KJ45" s="56"/>
      <c r="KK45" s="56"/>
      <c r="KL45" s="56"/>
      <c r="KM45" s="56"/>
      <c r="KN45" s="56"/>
      <c r="KO45" s="56"/>
      <c r="KP45" s="56"/>
      <c r="KQ45" s="56"/>
      <c r="KR45" s="56"/>
      <c r="KS45" s="56"/>
      <c r="KT45" s="56"/>
      <c r="KU45" s="56"/>
      <c r="KV45" s="56"/>
      <c r="KW45" s="56"/>
      <c r="KX45" s="56"/>
    </row>
    <row r="46" spans="1:310" s="15" customFormat="1">
      <c r="A46" s="34"/>
      <c r="B46" s="52" t="s">
        <v>358</v>
      </c>
      <c r="C46" s="53" t="s">
        <v>305</v>
      </c>
      <c r="D46" s="22" t="s">
        <v>335</v>
      </c>
      <c r="E46" s="54">
        <v>0</v>
      </c>
      <c r="F46" s="55">
        <f t="shared" si="31"/>
        <v>46036</v>
      </c>
      <c r="G46" s="57">
        <f>+Hitos4352[[#This Row],[Inicio]]+Hitos4352[[#This Row],[Días]]</f>
        <v>46038</v>
      </c>
      <c r="H46" s="58">
        <v>2</v>
      </c>
      <c r="I46" s="14"/>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c r="IX46" s="56"/>
      <c r="IY46" s="56"/>
      <c r="IZ46" s="56"/>
      <c r="JA46" s="56"/>
      <c r="JB46" s="56"/>
      <c r="JC46" s="56"/>
      <c r="JD46" s="56"/>
      <c r="JE46" s="56"/>
      <c r="JF46" s="56"/>
      <c r="JG46" s="56"/>
      <c r="JH46" s="56"/>
      <c r="JI46" s="56"/>
      <c r="JJ46" s="56"/>
      <c r="JK46" s="56"/>
      <c r="JL46" s="56"/>
      <c r="JM46" s="56"/>
      <c r="JN46" s="56"/>
      <c r="JO46" s="56"/>
      <c r="JP46" s="56"/>
      <c r="JQ46" s="56"/>
      <c r="JR46" s="56"/>
      <c r="JS46" s="56"/>
      <c r="JT46" s="56"/>
      <c r="JU46" s="56"/>
      <c r="JV46" s="56"/>
      <c r="JW46" s="56"/>
      <c r="JX46" s="56"/>
      <c r="JY46" s="56"/>
      <c r="JZ46" s="56"/>
      <c r="KA46" s="56"/>
      <c r="KB46" s="56"/>
      <c r="KC46" s="56"/>
      <c r="KD46" s="56"/>
      <c r="KE46" s="56"/>
      <c r="KF46" s="56"/>
      <c r="KG46" s="56"/>
      <c r="KH46" s="56"/>
      <c r="KI46" s="56"/>
      <c r="KJ46" s="56"/>
      <c r="KK46" s="56"/>
      <c r="KL46" s="56"/>
      <c r="KM46" s="56"/>
      <c r="KN46" s="56"/>
      <c r="KO46" s="56"/>
      <c r="KP46" s="56"/>
      <c r="KQ46" s="56"/>
      <c r="KR46" s="56"/>
      <c r="KS46" s="56"/>
      <c r="KT46" s="56"/>
      <c r="KU46" s="56"/>
      <c r="KV46" s="56"/>
      <c r="KW46" s="56"/>
      <c r="KX46" s="56"/>
    </row>
    <row r="47" spans="1:310" s="15" customFormat="1">
      <c r="A47" s="34"/>
      <c r="B47" s="52" t="s">
        <v>359</v>
      </c>
      <c r="C47" s="53" t="s">
        <v>305</v>
      </c>
      <c r="D47" s="22" t="s">
        <v>335</v>
      </c>
      <c r="E47" s="54">
        <v>0</v>
      </c>
      <c r="F47" s="55">
        <f t="shared" si="31"/>
        <v>46038</v>
      </c>
      <c r="G47" s="57">
        <f>+Hitos4352[[#This Row],[Inicio]]+Hitos4352[[#This Row],[Días]]</f>
        <v>46040</v>
      </c>
      <c r="H47" s="58">
        <v>2</v>
      </c>
      <c r="I47" s="14"/>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c r="IX47" s="56"/>
      <c r="IY47" s="56"/>
      <c r="IZ47" s="56"/>
      <c r="JA47" s="56"/>
      <c r="JB47" s="56"/>
      <c r="JC47" s="56"/>
      <c r="JD47" s="56"/>
      <c r="JE47" s="56"/>
      <c r="JF47" s="56"/>
      <c r="JG47" s="56"/>
      <c r="JH47" s="56"/>
      <c r="JI47" s="56"/>
      <c r="JJ47" s="56"/>
      <c r="JK47" s="56"/>
      <c r="JL47" s="56"/>
      <c r="JM47" s="56"/>
      <c r="JN47" s="56"/>
      <c r="JO47" s="56"/>
      <c r="JP47" s="56"/>
      <c r="JQ47" s="56"/>
      <c r="JR47" s="56"/>
      <c r="JS47" s="56"/>
      <c r="JT47" s="56"/>
      <c r="JU47" s="56"/>
      <c r="JV47" s="56"/>
      <c r="JW47" s="56"/>
      <c r="JX47" s="56"/>
      <c r="JY47" s="56"/>
      <c r="JZ47" s="56"/>
      <c r="KA47" s="56"/>
      <c r="KB47" s="56"/>
      <c r="KC47" s="56"/>
      <c r="KD47" s="56"/>
      <c r="KE47" s="56"/>
      <c r="KF47" s="56"/>
      <c r="KG47" s="56"/>
      <c r="KH47" s="56"/>
      <c r="KI47" s="56"/>
      <c r="KJ47" s="56"/>
      <c r="KK47" s="56"/>
      <c r="KL47" s="56"/>
      <c r="KM47" s="56"/>
      <c r="KN47" s="56"/>
      <c r="KO47" s="56"/>
      <c r="KP47" s="56"/>
      <c r="KQ47" s="56"/>
      <c r="KR47" s="56"/>
      <c r="KS47" s="56"/>
      <c r="KT47" s="56"/>
      <c r="KU47" s="56"/>
      <c r="KV47" s="56"/>
      <c r="KW47" s="56"/>
      <c r="KX47" s="56"/>
    </row>
    <row r="48" spans="1:310" s="15" customFormat="1">
      <c r="A48" s="34"/>
      <c r="B48" s="52" t="s">
        <v>360</v>
      </c>
      <c r="C48" s="53" t="s">
        <v>305</v>
      </c>
      <c r="D48" s="22" t="s">
        <v>335</v>
      </c>
      <c r="E48" s="54">
        <v>0</v>
      </c>
      <c r="F48" s="55">
        <f t="shared" si="31"/>
        <v>46040</v>
      </c>
      <c r="G48" s="57">
        <f>+Hitos4352[[#This Row],[Inicio]]+Hitos4352[[#This Row],[Días]]</f>
        <v>46042</v>
      </c>
      <c r="H48" s="58">
        <v>2</v>
      </c>
      <c r="I48" s="14"/>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c r="IX48" s="56"/>
      <c r="IY48" s="56"/>
      <c r="IZ48" s="56"/>
      <c r="JA48" s="56"/>
      <c r="JB48" s="56"/>
      <c r="JC48" s="56"/>
      <c r="JD48" s="56"/>
      <c r="JE48" s="56"/>
      <c r="JF48" s="56"/>
      <c r="JG48" s="56"/>
      <c r="JH48" s="56"/>
      <c r="JI48" s="56"/>
      <c r="JJ48" s="56"/>
      <c r="JK48" s="56"/>
      <c r="JL48" s="56"/>
      <c r="JM48" s="56"/>
      <c r="JN48" s="56"/>
      <c r="JO48" s="56"/>
      <c r="JP48" s="56"/>
      <c r="JQ48" s="56"/>
      <c r="JR48" s="56"/>
      <c r="JS48" s="56"/>
      <c r="JT48" s="56"/>
      <c r="JU48" s="56"/>
      <c r="JV48" s="56"/>
      <c r="JW48" s="56"/>
      <c r="JX48" s="56"/>
      <c r="JY48" s="56"/>
      <c r="JZ48" s="56"/>
      <c r="KA48" s="56"/>
      <c r="KB48" s="56"/>
      <c r="KC48" s="56"/>
      <c r="KD48" s="56"/>
      <c r="KE48" s="56"/>
      <c r="KF48" s="56"/>
      <c r="KG48" s="56"/>
      <c r="KH48" s="56"/>
      <c r="KI48" s="56"/>
      <c r="KJ48" s="56"/>
      <c r="KK48" s="56"/>
      <c r="KL48" s="56"/>
      <c r="KM48" s="56"/>
      <c r="KN48" s="56"/>
      <c r="KO48" s="56"/>
      <c r="KP48" s="56"/>
      <c r="KQ48" s="56"/>
      <c r="KR48" s="56"/>
      <c r="KS48" s="56"/>
      <c r="KT48" s="56"/>
      <c r="KU48" s="56"/>
      <c r="KV48" s="56"/>
      <c r="KW48" s="56"/>
      <c r="KX48" s="56"/>
    </row>
    <row r="49" spans="1:310" s="15" customFormat="1">
      <c r="A49" s="34"/>
      <c r="B49" s="52" t="s">
        <v>361</v>
      </c>
      <c r="C49" s="53" t="s">
        <v>305</v>
      </c>
      <c r="D49" s="22" t="s">
        <v>335</v>
      </c>
      <c r="E49" s="54">
        <v>0</v>
      </c>
      <c r="F49" s="55">
        <f t="shared" si="31"/>
        <v>46042</v>
      </c>
      <c r="G49" s="57">
        <f>+Hitos4352[[#This Row],[Inicio]]+Hitos4352[[#This Row],[Días]]</f>
        <v>46044</v>
      </c>
      <c r="H49" s="58">
        <v>2</v>
      </c>
      <c r="I49" s="14"/>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c r="IX49" s="56"/>
      <c r="IY49" s="56"/>
      <c r="IZ49" s="56"/>
      <c r="JA49" s="56"/>
      <c r="JB49" s="56"/>
      <c r="JC49" s="56"/>
      <c r="JD49" s="56"/>
      <c r="JE49" s="56"/>
      <c r="JF49" s="56"/>
      <c r="JG49" s="56"/>
      <c r="JH49" s="56"/>
      <c r="JI49" s="56"/>
      <c r="JJ49" s="56"/>
      <c r="JK49" s="56"/>
      <c r="JL49" s="56"/>
      <c r="JM49" s="56"/>
      <c r="JN49" s="56"/>
      <c r="JO49" s="56"/>
      <c r="JP49" s="56"/>
      <c r="JQ49" s="56"/>
      <c r="JR49" s="56"/>
      <c r="JS49" s="56"/>
      <c r="JT49" s="56"/>
      <c r="JU49" s="56"/>
      <c r="JV49" s="56"/>
      <c r="JW49" s="56"/>
      <c r="JX49" s="56"/>
      <c r="JY49" s="56"/>
      <c r="JZ49" s="56"/>
      <c r="KA49" s="56"/>
      <c r="KB49" s="56"/>
      <c r="KC49" s="56"/>
      <c r="KD49" s="56"/>
      <c r="KE49" s="56"/>
      <c r="KF49" s="56"/>
      <c r="KG49" s="56"/>
      <c r="KH49" s="56"/>
      <c r="KI49" s="56"/>
      <c r="KJ49" s="56"/>
      <c r="KK49" s="56"/>
      <c r="KL49" s="56"/>
      <c r="KM49" s="56"/>
      <c r="KN49" s="56"/>
      <c r="KO49" s="56"/>
      <c r="KP49" s="56"/>
      <c r="KQ49" s="56"/>
      <c r="KR49" s="56"/>
      <c r="KS49" s="56"/>
      <c r="KT49" s="56"/>
      <c r="KU49" s="56"/>
      <c r="KV49" s="56"/>
      <c r="KW49" s="56"/>
      <c r="KX49" s="56"/>
    </row>
  </sheetData>
  <mergeCells count="18">
    <mergeCell ref="B2:I2"/>
    <mergeCell ref="J2:O2"/>
    <mergeCell ref="P2:U2"/>
    <mergeCell ref="J4:M4"/>
    <mergeCell ref="O4:R4"/>
    <mergeCell ref="T4:W4"/>
    <mergeCell ref="JV6:KX6"/>
    <mergeCell ref="Y4:AB4"/>
    <mergeCell ref="AD4:AG4"/>
    <mergeCell ref="J6:AN6"/>
    <mergeCell ref="AO6:BR6"/>
    <mergeCell ref="BS6:CW6"/>
    <mergeCell ref="CX6:EA6"/>
    <mergeCell ref="EB6:FF6"/>
    <mergeCell ref="FG6:GK6"/>
    <mergeCell ref="GL6:HK6"/>
    <mergeCell ref="HL6:IP6"/>
    <mergeCell ref="IQ6:JU6"/>
  </mergeCells>
  <conditionalFormatting sqref="E9:E49">
    <cfRule type="dataBar" priority="41">
      <dataBar>
        <cfvo type="num" val="0"/>
        <cfvo type="num" val="1"/>
        <color theme="6"/>
      </dataBar>
      <extLst>
        <ext xmlns:x14="http://schemas.microsoft.com/office/spreadsheetml/2009/9/main" uri="{B025F937-C7B1-47D3-B67F-A62EFF666E3E}">
          <x14:id>{66013752-E5EC-41E1-A749-FD2F141AA930}</x14:id>
        </ext>
      </extLst>
    </cfRule>
  </conditionalFormatting>
  <conditionalFormatting sqref="J6">
    <cfRule type="expression" dxfId="36" priority="40">
      <formula>J$7&lt;=EOMONTH($J$7,0)</formula>
    </cfRule>
    <cfRule type="expression" dxfId="35" priority="39">
      <formula>AND(J$7&lt;=EOMONTH($J$7,1),J$7&gt;EOMONTH($J$7,0))</formula>
    </cfRule>
  </conditionalFormatting>
  <conditionalFormatting sqref="J10:BM12 DA10:FD12 J13:KX49">
    <cfRule type="expression" dxfId="34" priority="77" stopIfTrue="1">
      <formula>AND(LEN($C10)=0,J$7&gt;=$F10,J$7&lt;=$F10+$H10-1)</formula>
    </cfRule>
    <cfRule type="expression" dxfId="33" priority="76" stopIfTrue="1">
      <formula>AND($C10="Riesgo medio",J$7&gt;=$F10,J$7&lt;=$F10+$H10-1)</formula>
    </cfRule>
    <cfRule type="expression" dxfId="32" priority="75" stopIfTrue="1">
      <formula>AND($C10="Según lo previsto",J$7&gt;=$F10,J$7&lt;=$F10+$H10-1)</formula>
    </cfRule>
    <cfRule type="expression" dxfId="31" priority="74" stopIfTrue="1">
      <formula>AND($C10="Riesgo alto",J$7&gt;=$F10,J$7&lt;=$F10+$H10-1)</formula>
    </cfRule>
    <cfRule type="expression" dxfId="30" priority="73" stopIfTrue="1">
      <formula>AND($C10="Riesgo bajo",J$7&gt;=$F10,J$7&lt;=$F10+$H10-1)</formula>
    </cfRule>
  </conditionalFormatting>
  <conditionalFormatting sqref="J7:KW9 J10:BL12 DA10:FC12 J13:KW49">
    <cfRule type="expression" dxfId="29" priority="38">
      <formula>AND(TODAY()&gt;=J$7,TODAY()&lt;K$7)</formula>
    </cfRule>
  </conditionalFormatting>
  <conditionalFormatting sqref="AO6">
    <cfRule type="expression" dxfId="28" priority="27">
      <formula>AND(AP$7&lt;=EOMONTH($J$7,2),AP$7&gt;EOMONTH($J$7,0),AP$7&gt;EOMONTH($J$7,1))</formula>
    </cfRule>
    <cfRule type="expression" dxfId="27" priority="26">
      <formula>AND(AP$7&lt;=EOMONTH($J$7,1),AP$7&gt;EOMONTH($J$7,0))</formula>
    </cfRule>
    <cfRule type="expression" dxfId="26" priority="25">
      <formula>AP$7&lt;=EOMONTH($J$7,0)</formula>
    </cfRule>
  </conditionalFormatting>
  <conditionalFormatting sqref="BM10:BM12 FD10:FD12">
    <cfRule type="expression" dxfId="25" priority="43">
      <formula>AND(TODAY()&gt;=BM$7,TODAY()&lt;#REF!)</formula>
    </cfRule>
  </conditionalFormatting>
  <conditionalFormatting sqref="BS6">
    <cfRule type="expression" dxfId="24" priority="22">
      <formula>BT$7&lt;=EOMONTH($J$7,0)</formula>
    </cfRule>
    <cfRule type="expression" dxfId="23" priority="24">
      <formula>AND(BT$7&lt;=EOMONTH($J$7,2),BT$7&gt;EOMONTH($J$7,0),BT$7&gt;EOMONTH($J$7,1))</formula>
    </cfRule>
    <cfRule type="expression" dxfId="22" priority="23">
      <formula>AND(BT$7&lt;=EOMONTH($J$7,1),BT$7&gt;EOMONTH($J$7,0))</formula>
    </cfRule>
  </conditionalFormatting>
  <conditionalFormatting sqref="CX6">
    <cfRule type="expression" dxfId="21" priority="21">
      <formula>AND(CY$7&lt;=EOMONTH($J$7,2),CY$7&gt;EOMONTH($J$7,0),CY$7&gt;EOMONTH($J$7,1))</formula>
    </cfRule>
    <cfRule type="expression" dxfId="20" priority="19">
      <formula>CY$7&lt;=EOMONTH($J$7,0)</formula>
    </cfRule>
    <cfRule type="expression" dxfId="19" priority="20">
      <formula>AND(CY$7&lt;=EOMONTH($J$7,1),CY$7&gt;EOMONTH($J$7,0))</formula>
    </cfRule>
  </conditionalFormatting>
  <conditionalFormatting sqref="EB6">
    <cfRule type="expression" dxfId="18" priority="18">
      <formula>AND(EC$7&lt;=EOMONTH($J$7,2),EC$7&gt;EOMONTH($J$7,0),EC$7&gt;EOMONTH($J$7,1))</formula>
    </cfRule>
    <cfRule type="expression" dxfId="17" priority="17">
      <formula>AND(EC$7&lt;=EOMONTH($J$7,1),EC$7&gt;EOMONTH($J$7,0))</formula>
    </cfRule>
    <cfRule type="expression" dxfId="16" priority="16">
      <formula>EC$7&lt;=EOMONTH($J$7,0)</formula>
    </cfRule>
  </conditionalFormatting>
  <conditionalFormatting sqref="FG6">
    <cfRule type="expression" dxfId="15" priority="15">
      <formula>AND(FH$7&lt;=EOMONTH($J$7,2),FH$7&gt;EOMONTH($J$7,0),FH$7&gt;EOMONTH($J$7,1))</formula>
    </cfRule>
    <cfRule type="expression" dxfId="14" priority="14">
      <formula>AND(FH$7&lt;=EOMONTH($J$7,1),FH$7&gt;EOMONTH($J$7,0))</formula>
    </cfRule>
    <cfRule type="expression" dxfId="13" priority="13">
      <formula>FH$7&lt;=EOMONTH($J$7,0)</formula>
    </cfRule>
  </conditionalFormatting>
  <conditionalFormatting sqref="GL6">
    <cfRule type="expression" dxfId="12" priority="12">
      <formula>AND(GM$7&lt;=EOMONTH($J$7,2),GM$7&gt;EOMONTH($J$7,0),GM$7&gt;EOMONTH($J$7,1))</formula>
    </cfRule>
    <cfRule type="expression" dxfId="11" priority="11">
      <formula>AND(GM$7&lt;=EOMONTH($J$7,1),GM$7&gt;EOMONTH($J$7,0))</formula>
    </cfRule>
    <cfRule type="expression" dxfId="10" priority="10">
      <formula>GM$7&lt;=EOMONTH($J$7,0)</formula>
    </cfRule>
  </conditionalFormatting>
  <conditionalFormatting sqref="HL6">
    <cfRule type="expression" dxfId="9" priority="9">
      <formula>AND(HM$7&lt;=EOMONTH($J$7,2),HM$7&gt;EOMONTH($J$7,0),HM$7&gt;EOMONTH($J$7,1))</formula>
    </cfRule>
    <cfRule type="expression" dxfId="8" priority="8">
      <formula>AND(HM$7&lt;=EOMONTH($J$7,1),HM$7&gt;EOMONTH($J$7,0))</formula>
    </cfRule>
    <cfRule type="expression" dxfId="7" priority="7">
      <formula>HM$7&lt;=EOMONTH($J$7,0)</formula>
    </cfRule>
  </conditionalFormatting>
  <conditionalFormatting sqref="IQ6">
    <cfRule type="expression" dxfId="6" priority="6">
      <formula>AND(IR$7&lt;=EOMONTH($J$7,2),IR$7&gt;EOMONTH($J$7,0),IR$7&gt;EOMONTH($J$7,1))</formula>
    </cfRule>
    <cfRule type="expression" dxfId="5" priority="5">
      <formula>AND(IR$7&lt;=EOMONTH($J$7,1),IR$7&gt;EOMONTH($J$7,0))</formula>
    </cfRule>
    <cfRule type="expression" dxfId="4" priority="4">
      <formula>IR$7&lt;=EOMONTH($J$7,0)</formula>
    </cfRule>
  </conditionalFormatting>
  <conditionalFormatting sqref="JV6">
    <cfRule type="expression" dxfId="3" priority="2">
      <formula>AND(JW$7&lt;=EOMONTH($J$7,1),JW$7&gt;EOMONTH($J$7,0))</formula>
    </cfRule>
    <cfRule type="expression" dxfId="2" priority="3">
      <formula>AND(JW$7&lt;=EOMONTH($J$7,2),JW$7&gt;EOMONTH($J$7,0),JW$7&gt;EOMONTH($J$7,1))</formula>
    </cfRule>
    <cfRule type="expression" dxfId="1" priority="1">
      <formula>JW$7&lt;=EOMONTH($J$7,0)</formula>
    </cfRule>
  </conditionalFormatting>
  <conditionalFormatting sqref="KX7:KX9 KX13:KX49">
    <cfRule type="expression" dxfId="0" priority="69">
      <formula>AND(TODAY()&gt;=KX$7,TODAY()&lt;#REF!)</formula>
    </cfRule>
  </conditionalFormatting>
  <dataValidations count="9">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284734FA-D9B6-470C-815E-321FF1203CE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21BE658D-EADD-4AE0-ADDA-1488F02D0E97}"/>
    <dataValidation allowBlank="1" showInputMessage="1" showErrorMessage="1" prompt="Las celdas I9 a BL9 contienen el día del mes representado en el bloque de celdas, encima de cada celda de fecha, y se calculan automáticamente._x000a_No modifique estas celdas._x000a_" sqref="A7" xr:uid="{6D8EAE53-B2BC-4533-B7A1-E3F9265C3D07}"/>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F6E77343-C348-48BB-B536-1B1FA81638EA}"/>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6DDD71AD-CF0D-4171-B5F9-357F75F390F6}"/>
    <dataValidation allowBlank="1" showInputMessage="1" showErrorMessage="1" prompt="Escriba el nombre de la empresa en B4._x000a_Figura una leyenda entre las celdas I4 y AC4. La etiqueta de leyenda está en la celda G4." sqref="A4" xr:uid="{EF831851-994B-40F2-9502-93F5110E03E2}"/>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D44B3DB0-E78E-4042-9365-E93E77560BE3}"/>
    <dataValidation type="whole" operator="greaterThanOrEqual" allowBlank="1" showInputMessage="1" promptTitle="Incremento de desplazamiento" prompt="Al cambiar este número, se desplazará la vista del diagrama de Gantt." sqref="C7" xr:uid="{A1D0DADD-C845-4DC8-9274-EAB815D3C8D7}">
      <formula1>0</formula1>
    </dataValidation>
    <dataValidation type="list" allowBlank="1" showInputMessage="1" showErrorMessage="1" sqref="C10:C49" xr:uid="{7F977F1F-93F6-415D-AAD6-06E0733D37A8}">
      <formula1>"Objetivo,Hito,Según lo previsto, Riesgo bajo, Riesgo medio, Riesgo alto"</formula1>
    </dataValidation>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6013752-E5EC-41E1-A749-FD2F141AA930}">
            <x14:dataBar minLength="0" maxLength="100" gradient="0">
              <x14:cfvo type="num">
                <xm:f>0</xm:f>
              </x14:cfvo>
              <x14:cfvo type="num">
                <xm:f>1</xm:f>
              </x14:cfvo>
              <x14:negativeFillColor rgb="FFFF0000"/>
              <x14:axisColor rgb="FF000000"/>
            </x14:dataBar>
          </x14:cfRule>
          <xm:sqref>E9:E49</xm:sqref>
        </x14:conditionalFormatting>
        <x14:conditionalFormatting xmlns:xm="http://schemas.microsoft.com/office/excel/2006/main">
          <x14:cfRule type="iconSet" priority="72" id="{DE3B5527-A0CE-4A00-91EB-1A8BA8901D26}">
            <x14:iconSet iconSet="3Stars" showValue="0" custom="1">
              <x14:cfvo type="percent">
                <xm:f>0</xm:f>
              </x14:cfvo>
              <x14:cfvo type="num">
                <xm:f>1</xm:f>
              </x14:cfvo>
              <x14:cfvo type="num">
                <xm:f>2</xm:f>
              </x14:cfvo>
              <x14:cfIcon iconSet="NoIcons" iconId="0"/>
              <x14:cfIcon iconSet="3Flags" iconId="1"/>
              <x14:cfIcon iconSet="3Signs" iconId="0"/>
            </x14:iconSet>
          </x14:cfRule>
          <xm:sqref>J10:BM12 DA10:FD12 J13:KX49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0051-4D63-457C-96AD-CA1E01A23817}">
  <dimension ref="B3:D9"/>
  <sheetViews>
    <sheetView workbookViewId="0">
      <selection activeCell="D37" sqref="D37"/>
    </sheetView>
  </sheetViews>
  <sheetFormatPr baseColWidth="10" defaultRowHeight="15"/>
  <cols>
    <col min="1" max="1" width="6.140625" customWidth="1"/>
    <col min="2" max="2" width="10.5703125" bestFit="1" customWidth="1"/>
    <col min="3" max="3" width="35.28515625" bestFit="1" customWidth="1"/>
    <col min="4" max="4" width="59.7109375" bestFit="1" customWidth="1"/>
  </cols>
  <sheetData>
    <row r="3" spans="2:4">
      <c r="B3" s="1" t="s">
        <v>52</v>
      </c>
      <c r="C3" s="1" t="s">
        <v>53</v>
      </c>
      <c r="D3" s="1" t="s">
        <v>54</v>
      </c>
    </row>
    <row r="4" spans="2:4">
      <c r="B4" s="2" t="s">
        <v>55</v>
      </c>
      <c r="C4" s="2" t="s">
        <v>56</v>
      </c>
      <c r="D4" s="2" t="s">
        <v>57</v>
      </c>
    </row>
    <row r="5" spans="2:4">
      <c r="B5" s="2" t="s">
        <v>55</v>
      </c>
      <c r="C5" s="2" t="s">
        <v>58</v>
      </c>
      <c r="D5" s="2" t="s">
        <v>59</v>
      </c>
    </row>
    <row r="6" spans="2:4">
      <c r="B6" s="2" t="s">
        <v>55</v>
      </c>
      <c r="C6" s="2" t="s">
        <v>60</v>
      </c>
      <c r="D6" s="2" t="s">
        <v>61</v>
      </c>
    </row>
    <row r="7" spans="2:4">
      <c r="B7" s="2" t="s">
        <v>55</v>
      </c>
      <c r="C7" s="2" t="s">
        <v>62</v>
      </c>
      <c r="D7" s="2" t="s">
        <v>63</v>
      </c>
    </row>
    <row r="8" spans="2:4">
      <c r="B8" s="2" t="s">
        <v>55</v>
      </c>
      <c r="C8" s="2" t="s">
        <v>64</v>
      </c>
      <c r="D8" s="2" t="s">
        <v>65</v>
      </c>
    </row>
    <row r="9" spans="2:4">
      <c r="B9" s="2" t="s">
        <v>55</v>
      </c>
      <c r="C9" s="2" t="s">
        <v>66</v>
      </c>
      <c r="D9" s="2"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AE6F-474A-4899-8D88-89596FCBEB0E}">
  <dimension ref="A1:K24"/>
  <sheetViews>
    <sheetView tabSelected="1" zoomScale="90" workbookViewId="0">
      <selection activeCell="G10" sqref="G10"/>
    </sheetView>
  </sheetViews>
  <sheetFormatPr baseColWidth="10" defaultRowHeight="15"/>
  <cols>
    <col min="1" max="1" width="25.42578125" bestFit="1" customWidth="1"/>
    <col min="2" max="2" width="6.28515625" bestFit="1" customWidth="1"/>
    <col min="3" max="3" width="27.7109375" bestFit="1" customWidth="1"/>
    <col min="4" max="4" width="13.7109375" bestFit="1" customWidth="1"/>
    <col min="5" max="5" width="26.7109375" bestFit="1" customWidth="1"/>
    <col min="6" max="6" width="21.42578125" bestFit="1" customWidth="1"/>
    <col min="7" max="7" width="118.140625" bestFit="1" customWidth="1"/>
    <col min="8" max="8" width="7.5703125" bestFit="1" customWidth="1"/>
    <col min="9" max="9" width="12.7109375" bestFit="1" customWidth="1"/>
    <col min="10" max="10" width="19.140625" bestFit="1" customWidth="1"/>
    <col min="11" max="11" width="12.42578125" bestFit="1" customWidth="1"/>
  </cols>
  <sheetData>
    <row r="1" spans="1:11" ht="30" customHeight="1">
      <c r="A1" s="3" t="s">
        <v>102</v>
      </c>
      <c r="B1" s="3" t="s">
        <v>103</v>
      </c>
      <c r="C1" s="3" t="s">
        <v>68</v>
      </c>
      <c r="D1" s="3" t="s">
        <v>104</v>
      </c>
      <c r="E1" s="3" t="s">
        <v>105</v>
      </c>
      <c r="F1" s="3" t="s">
        <v>106</v>
      </c>
      <c r="G1" s="3" t="s">
        <v>107</v>
      </c>
      <c r="H1" s="3" t="s">
        <v>69</v>
      </c>
      <c r="I1" s="3" t="s">
        <v>5</v>
      </c>
    </row>
    <row r="2" spans="1:11" ht="30" customHeight="1">
      <c r="A2" s="62" t="s">
        <v>133</v>
      </c>
      <c r="B2" s="62" t="s">
        <v>255</v>
      </c>
      <c r="C2" s="63" t="s">
        <v>256</v>
      </c>
      <c r="D2" s="63" t="s">
        <v>7</v>
      </c>
      <c r="E2" s="63" t="s">
        <v>257</v>
      </c>
      <c r="F2" s="63" t="s">
        <v>258</v>
      </c>
      <c r="G2" s="63" t="s">
        <v>296</v>
      </c>
      <c r="H2" s="63" t="s">
        <v>71</v>
      </c>
      <c r="I2" s="62" t="s">
        <v>7</v>
      </c>
      <c r="K2" s="64" t="s">
        <v>363</v>
      </c>
    </row>
    <row r="3" spans="1:11" ht="30" customHeight="1">
      <c r="A3" s="62" t="s">
        <v>133</v>
      </c>
      <c r="B3" s="62" t="s">
        <v>259</v>
      </c>
      <c r="C3" s="63" t="s">
        <v>260</v>
      </c>
      <c r="D3" s="63" t="s">
        <v>86</v>
      </c>
      <c r="E3" s="63" t="s">
        <v>276</v>
      </c>
      <c r="F3" s="63" t="s">
        <v>261</v>
      </c>
      <c r="G3" s="63" t="s">
        <v>295</v>
      </c>
      <c r="H3" s="63" t="s">
        <v>71</v>
      </c>
      <c r="I3" s="62" t="s">
        <v>262</v>
      </c>
      <c r="K3" s="65" t="s">
        <v>364</v>
      </c>
    </row>
    <row r="4" spans="1:11" ht="30" customHeight="1">
      <c r="A4" s="4" t="s">
        <v>108</v>
      </c>
      <c r="B4" s="4" t="s">
        <v>70</v>
      </c>
      <c r="C4" s="5" t="s">
        <v>109</v>
      </c>
      <c r="D4" s="5" t="s">
        <v>110</v>
      </c>
      <c r="E4" s="5" t="s">
        <v>111</v>
      </c>
      <c r="F4" s="5" t="s">
        <v>112</v>
      </c>
      <c r="G4" s="5" t="s">
        <v>277</v>
      </c>
      <c r="H4" s="5" t="s">
        <v>71</v>
      </c>
      <c r="I4" s="5" t="s">
        <v>72</v>
      </c>
    </row>
    <row r="5" spans="1:11" ht="30" customHeight="1">
      <c r="A5" s="4" t="s">
        <v>122</v>
      </c>
      <c r="B5" s="4" t="s">
        <v>79</v>
      </c>
      <c r="C5" s="5" t="s">
        <v>123</v>
      </c>
      <c r="D5" s="5" t="s">
        <v>110</v>
      </c>
      <c r="E5" s="5" t="s">
        <v>124</v>
      </c>
      <c r="F5" s="5" t="s">
        <v>125</v>
      </c>
      <c r="G5" s="5" t="s">
        <v>281</v>
      </c>
      <c r="H5" s="5" t="s">
        <v>71</v>
      </c>
      <c r="I5" s="5" t="s">
        <v>72</v>
      </c>
    </row>
    <row r="6" spans="1:11" ht="30" customHeight="1">
      <c r="A6" s="4" t="s">
        <v>122</v>
      </c>
      <c r="B6" s="4" t="s">
        <v>80</v>
      </c>
      <c r="C6" s="5" t="s">
        <v>81</v>
      </c>
      <c r="D6" s="5" t="s">
        <v>126</v>
      </c>
      <c r="E6" s="5" t="s">
        <v>127</v>
      </c>
      <c r="F6" s="5" t="s">
        <v>128</v>
      </c>
      <c r="G6" s="5" t="s">
        <v>282</v>
      </c>
      <c r="H6" s="5" t="s">
        <v>71</v>
      </c>
      <c r="I6" s="5" t="s">
        <v>72</v>
      </c>
    </row>
    <row r="7" spans="1:11" ht="30" customHeight="1">
      <c r="A7" s="66" t="s">
        <v>133</v>
      </c>
      <c r="B7" s="66" t="s">
        <v>83</v>
      </c>
      <c r="C7" s="67" t="s">
        <v>134</v>
      </c>
      <c r="D7" s="67" t="s">
        <v>135</v>
      </c>
      <c r="E7" s="67" t="s">
        <v>136</v>
      </c>
      <c r="F7" s="67" t="s">
        <v>137</v>
      </c>
      <c r="G7" s="67" t="s">
        <v>284</v>
      </c>
      <c r="H7" s="67" t="s">
        <v>71</v>
      </c>
      <c r="I7" s="67" t="s">
        <v>72</v>
      </c>
      <c r="J7" s="61" t="s">
        <v>362</v>
      </c>
    </row>
    <row r="8" spans="1:11" ht="30" customHeight="1">
      <c r="A8" s="66" t="s">
        <v>133</v>
      </c>
      <c r="B8" s="66" t="s">
        <v>84</v>
      </c>
      <c r="C8" s="67" t="s">
        <v>138</v>
      </c>
      <c r="D8" s="67" t="s">
        <v>135</v>
      </c>
      <c r="E8" s="67" t="s">
        <v>139</v>
      </c>
      <c r="F8" s="67" t="s">
        <v>140</v>
      </c>
      <c r="G8" s="67" t="s">
        <v>285</v>
      </c>
      <c r="H8" s="67" t="s">
        <v>71</v>
      </c>
      <c r="I8" s="67" t="s">
        <v>72</v>
      </c>
    </row>
    <row r="9" spans="1:11" ht="30" customHeight="1">
      <c r="A9" s="4" t="s">
        <v>145</v>
      </c>
      <c r="B9" s="4" t="s">
        <v>87</v>
      </c>
      <c r="C9" s="5" t="s">
        <v>146</v>
      </c>
      <c r="D9" s="5" t="s">
        <v>147</v>
      </c>
      <c r="E9" s="5" t="s">
        <v>148</v>
      </c>
      <c r="F9" s="5" t="s">
        <v>149</v>
      </c>
      <c r="G9" s="5" t="s">
        <v>287</v>
      </c>
      <c r="H9" s="5" t="s">
        <v>71</v>
      </c>
      <c r="I9" s="5" t="s">
        <v>72</v>
      </c>
    </row>
    <row r="10" spans="1:11" ht="30" customHeight="1">
      <c r="A10" s="66" t="s">
        <v>161</v>
      </c>
      <c r="B10" s="66" t="s">
        <v>97</v>
      </c>
      <c r="C10" s="67" t="s">
        <v>162</v>
      </c>
      <c r="D10" s="67" t="s">
        <v>163</v>
      </c>
      <c r="E10" s="67" t="s">
        <v>164</v>
      </c>
      <c r="F10" s="67" t="s">
        <v>165</v>
      </c>
      <c r="G10" s="67" t="s">
        <v>292</v>
      </c>
      <c r="H10" s="67" t="s">
        <v>71</v>
      </c>
      <c r="I10" s="67" t="s">
        <v>72</v>
      </c>
    </row>
    <row r="11" spans="1:11" ht="30" customHeight="1">
      <c r="A11" s="4" t="s">
        <v>133</v>
      </c>
      <c r="B11" s="4" t="s">
        <v>263</v>
      </c>
      <c r="C11" s="5" t="s">
        <v>264</v>
      </c>
      <c r="D11" s="5" t="s">
        <v>265</v>
      </c>
      <c r="E11" s="5" t="s">
        <v>266</v>
      </c>
      <c r="F11" s="5" t="s">
        <v>267</v>
      </c>
      <c r="G11" s="5" t="s">
        <v>297</v>
      </c>
      <c r="H11" s="5" t="s">
        <v>74</v>
      </c>
      <c r="I11" s="5" t="s">
        <v>72</v>
      </c>
    </row>
    <row r="12" spans="1:11" ht="30" customHeight="1">
      <c r="A12" s="4" t="s">
        <v>133</v>
      </c>
      <c r="B12" s="4" t="s">
        <v>268</v>
      </c>
      <c r="C12" s="5" t="s">
        <v>269</v>
      </c>
      <c r="D12" s="5" t="s">
        <v>86</v>
      </c>
      <c r="E12" s="5" t="s">
        <v>270</v>
      </c>
      <c r="F12" s="5" t="s">
        <v>271</v>
      </c>
      <c r="G12" s="5" t="s">
        <v>298</v>
      </c>
      <c r="H12" s="5" t="s">
        <v>74</v>
      </c>
      <c r="I12" s="4" t="s">
        <v>86</v>
      </c>
    </row>
    <row r="13" spans="1:11" ht="30" customHeight="1">
      <c r="A13" s="4" t="s">
        <v>133</v>
      </c>
      <c r="B13" s="4" t="s">
        <v>272</v>
      </c>
      <c r="C13" s="5" t="s">
        <v>273</v>
      </c>
      <c r="D13" s="5" t="s">
        <v>7</v>
      </c>
      <c r="E13" s="5" t="s">
        <v>274</v>
      </c>
      <c r="F13" s="5" t="s">
        <v>275</v>
      </c>
      <c r="G13" s="5" t="s">
        <v>299</v>
      </c>
      <c r="H13" s="5" t="s">
        <v>74</v>
      </c>
      <c r="I13" s="4" t="s">
        <v>7</v>
      </c>
    </row>
    <row r="14" spans="1:11" ht="30" customHeight="1">
      <c r="A14" s="4" t="s">
        <v>108</v>
      </c>
      <c r="B14" s="4" t="s">
        <v>73</v>
      </c>
      <c r="C14" s="5" t="s">
        <v>113</v>
      </c>
      <c r="D14" s="5" t="s">
        <v>110</v>
      </c>
      <c r="E14" s="5" t="s">
        <v>114</v>
      </c>
      <c r="F14" s="5" t="s">
        <v>115</v>
      </c>
      <c r="G14" s="5" t="s">
        <v>278</v>
      </c>
      <c r="H14" s="5" t="s">
        <v>74</v>
      </c>
      <c r="I14" s="5" t="s">
        <v>72</v>
      </c>
    </row>
    <row r="15" spans="1:11" ht="30" customHeight="1">
      <c r="A15" s="4" t="s">
        <v>108</v>
      </c>
      <c r="B15" s="4" t="s">
        <v>75</v>
      </c>
      <c r="C15" s="5" t="s">
        <v>76</v>
      </c>
      <c r="D15" s="5" t="s">
        <v>116</v>
      </c>
      <c r="E15" s="5" t="s">
        <v>117</v>
      </c>
      <c r="F15" s="5" t="s">
        <v>118</v>
      </c>
      <c r="G15" s="5" t="s">
        <v>279</v>
      </c>
      <c r="H15" s="5" t="s">
        <v>74</v>
      </c>
      <c r="I15" s="5" t="s">
        <v>72</v>
      </c>
    </row>
    <row r="16" spans="1:11" ht="30" customHeight="1">
      <c r="A16" s="4" t="s">
        <v>108</v>
      </c>
      <c r="B16" s="4" t="s">
        <v>77</v>
      </c>
      <c r="C16" s="5" t="s">
        <v>78</v>
      </c>
      <c r="D16" s="5" t="s">
        <v>119</v>
      </c>
      <c r="E16" s="5" t="s">
        <v>120</v>
      </c>
      <c r="F16" s="5" t="s">
        <v>121</v>
      </c>
      <c r="G16" s="5" t="s">
        <v>280</v>
      </c>
      <c r="H16" s="5" t="s">
        <v>74</v>
      </c>
      <c r="I16" s="5" t="s">
        <v>72</v>
      </c>
    </row>
    <row r="17" spans="1:9" ht="30" customHeight="1">
      <c r="A17" s="4" t="s">
        <v>133</v>
      </c>
      <c r="B17" s="4" t="s">
        <v>85</v>
      </c>
      <c r="C17" s="5" t="s">
        <v>141</v>
      </c>
      <c r="D17" s="5" t="s">
        <v>142</v>
      </c>
      <c r="E17" s="5" t="s">
        <v>143</v>
      </c>
      <c r="F17" s="5" t="s">
        <v>144</v>
      </c>
      <c r="G17" s="5" t="s">
        <v>286</v>
      </c>
      <c r="H17" s="5" t="s">
        <v>74</v>
      </c>
      <c r="I17" s="4" t="s">
        <v>86</v>
      </c>
    </row>
    <row r="18" spans="1:9" ht="30" customHeight="1">
      <c r="A18" s="4" t="s">
        <v>153</v>
      </c>
      <c r="B18" s="4" t="s">
        <v>91</v>
      </c>
      <c r="C18" s="5" t="s">
        <v>92</v>
      </c>
      <c r="D18" s="5" t="s">
        <v>110</v>
      </c>
      <c r="E18" s="5" t="s">
        <v>154</v>
      </c>
      <c r="F18" s="5" t="s">
        <v>155</v>
      </c>
      <c r="G18" s="5" t="s">
        <v>289</v>
      </c>
      <c r="H18" s="5" t="s">
        <v>74</v>
      </c>
      <c r="I18" s="5" t="s">
        <v>72</v>
      </c>
    </row>
    <row r="19" spans="1:9" ht="30" customHeight="1">
      <c r="A19" s="4" t="s">
        <v>153</v>
      </c>
      <c r="B19" s="4" t="s">
        <v>93</v>
      </c>
      <c r="C19" s="5" t="s">
        <v>94</v>
      </c>
      <c r="D19" s="5" t="s">
        <v>156</v>
      </c>
      <c r="E19" s="5" t="s">
        <v>157</v>
      </c>
      <c r="F19" s="5" t="s">
        <v>158</v>
      </c>
      <c r="G19" s="5" t="s">
        <v>290</v>
      </c>
      <c r="H19" s="5" t="s">
        <v>74</v>
      </c>
      <c r="I19" s="5" t="s">
        <v>72</v>
      </c>
    </row>
    <row r="20" spans="1:9" ht="30" customHeight="1">
      <c r="A20" s="4" t="s">
        <v>161</v>
      </c>
      <c r="B20" s="4" t="s">
        <v>98</v>
      </c>
      <c r="C20" s="5" t="s">
        <v>99</v>
      </c>
      <c r="D20" s="5" t="s">
        <v>166</v>
      </c>
      <c r="E20" s="5" t="s">
        <v>171</v>
      </c>
      <c r="F20" s="5" t="s">
        <v>167</v>
      </c>
      <c r="G20" s="5" t="s">
        <v>293</v>
      </c>
      <c r="H20" s="5" t="s">
        <v>74</v>
      </c>
      <c r="I20" s="4" t="s">
        <v>7</v>
      </c>
    </row>
    <row r="21" spans="1:9" ht="30" customHeight="1">
      <c r="A21" s="4" t="s">
        <v>122</v>
      </c>
      <c r="B21" s="4" t="s">
        <v>82</v>
      </c>
      <c r="C21" s="5" t="s">
        <v>129</v>
      </c>
      <c r="D21" s="5" t="s">
        <v>130</v>
      </c>
      <c r="E21" s="5" t="s">
        <v>131</v>
      </c>
      <c r="F21" s="5" t="s">
        <v>132</v>
      </c>
      <c r="G21" s="5" t="s">
        <v>283</v>
      </c>
      <c r="H21" s="5" t="s">
        <v>90</v>
      </c>
      <c r="I21" s="5" t="s">
        <v>72</v>
      </c>
    </row>
    <row r="22" spans="1:9" ht="30" customHeight="1">
      <c r="A22" s="4" t="s">
        <v>145</v>
      </c>
      <c r="B22" s="4" t="s">
        <v>88</v>
      </c>
      <c r="C22" s="5" t="s">
        <v>89</v>
      </c>
      <c r="D22" s="5" t="s">
        <v>150</v>
      </c>
      <c r="E22" s="5" t="s">
        <v>151</v>
      </c>
      <c r="F22" s="5" t="s">
        <v>152</v>
      </c>
      <c r="G22" s="5" t="s">
        <v>288</v>
      </c>
      <c r="H22" s="5" t="s">
        <v>90</v>
      </c>
      <c r="I22" s="5" t="s">
        <v>72</v>
      </c>
    </row>
    <row r="23" spans="1:9" ht="30" customHeight="1">
      <c r="A23" s="4" t="s">
        <v>153</v>
      </c>
      <c r="B23" s="4" t="s">
        <v>95</v>
      </c>
      <c r="C23" s="5" t="s">
        <v>96</v>
      </c>
      <c r="D23" s="5" t="s">
        <v>159</v>
      </c>
      <c r="E23" s="5" t="s">
        <v>170</v>
      </c>
      <c r="F23" s="5" t="s">
        <v>160</v>
      </c>
      <c r="G23" s="5" t="s">
        <v>291</v>
      </c>
      <c r="H23" s="5" t="s">
        <v>90</v>
      </c>
      <c r="I23" s="5" t="s">
        <v>72</v>
      </c>
    </row>
    <row r="24" spans="1:9" ht="30" customHeight="1">
      <c r="A24" s="4" t="s">
        <v>161</v>
      </c>
      <c r="B24" s="4" t="s">
        <v>100</v>
      </c>
      <c r="C24" s="5" t="s">
        <v>101</v>
      </c>
      <c r="D24" s="5" t="s">
        <v>7</v>
      </c>
      <c r="E24" s="5" t="s">
        <v>168</v>
      </c>
      <c r="F24" s="5" t="s">
        <v>169</v>
      </c>
      <c r="G24" s="5" t="s">
        <v>294</v>
      </c>
      <c r="H24" s="5" t="s">
        <v>90</v>
      </c>
      <c r="I24" s="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HABLAVAO_cronograma_PMBAgil</vt:lpstr>
      <vt:lpstr>Gantt</vt:lpstr>
      <vt:lpstr>Epics</vt:lpstr>
      <vt:lpstr>Backlog</vt:lpstr>
      <vt:lpstr>Gantt!Incremento_de_desplazamiento</vt:lpstr>
      <vt:lpstr>Gantt!Inicio_del_proyecto</vt:lpstr>
      <vt:lpstr>Gantt!Títulos_a_imprimir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Zuniga</dc:creator>
  <cp:lastModifiedBy>u201823368 (Zuñiga Cordova, Johan Poul Hugo)</cp:lastModifiedBy>
  <dcterms:created xsi:type="dcterms:W3CDTF">2025-11-07T15:19:11Z</dcterms:created>
  <dcterms:modified xsi:type="dcterms:W3CDTF">2025-11-25T13:03:43Z</dcterms:modified>
</cp:coreProperties>
</file>