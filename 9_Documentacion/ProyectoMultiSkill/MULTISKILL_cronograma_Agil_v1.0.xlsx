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OHAN\Desktop\vaope-bi\9_Documentacion\ProyectoMultiSkill\"/>
    </mc:Choice>
  </mc:AlternateContent>
  <xr:revisionPtr revIDLastSave="0" documentId="13_ncr:1_{8DDF08AC-A71B-4CB9-B018-D381CA329A88}" xr6:coauthVersionLast="47" xr6:coauthVersionMax="47" xr10:uidLastSave="{00000000-0000-0000-0000-000000000000}"/>
  <bookViews>
    <workbookView xWindow="-108" yWindow="-108" windowWidth="23256" windowHeight="13896" firstSheet="1" activeTab="1" xr2:uid="{874EE092-DFBE-4733-8E84-3FB786537FDD}"/>
  </bookViews>
  <sheets>
    <sheet name="HABLAVAO_cronograma_PMBAgil" sheetId="1" state="hidden" r:id="rId1"/>
    <sheet name="Gantt" sheetId="5" r:id="rId2"/>
    <sheet name="Epics" sheetId="2" state="hidden" r:id="rId3"/>
    <sheet name="Backlog" sheetId="4" state="hidden" r:id="rId4"/>
  </sheets>
  <definedNames>
    <definedName name="_xlnm._FilterDatabase" localSheetId="3" hidden="1">Backlog!$A$4:$K$36</definedName>
    <definedName name="Hoy" localSheetId="1">TODAY()</definedName>
    <definedName name="Incremento_de_desplazamiento" localSheetId="1">Gantt!$C$7</definedName>
    <definedName name="Inicio_del_proyecto" localSheetId="1">Gantt!$C$6</definedName>
    <definedName name="_xlnm.Print_Titles" localSheetId="1">Gantt!$6:$9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0" i="5" l="1"/>
  <c r="G33" i="5"/>
  <c r="H19" i="5"/>
  <c r="H18" i="5" s="1"/>
  <c r="G32" i="5"/>
  <c r="G31" i="5"/>
  <c r="C35" i="5" l="1"/>
  <c r="D35" i="5" s="1"/>
  <c r="E35" i="5" s="1"/>
  <c r="F35" i="5" s="1"/>
  <c r="E19" i="5" l="1"/>
  <c r="G29" i="5"/>
  <c r="G25" i="5"/>
  <c r="F26" i="5" s="1"/>
  <c r="G26" i="5" s="1"/>
  <c r="F27" i="5" s="1"/>
  <c r="G27" i="5" s="1"/>
  <c r="F28" i="5" s="1"/>
  <c r="G28" i="5" s="1"/>
  <c r="G24" i="5"/>
  <c r="G21" i="5"/>
  <c r="F22" i="5" s="1"/>
  <c r="G22" i="5" s="1"/>
  <c r="F23" i="5" s="1"/>
  <c r="G23" i="5" s="1"/>
  <c r="G20" i="5"/>
  <c r="E11" i="5"/>
  <c r="H11" i="5"/>
  <c r="G12" i="5"/>
  <c r="F13" i="5" s="1"/>
  <c r="F11" i="5"/>
  <c r="F10" i="5" s="1"/>
  <c r="KX9" i="5"/>
  <c r="KW9" i="5"/>
  <c r="KV9" i="5"/>
  <c r="KU9" i="5"/>
  <c r="KT9" i="5"/>
  <c r="KS9" i="5"/>
  <c r="KR9" i="5"/>
  <c r="KQ9" i="5"/>
  <c r="KP9" i="5"/>
  <c r="KO9" i="5"/>
  <c r="KN9" i="5"/>
  <c r="KM9" i="5"/>
  <c r="KL9" i="5"/>
  <c r="KK9" i="5"/>
  <c r="KJ9" i="5"/>
  <c r="KI9" i="5"/>
  <c r="KH9" i="5"/>
  <c r="KG9" i="5"/>
  <c r="KF9" i="5"/>
  <c r="KE9" i="5"/>
  <c r="KD9" i="5"/>
  <c r="KC9" i="5"/>
  <c r="KB9" i="5"/>
  <c r="KA9" i="5"/>
  <c r="JZ9" i="5"/>
  <c r="JY9" i="5"/>
  <c r="JX9" i="5"/>
  <c r="JW9" i="5"/>
  <c r="JV9" i="5"/>
  <c r="JU9" i="5"/>
  <c r="JT9" i="5"/>
  <c r="JS9" i="5"/>
  <c r="JR9" i="5"/>
  <c r="JQ9" i="5"/>
  <c r="JP9" i="5"/>
  <c r="JO9" i="5"/>
  <c r="JN9" i="5"/>
  <c r="JM9" i="5"/>
  <c r="JL9" i="5"/>
  <c r="JK9" i="5"/>
  <c r="JJ9" i="5"/>
  <c r="JI9" i="5"/>
  <c r="JH9" i="5"/>
  <c r="JG9" i="5"/>
  <c r="JF9" i="5"/>
  <c r="JE9" i="5"/>
  <c r="JD9" i="5"/>
  <c r="JC9" i="5"/>
  <c r="JB9" i="5"/>
  <c r="JA9" i="5"/>
  <c r="IZ9" i="5"/>
  <c r="IY9" i="5"/>
  <c r="IX9" i="5"/>
  <c r="IW9" i="5"/>
  <c r="IV9" i="5"/>
  <c r="IU9" i="5"/>
  <c r="IT9" i="5"/>
  <c r="IS9" i="5"/>
  <c r="IR9" i="5"/>
  <c r="IQ9" i="5"/>
  <c r="IP9" i="5"/>
  <c r="IO9" i="5"/>
  <c r="IN9" i="5"/>
  <c r="IM9" i="5"/>
  <c r="IL9" i="5"/>
  <c r="IK9" i="5"/>
  <c r="IJ9" i="5"/>
  <c r="II9" i="5"/>
  <c r="IH9" i="5"/>
  <c r="IG9" i="5"/>
  <c r="IF9" i="5"/>
  <c r="IE9" i="5"/>
  <c r="ID9" i="5"/>
  <c r="IC9" i="5"/>
  <c r="IB9" i="5"/>
  <c r="IA9" i="5"/>
  <c r="HZ9" i="5"/>
  <c r="HY9" i="5"/>
  <c r="HX9" i="5"/>
  <c r="HW9" i="5"/>
  <c r="HV9" i="5"/>
  <c r="HU9" i="5"/>
  <c r="HT9" i="5"/>
  <c r="HS9" i="5"/>
  <c r="HR9" i="5"/>
  <c r="HQ9" i="5"/>
  <c r="HP9" i="5"/>
  <c r="HO9" i="5"/>
  <c r="HN9" i="5"/>
  <c r="HM9" i="5"/>
  <c r="HL9" i="5"/>
  <c r="HK9" i="5"/>
  <c r="HJ9" i="5"/>
  <c r="HI9" i="5"/>
  <c r="HH9" i="5"/>
  <c r="HG9" i="5"/>
  <c r="HF9" i="5"/>
  <c r="HE9" i="5"/>
  <c r="HD9" i="5"/>
  <c r="HC9" i="5"/>
  <c r="HB9" i="5"/>
  <c r="HA9" i="5"/>
  <c r="GZ9" i="5"/>
  <c r="GY9" i="5"/>
  <c r="GX9" i="5"/>
  <c r="GW9" i="5"/>
  <c r="GV9" i="5"/>
  <c r="GU9" i="5"/>
  <c r="GT9" i="5"/>
  <c r="GS9" i="5"/>
  <c r="GR9" i="5"/>
  <c r="GQ9" i="5"/>
  <c r="GP9" i="5"/>
  <c r="GO9" i="5"/>
  <c r="GN9" i="5"/>
  <c r="GM9" i="5"/>
  <c r="GL9" i="5"/>
  <c r="GK9" i="5"/>
  <c r="GJ9" i="5"/>
  <c r="GI9" i="5"/>
  <c r="GH9" i="5"/>
  <c r="GG9" i="5"/>
  <c r="GF9" i="5"/>
  <c r="GE9" i="5"/>
  <c r="GD9" i="5"/>
  <c r="GC9" i="5"/>
  <c r="GB9" i="5"/>
  <c r="GA9" i="5"/>
  <c r="FZ9" i="5"/>
  <c r="FY9" i="5"/>
  <c r="FX9" i="5"/>
  <c r="FW9" i="5"/>
  <c r="FV9" i="5"/>
  <c r="FU9" i="5"/>
  <c r="FT9" i="5"/>
  <c r="FS9" i="5"/>
  <c r="FR9" i="5"/>
  <c r="FQ9" i="5"/>
  <c r="FP9" i="5"/>
  <c r="FO9" i="5"/>
  <c r="FN9" i="5"/>
  <c r="FM9" i="5"/>
  <c r="FL9" i="5"/>
  <c r="FK9" i="5"/>
  <c r="FJ9" i="5"/>
  <c r="FI9" i="5"/>
  <c r="FH9" i="5"/>
  <c r="FG9" i="5"/>
  <c r="FF9" i="5"/>
  <c r="FE9" i="5"/>
  <c r="FD9" i="5"/>
  <c r="FC9" i="5"/>
  <c r="FB9" i="5"/>
  <c r="FA9" i="5"/>
  <c r="EZ9" i="5"/>
  <c r="EY9" i="5"/>
  <c r="EX9" i="5"/>
  <c r="EW9" i="5"/>
  <c r="EV9" i="5"/>
  <c r="EU9" i="5"/>
  <c r="ET9" i="5"/>
  <c r="ES9" i="5"/>
  <c r="ER9" i="5"/>
  <c r="EQ9" i="5"/>
  <c r="EP9" i="5"/>
  <c r="EO9" i="5"/>
  <c r="EN9" i="5"/>
  <c r="EM9" i="5"/>
  <c r="EL9" i="5"/>
  <c r="EK9" i="5"/>
  <c r="EJ9" i="5"/>
  <c r="EI9" i="5"/>
  <c r="EH9" i="5"/>
  <c r="EG9" i="5"/>
  <c r="EF9" i="5"/>
  <c r="EE9" i="5"/>
  <c r="ED9" i="5"/>
  <c r="EC9" i="5"/>
  <c r="EB9" i="5"/>
  <c r="EA9" i="5"/>
  <c r="DZ9" i="5"/>
  <c r="DY9" i="5"/>
  <c r="DX9" i="5"/>
  <c r="DW9" i="5"/>
  <c r="DV9" i="5"/>
  <c r="DU9" i="5"/>
  <c r="DT9" i="5"/>
  <c r="DS9" i="5"/>
  <c r="DR9" i="5"/>
  <c r="DQ9" i="5"/>
  <c r="DP9" i="5"/>
  <c r="DO9" i="5"/>
  <c r="DN9" i="5"/>
  <c r="DM9" i="5"/>
  <c r="DL9" i="5"/>
  <c r="DK9" i="5"/>
  <c r="DJ9" i="5"/>
  <c r="DI9" i="5"/>
  <c r="DH9" i="5"/>
  <c r="DG9" i="5"/>
  <c r="DF9" i="5"/>
  <c r="DE9" i="5"/>
  <c r="DD9" i="5"/>
  <c r="DC9" i="5"/>
  <c r="DB9" i="5"/>
  <c r="DA9" i="5"/>
  <c r="CZ9" i="5"/>
  <c r="CY9" i="5"/>
  <c r="CX9" i="5"/>
  <c r="CW9" i="5"/>
  <c r="CV9" i="5"/>
  <c r="CU9" i="5"/>
  <c r="CT9" i="5"/>
  <c r="CS9" i="5"/>
  <c r="CR9" i="5"/>
  <c r="CQ9" i="5"/>
  <c r="CP9" i="5"/>
  <c r="CO9" i="5"/>
  <c r="CN9" i="5"/>
  <c r="CM9" i="5"/>
  <c r="CL9" i="5"/>
  <c r="CK9" i="5"/>
  <c r="CJ9" i="5"/>
  <c r="CI9" i="5"/>
  <c r="CH9" i="5"/>
  <c r="CG9" i="5"/>
  <c r="CF9" i="5"/>
  <c r="CE9" i="5"/>
  <c r="CD9" i="5"/>
  <c r="CC9" i="5"/>
  <c r="CB9" i="5"/>
  <c r="CA9" i="5"/>
  <c r="BZ9" i="5"/>
  <c r="BY9" i="5"/>
  <c r="BX9" i="5"/>
  <c r="BW9" i="5"/>
  <c r="BV9" i="5"/>
  <c r="BU9" i="5"/>
  <c r="BT9" i="5"/>
  <c r="BS9" i="5"/>
  <c r="BR9" i="5"/>
  <c r="BQ9" i="5"/>
  <c r="BP9" i="5"/>
  <c r="BO9" i="5"/>
  <c r="BN9" i="5"/>
  <c r="BM9" i="5"/>
  <c r="BL9" i="5"/>
  <c r="BK9" i="5"/>
  <c r="BJ9" i="5"/>
  <c r="BI9" i="5"/>
  <c r="BH9" i="5"/>
  <c r="BG9" i="5"/>
  <c r="BF9" i="5"/>
  <c r="BE9" i="5"/>
  <c r="BD9" i="5"/>
  <c r="BC9" i="5"/>
  <c r="BB9" i="5"/>
  <c r="BA9" i="5"/>
  <c r="AZ9" i="5"/>
  <c r="AY9" i="5"/>
  <c r="AX9" i="5"/>
  <c r="AW9" i="5"/>
  <c r="AV9" i="5"/>
  <c r="AU9" i="5"/>
  <c r="AT9" i="5"/>
  <c r="AS9" i="5"/>
  <c r="AR9" i="5"/>
  <c r="AQ9" i="5"/>
  <c r="AP9" i="5"/>
  <c r="AO9" i="5"/>
  <c r="AN9" i="5"/>
  <c r="AM9" i="5"/>
  <c r="AL9" i="5"/>
  <c r="AK9" i="5"/>
  <c r="AJ9" i="5"/>
  <c r="AI9" i="5"/>
  <c r="AH9" i="5"/>
  <c r="AG9" i="5"/>
  <c r="AF9" i="5"/>
  <c r="AE9" i="5"/>
  <c r="AD9" i="5"/>
  <c r="AC9" i="5"/>
  <c r="AB9" i="5"/>
  <c r="AA9" i="5"/>
  <c r="Z9" i="5"/>
  <c r="Y9" i="5"/>
  <c r="X9" i="5"/>
  <c r="W9" i="5"/>
  <c r="V9" i="5"/>
  <c r="U9" i="5"/>
  <c r="T9" i="5"/>
  <c r="S9" i="5"/>
  <c r="R9" i="5"/>
  <c r="Q9" i="5"/>
  <c r="P9" i="5"/>
  <c r="O9" i="5"/>
  <c r="N9" i="5"/>
  <c r="M9" i="5"/>
  <c r="L9" i="5"/>
  <c r="K9" i="5"/>
  <c r="J9" i="5"/>
  <c r="G19" i="5" l="1"/>
  <c r="G18" i="5" s="1"/>
  <c r="G10" i="5" s="1"/>
  <c r="E18" i="5"/>
  <c r="IZ13" i="5"/>
  <c r="JA13" i="5"/>
  <c r="Z13" i="5"/>
  <c r="JB13" i="5"/>
  <c r="FP13" i="5"/>
  <c r="AA13" i="5"/>
  <c r="JR13" i="5"/>
  <c r="FO13" i="5"/>
  <c r="CL13" i="5"/>
  <c r="CM13" i="5"/>
  <c r="IP13" i="5"/>
  <c r="IU13" i="5"/>
  <c r="IW13" i="5"/>
  <c r="CP13" i="5"/>
  <c r="DI13" i="5"/>
  <c r="CR13" i="5"/>
  <c r="GO13" i="5"/>
  <c r="GM13" i="5"/>
  <c r="FR13" i="5"/>
  <c r="Q13" i="5"/>
  <c r="AI13" i="5"/>
  <c r="DG13" i="5"/>
  <c r="FQ13" i="5"/>
  <c r="HX13" i="5"/>
  <c r="KU13" i="5"/>
  <c r="BE13" i="5"/>
  <c r="DQ13" i="5"/>
  <c r="FW13" i="5"/>
  <c r="IQ13" i="5"/>
  <c r="AG13" i="5"/>
  <c r="DR13" i="5"/>
  <c r="GQ13" i="5"/>
  <c r="JS13" i="5"/>
  <c r="AO13" i="5"/>
  <c r="EX13" i="5"/>
  <c r="DT13" i="5"/>
  <c r="GW13" i="5"/>
  <c r="JT13" i="5"/>
  <c r="BS13" i="5"/>
  <c r="CJ13" i="5"/>
  <c r="BF13" i="5"/>
  <c r="EK13" i="5"/>
  <c r="GZ13" i="5"/>
  <c r="JU13" i="5"/>
  <c r="BG13" i="5"/>
  <c r="EN13" i="5"/>
  <c r="HQ13" i="5"/>
  <c r="JY13" i="5"/>
  <c r="BJ13" i="5"/>
  <c r="EO13" i="5"/>
  <c r="HR13" i="5"/>
  <c r="KP13" i="5"/>
  <c r="EP13" i="5"/>
  <c r="HT13" i="5"/>
  <c r="KX13" i="5"/>
  <c r="HU13" i="5"/>
  <c r="H10" i="5"/>
  <c r="KO13" i="5"/>
  <c r="JQ13" i="5"/>
  <c r="IO13" i="5"/>
  <c r="HN13" i="5"/>
  <c r="GK13" i="5"/>
  <c r="FF13" i="5"/>
  <c r="EI13" i="5"/>
  <c r="DF13" i="5"/>
  <c r="CF13" i="5"/>
  <c r="BC13" i="5"/>
  <c r="Y13" i="5"/>
  <c r="KN13" i="5"/>
  <c r="JP13" i="5"/>
  <c r="IM13" i="5"/>
  <c r="HH13" i="5"/>
  <c r="GH13" i="5"/>
  <c r="FE13" i="5"/>
  <c r="EG13" i="5"/>
  <c r="DE13" i="5"/>
  <c r="CA13" i="5"/>
  <c r="AZ13" i="5"/>
  <c r="V13" i="5"/>
  <c r="KL13" i="5"/>
  <c r="JN13" i="5"/>
  <c r="IJ13" i="5"/>
  <c r="HF13" i="5"/>
  <c r="GG13" i="5"/>
  <c r="FD13" i="5"/>
  <c r="EF13" i="5"/>
  <c r="DC13" i="5"/>
  <c r="BZ13" i="5"/>
  <c r="AY13" i="5"/>
  <c r="S13" i="5"/>
  <c r="KK13" i="5"/>
  <c r="JG13" i="5"/>
  <c r="IF13" i="5"/>
  <c r="HE13" i="5"/>
  <c r="GE13" i="5"/>
  <c r="FC13" i="5"/>
  <c r="EA13" i="5"/>
  <c r="DB13" i="5"/>
  <c r="BY13" i="5"/>
  <c r="AS13" i="5"/>
  <c r="R13" i="5"/>
  <c r="KH13" i="5"/>
  <c r="JD13" i="5"/>
  <c r="IE13" i="5"/>
  <c r="HB13" i="5"/>
  <c r="GA13" i="5"/>
  <c r="FB13" i="5"/>
  <c r="DW13" i="5"/>
  <c r="DA13" i="5"/>
  <c r="BV13" i="5"/>
  <c r="AQ13" i="5"/>
  <c r="P13" i="5"/>
  <c r="KE13" i="5"/>
  <c r="JC13" i="5"/>
  <c r="HZ13" i="5"/>
  <c r="HA13" i="5"/>
  <c r="FZ13" i="5"/>
  <c r="FA13" i="5"/>
  <c r="DV13" i="5"/>
  <c r="CY13" i="5"/>
  <c r="BT13" i="5"/>
  <c r="AP13" i="5"/>
  <c r="L13" i="5"/>
  <c r="JW13" i="5"/>
  <c r="HW13" i="5"/>
  <c r="GX13" i="5"/>
  <c r="FU13" i="5"/>
  <c r="EQ13" i="5"/>
  <c r="DS13" i="5"/>
  <c r="CQ13" i="5"/>
  <c r="BQ13" i="5"/>
  <c r="AJ13" i="5"/>
  <c r="KG13" i="5"/>
  <c r="JE13" i="5"/>
  <c r="IG13" i="5"/>
  <c r="HG13" i="5"/>
  <c r="GJ13" i="5"/>
  <c r="FJ13" i="5"/>
  <c r="EM13" i="5"/>
  <c r="DP13" i="5"/>
  <c r="CO13" i="5"/>
  <c r="BO13" i="5"/>
  <c r="AL13" i="5"/>
  <c r="J13" i="5"/>
  <c r="KF13" i="5"/>
  <c r="JF13" i="5"/>
  <c r="IK13" i="5"/>
  <c r="HO13" i="5"/>
  <c r="GP13" i="5"/>
  <c r="FS13" i="5"/>
  <c r="EZ13" i="5"/>
  <c r="DZ13" i="5"/>
  <c r="DD13" i="5"/>
  <c r="CI13" i="5"/>
  <c r="BI13" i="5"/>
  <c r="AN13" i="5"/>
  <c r="M13" i="5"/>
  <c r="AC13" i="5"/>
  <c r="AT13" i="5"/>
  <c r="BL13" i="5"/>
  <c r="CC13" i="5"/>
  <c r="CS13" i="5"/>
  <c r="DJ13" i="5"/>
  <c r="EB13" i="5"/>
  <c r="ES13" i="5"/>
  <c r="FK13" i="5"/>
  <c r="GB13" i="5"/>
  <c r="GS13" i="5"/>
  <c r="HJ13" i="5"/>
  <c r="IA13" i="5"/>
  <c r="IR13" i="5"/>
  <c r="JH13" i="5"/>
  <c r="KA13" i="5"/>
  <c r="KQ13" i="5"/>
  <c r="N13" i="5"/>
  <c r="AD13" i="5"/>
  <c r="AV13" i="5"/>
  <c r="BM13" i="5"/>
  <c r="CD13" i="5"/>
  <c r="CT13" i="5"/>
  <c r="DM13" i="5"/>
  <c r="ED13" i="5"/>
  <c r="ET13" i="5"/>
  <c r="FM13" i="5"/>
  <c r="GC13" i="5"/>
  <c r="GT13" i="5"/>
  <c r="HK13" i="5"/>
  <c r="IC13" i="5"/>
  <c r="IS13" i="5"/>
  <c r="JJ13" i="5"/>
  <c r="KB13" i="5"/>
  <c r="KR13" i="5"/>
  <c r="O13" i="5"/>
  <c r="AE13" i="5"/>
  <c r="AW13" i="5"/>
  <c r="BN13" i="5"/>
  <c r="CE13" i="5"/>
  <c r="CV13" i="5"/>
  <c r="DO13" i="5"/>
  <c r="EE13" i="5"/>
  <c r="EW13" i="5"/>
  <c r="FN13" i="5"/>
  <c r="GD13" i="5"/>
  <c r="GU13" i="5"/>
  <c r="HM13" i="5"/>
  <c r="ID13" i="5"/>
  <c r="IT13" i="5"/>
  <c r="JK13" i="5"/>
  <c r="KC13" i="5"/>
  <c r="KT13" i="5"/>
  <c r="BW13" i="5"/>
  <c r="BA13" i="5"/>
  <c r="AB13" i="5"/>
  <c r="G13" i="5"/>
  <c r="F14" i="5" s="1"/>
  <c r="G14" i="5" s="1"/>
  <c r="F15" i="5" s="1"/>
  <c r="G15" i="5" s="1"/>
  <c r="F16" i="5" s="1"/>
  <c r="G16" i="5" s="1"/>
  <c r="G17" i="5" s="1"/>
  <c r="G11" i="5" s="1"/>
  <c r="T13" i="5"/>
  <c r="AF13" i="5"/>
  <c r="AR13" i="5"/>
  <c r="BD13" i="5"/>
  <c r="BP13" i="5"/>
  <c r="CB13" i="5"/>
  <c r="CN13" i="5"/>
  <c r="CZ13" i="5"/>
  <c r="DL13" i="5"/>
  <c r="DX13" i="5"/>
  <c r="EJ13" i="5"/>
  <c r="EV13" i="5"/>
  <c r="FH13" i="5"/>
  <c r="FT13" i="5"/>
  <c r="GF13" i="5"/>
  <c r="GR13" i="5"/>
  <c r="HD13" i="5"/>
  <c r="HP13" i="5"/>
  <c r="IB13" i="5"/>
  <c r="IN13" i="5"/>
  <c r="JL13" i="5"/>
  <c r="JX13" i="5"/>
  <c r="KJ13" i="5"/>
  <c r="KV13" i="5"/>
  <c r="U13" i="5"/>
  <c r="AH13" i="5"/>
  <c r="AU13" i="5"/>
  <c r="BH13" i="5"/>
  <c r="BU13" i="5"/>
  <c r="CH13" i="5"/>
  <c r="CU13" i="5"/>
  <c r="DH13" i="5"/>
  <c r="DU13" i="5"/>
  <c r="EH13" i="5"/>
  <c r="EU13" i="5"/>
  <c r="FI13" i="5"/>
  <c r="FV13" i="5"/>
  <c r="GI13" i="5"/>
  <c r="GV13" i="5"/>
  <c r="HI13" i="5"/>
  <c r="HV13" i="5"/>
  <c r="II13" i="5"/>
  <c r="IV13" i="5"/>
  <c r="JI13" i="5"/>
  <c r="JV13" i="5"/>
  <c r="KI13" i="5"/>
  <c r="KW13" i="5"/>
  <c r="K13" i="5"/>
  <c r="X13" i="5"/>
  <c r="AK13" i="5"/>
  <c r="AX13" i="5"/>
  <c r="BK13" i="5"/>
  <c r="BX13" i="5"/>
  <c r="CK13" i="5"/>
  <c r="CX13" i="5"/>
  <c r="DK13" i="5"/>
  <c r="DY13" i="5"/>
  <c r="EL13" i="5"/>
  <c r="EY13" i="5"/>
  <c r="FL13" i="5"/>
  <c r="FY13" i="5"/>
  <c r="GL13" i="5"/>
  <c r="GY13" i="5"/>
  <c r="HL13" i="5"/>
  <c r="HY13" i="5"/>
  <c r="IL13" i="5"/>
  <c r="IY13" i="5"/>
  <c r="JM13" i="5"/>
  <c r="JZ13" i="5"/>
  <c r="KM13" i="5"/>
  <c r="KS13" i="5"/>
  <c r="KD13" i="5"/>
  <c r="JO13" i="5"/>
  <c r="IX13" i="5"/>
  <c r="IH13" i="5"/>
  <c r="HS13" i="5"/>
  <c r="HC13" i="5"/>
  <c r="GN13" i="5"/>
  <c r="FX13" i="5"/>
  <c r="FG13" i="5"/>
  <c r="ER13" i="5"/>
  <c r="EC13" i="5"/>
  <c r="DN13" i="5"/>
  <c r="CW13" i="5"/>
  <c r="CG13" i="5"/>
  <c r="BR13" i="5"/>
  <c r="BB13" i="5"/>
  <c r="AM13" i="5"/>
  <c r="W13" i="5"/>
  <c r="F19" i="5" l="1"/>
  <c r="IG19" i="5" l="1"/>
  <c r="CS19" i="5"/>
  <c r="EZ19" i="5"/>
  <c r="HP19" i="5"/>
  <c r="BA19" i="5"/>
  <c r="GZ19" i="5"/>
  <c r="AJ19" i="5"/>
  <c r="GI19" i="5"/>
  <c r="T19" i="5"/>
  <c r="KK19" i="5"/>
  <c r="BQ19" i="5"/>
  <c r="DU19" i="5"/>
  <c r="FV19" i="5"/>
  <c r="HX19" i="5"/>
  <c r="KB19" i="5"/>
  <c r="BG19" i="5"/>
  <c r="DO19" i="5"/>
  <c r="JD19" i="5"/>
  <c r="AF19" i="5"/>
  <c r="BE19" i="5"/>
  <c r="BD19" i="5"/>
  <c r="BC19" i="5"/>
  <c r="BB19" i="5"/>
  <c r="IY19" i="5"/>
  <c r="HU19" i="5"/>
  <c r="CG19" i="5"/>
  <c r="KN19" i="5"/>
  <c r="EM19" i="5"/>
  <c r="HB19" i="5"/>
  <c r="AL19" i="5"/>
  <c r="GL19" i="5"/>
  <c r="V19" i="5"/>
  <c r="FU19" i="5"/>
  <c r="JP19" i="5"/>
  <c r="AU19" i="5"/>
  <c r="CY19" i="5"/>
  <c r="FD19" i="5"/>
  <c r="HF19" i="5"/>
  <c r="JJ19" i="5"/>
  <c r="AP19" i="5"/>
  <c r="CW19" i="5"/>
  <c r="HS19" i="5"/>
  <c r="F18" i="5"/>
  <c r="R19" i="5"/>
  <c r="Q19" i="5"/>
  <c r="P19" i="5"/>
  <c r="KR19" i="5"/>
  <c r="HM19" i="5"/>
  <c r="JZ19" i="5"/>
  <c r="GV19" i="5"/>
  <c r="GW19" i="5"/>
  <c r="BI19" i="5"/>
  <c r="JN19" i="5"/>
  <c r="DM19" i="5"/>
  <c r="FX19" i="5"/>
  <c r="FI19" i="5"/>
  <c r="ES19" i="5"/>
  <c r="IF19" i="5"/>
  <c r="K19" i="5"/>
  <c r="KJ19" i="5"/>
  <c r="BP19" i="5"/>
  <c r="DR19" i="5"/>
  <c r="FS19" i="5"/>
  <c r="HW19" i="5"/>
  <c r="KE19" i="5"/>
  <c r="BJ19" i="5"/>
  <c r="ET19" i="5"/>
  <c r="GG19" i="5"/>
  <c r="EP19" i="5"/>
  <c r="HD19" i="5"/>
  <c r="O19" i="5"/>
  <c r="GK19" i="5"/>
  <c r="AW19" i="5"/>
  <c r="JA19" i="5"/>
  <c r="CZ19" i="5"/>
  <c r="FJ19" i="5"/>
  <c r="EU19" i="5"/>
  <c r="KT19" i="5"/>
  <c r="EE19" i="5"/>
  <c r="HK19" i="5"/>
  <c r="JO19" i="5"/>
  <c r="AT19" i="5"/>
  <c r="CX19" i="5"/>
  <c r="FB19" i="5"/>
  <c r="HE19" i="5"/>
  <c r="JL19" i="5"/>
  <c r="AR19" i="5"/>
  <c r="DI19" i="5"/>
  <c r="KP19" i="5"/>
  <c r="KS19" i="5"/>
  <c r="DJ19" i="5"/>
  <c r="DC19" i="5"/>
  <c r="FQ19" i="5"/>
  <c r="KO19" i="5"/>
  <c r="DE19" i="5"/>
  <c r="FN19" i="5"/>
  <c r="ID19" i="5"/>
  <c r="HO19" i="5"/>
  <c r="GX19" i="5"/>
  <c r="CI19" i="5"/>
  <c r="HJ19" i="5"/>
  <c r="AS19" i="5"/>
  <c r="IT19" i="5"/>
  <c r="CA19" i="5"/>
  <c r="HG19" i="5"/>
  <c r="KQ19" i="5"/>
  <c r="GE19" i="5"/>
  <c r="BS19" i="5"/>
  <c r="JX19" i="5"/>
  <c r="CL19" i="5"/>
  <c r="FH19" i="5"/>
  <c r="CO19" i="5"/>
  <c r="GP19" i="5"/>
  <c r="GF19" i="5"/>
  <c r="IK19" i="5"/>
  <c r="HT19" i="5"/>
  <c r="JQ19" i="5"/>
  <c r="AK19" i="5"/>
  <c r="EV19" i="5"/>
  <c r="EG19" i="5"/>
  <c r="DP19" i="5"/>
  <c r="FZ19" i="5"/>
  <c r="EI19" i="5"/>
  <c r="BV19" i="5"/>
  <c r="DH19" i="5"/>
  <c r="CJ19" i="5"/>
  <c r="BW19" i="5"/>
  <c r="IB19" i="5"/>
  <c r="KM19" i="5"/>
  <c r="FP19" i="5"/>
  <c r="HV19" i="5"/>
  <c r="Z19" i="5"/>
  <c r="CC19" i="5"/>
  <c r="JR19" i="5"/>
  <c r="GB19" i="5"/>
  <c r="J19" i="5"/>
  <c r="AQ19" i="5"/>
  <c r="IZ19" i="5"/>
  <c r="AO19" i="5"/>
  <c r="HN19" i="5"/>
  <c r="KI19" i="5"/>
  <c r="JT19" i="5"/>
  <c r="AH19" i="5"/>
  <c r="EY19" i="5"/>
  <c r="CR19" i="5"/>
  <c r="DK19" i="5"/>
  <c r="BF19" i="5"/>
  <c r="EO19" i="5"/>
  <c r="JU19" i="5"/>
  <c r="W19" i="5"/>
  <c r="EK19" i="5"/>
  <c r="EF19" i="5"/>
  <c r="S19" i="5"/>
  <c r="EC19" i="5"/>
  <c r="GN19" i="5"/>
  <c r="KD19" i="5"/>
  <c r="DL19" i="5"/>
  <c r="JB19" i="5"/>
  <c r="DQ19" i="5"/>
  <c r="GA19" i="5"/>
  <c r="IR19" i="5"/>
  <c r="IC19" i="5"/>
  <c r="HL19" i="5"/>
  <c r="DA19" i="5"/>
  <c r="JK19" i="5"/>
  <c r="CU19" i="5"/>
  <c r="HR19" i="5"/>
  <c r="GT19" i="5"/>
  <c r="AE19" i="5"/>
  <c r="AN19" i="5"/>
  <c r="KC19" i="5"/>
  <c r="BU19" i="5"/>
  <c r="DZ19" i="5"/>
  <c r="GM19" i="5"/>
  <c r="FW19" i="5"/>
  <c r="FG19" i="5"/>
  <c r="AD19" i="5"/>
  <c r="GR19" i="5"/>
  <c r="AB19" i="5"/>
  <c r="GO19" i="5"/>
  <c r="U19" i="5"/>
  <c r="ER19" i="5"/>
  <c r="DW19" i="5"/>
  <c r="CM19" i="5"/>
  <c r="FT19" i="5"/>
  <c r="GY19" i="5"/>
  <c r="AA19" i="5"/>
  <c r="FK19" i="5"/>
  <c r="JI19" i="5"/>
  <c r="KH19" i="5"/>
  <c r="HH19" i="5"/>
  <c r="EX19" i="5"/>
  <c r="AY19" i="5"/>
  <c r="JW19" i="5"/>
  <c r="IO19" i="5"/>
  <c r="KX19" i="5"/>
  <c r="BX19" i="5"/>
  <c r="JG19" i="5"/>
  <c r="IW19" i="5"/>
  <c r="IU19" i="5"/>
  <c r="FL19" i="5"/>
  <c r="EW19" i="5"/>
  <c r="JE19" i="5"/>
  <c r="Y19" i="5"/>
  <c r="BZ19" i="5"/>
  <c r="EH19" i="5"/>
  <c r="DS19" i="5"/>
  <c r="DB19" i="5"/>
  <c r="FE19" i="5"/>
  <c r="KG19" i="5"/>
  <c r="DN19" i="5"/>
  <c r="FC19" i="5"/>
  <c r="AI19" i="5"/>
  <c r="BT19" i="5"/>
  <c r="FO19" i="5"/>
  <c r="AX19" i="5"/>
  <c r="IS19" i="5"/>
  <c r="M19" i="5"/>
  <c r="BM19" i="5"/>
  <c r="DT19" i="5"/>
  <c r="DD19" i="5"/>
  <c r="CN19" i="5"/>
  <c r="EL19" i="5"/>
  <c r="JM19" i="5"/>
  <c r="CV19" i="5"/>
  <c r="KU19" i="5"/>
  <c r="EJ19" i="5"/>
  <c r="IL19" i="5"/>
  <c r="AG19" i="5"/>
  <c r="JY19" i="5"/>
  <c r="EA19" i="5"/>
  <c r="JV19" i="5"/>
  <c r="N19" i="5"/>
  <c r="IH19" i="5"/>
  <c r="HI19" i="5"/>
  <c r="KA19" i="5"/>
  <c r="AZ19" i="5"/>
  <c r="DF19" i="5"/>
  <c r="CP19" i="5"/>
  <c r="BY19" i="5"/>
  <c r="IX19" i="5"/>
  <c r="CH19" i="5"/>
  <c r="IV19" i="5"/>
  <c r="CD19" i="5"/>
  <c r="IP19" i="5"/>
  <c r="CE19" i="5"/>
  <c r="II19" i="5"/>
  <c r="HC19" i="5"/>
  <c r="GU19" i="5"/>
  <c r="IM19" i="5"/>
  <c r="FY19" i="5"/>
  <c r="IN19" i="5"/>
  <c r="AM19" i="5"/>
  <c r="CQ19" i="5"/>
  <c r="KV19" i="5"/>
  <c r="CB19" i="5"/>
  <c r="KF19" i="5"/>
  <c r="BK19" i="5"/>
  <c r="GS19" i="5"/>
  <c r="AC19" i="5"/>
  <c r="BH19" i="5"/>
  <c r="GJ19" i="5"/>
  <c r="ED19" i="5"/>
  <c r="FM19" i="5"/>
  <c r="IA19" i="5"/>
  <c r="KW19" i="5"/>
  <c r="BN19" i="5"/>
  <c r="AV19" i="5"/>
  <c r="FR19" i="5"/>
  <c r="GH19" i="5"/>
  <c r="EB19" i="5"/>
  <c r="DX19" i="5"/>
  <c r="CT19" i="5"/>
  <c r="FA19" i="5"/>
  <c r="L19" i="5"/>
  <c r="BO19" i="5"/>
  <c r="JC19" i="5"/>
  <c r="FF19" i="5"/>
  <c r="GQ19" i="5"/>
  <c r="X19" i="5"/>
  <c r="HQ19" i="5"/>
  <c r="CK19" i="5"/>
  <c r="KL19" i="5"/>
  <c r="HA19" i="5"/>
  <c r="JF19" i="5"/>
  <c r="EN19" i="5"/>
  <c r="GD19" i="5"/>
  <c r="IJ19" i="5"/>
  <c r="GC19" i="5"/>
  <c r="JH19" i="5"/>
  <c r="IQ19" i="5"/>
  <c r="HZ19" i="5"/>
  <c r="DV19" i="5"/>
  <c r="CF19" i="5"/>
  <c r="EQ19" i="5"/>
  <c r="JS19" i="5"/>
  <c r="BR19" i="5"/>
  <c r="IE19" i="5"/>
  <c r="BL19" i="5"/>
  <c r="HY19" i="5"/>
  <c r="DG19" i="5"/>
  <c r="DY19" i="5"/>
  <c r="E10"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JOHAN</author>
  </authors>
  <commentList>
    <comment ref="B12" authorId="0" shapeId="0" xr:uid="{9AE23750-BEFC-4C2D-9958-7EEA2613FE00}">
      <text>
        <r>
          <rPr>
            <b/>
            <sz val="9"/>
            <color indexed="81"/>
            <rFont val="Tahoma"/>
            <family val="2"/>
          </rPr>
          <t>JOHAN:</t>
        </r>
        <r>
          <rPr>
            <sz val="9"/>
            <color indexed="81"/>
            <rFont val="Tahoma"/>
            <family val="2"/>
          </rPr>
          <t xml:space="preserve">
https://www.figma.com/design/KLrJnMUryjPivUhBnhTRBx/Proyecto-prototipado-CRM?node-id=0-1&amp;p=f&amp;t=K1neOL7dnVgHVaCW-0</t>
        </r>
      </text>
    </comment>
    <comment ref="B29" authorId="0" shapeId="0" xr:uid="{59B96877-7882-4BBA-8345-A7B03007E27C}">
      <text>
        <r>
          <rPr>
            <b/>
            <sz val="9"/>
            <color indexed="81"/>
            <rFont val="Tahoma"/>
            <charset val="1"/>
          </rPr>
          <t>JOHAN:</t>
        </r>
        <r>
          <rPr>
            <sz val="9"/>
            <color indexed="81"/>
            <rFont val="Tahoma"/>
            <charset val="1"/>
          </rPr>
          <t xml:space="preserve">
Detalle de mensaje por organizador, evento y coordinador de evento asociado.</t>
        </r>
      </text>
    </comment>
    <comment ref="B30" authorId="0" shapeId="0" xr:uid="{03C98D63-BDEB-4FE7-805E-7F99842B57D0}">
      <text>
        <r>
          <rPr>
            <b/>
            <sz val="9"/>
            <color indexed="81"/>
            <rFont val="Tahoma"/>
            <charset val="1"/>
          </rPr>
          <t>JOHAN:</t>
        </r>
        <r>
          <rPr>
            <sz val="9"/>
            <color indexed="81"/>
            <rFont val="Tahoma"/>
            <charset val="1"/>
          </rPr>
          <t xml:space="preserve">
Detalle de mensaje por organizador, evento y coordinador de evento asociado.</t>
        </r>
      </text>
    </comment>
    <comment ref="B31" authorId="0" shapeId="0" xr:uid="{F1F80DF8-09AF-408E-9FA4-317CF4E0E33F}">
      <text>
        <r>
          <rPr>
            <b/>
            <sz val="9"/>
            <color indexed="81"/>
            <rFont val="Tahoma"/>
            <charset val="1"/>
          </rPr>
          <t>JOHAN:</t>
        </r>
        <r>
          <rPr>
            <sz val="9"/>
            <color indexed="81"/>
            <rFont val="Tahoma"/>
            <charset val="1"/>
          </rPr>
          <t xml:space="preserve">
Detalle de mensaje por organizador, evento y coordinador de evento asociado.</t>
        </r>
      </text>
    </comment>
    <comment ref="B32" authorId="0" shapeId="0" xr:uid="{9AD696AA-DF71-4A7E-9ADA-7F3233C7261A}">
      <text>
        <r>
          <rPr>
            <b/>
            <sz val="9"/>
            <color indexed="81"/>
            <rFont val="Tahoma"/>
            <charset val="1"/>
          </rPr>
          <t>JOHAN:</t>
        </r>
        <r>
          <rPr>
            <sz val="9"/>
            <color indexed="81"/>
            <rFont val="Tahoma"/>
            <charset val="1"/>
          </rPr>
          <t xml:space="preserve">
Detalle de mensaje por organizador, evento y coordinador de evento asociado.</t>
        </r>
      </text>
    </comment>
    <comment ref="B33" authorId="0" shapeId="0" xr:uid="{A0305CAA-98A1-4A73-8199-BAA59C45F923}">
      <text>
        <r>
          <rPr>
            <b/>
            <sz val="9"/>
            <color indexed="81"/>
            <rFont val="Tahoma"/>
            <charset val="1"/>
          </rPr>
          <t>JOHAN:</t>
        </r>
        <r>
          <rPr>
            <sz val="9"/>
            <color indexed="81"/>
            <rFont val="Tahoma"/>
            <charset val="1"/>
          </rPr>
          <t xml:space="preserve">
Detalle de mensaje por organizador, evento y coordinador de evento asociado.</t>
        </r>
      </text>
    </comment>
  </commentList>
</comments>
</file>

<file path=xl/sharedStrings.xml><?xml version="1.0" encoding="utf-8"?>
<sst xmlns="http://schemas.openxmlformats.org/spreadsheetml/2006/main" count="732" uniqueCount="372">
  <si>
    <t>ID</t>
  </si>
  <si>
    <t>Tarea</t>
  </si>
  <si>
    <t>Inicio</t>
  </si>
  <si>
    <t>Fin</t>
  </si>
  <si>
    <t>Predecesoras</t>
  </si>
  <si>
    <t>Responsable</t>
  </si>
  <si>
    <t>Sprint/Etapa</t>
  </si>
  <si>
    <t>BI</t>
  </si>
  <si>
    <t>Identificar interesados y registro de stakeholders</t>
  </si>
  <si>
    <t>Stakeholders</t>
  </si>
  <si>
    <t>Definir alcance y EDT/WBS</t>
  </si>
  <si>
    <t>BI+Py</t>
  </si>
  <si>
    <t>Alcance</t>
  </si>
  <si>
    <t>Cronograma</t>
  </si>
  <si>
    <t>Plan de costos (presupuesto y tracking)</t>
  </si>
  <si>
    <t>Costos</t>
  </si>
  <si>
    <t>Plan de calidad (criterios, DoD/DoR)</t>
  </si>
  <si>
    <t>Calidad</t>
  </si>
  <si>
    <t>Plan de recursos (roles, RACI, carga)</t>
  </si>
  <si>
    <t>Recursos</t>
  </si>
  <si>
    <t>Plan de riesgos (matriz y respuesta)</t>
  </si>
  <si>
    <t>Riesgos</t>
  </si>
  <si>
    <t>Plan de comunicaciones</t>
  </si>
  <si>
    <t>Comunicaciones</t>
  </si>
  <si>
    <t>Definir DoD/DoR de equipo</t>
  </si>
  <si>
    <t>Setup repo, CI y entorno (Playwright/BS4/FASTAPI)</t>
  </si>
  <si>
    <t>Py</t>
  </si>
  <si>
    <t>PoC scraper (listado+detalle) Fuente 1</t>
  </si>
  <si>
    <t>Modelo de datos y DDL (Postgres/MySQL)</t>
  </si>
  <si>
    <t>S1</t>
  </si>
  <si>
    <t>API /eventos (FastAPI)</t>
  </si>
  <si>
    <t>QA selectores y criterios de calidad</t>
  </si>
  <si>
    <t>Demo Sprint 1 + Retro + Actualizar riesgos</t>
  </si>
  <si>
    <t>S2</t>
  </si>
  <si>
    <t>Web filtros + mapa (Leaflet)</t>
  </si>
  <si>
    <t>Observabilidad (logs/metrics)</t>
  </si>
  <si>
    <t>QA performance y smoke tests</t>
  </si>
  <si>
    <t>Demo Sprint 2 + Retro + Actualizar riesgos</t>
  </si>
  <si>
    <t>Agregar segunda fuente o ampliaciones</t>
  </si>
  <si>
    <t>S3</t>
  </si>
  <si>
    <t>Alertas y plan de continuidad</t>
  </si>
  <si>
    <t>Endpoints extra (/lugares,/stats) + export CSV</t>
  </si>
  <si>
    <t>UAT con BI + ajustes finales</t>
  </si>
  <si>
    <t>Cierre: lecciones aprendidas + handover</t>
  </si>
  <si>
    <t>M1</t>
  </si>
  <si>
    <t>Hito: Charter y WBS aprobados</t>
  </si>
  <si>
    <t>M2</t>
  </si>
  <si>
    <t>Hito: PoC validado</t>
  </si>
  <si>
    <t>M3</t>
  </si>
  <si>
    <t>Hito: MVP listo</t>
  </si>
  <si>
    <t>M4</t>
  </si>
  <si>
    <t>Hito: Go-Live programado</t>
  </si>
  <si>
    <t>Issue Type</t>
  </si>
  <si>
    <t>Epic Name</t>
  </si>
  <si>
    <t>Descripción (valor)</t>
  </si>
  <si>
    <t>Epic</t>
  </si>
  <si>
    <t>E1 Descubrimiento y Búsqueda</t>
  </si>
  <si>
    <t>Encontrar eventos por fecha, región, categoría, artista y cercanía.</t>
  </si>
  <si>
    <t>E2 Detalle y Conversión</t>
  </si>
  <si>
    <t>Ficha completa del evento y acciones (tickets, calendario, mapa).</t>
  </si>
  <si>
    <t>E3 Ingesta y Normalización</t>
  </si>
  <si>
    <t>Scraping, estandarización y trazabilidad de datos.</t>
  </si>
  <si>
    <t>E4 API y Consumos</t>
  </si>
  <si>
    <t>Endpoints limpios para web/app y BI.</t>
  </si>
  <si>
    <t>E5 Frontend HABLAVAO</t>
  </si>
  <si>
    <t>UI con lista, detalle, filtros y mapa.</t>
  </si>
  <si>
    <t>E6 Calidad, Cumplimiento y Operación</t>
  </si>
  <si>
    <t>Buenas prácticas, monitoreo y operación estable.</t>
  </si>
  <si>
    <t>Título</t>
  </si>
  <si>
    <t>Sprint</t>
  </si>
  <si>
    <t>HU1.1</t>
  </si>
  <si>
    <t>Sprint 1</t>
  </si>
  <si>
    <t>Dev Python</t>
  </si>
  <si>
    <t>HU1.2</t>
  </si>
  <si>
    <t>Sprint 2</t>
  </si>
  <si>
    <t>HU1.3</t>
  </si>
  <si>
    <t>Búsqueda por artista</t>
  </si>
  <si>
    <t>HU1.4</t>
  </si>
  <si>
    <t>Explorar por región / cerca de mí</t>
  </si>
  <si>
    <t>HU2.1</t>
  </si>
  <si>
    <t>HU2.2</t>
  </si>
  <si>
    <t>Botón “Comprar entradas”</t>
  </si>
  <si>
    <t>HU2.3</t>
  </si>
  <si>
    <t>HU3.1</t>
  </si>
  <si>
    <t>HU3.2</t>
  </si>
  <si>
    <t>HU3.3</t>
  </si>
  <si>
    <t>BI + Dev</t>
  </si>
  <si>
    <t>HU4.1</t>
  </si>
  <si>
    <t>HU4.2</t>
  </si>
  <si>
    <r>
      <t xml:space="preserve">Endpoints </t>
    </r>
    <r>
      <rPr>
        <sz val="10"/>
        <color theme="1"/>
        <rFont val="Arial Unicode MS"/>
      </rPr>
      <t>/lugares</t>
    </r>
    <r>
      <rPr>
        <sz val="11"/>
        <color theme="1"/>
        <rFont val="Aptos Narrow"/>
        <family val="2"/>
        <scheme val="minor"/>
      </rPr>
      <t xml:space="preserve"> y </t>
    </r>
    <r>
      <rPr>
        <sz val="10"/>
        <color theme="1"/>
        <rFont val="Arial Unicode MS"/>
      </rPr>
      <t>/artistas</t>
    </r>
  </si>
  <si>
    <t>Sprint 3</t>
  </si>
  <si>
    <t>HU5.1</t>
  </si>
  <si>
    <t>Listado con filtros (deep-link)</t>
  </si>
  <si>
    <t>HU5.2</t>
  </si>
  <si>
    <t>Vista de mapa con pins</t>
  </si>
  <si>
    <t>SEO y compartido social</t>
  </si>
  <si>
    <t>HU6.1</t>
  </si>
  <si>
    <t>HU6.2</t>
  </si>
  <si>
    <t>Monitoreo y alertas</t>
  </si>
  <si>
    <t>HU6.3</t>
  </si>
  <si>
    <t>Auditoría y trazabilidad</t>
  </si>
  <si>
    <t>Épica</t>
  </si>
  <si>
    <t>HU</t>
  </si>
  <si>
    <t>Como (rol)</t>
  </si>
  <si>
    <t>Quiero</t>
  </si>
  <si>
    <t>Para</t>
  </si>
  <si>
    <t>Criterios (Gherkin)</t>
  </si>
  <si>
    <t>E1 – Descubrimiento y Búsqueda</t>
  </si>
  <si>
    <t>Home: ver “Próximos eventos”</t>
  </si>
  <si>
    <t>Visitante</t>
  </si>
  <si>
    <t>ver un listón de próximos eventos con paginación</t>
  </si>
  <si>
    <t>descubrir rápidamente qué viene pronto</t>
  </si>
  <si>
    <t>Filtros por región/categoría/fechas</t>
  </si>
  <si>
    <t>filtrar por región, categoría y rango de fechas</t>
  </si>
  <si>
    <t>acotar mi búsqueda</t>
  </si>
  <si>
    <t>Fan</t>
  </si>
  <si>
    <t>explorar eventos por artista</t>
  </si>
  <si>
    <t>ver su agenda</t>
  </si>
  <si>
    <t>Usuario geolocalizado</t>
  </si>
  <si>
    <t>ver eventos por región o cercanos</t>
  </si>
  <si>
    <t>decidir dónde ir</t>
  </si>
  <si>
    <t>E2 – Detalle y Conversión</t>
  </si>
  <si>
    <t>Ficha de evento (datos completos)</t>
  </si>
  <si>
    <t>ver la ficha con datos completos</t>
  </si>
  <si>
    <t>decidir si asistir</t>
  </si>
  <si>
    <t>Usuario listo para compra</t>
  </si>
  <si>
    <t>ir a la ticketera oficial</t>
  </si>
  <si>
    <t>adquirir entradas</t>
  </si>
  <si>
    <t>Agregar a calendario / Cómo llegar</t>
  </si>
  <si>
    <t>Usuario planificador</t>
  </si>
  <si>
    <t>agregar al calendario y abrir mapa</t>
  </si>
  <si>
    <t>organizarme</t>
  </si>
  <si>
    <t>E3 – Ingesta y Normalización</t>
  </si>
  <si>
    <t>Crawler de listados paginados</t>
  </si>
  <si>
    <t>Servicio de scraping</t>
  </si>
  <si>
    <t>recorrer listados/paginación y obtener URLs</t>
  </si>
  <si>
    <t>alimentar el parser</t>
  </si>
  <si>
    <t>extraer campos estructurados del detalle</t>
  </si>
  <si>
    <t>poblar el modelo</t>
  </si>
  <si>
    <t>Normalización (UTC/Región) + dedup</t>
  </si>
  <si>
    <t>Pipeline ETL</t>
  </si>
  <si>
    <t>normalizar fechas/regiones y deduplicar</t>
  </si>
  <si>
    <t>filtros precisos e integridad</t>
  </si>
  <si>
    <t>E4 – API y Consumos</t>
  </si>
  <si>
    <r>
      <t xml:space="preserve">Endpoint </t>
    </r>
    <r>
      <rPr>
        <sz val="10"/>
        <color theme="1"/>
        <rFont val="Arial Unicode MS"/>
      </rPr>
      <t>/eventos</t>
    </r>
    <r>
      <rPr>
        <sz val="11"/>
        <color theme="1"/>
        <rFont val="Aptos Narrow"/>
        <family val="2"/>
        <scheme val="minor"/>
      </rPr>
      <t xml:space="preserve"> con filtros</t>
    </r>
  </si>
  <si>
    <t>Consumidor (web/BI)</t>
  </si>
  <si>
    <t>consultar eventos con filtros y paginación</t>
  </si>
  <si>
    <t>alimentar UI/BI</t>
  </si>
  <si>
    <t>Web</t>
  </si>
  <si>
    <t>obtener listados filtrables/ordenables</t>
  </si>
  <si>
    <t>autocompletar y fichas</t>
  </si>
  <si>
    <t>E5 – Frontend HABLAVAO</t>
  </si>
  <si>
    <t>filtrar y ver en lista</t>
  </si>
  <si>
    <t>comparar opciones</t>
  </si>
  <si>
    <t>Usuario visual</t>
  </si>
  <si>
    <t>ver marcadores en mapa</t>
  </si>
  <si>
    <t>ubicar eventos cercanos</t>
  </si>
  <si>
    <t>Marketing</t>
  </si>
  <si>
    <t>mejorar alcance</t>
  </si>
  <si>
    <t>E6 – Calidad, Cumplimiento y Operación</t>
  </si>
  <si>
    <t>Rate-limit, robots/ToU y User-Agent</t>
  </si>
  <si>
    <t>Servicio responsable</t>
  </si>
  <si>
    <t>respetar robots/ToU y límites</t>
  </si>
  <si>
    <t>cumplir buenas prácticas</t>
  </si>
  <si>
    <t>Operador</t>
  </si>
  <si>
    <t>detectar caídas/cambios</t>
  </si>
  <si>
    <r>
      <t xml:space="preserve">guardar </t>
    </r>
    <r>
      <rPr>
        <sz val="10"/>
        <color theme="1"/>
        <rFont val="Arial Unicode MS"/>
      </rPr>
      <t>raw</t>
    </r>
    <r>
      <rPr>
        <sz val="11"/>
        <color theme="1"/>
        <rFont val="Aptos Narrow"/>
        <family val="2"/>
        <scheme val="minor"/>
      </rPr>
      <t xml:space="preserve"> y </t>
    </r>
    <r>
      <rPr>
        <sz val="10"/>
        <color theme="1"/>
        <rFont val="Arial Unicode MS"/>
      </rPr>
      <t>source_event_id</t>
    </r>
  </si>
  <si>
    <t>reprocesar con nueva lógica</t>
  </si>
  <si>
    <t>metadatos OG/Twitter y slug canónico</t>
  </si>
  <si>
    <t>métricas y alertas</t>
  </si>
  <si>
    <t>Duración(días hábiles)</t>
  </si>
  <si>
    <t>Área(PMBOK)</t>
  </si>
  <si>
    <t>1.1</t>
  </si>
  <si>
    <t>Acta de Constitución (Project Charter)</t>
  </si>
  <si>
    <t>2025-11-10</t>
  </si>
  <si>
    <t>2025-11-11</t>
  </si>
  <si>
    <t>Integración</t>
  </si>
  <si>
    <t>Planificación</t>
  </si>
  <si>
    <t>1.2</t>
  </si>
  <si>
    <t>2025-11-12</t>
  </si>
  <si>
    <t>1.3</t>
  </si>
  <si>
    <t>2025-11-13</t>
  </si>
  <si>
    <t>1.4</t>
  </si>
  <si>
    <t>Plan de gestión del cronograma</t>
  </si>
  <si>
    <t>2025-11-14</t>
  </si>
  <si>
    <t>1.5</t>
  </si>
  <si>
    <t>1.6</t>
  </si>
  <si>
    <t>1.7</t>
  </si>
  <si>
    <t>1.8</t>
  </si>
  <si>
    <t>1.9</t>
  </si>
  <si>
    <t>1.10</t>
  </si>
  <si>
    <t>Definir backlog (épicas, historias, criterios)</t>
  </si>
  <si>
    <t>1.11</t>
  </si>
  <si>
    <t>2025-11-17</t>
  </si>
  <si>
    <t>1.12</t>
  </si>
  <si>
    <t>2.1</t>
  </si>
  <si>
    <t>2025-11-19</t>
  </si>
  <si>
    <t>1.12;1.10</t>
  </si>
  <si>
    <t>2.2</t>
  </si>
  <si>
    <t>2.3</t>
  </si>
  <si>
    <t>2025-11-21</t>
  </si>
  <si>
    <t>2.1;2.2</t>
  </si>
  <si>
    <t>2.4</t>
  </si>
  <si>
    <t>Web MVP listado y detalle básico</t>
  </si>
  <si>
    <t>2025-11-25</t>
  </si>
  <si>
    <t>2.5</t>
  </si>
  <si>
    <t>2025-11-20</t>
  </si>
  <si>
    <t>2.6</t>
  </si>
  <si>
    <t>2025-11-26</t>
  </si>
  <si>
    <t>2.4;2.5</t>
  </si>
  <si>
    <t>3.1</t>
  </si>
  <si>
    <t>Scraper robusto (Playwright dinámico)</t>
  </si>
  <si>
    <t>2025-12-02</t>
  </si>
  <si>
    <t>3.2</t>
  </si>
  <si>
    <t>Paginación, rate limit, reintentos/backoff</t>
  </si>
  <si>
    <t>2025-12-04</t>
  </si>
  <si>
    <t>3.3</t>
  </si>
  <si>
    <t>Normalización fechas/regiones y geocoding</t>
  </si>
  <si>
    <t>2025-12-05</t>
  </si>
  <si>
    <t>3.4</t>
  </si>
  <si>
    <t>Filtros API (fecha, región, categoría)</t>
  </si>
  <si>
    <t>2025-12-10</t>
  </si>
  <si>
    <t>3.2;3.3</t>
  </si>
  <si>
    <t>3.5</t>
  </si>
  <si>
    <t>2025-12-15</t>
  </si>
  <si>
    <t>3.6</t>
  </si>
  <si>
    <t>2025-12-08</t>
  </si>
  <si>
    <t>3.7</t>
  </si>
  <si>
    <t>2025-12-17</t>
  </si>
  <si>
    <t>3.5;3.6</t>
  </si>
  <si>
    <t>3.8</t>
  </si>
  <si>
    <t>2025-12-18</t>
  </si>
  <si>
    <t>4.1</t>
  </si>
  <si>
    <t>2025-12-25</t>
  </si>
  <si>
    <t>4.2</t>
  </si>
  <si>
    <t>Orquestación (APScheduler/cron)</t>
  </si>
  <si>
    <t>2025-12-22</t>
  </si>
  <si>
    <t>4.3</t>
  </si>
  <si>
    <t>Detección de cambios y deduplicación</t>
  </si>
  <si>
    <t>2025-12-29</t>
  </si>
  <si>
    <t>4.4</t>
  </si>
  <si>
    <t>2025-12-31</t>
  </si>
  <si>
    <t>4.2;4.3</t>
  </si>
  <si>
    <t>4.5</t>
  </si>
  <si>
    <t>2025-12-30</t>
  </si>
  <si>
    <t>4.6</t>
  </si>
  <si>
    <t>Compliance robots/ToU + seguridad básica</t>
  </si>
  <si>
    <t>4.7</t>
  </si>
  <si>
    <t>2026-01-01</t>
  </si>
  <si>
    <t>4.5;4.6</t>
  </si>
  <si>
    <t>4.8</t>
  </si>
  <si>
    <t>2026-01-02</t>
  </si>
  <si>
    <t>Objetivo</t>
  </si>
  <si>
    <t>HU3.4</t>
  </si>
  <si>
    <t>Modelo de datos (conceptual/lógico) en ERWIN</t>
  </si>
  <si>
    <t>modelar entidades, relaciones y cardinalidades en ERWIN (conceptual y lógico)</t>
  </si>
  <si>
    <t>asegurar una base consistente y normalizada</t>
  </si>
  <si>
    <t>HU3.5</t>
  </si>
  <si>
    <t>Modelo físico y generación de DDL desde ERWIN</t>
  </si>
  <si>
    <t>crear la base en el motor y habilitar el API</t>
  </si>
  <si>
    <t>BI (ERWIN) + Dev (ejecución)</t>
  </si>
  <si>
    <t>HU3.6</t>
  </si>
  <si>
    <t>Migraciones y control de cambios (DDL v1.1+)</t>
  </si>
  <si>
    <t>Dev</t>
  </si>
  <si>
    <t>gestionar cambios del esquema con migraciones (Alembic/SQL)</t>
  </si>
  <si>
    <t>evolucionar sin perder datos</t>
  </si>
  <si>
    <t>HU3.7</t>
  </si>
  <si>
    <t>Índices/constraints y performance base</t>
  </si>
  <si>
    <t>definir claves, índices y constraints críticos</t>
  </si>
  <si>
    <t>garantizar integridad y p95 del API</t>
  </si>
  <si>
    <t>HU3.8</t>
  </si>
  <si>
    <t>Diccionario de datos y trazabilidad de campos</t>
  </si>
  <si>
    <t>documentar definiciones, orígenes y reglas por campo</t>
  </si>
  <si>
    <t>facilitar BI/QA y gobierno de datos</t>
  </si>
  <si>
    <t>transformar el modelo lógico a físico y generar el DDL (CREATE TABLE, PK/FK, índices mínimos)</t>
  </si>
  <si>
    <r>
      <t>Dado</t>
    </r>
    <r>
      <rPr>
        <sz val="11"/>
        <color theme="1"/>
        <rFont val="Aptos Narrow"/>
        <family val="2"/>
        <scheme val="minor"/>
      </rPr>
      <t xml:space="preserve"> que ingreso al home Cuando existan eventos futuros Entonces veo una lista con tarjetas que muestran título, fecha/hora y sede, con paginación.</t>
    </r>
  </si>
  <si>
    <r>
      <t>Dado</t>
    </r>
    <r>
      <rPr>
        <sz val="11"/>
        <color theme="1"/>
        <rFont val="Aptos Narrow"/>
        <family val="2"/>
        <scheme val="minor"/>
      </rPr>
      <t xml:space="preserve"> el listado de eventos Cuando aplico filtros (región, categoría, fechas) Entonces el resultado se actualiza mostrando solo coincidencias y puedo restablecer filtros.</t>
    </r>
  </si>
  <si>
    <r>
      <t>Dado</t>
    </r>
    <r>
      <rPr>
        <sz val="11"/>
        <color theme="1"/>
        <rFont val="Aptos Narrow"/>
        <family val="2"/>
        <scheme val="minor"/>
      </rPr>
      <t xml:space="preserve"> el menú “Por artista” Cuando elijo un artista Entonces se listan sus eventos y puedo abrir su detalle.</t>
    </r>
  </si>
  <si>
    <r>
      <t>Dado</t>
    </r>
    <r>
      <rPr>
        <sz val="11"/>
        <color theme="1"/>
        <rFont val="Aptos Narrow"/>
        <family val="2"/>
        <scheme val="minor"/>
      </rPr>
      <t xml:space="preserve"> “Conciertos por región” Cuando selecciono una región (o activo “cerca de mí”) Entonces se listan eventos de esa región y puedo alternar a vista de mapa.</t>
    </r>
  </si>
  <si>
    <r>
      <t>Dado</t>
    </r>
    <r>
      <rPr>
        <sz val="11"/>
        <color theme="1"/>
        <rFont val="Aptos Narrow"/>
        <family val="2"/>
        <scheme val="minor"/>
      </rPr>
      <t xml:space="preserve"> una tarjeta del listado Cuando abro el detalle Entonces veo título; fecha/hora (inicio–fin); dirección; región; artistas; lat/lng (si hay); ticket_url; ID; published/updated; notas.</t>
    </r>
  </si>
  <si>
    <r>
      <t>Dado</t>
    </r>
    <r>
      <rPr>
        <sz val="11"/>
        <color theme="1"/>
        <rFont val="Aptos Narrow"/>
        <family val="2"/>
        <scheme val="minor"/>
      </rPr>
      <t xml:space="preserve"> la ficha del evento Cuando hago clic en “Comprar entradas” Entonces me redirige a la ticketera oficial en nueva pestaña.</t>
    </r>
  </si>
  <si>
    <r>
      <t>Dado</t>
    </r>
    <r>
      <rPr>
        <sz val="11"/>
        <color theme="1"/>
        <rFont val="Aptos Narrow"/>
        <family val="2"/>
        <scheme val="minor"/>
      </rPr>
      <t xml:space="preserve"> la ficha Cuando selecciono “Agregar a Google Calendar” Entonces se abre el evento en mi Google Calendar.Y cuando elijo “Cómo llegar”Entonces se abre Google Maps con la ubicación.</t>
    </r>
  </si>
  <si>
    <r>
      <t>Dado</t>
    </r>
    <r>
      <rPr>
        <sz val="11"/>
        <color theme="1"/>
        <rFont val="Aptos Narrow"/>
        <family val="2"/>
        <scheme val="minor"/>
      </rPr>
      <t xml:space="preserve"> una fuente con páginas 1..N Cuando ejecuto el crawler Entonces colecciono todas las URLs de detalle sin duplicados y con rate-limit.</t>
    </r>
  </si>
  <si>
    <r>
      <t>Dado</t>
    </r>
    <r>
      <rPr>
        <sz val="11"/>
        <color theme="1"/>
        <rFont val="Aptos Narrow"/>
        <family val="2"/>
        <scheme val="minor"/>
      </rPr>
      <t xml:space="preserve"> una URL de evento Cuando parseo el HTML/render Entonces obtengo: title, starts_at, ends_at, address, region, artists[], ticket_url, lat, lng, source_event_id, published_at, updated_at, disclaimer.</t>
    </r>
  </si>
  <si>
    <r>
      <t>Dado</t>
    </r>
    <r>
      <rPr>
        <sz val="11"/>
        <color theme="1"/>
        <rFont val="Aptos Narrow"/>
        <family val="2"/>
        <scheme val="minor"/>
      </rPr>
      <t xml:space="preserve"> parámetros válidos (desde/hasta, región, categoría, estado, texto) Cuando consulto </t>
    </r>
    <r>
      <rPr>
        <sz val="10"/>
        <color theme="1"/>
        <rFont val="Arial Unicode MS"/>
      </rPr>
      <t xml:space="preserve">/eventos </t>
    </r>
    <r>
      <rPr>
        <sz val="11"/>
        <color theme="1"/>
        <rFont val="Aptos Narrow"/>
        <family val="2"/>
        <scheme val="minor"/>
      </rPr>
      <t>Entonces recibo JSON paginado con campos normalizados (HTTP 200; p95 &lt; 500 ms).</t>
    </r>
  </si>
  <si>
    <r>
      <t>Dado</t>
    </r>
    <r>
      <rPr>
        <sz val="11"/>
        <color theme="1"/>
        <rFont val="Aptos Narrow"/>
        <family val="2"/>
        <scheme val="minor"/>
      </rPr>
      <t xml:space="preserve"> </t>
    </r>
    <r>
      <rPr>
        <sz val="10"/>
        <color theme="1"/>
        <rFont val="Arial Unicode MS"/>
      </rPr>
      <t>/lugares</t>
    </r>
    <r>
      <rPr>
        <sz val="11"/>
        <color theme="1"/>
        <rFont val="Aptos Narrow"/>
        <family val="2"/>
        <scheme val="minor"/>
      </rPr>
      <t xml:space="preserve"> y </t>
    </r>
    <r>
      <rPr>
        <sz val="10"/>
        <color theme="1"/>
        <rFont val="Arial Unicode MS"/>
      </rPr>
      <t xml:space="preserve">/artistas </t>
    </r>
    <r>
      <rPr>
        <sz val="11"/>
        <color theme="1"/>
        <rFont val="Aptos Narrow"/>
        <family val="2"/>
        <scheme val="minor"/>
      </rPr>
      <t>Cuando solicito listados con filtros Entonces obtengo JSON ordenable y filtrable (p95 &lt; 500 ms).</t>
    </r>
  </si>
  <si>
    <r>
      <t>Dado</t>
    </r>
    <r>
      <rPr>
        <sz val="11"/>
        <color theme="1"/>
        <rFont val="Aptos Narrow"/>
        <family val="2"/>
        <scheme val="minor"/>
      </rPr>
      <t xml:space="preserve"> resultados de búsqueda Cuando aplico filtros Entonces la URL refleja filtros (deep-link) y puedo restablecerlos.</t>
    </r>
  </si>
  <si>
    <r>
      <t>Dado</t>
    </r>
    <r>
      <rPr>
        <sz val="11"/>
        <color theme="1"/>
        <rFont val="Aptos Narrow"/>
        <family val="2"/>
        <scheme val="minor"/>
      </rPr>
      <t xml:space="preserve"> resultados con lat/lng Cuando cambio a “Ver mapa” Entonces se muestran marcadores y puedo buscar al mover el mapa.</t>
    </r>
  </si>
  <si>
    <r>
      <t>Dado</t>
    </r>
    <r>
      <rPr>
        <sz val="11"/>
        <color theme="1"/>
        <rFont val="Aptos Narrow"/>
        <family val="2"/>
        <scheme val="minor"/>
      </rPr>
      <t xml:space="preserve"> la página de detalle Cuando comparto el enlace Entonces se ven metadatos SEO correctos y slug canónico estable.</t>
    </r>
  </si>
  <si>
    <r>
      <t>Dado</t>
    </r>
    <r>
      <rPr>
        <sz val="11"/>
        <color theme="1"/>
        <rFont val="Aptos Narrow"/>
        <family val="2"/>
        <scheme val="minor"/>
      </rPr>
      <t xml:space="preserve"> la ejecución del scraper Cuando envío solicitudes Entonces uso User-Agent propio, 0.5–1 req/s y backoff; si robots/ToU prohíbe, no scrapear.</t>
    </r>
  </si>
  <si>
    <r>
      <t>Dado</t>
    </r>
    <r>
      <rPr>
        <sz val="11"/>
        <color theme="1"/>
        <rFont val="Aptos Narrow"/>
        <family val="2"/>
        <scheme val="minor"/>
      </rPr>
      <t xml:space="preserve"> ejecuciones periódicas Cuando la tasa de error &gt; 5% o fallan selectores Entonces se dispara alerta y se registra incidente.</t>
    </r>
  </si>
  <si>
    <r>
      <t>Dado</t>
    </r>
    <r>
      <rPr>
        <sz val="11"/>
        <color theme="1"/>
        <rFont val="Aptos Narrow"/>
        <family val="2"/>
        <scheme val="minor"/>
      </rPr>
      <t xml:space="preserve"> ingestiones exitosas Cuando configuro persistencia Entonces conservo </t>
    </r>
    <r>
      <rPr>
        <sz val="10"/>
        <color theme="1"/>
        <rFont val="Arial Unicode MS"/>
      </rPr>
      <t>raw</t>
    </r>
    <r>
      <rPr>
        <sz val="11"/>
        <color theme="1"/>
        <rFont val="Aptos Narrow"/>
        <family val="2"/>
        <scheme val="minor"/>
      </rPr>
      <t xml:space="preserve"> con TTL y puedo reparsear cuando cambien reglas.</t>
    </r>
  </si>
  <si>
    <t>Dado el modelo lógico aprobado (HU3.4) Cuando genero el DDL desde ERWIN (target: MySQL) con tipos, PK/FK y not null adecuados Entonces obtengo un script DDL ejecutable (v1.0) y evidencias de ejecución en el motor (schema creado).</t>
  </si>
  <si>
    <t>Dado los requerimientos de datos (eventos, venues, artistas, categorías) Cuando diseño el modelo en ERWIN (diagrama con PK/FK, N–N y catálogos) Entonces obtengo un modelo validado (revisión con Dev) y versionado (v1.0) con imagen pdf + archivo .erwin</t>
  </si>
  <si>
    <t>Dado un cambio en el modelo (nueva columna/índice/tabla) Cuando creo una migración versionada (v1.1, v1.2…) y la pruebo en DEV Entonces puedo aplicarla en TEST/PROD con rollback documentado y changelog actualizado.</t>
  </si>
  <si>
    <t>Dado el esquema físico (HU3.5)Cuando agrego índices en campos de filtro (fecha, región, categoría) y foreign keys Entonces el endpoint /eventos cumple p95 &lt; 500ms en dataset de prueba y se documentan índices/constraints.</t>
  </si>
  <si>
    <t>Dado el esquema en producción Cuando publico un diccionario de datos (tabla→campos→tipo→reglas→fuente→uso) Entonces queda disponible en Confluence/Notion con versión y fecha de actualización.</t>
  </si>
  <si>
    <t>Inicio del Proyecto</t>
  </si>
  <si>
    <t>Nombre de la empresa</t>
  </si>
  <si>
    <t>Leyenda:</t>
  </si>
  <si>
    <t>Según lo previsto</t>
  </si>
  <si>
    <t>Riesgo bajo</t>
  </si>
  <si>
    <t>Riesgo medio</t>
  </si>
  <si>
    <t>Riesgo alto</t>
  </si>
  <si>
    <t>Sin asignar</t>
  </si>
  <si>
    <t>Responsable del proyecto</t>
  </si>
  <si>
    <t>Fecha de inicio del proyecto:</t>
  </si>
  <si>
    <t>Incremento de desplazamiento:</t>
  </si>
  <si>
    <t>Descripción del hito</t>
  </si>
  <si>
    <t>Categoría</t>
  </si>
  <si>
    <t>Asignado a</t>
  </si>
  <si>
    <t>Progreso</t>
  </si>
  <si>
    <t>Días</t>
  </si>
  <si>
    <t>Proyecto General</t>
  </si>
  <si>
    <t>*</t>
  </si>
  <si>
    <t>Johan Poul Zuñiga Cordova</t>
  </si>
  <si>
    <t>Vaope</t>
  </si>
  <si>
    <t>1. Capítulo 1 – Planificación</t>
  </si>
  <si>
    <t>1.4 Plan de gestión del cronograma</t>
  </si>
  <si>
    <t>2. Capítulo 2: Implementación de la solución</t>
  </si>
  <si>
    <t>OK</t>
  </si>
  <si>
    <t>EN PROCESO</t>
  </si>
  <si>
    <t>(Joinnus) – Crawler de listados paginados (API preferente)</t>
  </si>
  <si>
    <t>(Joinnus) – Parser de detalle</t>
  </si>
  <si>
    <t>DoD: upsert canónico (event, venue, region), mapeo fechas/categorías.</t>
  </si>
  <si>
    <t>url_queue con detail_url + meta_json, dedupe idempotente, logs y métricas.</t>
  </si>
  <si>
    <t>(Ticketmaster) – Crawler / HU4 – Parser</t>
  </si>
  <si>
    <t>(Ticketmaster) – Parser de detalle</t>
  </si>
  <si>
    <t>(Vaope) – Parser de detalle</t>
  </si>
  <si>
    <t>(Vaope) – Conector propio (API)</t>
  </si>
  <si>
    <t>Consolidación multi-fuente</t>
  </si>
  <si>
    <t>Reglas de “merge” por same_event (fuzzy por título+fecha+venue), prioridad por fuente, last_seen.</t>
  </si>
  <si>
    <t>HU3.9</t>
  </si>
  <si>
    <t>HU4.3</t>
  </si>
  <si>
    <t>HU4.4</t>
  </si>
  <si>
    <t>HU4.5</t>
  </si>
  <si>
    <t>HU4.6</t>
  </si>
  <si>
    <t>HU7.1</t>
  </si>
  <si>
    <t>HU7.2</t>
  </si>
  <si>
    <t>HU7.3</t>
  </si>
  <si>
    <t>Parser de ficha y mapeo Teleticket</t>
  </si>
  <si>
    <t>HU4.7</t>
  </si>
  <si>
    <t>HU4.8</t>
  </si>
  <si>
    <t>selenium</t>
  </si>
  <si>
    <t>(Conciertos.pe) – Conector propio (API)</t>
  </si>
  <si>
    <t>(Conciertos.pe) – Parser de detalle</t>
  </si>
  <si>
    <t>Dado registros crudos Cuando normalizo Entonces fechas en ISO-8601 UTC; región ∈ catálogo; dedup por (source, source_event_id) y hash de respaldo.</t>
  </si>
  <si>
    <t>1.1 Prototipado CRM para gestion de preventa de productos</t>
  </si>
  <si>
    <t>1.2 Revision datos comercial Historico Validadores</t>
  </si>
  <si>
    <t>1.3 Revision datos comercial Histórico pautas y contenido</t>
  </si>
  <si>
    <t>1.5 Diseño Reporte Comercial seguimiento Mix productos (Reporte cruzado de ventas para asesor multiskill)</t>
  </si>
  <si>
    <t>Johan Poul Zuñiga Cordova / Jesus Garcia</t>
  </si>
  <si>
    <t>2.1 Sprint 1 Hito: Implementacion</t>
  </si>
  <si>
    <t>Jesus Garcia / Johan Zuñiga</t>
  </si>
  <si>
    <t>1.6 Reunión para revisión del CRM y Flujo de uso con Operaciones</t>
  </si>
  <si>
    <t>2.1.2 Reporte comercial Historico Validadores</t>
  </si>
  <si>
    <t>2.1.3 Reporte comercial Histórico pautas y contenido</t>
  </si>
  <si>
    <t>2.1.5 Manual de Capacitación de uso de CRM (Evento, servicio, cotización, organizador, notas) Acceso por rol y vistas rápidas de evento y organizador.</t>
  </si>
  <si>
    <t>Jesus Garcia</t>
  </si>
  <si>
    <t>2.1.1 Desarrollo del CRM para gestion de preventa de productos - ODOO</t>
  </si>
  <si>
    <t>2.1.10 Proyecto Fidelización automatica N8N</t>
  </si>
  <si>
    <t>Jesus Garcia / Johan Poul Zuñiga Cordova</t>
  </si>
  <si>
    <t>2.1.6 Reporte Comercial seguimiento Pautas</t>
  </si>
  <si>
    <t xml:space="preserve">2.1.7 Reporte Comercial seguimiento Contenido </t>
  </si>
  <si>
    <t xml:space="preserve">2.1.8 Reporte Comercial seguimiento validadores </t>
  </si>
  <si>
    <t>2.1.9 Reporte Comercial seguimiento Impresos (Agregar datos monetarios)</t>
  </si>
  <si>
    <t>2.1.4 Reporte Comercial seguimiento Mix productos (Reporte cruzado de ventas para asesor multiskill) - MVP (Actualizar eventos publicados)</t>
  </si>
  <si>
    <t>2.1.11 Automatizacion ETL</t>
  </si>
  <si>
    <t>2.1.12 Agregar mejora detalle de productos a ETL</t>
  </si>
  <si>
    <t>Proyecto Cross-Selling Vaope</t>
  </si>
  <si>
    <t>2.1.13 Documento de planes de productos Crosseling</t>
  </si>
  <si>
    <t>2.1.10 Proyecto Fidelización automatica N8N - Editar el speech de Whatsapp mas comercial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</si>
</sst>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
    <numFmt numFmtId="165" formatCode="#,##0_ ;\-#,##0\ "/>
    <numFmt numFmtId="166" formatCode="#,##0.00_ ;\-#,##0.00\ "/>
  </numFmts>
  <fonts count="33">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Unicode MS"/>
    </font>
    <font>
      <b/>
      <sz val="10"/>
      <color rgb="FFFF0000"/>
      <name val="Times New Roman"/>
      <family val="1"/>
    </font>
    <font>
      <b/>
      <sz val="22"/>
      <color theme="1" tint="0.34998626667073579"/>
      <name val="Aptos Display"/>
      <family val="2"/>
      <scheme val="major"/>
    </font>
    <font>
      <b/>
      <sz val="10"/>
      <name val="Times New Roman"/>
      <family val="1"/>
    </font>
    <font>
      <sz val="10"/>
      <name val="Times New Roman"/>
      <family val="1"/>
    </font>
    <font>
      <sz val="10"/>
      <color theme="1"/>
      <name val="Times New Roman"/>
      <family val="1"/>
    </font>
    <font>
      <sz val="14"/>
      <color theme="1"/>
      <name val="Aptos Narrow"/>
      <family val="2"/>
      <scheme val="minor"/>
    </font>
    <font>
      <b/>
      <sz val="10"/>
      <color theme="0"/>
      <name val="Times New Roman"/>
      <family val="1"/>
    </font>
    <font>
      <b/>
      <sz val="10"/>
      <color theme="1"/>
      <name val="Times New Roman"/>
      <family val="1"/>
    </font>
    <font>
      <sz val="8"/>
      <name val="Aptos Narrow"/>
      <family val="2"/>
      <scheme val="minor"/>
    </font>
    <font>
      <u/>
      <sz val="11"/>
      <color theme="1"/>
      <name val="Aptos Narrow"/>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6"/>
        <bgColor indexed="64"/>
      </patternFill>
    </fill>
    <fill>
      <patternFill patternType="solid">
        <fgColor theme="9"/>
        <bgColor indexed="64"/>
      </patternFill>
    </fill>
    <fill>
      <patternFill patternType="solid">
        <fgColor theme="5"/>
        <bgColor indexed="64"/>
      </patternFill>
    </fill>
    <fill>
      <patternFill patternType="solid">
        <fgColor theme="7" tint="-0.249977111117893"/>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1" tint="0.249977111117893"/>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7"/>
        <bgColor indexed="64"/>
      </patternFill>
    </fill>
    <fill>
      <patternFill patternType="solid">
        <fgColor theme="6"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theme="0" tint="-0.499984740745262"/>
      </bottom>
      <diagonal/>
    </border>
    <border>
      <left/>
      <right style="thin">
        <color theme="0" tint="-0.34998626667073579"/>
      </right>
      <top/>
      <bottom/>
      <diagonal/>
    </border>
    <border>
      <left style="thin">
        <color theme="0" tint="-0.34998626667073579"/>
      </left>
      <right/>
      <top style="thin">
        <color theme="0" tint="-0.499984740745262"/>
      </top>
      <bottom/>
      <diagonal/>
    </border>
    <border>
      <left style="thin">
        <color theme="0" tint="-0.34998626667073579"/>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style="thin">
        <color indexed="64"/>
      </right>
      <top/>
      <bottom/>
      <diagonal/>
    </border>
  </borders>
  <cellStyleXfs count="49">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7" fillId="0" borderId="0"/>
    <xf numFmtId="0" fontId="20" fillId="0" borderId="0" applyNumberFormat="0" applyFill="0" applyBorder="0" applyAlignment="0" applyProtection="0"/>
    <xf numFmtId="0" fontId="24" fillId="0" borderId="0" applyNumberFormat="0" applyFill="0" applyAlignment="0" applyProtection="0"/>
    <xf numFmtId="0" fontId="1" fillId="0" borderId="0" applyNumberFormat="0" applyFill="0" applyProtection="0">
      <alignment horizontal="right" vertical="center" indent="1"/>
    </xf>
    <xf numFmtId="14" fontId="1" fillId="0" borderId="0" applyFont="0" applyFill="0" applyBorder="0">
      <alignment horizontal="center" vertical="center"/>
    </xf>
    <xf numFmtId="9" fontId="1" fillId="0" borderId="0" applyFont="0" applyFill="0" applyBorder="0" applyProtection="0">
      <alignment horizontal="center" vertical="center"/>
    </xf>
    <xf numFmtId="165" fontId="1" fillId="0" borderId="0" applyFont="0" applyFill="0" applyBorder="0" applyProtection="0">
      <alignment horizontal="center" vertical="center"/>
    </xf>
  </cellStyleXfs>
  <cellXfs count="80">
    <xf numFmtId="0" fontId="0" fillId="0" borderId="0" xfId="0"/>
    <xf numFmtId="0" fontId="16" fillId="0" borderId="10" xfId="0" applyFont="1" applyBorder="1" applyAlignment="1">
      <alignment horizontal="center" vertical="center"/>
    </xf>
    <xf numFmtId="0" fontId="0" fillId="0" borderId="10" xfId="0" applyBorder="1" applyAlignment="1">
      <alignment vertical="center"/>
    </xf>
    <xf numFmtId="0" fontId="16" fillId="0" borderId="10" xfId="0" applyFont="1" applyBorder="1" applyAlignment="1">
      <alignment horizontal="center" vertical="center" wrapText="1"/>
    </xf>
    <xf numFmtId="0" fontId="16" fillId="0" borderId="10" xfId="0" applyFont="1" applyBorder="1" applyAlignment="1">
      <alignment vertical="center" wrapText="1"/>
    </xf>
    <xf numFmtId="0" fontId="0" fillId="0" borderId="10" xfId="0" applyBorder="1" applyAlignment="1">
      <alignment vertical="center" wrapText="1"/>
    </xf>
    <xf numFmtId="0" fontId="16" fillId="0" borderId="10" xfId="0" applyFont="1" applyBorder="1" applyAlignment="1">
      <alignment horizontal="center" vertical="top"/>
    </xf>
    <xf numFmtId="0" fontId="16" fillId="0" borderId="0" xfId="0" applyFont="1" applyAlignment="1">
      <alignment horizontal="center" vertical="top"/>
    </xf>
    <xf numFmtId="0" fontId="19" fillId="0" borderId="0" xfId="42" applyFont="1" applyAlignment="1">
      <alignment wrapText="1"/>
    </xf>
    <xf numFmtId="0" fontId="22" fillId="33" borderId="0" xfId="0" applyFont="1" applyFill="1"/>
    <xf numFmtId="0" fontId="23" fillId="0" borderId="0" xfId="0" applyFont="1"/>
    <xf numFmtId="0" fontId="21" fillId="0" borderId="0" xfId="43" applyFont="1" applyFill="1" applyBorder="1" applyAlignment="1">
      <alignment horizontal="left" vertical="center"/>
    </xf>
    <xf numFmtId="0" fontId="21" fillId="0" borderId="0" xfId="0" applyFont="1" applyAlignment="1">
      <alignment horizontal="left" vertical="center"/>
    </xf>
    <xf numFmtId="0" fontId="22" fillId="0" borderId="0" xfId="0" applyFont="1" applyAlignment="1">
      <alignment vertical="center"/>
    </xf>
    <xf numFmtId="0" fontId="22" fillId="0" borderId="0" xfId="0" applyFont="1" applyAlignment="1">
      <alignment horizontal="center" vertical="center"/>
    </xf>
    <xf numFmtId="0" fontId="23" fillId="0" borderId="0" xfId="0" applyFont="1" applyAlignment="1">
      <alignment vertical="center"/>
    </xf>
    <xf numFmtId="0" fontId="21" fillId="0" borderId="0" xfId="44" applyFont="1" applyFill="1" applyAlignment="1">
      <alignment horizontal="left" vertical="center" indent="2"/>
    </xf>
    <xf numFmtId="0" fontId="22" fillId="0" borderId="0" xfId="44" applyFont="1" applyFill="1" applyAlignment="1">
      <alignment horizontal="left" vertical="center" indent="2"/>
    </xf>
    <xf numFmtId="0" fontId="22" fillId="0" borderId="0" xfId="0" applyFont="1" applyAlignment="1">
      <alignment horizontal="left" vertical="center" indent="2"/>
    </xf>
    <xf numFmtId="0" fontId="22" fillId="0" borderId="0" xfId="0" applyFont="1"/>
    <xf numFmtId="0" fontId="22" fillId="0" borderId="0" xfId="0" applyFont="1" applyAlignment="1">
      <alignment horizontal="center"/>
    </xf>
    <xf numFmtId="0" fontId="22" fillId="0" borderId="0" xfId="0" applyFont="1" applyAlignment="1">
      <alignment horizontal="right" vertical="center"/>
    </xf>
    <xf numFmtId="0" fontId="21" fillId="0" borderId="0" xfId="0" applyFont="1" applyAlignment="1">
      <alignment horizontal="left" vertical="center" indent="2"/>
    </xf>
    <xf numFmtId="0" fontId="22" fillId="0" borderId="0" xfId="45" applyFont="1" applyFill="1" applyAlignment="1">
      <alignment horizontal="left" vertical="center" indent="2"/>
    </xf>
    <xf numFmtId="14" fontId="22" fillId="0" borderId="0" xfId="46" applyFont="1" applyFill="1" applyBorder="1" applyAlignment="1">
      <alignment horizontal="left" vertical="center"/>
    </xf>
    <xf numFmtId="0" fontId="22" fillId="0" borderId="0" xfId="0" applyFont="1" applyAlignment="1">
      <alignment horizontal="left" vertical="center"/>
    </xf>
    <xf numFmtId="0" fontId="22" fillId="0" borderId="12" xfId="0" applyFont="1" applyBorder="1"/>
    <xf numFmtId="164" fontId="22" fillId="39" borderId="13" xfId="0" applyNumberFormat="1" applyFont="1" applyFill="1" applyBorder="1" applyAlignment="1">
      <alignment horizontal="center" vertical="center"/>
    </xf>
    <xf numFmtId="164" fontId="22" fillId="39" borderId="14" xfId="0" applyNumberFormat="1" applyFont="1" applyFill="1" applyBorder="1" applyAlignment="1">
      <alignment horizontal="center" vertical="center"/>
    </xf>
    <xf numFmtId="164" fontId="22" fillId="39" borderId="0" xfId="0" applyNumberFormat="1" applyFont="1" applyFill="1" applyAlignment="1">
      <alignment horizontal="center" vertical="center"/>
    </xf>
    <xf numFmtId="0" fontId="25" fillId="40" borderId="0" xfId="0" applyFont="1" applyFill="1" applyAlignment="1">
      <alignment horizontal="left" vertical="center" indent="1"/>
    </xf>
    <xf numFmtId="0" fontId="25" fillId="40" borderId="0" xfId="0" applyFont="1" applyFill="1" applyAlignment="1">
      <alignment horizontal="center" vertical="center" wrapText="1"/>
    </xf>
    <xf numFmtId="0" fontId="25" fillId="0" borderId="12" xfId="0" applyFont="1" applyBorder="1" applyAlignment="1">
      <alignment horizontal="center" vertical="center" wrapText="1"/>
    </xf>
    <xf numFmtId="0" fontId="22" fillId="39" borderId="15" xfId="0" applyFont="1" applyFill="1" applyBorder="1" applyAlignment="1">
      <alignment horizontal="center" vertical="center" shrinkToFit="1"/>
    </xf>
    <xf numFmtId="0" fontId="19" fillId="0" borderId="0" xfId="42" applyFont="1"/>
    <xf numFmtId="0" fontId="25" fillId="41" borderId="0" xfId="0" applyFont="1" applyFill="1" applyAlignment="1">
      <alignment horizontal="left" vertical="center" wrapText="1" indent="2"/>
    </xf>
    <xf numFmtId="9" fontId="25" fillId="41" borderId="0" xfId="47" applyFont="1" applyFill="1" applyBorder="1">
      <alignment horizontal="center" vertical="center"/>
    </xf>
    <xf numFmtId="0" fontId="25" fillId="41" borderId="0" xfId="0" applyFont="1" applyFill="1" applyAlignment="1">
      <alignment horizontal="center" vertical="center" wrapText="1"/>
    </xf>
    <xf numFmtId="14" fontId="25" fillId="41" borderId="0" xfId="46" applyFont="1" applyFill="1" applyBorder="1">
      <alignment horizontal="center" vertical="center"/>
    </xf>
    <xf numFmtId="166" fontId="25" fillId="41" borderId="0" xfId="48" applyNumberFormat="1" applyFont="1" applyFill="1" applyBorder="1">
      <alignment horizontal="center" vertical="center"/>
    </xf>
    <xf numFmtId="0" fontId="19" fillId="0" borderId="0" xfId="42" applyFont="1" applyAlignment="1">
      <alignment horizontal="center"/>
      <extLst>
        <ext xmlns:xfpb="http://schemas.microsoft.com/office/spreadsheetml/2022/featurepropertybag" uri="{C7286773-470A-42A8-94C5-96B5CB345126}">
          <xfpb:xfComplement i="0"/>
        </ext>
      </extLst>
    </xf>
    <xf numFmtId="0" fontId="25" fillId="42" borderId="0" xfId="0" applyFont="1" applyFill="1" applyAlignment="1">
      <alignment horizontal="left" vertical="center" wrapText="1" indent="2"/>
    </xf>
    <xf numFmtId="9" fontId="25" fillId="42" borderId="0" xfId="47" applyFont="1" applyFill="1" applyBorder="1">
      <alignment horizontal="center" vertical="center"/>
    </xf>
    <xf numFmtId="0" fontId="25" fillId="42" borderId="0" xfId="0" applyFont="1" applyFill="1" applyAlignment="1">
      <alignment horizontal="center" vertical="center" wrapText="1"/>
    </xf>
    <xf numFmtId="14" fontId="25" fillId="42" borderId="0" xfId="46" applyFont="1" applyFill="1" applyBorder="1">
      <alignment horizontal="center" vertical="center"/>
    </xf>
    <xf numFmtId="166" fontId="25" fillId="42" borderId="0" xfId="48" applyNumberFormat="1" applyFont="1" applyFill="1" applyBorder="1">
      <alignment horizontal="center" vertical="center"/>
    </xf>
    <xf numFmtId="0" fontId="21" fillId="43" borderId="0" xfId="0" applyFont="1" applyFill="1" applyAlignment="1">
      <alignment horizontal="left" vertical="center" wrapText="1" indent="2"/>
    </xf>
    <xf numFmtId="9" fontId="23" fillId="43" borderId="0" xfId="47" applyFont="1" applyFill="1" applyBorder="1">
      <alignment horizontal="center" vertical="center"/>
    </xf>
    <xf numFmtId="0" fontId="23" fillId="43" borderId="0" xfId="0" applyFont="1" applyFill="1" applyAlignment="1">
      <alignment horizontal="center" vertical="center" wrapText="1"/>
    </xf>
    <xf numFmtId="9" fontId="26" fillId="43" borderId="0" xfId="47" applyFont="1" applyFill="1" applyBorder="1">
      <alignment horizontal="center" vertical="center"/>
    </xf>
    <xf numFmtId="14" fontId="23" fillId="43" borderId="0" xfId="46" applyFont="1" applyFill="1" applyBorder="1">
      <alignment horizontal="center" vertical="center"/>
    </xf>
    <xf numFmtId="166" fontId="23" fillId="43" borderId="0" xfId="48" applyNumberFormat="1" applyFont="1" applyFill="1" applyBorder="1">
      <alignment horizontal="center" vertical="center"/>
    </xf>
    <xf numFmtId="0" fontId="21" fillId="0" borderId="0" xfId="0" applyFont="1" applyAlignment="1">
      <alignment horizontal="left" vertical="center" wrapText="1" indent="4"/>
    </xf>
    <xf numFmtId="0" fontId="21" fillId="0" borderId="0" xfId="0" applyFont="1" applyAlignment="1">
      <alignment horizontal="center" vertical="center"/>
    </xf>
    <xf numFmtId="9" fontId="21" fillId="0" borderId="0" xfId="47" applyFont="1" applyFill="1" applyBorder="1">
      <alignment horizontal="center" vertical="center"/>
    </xf>
    <xf numFmtId="14" fontId="21" fillId="0" borderId="0" xfId="46" applyFont="1" applyFill="1" applyBorder="1">
      <alignment horizontal="center" vertical="center"/>
    </xf>
    <xf numFmtId="0" fontId="23" fillId="0" borderId="16" xfId="0" applyFont="1" applyBorder="1" applyAlignment="1">
      <alignment horizontal="center" vertical="center"/>
    </xf>
    <xf numFmtId="14" fontId="22" fillId="0" borderId="0" xfId="46" applyFont="1" applyFill="1" applyBorder="1">
      <alignment horizontal="center" vertical="center"/>
    </xf>
    <xf numFmtId="166" fontId="22" fillId="0" borderId="0" xfId="48" applyNumberFormat="1" applyFont="1" applyFill="1" applyBorder="1">
      <alignment horizontal="center" vertical="center"/>
    </xf>
    <xf numFmtId="0" fontId="23" fillId="0" borderId="0" xfId="0" applyFont="1" applyAlignment="1">
      <alignment horizontal="center"/>
    </xf>
    <xf numFmtId="9" fontId="21" fillId="43" borderId="0" xfId="47" applyFont="1" applyFill="1" applyBorder="1">
      <alignment horizontal="center" vertical="center"/>
    </xf>
    <xf numFmtId="0" fontId="16" fillId="44" borderId="10" xfId="0" applyFont="1" applyFill="1" applyBorder="1" applyAlignment="1">
      <alignment vertical="center" wrapText="1"/>
    </xf>
    <xf numFmtId="0" fontId="0" fillId="44" borderId="10" xfId="0" applyFill="1" applyBorder="1" applyAlignment="1">
      <alignment vertical="center" wrapText="1"/>
    </xf>
    <xf numFmtId="0" fontId="16" fillId="45" borderId="10" xfId="0" applyFont="1" applyFill="1" applyBorder="1" applyAlignment="1">
      <alignment vertical="center" wrapText="1"/>
    </xf>
    <xf numFmtId="0" fontId="0" fillId="45" borderId="10" xfId="0" applyFill="1" applyBorder="1" applyAlignment="1">
      <alignment vertical="center" wrapText="1"/>
    </xf>
    <xf numFmtId="0" fontId="0" fillId="0" borderId="0" xfId="0" applyAlignment="1">
      <alignment vertical="center" wrapText="1"/>
    </xf>
    <xf numFmtId="0" fontId="0" fillId="0" borderId="17" xfId="0" applyBorder="1"/>
    <xf numFmtId="0" fontId="16" fillId="44" borderId="0" xfId="0" applyFont="1" applyFill="1"/>
    <xf numFmtId="0" fontId="16" fillId="45" borderId="0" xfId="0" applyFont="1" applyFill="1"/>
    <xf numFmtId="0" fontId="28" fillId="45" borderId="10" xfId="0" applyFont="1" applyFill="1" applyBorder="1" applyAlignment="1">
      <alignment vertical="center" wrapText="1"/>
    </xf>
    <xf numFmtId="14" fontId="22" fillId="33" borderId="0" xfId="46" applyFont="1" applyFill="1" applyBorder="1">
      <alignment horizontal="center" vertical="center"/>
    </xf>
    <xf numFmtId="14" fontId="21" fillId="33" borderId="0" xfId="46" applyFont="1" applyFill="1" applyBorder="1">
      <alignment horizontal="center" vertical="center"/>
    </xf>
    <xf numFmtId="0" fontId="21" fillId="33" borderId="0" xfId="43" applyFont="1" applyFill="1" applyAlignment="1">
      <alignment horizontal="left" vertical="center" wrapText="1" indent="1"/>
    </xf>
    <xf numFmtId="0" fontId="22" fillId="33" borderId="0" xfId="0" applyFont="1" applyFill="1" applyAlignment="1">
      <alignment horizontal="center" vertical="center"/>
    </xf>
    <xf numFmtId="0" fontId="25" fillId="34" borderId="0" xfId="26" applyFont="1" applyFill="1" applyAlignment="1">
      <alignment horizontal="center" vertical="center"/>
    </xf>
    <xf numFmtId="0" fontId="25" fillId="35" borderId="0" xfId="0" applyFont="1" applyFill="1" applyAlignment="1">
      <alignment horizontal="center" vertical="center"/>
    </xf>
    <xf numFmtId="0" fontId="25" fillId="36" borderId="0" xfId="0" applyFont="1" applyFill="1" applyAlignment="1">
      <alignment horizontal="center" vertical="center"/>
    </xf>
    <xf numFmtId="17" fontId="21" fillId="0" borderId="11" xfId="0" applyNumberFormat="1" applyFont="1" applyBorder="1" applyAlignment="1">
      <alignment horizontal="center" vertical="center"/>
    </xf>
    <xf numFmtId="0" fontId="25" fillId="37" borderId="0" xfId="0" applyFont="1" applyFill="1" applyAlignment="1">
      <alignment horizontal="center" vertical="center"/>
    </xf>
    <xf numFmtId="0" fontId="21" fillId="38" borderId="0" xfId="0" applyFont="1" applyFill="1" applyAlignment="1">
      <alignment horizontal="center" vertical="center"/>
    </xf>
  </cellXfs>
  <cellStyles count="49">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1 2" xfId="44" xr:uid="{D38A17EF-3EC3-4E8A-91BF-C33B94FF7ED3}"/>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Fecha" xfId="46" xr:uid="{3E2C28E8-F265-473F-9F33-3935343A919B}"/>
    <cellStyle name="Incorrecto" xfId="7" builtinId="27" customBuiltin="1"/>
    <cellStyle name="Millares [0] 2" xfId="48" xr:uid="{D9BA9BED-4900-4F09-A31A-B979DB5EDA09}"/>
    <cellStyle name="Neutral" xfId="8" builtinId="28" customBuiltin="1"/>
    <cellStyle name="Normal" xfId="0" builtinId="0"/>
    <cellStyle name="Notas" xfId="15" builtinId="10" customBuiltin="1"/>
    <cellStyle name="Porcentaje 2" xfId="47" xr:uid="{B30CA582-BF15-4340-BC17-8FF4DED26C08}"/>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ítulo 3 2" xfId="45" xr:uid="{DBB8D767-58EE-470F-9814-A0F968519935}"/>
    <cellStyle name="Título 4" xfId="43" xr:uid="{EF645673-0FBE-47D0-B09D-85B8C18F0018}"/>
    <cellStyle name="Total" xfId="17" builtinId="25" customBuiltin="1"/>
    <cellStyle name="zHiddenText" xfId="42" xr:uid="{07C21BB8-4D3C-49FB-92FA-BAA7D90BC33F}"/>
  </cellStyles>
  <dxfs count="55">
    <dxf>
      <font>
        <b/>
        <i val="0"/>
        <color theme="0"/>
      </font>
      <border>
        <left style="thin">
          <color rgb="FFC00000"/>
        </left>
        <right style="thin">
          <color rgb="FFC00000"/>
        </right>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strike val="0"/>
        <outline val="0"/>
        <shadow val="0"/>
        <u val="none"/>
        <vertAlign val="baseline"/>
        <sz val="10"/>
        <name val="Times New Roman"/>
        <family val="1"/>
        <scheme val="none"/>
      </font>
      <numFmt numFmtId="166" formatCode="#,##0.00_ ;\-#,##0.00\ "/>
    </dxf>
    <dxf>
      <font>
        <b/>
        <i val="0"/>
        <strike val="0"/>
        <condense val="0"/>
        <extend val="0"/>
        <outline val="0"/>
        <shadow val="0"/>
        <u val="none"/>
        <vertAlign val="baseline"/>
        <sz val="10"/>
        <color rgb="FFFF0000"/>
        <name val="Times New Roman"/>
        <family val="1"/>
        <scheme val="none"/>
      </font>
      <fill>
        <patternFill patternType="none">
          <fgColor indexed="64"/>
          <bgColor indexed="65"/>
        </patternFill>
      </fill>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alignment horizontal="center" vertical="center" textRotation="0" indent="0" justifyLastLine="0" shrinkToFit="0" readingOrder="0"/>
    </dxf>
    <dxf>
      <font>
        <strike val="0"/>
        <outline val="0"/>
        <shadow val="0"/>
        <u val="none"/>
        <vertAlign val="baseline"/>
        <sz val="10"/>
        <name val="Times New Roman"/>
        <family val="1"/>
        <scheme val="none"/>
      </font>
      <alignment horizontal="center" vertical="center" textRotation="0" wrapText="0" indent="0" justifyLastLine="0" shrinkToFit="0" readingOrder="0"/>
    </dxf>
    <dxf>
      <font>
        <strike val="0"/>
        <outline val="0"/>
        <shadow val="0"/>
        <u val="none"/>
        <vertAlign val="baseline"/>
        <sz val="10"/>
        <name val="Times New Roman"/>
        <family val="1"/>
        <scheme val="none"/>
      </font>
      <alignment horizontal="left" vertical="bottom" textRotation="0" wrapText="1" relativeIndent="1" justifyLastLine="0" shrinkToFit="0" readingOrder="0"/>
    </dxf>
    <dxf>
      <font>
        <strike val="0"/>
        <outline val="0"/>
        <shadow val="0"/>
        <u val="none"/>
        <vertAlign val="baseline"/>
        <sz val="10"/>
        <name val="Times New Roman"/>
        <family val="1"/>
        <scheme val="none"/>
      </font>
    </dxf>
    <dxf>
      <font>
        <b/>
        <strike val="0"/>
        <outline val="0"/>
        <shadow val="0"/>
        <u val="none"/>
        <vertAlign val="baseline"/>
        <sz val="10"/>
        <color theme="0"/>
        <name val="Times New Roman"/>
        <family val="1"/>
        <scheme val="none"/>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s>
  <tableStyles count="1" defaultTableStyle="TableStyleMedium2" defaultPivotStyle="PivotStyleLight16">
    <tableStyle name="ListaTareasPendientes" pivot="0" count="9" xr9:uid="{7FCE7310-D5CD-4816-8D8E-4C6ACD20A9FB}">
      <tableStyleElement type="wholeTable" dxfId="54"/>
      <tableStyleElement type="headerRow" dxfId="53"/>
      <tableStyleElement type="totalRow" dxfId="52"/>
      <tableStyleElement type="firstColumn" dxfId="51"/>
      <tableStyleElement type="lastColumn" dxfId="50"/>
      <tableStyleElement type="firstRowStripe" dxfId="49"/>
      <tableStyleElement type="secondRowStripe" dxfId="48"/>
      <tableStyleElement type="firstColumnStripe" dxfId="47"/>
      <tableStyleElement type="secondColumnStripe" dxfId="4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070505-FEC9-48B0-A239-4032A6EEA912}" name="Hitos4352" displayName="Hitos4352" ref="B9:H28" totalsRowShown="0" headerRowDxfId="45" dataDxfId="44">
  <autoFilter ref="B9:H28" xr:uid="{DD82988E-1813-40AE-BDE7-9F0200A703CB}"/>
  <tableColumns count="7">
    <tableColumn id="1" xr3:uid="{6DD0CE5E-4E47-46A8-8FD5-3212AC0E35D9}" name="Descripción del hito" dataDxfId="43"/>
    <tableColumn id="2" xr3:uid="{90D4D82C-70C5-4938-9ADF-38E5842CC346}" name="Categoría" dataDxfId="42"/>
    <tableColumn id="3" xr3:uid="{6238DC8A-53CB-46F1-BDB0-3C6381EFE09D}" name="Asignado a" dataDxfId="41"/>
    <tableColumn id="4" xr3:uid="{28B4063D-3D97-4FA3-9B4A-863108CC7ED0}" name="Progreso" dataDxfId="40"/>
    <tableColumn id="5" xr3:uid="{B0B49910-9C42-4986-B0AE-26DB10E0FF0C}" name="Inicio" dataDxfId="39" dataCellStyle="Fecha"/>
    <tableColumn id="7" xr3:uid="{CA19EB92-A57B-4F17-AD3B-8B61B4DBC9DB}" name="Fin" dataDxfId="38" dataCellStyle="Fecha"/>
    <tableColumn id="6" xr3:uid="{73FE535A-4CF2-4536-8F89-2CA246D43823}" name="Días" dataDxfId="37"/>
  </tableColumns>
  <tableStyleInfo name="ListaTareasPendientes" showFirstColumn="1" showLastColumn="0" showRowStripes="1" showColumnStripes="0"/>
  <extLst>
    <ext xmlns:x14="http://schemas.microsoft.com/office/spreadsheetml/2009/9/main" uri="{504A1905-F514-4f6f-8877-14C23A59335A}">
      <x14:table altTextSummary="Escriba la información del proyecto en esta tabla. Escriba una descripción del hito de una fase, tarea, actividad, etc. en la columna de debajo de Descripción. Seleccione una categoría en la columna Categoría. Asigne el elemento a alguien de la columna Asignado a. Actualice el progreso y consulte las barras de datos que se actualizan automáticamente en la columna de progreso. Escriba la fecha de inicio en la columna Inicio y el número de días en la columna Número de días. Los datos de Ghantt de las celdas J9 a BM 34 se actualizarán automáticamente. Agregar filas nuevas a la tabla para añadir más tareas."/>
    </ext>
  </extLst>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36B00-7087-4246-B5F9-6B4817717132}">
  <dimension ref="A1:I43"/>
  <sheetViews>
    <sheetView topLeftCell="A13" workbookViewId="0">
      <selection activeCell="B43" sqref="B43"/>
    </sheetView>
  </sheetViews>
  <sheetFormatPr baseColWidth="10" defaultRowHeight="14.4"/>
  <cols>
    <col min="1" max="1" width="5" bestFit="1" customWidth="1"/>
    <col min="2" max="2" width="45" bestFit="1" customWidth="1"/>
    <col min="3" max="4" width="10.44140625" bestFit="1" customWidth="1"/>
    <col min="5" max="5" width="24.44140625" bestFit="1" customWidth="1"/>
    <col min="6" max="6" width="13" bestFit="1" customWidth="1"/>
    <col min="7" max="7" width="12.44140625" bestFit="1" customWidth="1"/>
    <col min="8" max="8" width="15.88671875" bestFit="1" customWidth="1"/>
    <col min="9" max="9" width="13.44140625" bestFit="1" customWidth="1"/>
  </cols>
  <sheetData>
    <row r="1" spans="1:9">
      <c r="A1" s="6" t="s">
        <v>0</v>
      </c>
      <c r="B1" s="6" t="s">
        <v>1</v>
      </c>
      <c r="C1" s="6" t="s">
        <v>2</v>
      </c>
      <c r="D1" s="6" t="s">
        <v>3</v>
      </c>
      <c r="E1" s="6" t="s">
        <v>170</v>
      </c>
      <c r="F1" s="6" t="s">
        <v>4</v>
      </c>
      <c r="G1" s="6" t="s">
        <v>5</v>
      </c>
      <c r="H1" s="6" t="s">
        <v>171</v>
      </c>
      <c r="I1" s="6" t="s">
        <v>6</v>
      </c>
    </row>
    <row r="2" spans="1:9">
      <c r="A2" s="7">
        <v>1</v>
      </c>
      <c r="B2" s="7" t="s">
        <v>297</v>
      </c>
      <c r="C2" s="7"/>
      <c r="D2" s="7"/>
      <c r="E2" s="7"/>
      <c r="F2" s="7"/>
      <c r="G2" s="7"/>
      <c r="H2" s="7"/>
      <c r="I2" s="7"/>
    </row>
    <row r="3" spans="1:9">
      <c r="A3" t="s">
        <v>172</v>
      </c>
      <c r="B3" t="s">
        <v>173</v>
      </c>
      <c r="C3" t="s">
        <v>174</v>
      </c>
      <c r="D3" t="s">
        <v>175</v>
      </c>
      <c r="E3">
        <v>1</v>
      </c>
      <c r="G3" t="s">
        <v>7</v>
      </c>
      <c r="H3" t="s">
        <v>176</v>
      </c>
      <c r="I3" t="s">
        <v>177</v>
      </c>
    </row>
    <row r="4" spans="1:9">
      <c r="A4" t="s">
        <v>178</v>
      </c>
      <c r="B4" t="s">
        <v>8</v>
      </c>
      <c r="C4" t="s">
        <v>175</v>
      </c>
      <c r="D4" t="s">
        <v>179</v>
      </c>
      <c r="E4">
        <v>1</v>
      </c>
      <c r="F4" t="s">
        <v>172</v>
      </c>
      <c r="G4" t="s">
        <v>7</v>
      </c>
      <c r="H4" t="s">
        <v>9</v>
      </c>
      <c r="I4" t="s">
        <v>177</v>
      </c>
    </row>
    <row r="5" spans="1:9">
      <c r="A5" t="s">
        <v>180</v>
      </c>
      <c r="B5" t="s">
        <v>10</v>
      </c>
      <c r="C5" t="s">
        <v>175</v>
      </c>
      <c r="D5" t="s">
        <v>181</v>
      </c>
      <c r="E5">
        <v>2</v>
      </c>
      <c r="F5" t="s">
        <v>172</v>
      </c>
      <c r="G5" t="s">
        <v>11</v>
      </c>
      <c r="H5" t="s">
        <v>12</v>
      </c>
      <c r="I5" t="s">
        <v>177</v>
      </c>
    </row>
    <row r="6" spans="1:9">
      <c r="A6" t="s">
        <v>182</v>
      </c>
      <c r="B6" t="s">
        <v>183</v>
      </c>
      <c r="C6" t="s">
        <v>181</v>
      </c>
      <c r="D6" t="s">
        <v>184</v>
      </c>
      <c r="E6">
        <v>1</v>
      </c>
      <c r="F6" t="s">
        <v>180</v>
      </c>
      <c r="G6" t="s">
        <v>7</v>
      </c>
      <c r="H6" t="s">
        <v>13</v>
      </c>
      <c r="I6" t="s">
        <v>177</v>
      </c>
    </row>
    <row r="7" spans="1:9">
      <c r="A7" t="s">
        <v>185</v>
      </c>
      <c r="B7" t="s">
        <v>14</v>
      </c>
      <c r="C7" t="s">
        <v>181</v>
      </c>
      <c r="D7" t="s">
        <v>184</v>
      </c>
      <c r="E7">
        <v>1</v>
      </c>
      <c r="F7" t="s">
        <v>180</v>
      </c>
      <c r="G7" t="s">
        <v>7</v>
      </c>
      <c r="H7" t="s">
        <v>15</v>
      </c>
      <c r="I7" t="s">
        <v>177</v>
      </c>
    </row>
    <row r="8" spans="1:9">
      <c r="A8" t="s">
        <v>186</v>
      </c>
      <c r="B8" t="s">
        <v>16</v>
      </c>
      <c r="C8" t="s">
        <v>181</v>
      </c>
      <c r="D8" t="s">
        <v>184</v>
      </c>
      <c r="E8">
        <v>1</v>
      </c>
      <c r="F8" t="s">
        <v>180</v>
      </c>
      <c r="G8" t="s">
        <v>7</v>
      </c>
      <c r="H8" t="s">
        <v>17</v>
      </c>
      <c r="I8" t="s">
        <v>177</v>
      </c>
    </row>
    <row r="9" spans="1:9">
      <c r="A9" t="s">
        <v>187</v>
      </c>
      <c r="B9" t="s">
        <v>18</v>
      </c>
      <c r="C9" t="s">
        <v>181</v>
      </c>
      <c r="D9" t="s">
        <v>184</v>
      </c>
      <c r="E9">
        <v>1</v>
      </c>
      <c r="F9" t="s">
        <v>180</v>
      </c>
      <c r="G9" t="s">
        <v>7</v>
      </c>
      <c r="H9" t="s">
        <v>19</v>
      </c>
      <c r="I9" t="s">
        <v>177</v>
      </c>
    </row>
    <row r="10" spans="1:9">
      <c r="A10" t="s">
        <v>188</v>
      </c>
      <c r="B10" t="s">
        <v>20</v>
      </c>
      <c r="C10" t="s">
        <v>181</v>
      </c>
      <c r="D10" t="s">
        <v>184</v>
      </c>
      <c r="E10">
        <v>1</v>
      </c>
      <c r="F10" t="s">
        <v>180</v>
      </c>
      <c r="G10" t="s">
        <v>7</v>
      </c>
      <c r="H10" t="s">
        <v>21</v>
      </c>
      <c r="I10" t="s">
        <v>177</v>
      </c>
    </row>
    <row r="11" spans="1:9">
      <c r="A11" t="s">
        <v>189</v>
      </c>
      <c r="B11" t="s">
        <v>22</v>
      </c>
      <c r="C11" t="s">
        <v>179</v>
      </c>
      <c r="D11" t="s">
        <v>181</v>
      </c>
      <c r="E11">
        <v>1</v>
      </c>
      <c r="F11" t="s">
        <v>178</v>
      </c>
      <c r="G11" t="s">
        <v>7</v>
      </c>
      <c r="H11" t="s">
        <v>23</v>
      </c>
      <c r="I11" t="s">
        <v>177</v>
      </c>
    </row>
    <row r="12" spans="1:9">
      <c r="A12" t="s">
        <v>190</v>
      </c>
      <c r="B12" t="s">
        <v>191</v>
      </c>
      <c r="C12" t="s">
        <v>181</v>
      </c>
      <c r="D12" t="s">
        <v>184</v>
      </c>
      <c r="E12">
        <v>1</v>
      </c>
      <c r="F12" t="s">
        <v>180</v>
      </c>
      <c r="G12" t="s">
        <v>11</v>
      </c>
      <c r="H12" t="s">
        <v>12</v>
      </c>
      <c r="I12" t="s">
        <v>177</v>
      </c>
    </row>
    <row r="13" spans="1:9">
      <c r="A13" t="s">
        <v>192</v>
      </c>
      <c r="B13" t="s">
        <v>24</v>
      </c>
      <c r="C13" t="s">
        <v>184</v>
      </c>
      <c r="D13" t="s">
        <v>193</v>
      </c>
      <c r="E13">
        <v>1</v>
      </c>
      <c r="F13" t="s">
        <v>186</v>
      </c>
      <c r="G13" t="s">
        <v>11</v>
      </c>
      <c r="H13" t="s">
        <v>17</v>
      </c>
      <c r="I13" t="s">
        <v>177</v>
      </c>
    </row>
    <row r="14" spans="1:9">
      <c r="A14" t="s">
        <v>194</v>
      </c>
      <c r="B14" t="s">
        <v>25</v>
      </c>
      <c r="C14" t="s">
        <v>175</v>
      </c>
      <c r="D14" t="s">
        <v>179</v>
      </c>
      <c r="E14">
        <v>1</v>
      </c>
      <c r="F14" t="s">
        <v>172</v>
      </c>
      <c r="G14" t="s">
        <v>26</v>
      </c>
      <c r="H14" t="s">
        <v>19</v>
      </c>
      <c r="I14" t="s">
        <v>177</v>
      </c>
    </row>
    <row r="15" spans="1:9">
      <c r="A15">
        <v>2</v>
      </c>
      <c r="B15" t="s">
        <v>71</v>
      </c>
    </row>
    <row r="16" spans="1:9">
      <c r="A16" t="s">
        <v>195</v>
      </c>
      <c r="B16" t="s">
        <v>27</v>
      </c>
      <c r="C16" t="s">
        <v>184</v>
      </c>
      <c r="D16" t="s">
        <v>196</v>
      </c>
      <c r="E16">
        <v>3</v>
      </c>
      <c r="F16" t="s">
        <v>197</v>
      </c>
      <c r="G16" t="s">
        <v>26</v>
      </c>
      <c r="H16" t="s">
        <v>12</v>
      </c>
      <c r="I16" t="s">
        <v>29</v>
      </c>
    </row>
    <row r="17" spans="1:9">
      <c r="A17" t="s">
        <v>198</v>
      </c>
      <c r="B17" t="s">
        <v>28</v>
      </c>
      <c r="C17" t="s">
        <v>181</v>
      </c>
      <c r="D17" t="s">
        <v>193</v>
      </c>
      <c r="E17">
        <v>2</v>
      </c>
      <c r="F17" t="s">
        <v>180</v>
      </c>
      <c r="G17" t="s">
        <v>7</v>
      </c>
      <c r="H17" t="s">
        <v>12</v>
      </c>
      <c r="I17" t="s">
        <v>29</v>
      </c>
    </row>
    <row r="18" spans="1:9">
      <c r="A18" t="s">
        <v>199</v>
      </c>
      <c r="B18" t="s">
        <v>30</v>
      </c>
      <c r="C18" t="s">
        <v>196</v>
      </c>
      <c r="D18" t="s">
        <v>200</v>
      </c>
      <c r="E18">
        <v>2</v>
      </c>
      <c r="F18" t="s">
        <v>201</v>
      </c>
      <c r="G18" t="s">
        <v>26</v>
      </c>
      <c r="H18" t="s">
        <v>13</v>
      </c>
      <c r="I18" t="s">
        <v>29</v>
      </c>
    </row>
    <row r="19" spans="1:9">
      <c r="A19" t="s">
        <v>202</v>
      </c>
      <c r="B19" t="s">
        <v>203</v>
      </c>
      <c r="C19" t="s">
        <v>200</v>
      </c>
      <c r="D19" t="s">
        <v>204</v>
      </c>
      <c r="E19">
        <v>2</v>
      </c>
      <c r="F19" t="s">
        <v>199</v>
      </c>
      <c r="G19" t="s">
        <v>26</v>
      </c>
      <c r="H19" t="s">
        <v>12</v>
      </c>
      <c r="I19" t="s">
        <v>29</v>
      </c>
    </row>
    <row r="20" spans="1:9">
      <c r="A20" t="s">
        <v>205</v>
      </c>
      <c r="B20" t="s">
        <v>31</v>
      </c>
      <c r="C20" t="s">
        <v>196</v>
      </c>
      <c r="D20" t="s">
        <v>206</v>
      </c>
      <c r="E20">
        <v>1</v>
      </c>
      <c r="F20" t="s">
        <v>195</v>
      </c>
      <c r="G20" t="s">
        <v>7</v>
      </c>
      <c r="H20" t="s">
        <v>17</v>
      </c>
      <c r="I20" t="s">
        <v>29</v>
      </c>
    </row>
    <row r="21" spans="1:9">
      <c r="A21" t="s">
        <v>207</v>
      </c>
      <c r="B21" t="s">
        <v>32</v>
      </c>
      <c r="C21" t="s">
        <v>204</v>
      </c>
      <c r="D21" t="s">
        <v>208</v>
      </c>
      <c r="E21">
        <v>1</v>
      </c>
      <c r="F21" t="s">
        <v>209</v>
      </c>
      <c r="G21" t="s">
        <v>11</v>
      </c>
      <c r="H21" t="s">
        <v>21</v>
      </c>
      <c r="I21" t="s">
        <v>29</v>
      </c>
    </row>
    <row r="22" spans="1:9">
      <c r="A22">
        <v>3</v>
      </c>
      <c r="B22" t="s">
        <v>74</v>
      </c>
    </row>
    <row r="23" spans="1:9">
      <c r="A23" t="s">
        <v>210</v>
      </c>
      <c r="B23" t="s">
        <v>211</v>
      </c>
      <c r="C23" t="s">
        <v>208</v>
      </c>
      <c r="D23" t="s">
        <v>212</v>
      </c>
      <c r="E23">
        <v>4</v>
      </c>
      <c r="F23" t="s">
        <v>207</v>
      </c>
      <c r="G23" t="s">
        <v>26</v>
      </c>
      <c r="H23" t="s">
        <v>12</v>
      </c>
      <c r="I23" t="s">
        <v>33</v>
      </c>
    </row>
    <row r="24" spans="1:9">
      <c r="A24" t="s">
        <v>213</v>
      </c>
      <c r="B24" t="s">
        <v>214</v>
      </c>
      <c r="C24" t="s">
        <v>212</v>
      </c>
      <c r="D24" t="s">
        <v>215</v>
      </c>
      <c r="E24">
        <v>2</v>
      </c>
      <c r="F24" t="s">
        <v>210</v>
      </c>
      <c r="G24" t="s">
        <v>26</v>
      </c>
      <c r="H24" t="s">
        <v>17</v>
      </c>
      <c r="I24" t="s">
        <v>33</v>
      </c>
    </row>
    <row r="25" spans="1:9">
      <c r="A25" t="s">
        <v>216</v>
      </c>
      <c r="B25" t="s">
        <v>217</v>
      </c>
      <c r="C25" t="s">
        <v>212</v>
      </c>
      <c r="D25" t="s">
        <v>218</v>
      </c>
      <c r="E25">
        <v>3</v>
      </c>
      <c r="F25" t="s">
        <v>210</v>
      </c>
      <c r="G25" t="s">
        <v>11</v>
      </c>
      <c r="H25" t="s">
        <v>17</v>
      </c>
      <c r="I25" t="s">
        <v>33</v>
      </c>
    </row>
    <row r="26" spans="1:9">
      <c r="A26" t="s">
        <v>219</v>
      </c>
      <c r="B26" t="s">
        <v>220</v>
      </c>
      <c r="C26" t="s">
        <v>218</v>
      </c>
      <c r="D26" t="s">
        <v>221</v>
      </c>
      <c r="E26">
        <v>3</v>
      </c>
      <c r="F26" t="s">
        <v>222</v>
      </c>
      <c r="G26" t="s">
        <v>26</v>
      </c>
      <c r="H26" t="s">
        <v>12</v>
      </c>
      <c r="I26" t="s">
        <v>33</v>
      </c>
    </row>
    <row r="27" spans="1:9">
      <c r="A27" t="s">
        <v>223</v>
      </c>
      <c r="B27" t="s">
        <v>34</v>
      </c>
      <c r="C27" t="s">
        <v>221</v>
      </c>
      <c r="D27" t="s">
        <v>224</v>
      </c>
      <c r="E27">
        <v>3</v>
      </c>
      <c r="F27" t="s">
        <v>219</v>
      </c>
      <c r="G27" t="s">
        <v>26</v>
      </c>
      <c r="H27" t="s">
        <v>12</v>
      </c>
      <c r="I27" t="s">
        <v>33</v>
      </c>
    </row>
    <row r="28" spans="1:9">
      <c r="A28" t="s">
        <v>225</v>
      </c>
      <c r="B28" t="s">
        <v>35</v>
      </c>
      <c r="C28" t="s">
        <v>215</v>
      </c>
      <c r="D28" t="s">
        <v>226</v>
      </c>
      <c r="E28">
        <v>2</v>
      </c>
      <c r="F28" t="s">
        <v>213</v>
      </c>
      <c r="G28" t="s">
        <v>26</v>
      </c>
      <c r="H28" t="s">
        <v>17</v>
      </c>
      <c r="I28" t="s">
        <v>33</v>
      </c>
    </row>
    <row r="29" spans="1:9">
      <c r="A29" t="s">
        <v>227</v>
      </c>
      <c r="B29" t="s">
        <v>36</v>
      </c>
      <c r="C29" t="s">
        <v>224</v>
      </c>
      <c r="D29" t="s">
        <v>228</v>
      </c>
      <c r="E29">
        <v>2</v>
      </c>
      <c r="F29" t="s">
        <v>229</v>
      </c>
      <c r="G29" t="s">
        <v>7</v>
      </c>
      <c r="H29" t="s">
        <v>17</v>
      </c>
      <c r="I29" t="s">
        <v>33</v>
      </c>
    </row>
    <row r="30" spans="1:9">
      <c r="A30" t="s">
        <v>230</v>
      </c>
      <c r="B30" t="s">
        <v>37</v>
      </c>
      <c r="C30" t="s">
        <v>228</v>
      </c>
      <c r="D30" t="s">
        <v>231</v>
      </c>
      <c r="E30">
        <v>1</v>
      </c>
      <c r="F30" t="s">
        <v>227</v>
      </c>
      <c r="G30" t="s">
        <v>11</v>
      </c>
      <c r="H30" t="s">
        <v>21</v>
      </c>
      <c r="I30" t="s">
        <v>33</v>
      </c>
    </row>
    <row r="31" spans="1:9">
      <c r="A31">
        <v>4</v>
      </c>
      <c r="B31" t="s">
        <v>90</v>
      </c>
    </row>
    <row r="32" spans="1:9">
      <c r="A32" t="s">
        <v>232</v>
      </c>
      <c r="B32" t="s">
        <v>38</v>
      </c>
      <c r="C32" t="s">
        <v>231</v>
      </c>
      <c r="D32" t="s">
        <v>233</v>
      </c>
      <c r="E32">
        <v>5</v>
      </c>
      <c r="F32" t="s">
        <v>230</v>
      </c>
      <c r="G32" t="s">
        <v>26</v>
      </c>
      <c r="H32" t="s">
        <v>12</v>
      </c>
      <c r="I32" t="s">
        <v>39</v>
      </c>
    </row>
    <row r="33" spans="1:9">
      <c r="A33" t="s">
        <v>234</v>
      </c>
      <c r="B33" t="s">
        <v>235</v>
      </c>
      <c r="C33" t="s">
        <v>231</v>
      </c>
      <c r="D33" t="s">
        <v>236</v>
      </c>
      <c r="E33">
        <v>2</v>
      </c>
      <c r="F33" t="s">
        <v>230</v>
      </c>
      <c r="G33" t="s">
        <v>26</v>
      </c>
      <c r="H33" t="s">
        <v>13</v>
      </c>
      <c r="I33" t="s">
        <v>39</v>
      </c>
    </row>
    <row r="34" spans="1:9">
      <c r="A34" t="s">
        <v>237</v>
      </c>
      <c r="B34" t="s">
        <v>238</v>
      </c>
      <c r="C34" t="s">
        <v>233</v>
      </c>
      <c r="D34" t="s">
        <v>239</v>
      </c>
      <c r="E34">
        <v>2</v>
      </c>
      <c r="F34" t="s">
        <v>232</v>
      </c>
      <c r="G34" t="s">
        <v>26</v>
      </c>
      <c r="H34" t="s">
        <v>17</v>
      </c>
      <c r="I34" t="s">
        <v>39</v>
      </c>
    </row>
    <row r="35" spans="1:9">
      <c r="A35" t="s">
        <v>240</v>
      </c>
      <c r="B35" t="s">
        <v>40</v>
      </c>
      <c r="C35" t="s">
        <v>239</v>
      </c>
      <c r="D35" t="s">
        <v>241</v>
      </c>
      <c r="E35">
        <v>2</v>
      </c>
      <c r="F35" t="s">
        <v>242</v>
      </c>
      <c r="G35" t="s">
        <v>11</v>
      </c>
      <c r="H35" t="s">
        <v>21</v>
      </c>
      <c r="I35" t="s">
        <v>39</v>
      </c>
    </row>
    <row r="36" spans="1:9">
      <c r="A36" t="s">
        <v>243</v>
      </c>
      <c r="B36" t="s">
        <v>41</v>
      </c>
      <c r="C36" t="s">
        <v>233</v>
      </c>
      <c r="D36" t="s">
        <v>244</v>
      </c>
      <c r="E36">
        <v>3</v>
      </c>
      <c r="F36" t="s">
        <v>232</v>
      </c>
      <c r="G36" t="s">
        <v>26</v>
      </c>
      <c r="H36" t="s">
        <v>12</v>
      </c>
      <c r="I36" t="s">
        <v>39</v>
      </c>
    </row>
    <row r="37" spans="1:9">
      <c r="A37" t="s">
        <v>245</v>
      </c>
      <c r="B37" t="s">
        <v>246</v>
      </c>
      <c r="C37" t="s">
        <v>233</v>
      </c>
      <c r="D37" t="s">
        <v>239</v>
      </c>
      <c r="E37">
        <v>2</v>
      </c>
      <c r="F37" t="s">
        <v>232</v>
      </c>
      <c r="G37" t="s">
        <v>7</v>
      </c>
      <c r="H37" t="s">
        <v>17</v>
      </c>
      <c r="I37" t="s">
        <v>39</v>
      </c>
    </row>
    <row r="38" spans="1:9">
      <c r="A38" t="s">
        <v>247</v>
      </c>
      <c r="B38" t="s">
        <v>42</v>
      </c>
      <c r="C38" t="s">
        <v>244</v>
      </c>
      <c r="D38" t="s">
        <v>248</v>
      </c>
      <c r="E38">
        <v>2</v>
      </c>
      <c r="F38" t="s">
        <v>249</v>
      </c>
      <c r="G38" t="s">
        <v>11</v>
      </c>
      <c r="H38" t="s">
        <v>17</v>
      </c>
      <c r="I38" t="s">
        <v>39</v>
      </c>
    </row>
    <row r="39" spans="1:9">
      <c r="A39" t="s">
        <v>250</v>
      </c>
      <c r="B39" t="s">
        <v>43</v>
      </c>
      <c r="C39" t="s">
        <v>248</v>
      </c>
      <c r="D39" t="s">
        <v>251</v>
      </c>
      <c r="E39">
        <v>1</v>
      </c>
      <c r="F39" t="s">
        <v>247</v>
      </c>
      <c r="G39" t="s">
        <v>7</v>
      </c>
      <c r="H39" t="s">
        <v>176</v>
      </c>
      <c r="I39" t="s">
        <v>39</v>
      </c>
    </row>
    <row r="40" spans="1:9">
      <c r="A40" t="s">
        <v>44</v>
      </c>
      <c r="B40" t="s">
        <v>45</v>
      </c>
      <c r="C40" t="s">
        <v>181</v>
      </c>
      <c r="D40" t="s">
        <v>181</v>
      </c>
      <c r="E40">
        <v>0</v>
      </c>
      <c r="F40" t="s">
        <v>180</v>
      </c>
      <c r="G40" t="s">
        <v>7</v>
      </c>
      <c r="H40" t="s">
        <v>176</v>
      </c>
      <c r="I40" t="s">
        <v>177</v>
      </c>
    </row>
    <row r="41" spans="1:9">
      <c r="A41" t="s">
        <v>46</v>
      </c>
      <c r="B41" t="s">
        <v>47</v>
      </c>
      <c r="C41" t="s">
        <v>208</v>
      </c>
      <c r="D41" t="s">
        <v>208</v>
      </c>
      <c r="E41">
        <v>0</v>
      </c>
      <c r="F41" t="s">
        <v>207</v>
      </c>
      <c r="G41" t="s">
        <v>11</v>
      </c>
      <c r="H41" t="s">
        <v>176</v>
      </c>
      <c r="I41" t="s">
        <v>29</v>
      </c>
    </row>
    <row r="42" spans="1:9">
      <c r="A42" t="s">
        <v>48</v>
      </c>
      <c r="B42" t="s">
        <v>49</v>
      </c>
      <c r="C42" t="s">
        <v>231</v>
      </c>
      <c r="D42" t="s">
        <v>231</v>
      </c>
      <c r="E42">
        <v>0</v>
      </c>
      <c r="F42" t="s">
        <v>230</v>
      </c>
      <c r="G42" t="s">
        <v>11</v>
      </c>
      <c r="H42" t="s">
        <v>176</v>
      </c>
      <c r="I42" t="s">
        <v>33</v>
      </c>
    </row>
    <row r="43" spans="1:9">
      <c r="A43" t="s">
        <v>50</v>
      </c>
      <c r="B43" t="s">
        <v>51</v>
      </c>
      <c r="C43" t="s">
        <v>248</v>
      </c>
      <c r="D43" t="s">
        <v>248</v>
      </c>
      <c r="E43">
        <v>0</v>
      </c>
      <c r="F43" t="s">
        <v>247</v>
      </c>
      <c r="G43" t="s">
        <v>11</v>
      </c>
      <c r="H43" t="s">
        <v>176</v>
      </c>
      <c r="I43"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EE9A3-F317-464F-B284-331D4ABA39CA}">
  <sheetPr>
    <pageSetUpPr fitToPage="1"/>
  </sheetPr>
  <dimension ref="A2:KX35"/>
  <sheetViews>
    <sheetView showGridLines="0" tabSelected="1" showRuler="0" zoomScaleNormal="100" zoomScalePageLayoutView="70" workbookViewId="0">
      <pane xSplit="8" ySplit="9" topLeftCell="I10" activePane="bottomRight" state="frozen"/>
      <selection activeCell="B1" sqref="B1"/>
      <selection pane="topRight" activeCell="B1" sqref="B1"/>
      <selection pane="bottomLeft" activeCell="B1" sqref="B1"/>
      <selection pane="bottomRight" activeCell="B33" sqref="B33"/>
    </sheetView>
  </sheetViews>
  <sheetFormatPr baseColWidth="10" defaultColWidth="9.109375" defaultRowHeight="13.2"/>
  <cols>
    <col min="1" max="1" width="4.6640625" style="34" customWidth="1"/>
    <col min="2" max="2" width="83.88671875" style="10" customWidth="1"/>
    <col min="3" max="3" width="20.88671875" style="10" customWidth="1"/>
    <col min="4" max="4" width="36.5546875" style="10" customWidth="1"/>
    <col min="5" max="5" width="14.33203125" style="10" bestFit="1" customWidth="1"/>
    <col min="6" max="6" width="15.44140625" style="59" bestFit="1" customWidth="1"/>
    <col min="7" max="7" width="15.88671875" style="59" bestFit="1" customWidth="1"/>
    <col min="8" max="8" width="10.44140625" style="10" customWidth="1"/>
    <col min="9" max="9" width="1.109375" style="10" customWidth="1"/>
    <col min="10" max="313" width="3.5546875" style="10" customWidth="1"/>
    <col min="314" max="314" width="7.88671875" style="10" bestFit="1" customWidth="1"/>
    <col min="315" max="341" width="3.5546875" style="10" customWidth="1"/>
    <col min="342" max="342" width="7.44140625" style="10" bestFit="1" customWidth="1"/>
    <col min="343" max="402" width="3.5546875" style="10" customWidth="1"/>
    <col min="403" max="403" width="7.6640625" style="10" bestFit="1" customWidth="1"/>
    <col min="404" max="432" width="3.5546875" style="10" customWidth="1"/>
    <col min="433" max="433" width="7.109375" style="10" bestFit="1" customWidth="1"/>
    <col min="434" max="463" width="3.5546875" style="10" customWidth="1"/>
    <col min="464" max="464" width="7.6640625" style="10" bestFit="1" customWidth="1"/>
    <col min="465" max="494" width="3.5546875" style="10" customWidth="1"/>
    <col min="495" max="495" width="7.109375" style="10" bestFit="1" customWidth="1"/>
    <col min="496" max="524" width="3.5546875" style="10" customWidth="1"/>
    <col min="525" max="16384" width="9.109375" style="10"/>
  </cols>
  <sheetData>
    <row r="2" spans="1:310" ht="25.5" customHeight="1">
      <c r="A2" s="8"/>
      <c r="B2" s="72" t="s">
        <v>369</v>
      </c>
      <c r="C2" s="72"/>
      <c r="D2" s="72"/>
      <c r="E2" s="72"/>
      <c r="F2" s="72"/>
      <c r="G2" s="72"/>
      <c r="H2" s="72"/>
      <c r="I2" s="72"/>
      <c r="J2" s="73"/>
      <c r="K2" s="73"/>
      <c r="L2" s="73"/>
      <c r="M2" s="73"/>
      <c r="N2" s="73"/>
      <c r="O2" s="73"/>
      <c r="P2" s="73"/>
      <c r="Q2" s="73"/>
      <c r="R2" s="73"/>
      <c r="S2" s="73"/>
      <c r="T2" s="73"/>
      <c r="U2" s="73"/>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row>
    <row r="3" spans="1:310" ht="14.25" customHeight="1">
      <c r="A3" s="8"/>
      <c r="B3" s="11" t="s">
        <v>173</v>
      </c>
      <c r="C3" s="12"/>
      <c r="D3" s="13"/>
      <c r="E3" s="13"/>
      <c r="F3" s="14"/>
      <c r="G3" s="14"/>
      <c r="H3" s="13"/>
      <c r="I3" s="13"/>
      <c r="J3" s="13"/>
      <c r="K3" s="15"/>
      <c r="L3" s="15"/>
      <c r="M3" s="15"/>
    </row>
    <row r="4" spans="1:310">
      <c r="A4" s="8"/>
      <c r="B4" s="16" t="s">
        <v>298</v>
      </c>
      <c r="C4" s="17" t="s">
        <v>316</v>
      </c>
      <c r="D4" s="18"/>
      <c r="E4" s="19"/>
      <c r="F4" s="20"/>
      <c r="G4" s="20"/>
      <c r="H4" s="21" t="s">
        <v>299</v>
      </c>
      <c r="I4" s="19"/>
      <c r="J4" s="74" t="s">
        <v>300</v>
      </c>
      <c r="K4" s="74"/>
      <c r="L4" s="74"/>
      <c r="M4" s="74"/>
      <c r="O4" s="75" t="s">
        <v>301</v>
      </c>
      <c r="P4" s="75"/>
      <c r="Q4" s="75"/>
      <c r="R4" s="75"/>
      <c r="T4" s="76" t="s">
        <v>302</v>
      </c>
      <c r="U4" s="76"/>
      <c r="V4" s="76"/>
      <c r="W4" s="76"/>
      <c r="Y4" s="78" t="s">
        <v>303</v>
      </c>
      <c r="Z4" s="78"/>
      <c r="AA4" s="78"/>
      <c r="AB4" s="78"/>
      <c r="AD4" s="79" t="s">
        <v>304</v>
      </c>
      <c r="AE4" s="79"/>
      <c r="AF4" s="79"/>
      <c r="AG4" s="79"/>
    </row>
    <row r="5" spans="1:310">
      <c r="A5" s="8"/>
      <c r="B5" s="22" t="s">
        <v>305</v>
      </c>
      <c r="C5" s="18" t="s">
        <v>353</v>
      </c>
      <c r="D5" s="18"/>
      <c r="E5" s="19"/>
      <c r="F5" s="20"/>
      <c r="G5" s="20"/>
      <c r="H5" s="19"/>
      <c r="I5" s="19"/>
    </row>
    <row r="6" spans="1:310">
      <c r="A6" s="8"/>
      <c r="B6" s="23" t="s">
        <v>306</v>
      </c>
      <c r="C6" s="24">
        <v>46036</v>
      </c>
      <c r="D6" s="24"/>
      <c r="E6" s="19"/>
      <c r="F6" s="20"/>
      <c r="G6" s="20"/>
      <c r="H6" s="19"/>
      <c r="I6" s="19"/>
      <c r="J6" s="77">
        <v>45717</v>
      </c>
      <c r="K6" s="77"/>
      <c r="L6" s="77"/>
      <c r="M6" s="77"/>
      <c r="N6" s="77"/>
      <c r="O6" s="77"/>
      <c r="P6" s="77"/>
      <c r="Q6" s="77"/>
      <c r="R6" s="77"/>
      <c r="S6" s="77"/>
      <c r="T6" s="77"/>
      <c r="U6" s="77"/>
      <c r="V6" s="77"/>
      <c r="W6" s="77"/>
      <c r="X6" s="77"/>
      <c r="Y6" s="77"/>
      <c r="Z6" s="77"/>
      <c r="AA6" s="77"/>
      <c r="AB6" s="77"/>
      <c r="AC6" s="77"/>
      <c r="AD6" s="77"/>
      <c r="AE6" s="77"/>
      <c r="AF6" s="77"/>
      <c r="AG6" s="77"/>
      <c r="AH6" s="77"/>
      <c r="AI6" s="77"/>
      <c r="AJ6" s="77"/>
      <c r="AK6" s="77"/>
      <c r="AL6" s="77"/>
      <c r="AM6" s="77"/>
      <c r="AN6" s="77"/>
      <c r="AO6" s="77">
        <v>45748</v>
      </c>
      <c r="AP6" s="77"/>
      <c r="AQ6" s="77"/>
      <c r="AR6" s="77"/>
      <c r="AS6" s="77"/>
      <c r="AT6" s="77"/>
      <c r="AU6" s="77"/>
      <c r="AV6" s="77"/>
      <c r="AW6" s="77"/>
      <c r="AX6" s="77"/>
      <c r="AY6" s="77"/>
      <c r="AZ6" s="77"/>
      <c r="BA6" s="77"/>
      <c r="BB6" s="77"/>
      <c r="BC6" s="77"/>
      <c r="BD6" s="77"/>
      <c r="BE6" s="77"/>
      <c r="BF6" s="77"/>
      <c r="BG6" s="77"/>
      <c r="BH6" s="77"/>
      <c r="BI6" s="77"/>
      <c r="BJ6" s="77"/>
      <c r="BK6" s="77"/>
      <c r="BL6" s="77"/>
      <c r="BM6" s="77"/>
      <c r="BN6" s="77"/>
      <c r="BO6" s="77"/>
      <c r="BP6" s="77"/>
      <c r="BQ6" s="77"/>
      <c r="BR6" s="77"/>
      <c r="BS6" s="77">
        <v>45778</v>
      </c>
      <c r="BT6" s="77"/>
      <c r="BU6" s="77"/>
      <c r="BV6" s="77"/>
      <c r="BW6" s="77"/>
      <c r="BX6" s="77"/>
      <c r="BY6" s="77"/>
      <c r="BZ6" s="77"/>
      <c r="CA6" s="77"/>
      <c r="CB6" s="77"/>
      <c r="CC6" s="77"/>
      <c r="CD6" s="77"/>
      <c r="CE6" s="77"/>
      <c r="CF6" s="77"/>
      <c r="CG6" s="77"/>
      <c r="CH6" s="77"/>
      <c r="CI6" s="77"/>
      <c r="CJ6" s="77"/>
      <c r="CK6" s="77"/>
      <c r="CL6" s="77"/>
      <c r="CM6" s="77"/>
      <c r="CN6" s="77"/>
      <c r="CO6" s="77"/>
      <c r="CP6" s="77"/>
      <c r="CQ6" s="77"/>
      <c r="CR6" s="77"/>
      <c r="CS6" s="77"/>
      <c r="CT6" s="77"/>
      <c r="CU6" s="77"/>
      <c r="CV6" s="77"/>
      <c r="CW6" s="77"/>
      <c r="CX6" s="77">
        <v>45809</v>
      </c>
      <c r="CY6" s="77"/>
      <c r="CZ6" s="77"/>
      <c r="DA6" s="77"/>
      <c r="DB6" s="77"/>
      <c r="DC6" s="77"/>
      <c r="DD6" s="77"/>
      <c r="DE6" s="77"/>
      <c r="DF6" s="77"/>
      <c r="DG6" s="77"/>
      <c r="DH6" s="77"/>
      <c r="DI6" s="77"/>
      <c r="DJ6" s="77"/>
      <c r="DK6" s="77"/>
      <c r="DL6" s="77"/>
      <c r="DM6" s="77"/>
      <c r="DN6" s="77"/>
      <c r="DO6" s="77"/>
      <c r="DP6" s="77"/>
      <c r="DQ6" s="77"/>
      <c r="DR6" s="77"/>
      <c r="DS6" s="77"/>
      <c r="DT6" s="77"/>
      <c r="DU6" s="77"/>
      <c r="DV6" s="77"/>
      <c r="DW6" s="77"/>
      <c r="DX6" s="77"/>
      <c r="DY6" s="77"/>
      <c r="DZ6" s="77"/>
      <c r="EA6" s="77"/>
      <c r="EB6" s="77">
        <v>45839</v>
      </c>
      <c r="EC6" s="77"/>
      <c r="ED6" s="77"/>
      <c r="EE6" s="77"/>
      <c r="EF6" s="77"/>
      <c r="EG6" s="77"/>
      <c r="EH6" s="77"/>
      <c r="EI6" s="77"/>
      <c r="EJ6" s="77"/>
      <c r="EK6" s="77"/>
      <c r="EL6" s="77"/>
      <c r="EM6" s="77"/>
      <c r="EN6" s="77"/>
      <c r="EO6" s="77"/>
      <c r="EP6" s="77"/>
      <c r="EQ6" s="77"/>
      <c r="ER6" s="77"/>
      <c r="ES6" s="77"/>
      <c r="ET6" s="77"/>
      <c r="EU6" s="77"/>
      <c r="EV6" s="77"/>
      <c r="EW6" s="77"/>
      <c r="EX6" s="77"/>
      <c r="EY6" s="77"/>
      <c r="EZ6" s="77"/>
      <c r="FA6" s="77"/>
      <c r="FB6" s="77"/>
      <c r="FC6" s="77"/>
      <c r="FD6" s="77"/>
      <c r="FE6" s="77"/>
      <c r="FF6" s="77"/>
      <c r="FG6" s="77">
        <v>45870</v>
      </c>
      <c r="FH6" s="77"/>
      <c r="FI6" s="77"/>
      <c r="FJ6" s="77"/>
      <c r="FK6" s="77"/>
      <c r="FL6" s="77"/>
      <c r="FM6" s="77"/>
      <c r="FN6" s="77"/>
      <c r="FO6" s="77"/>
      <c r="FP6" s="77"/>
      <c r="FQ6" s="77"/>
      <c r="FR6" s="77"/>
      <c r="FS6" s="77"/>
      <c r="FT6" s="77"/>
      <c r="FU6" s="77"/>
      <c r="FV6" s="77"/>
      <c r="FW6" s="77"/>
      <c r="FX6" s="77"/>
      <c r="FY6" s="77"/>
      <c r="FZ6" s="77"/>
      <c r="GA6" s="77"/>
      <c r="GB6" s="77"/>
      <c r="GC6" s="77"/>
      <c r="GD6" s="77"/>
      <c r="GE6" s="77"/>
      <c r="GF6" s="77"/>
      <c r="GG6" s="77"/>
      <c r="GH6" s="77"/>
      <c r="GI6" s="77"/>
      <c r="GJ6" s="77"/>
      <c r="GK6" s="77"/>
      <c r="GL6" s="77">
        <v>45901</v>
      </c>
      <c r="GM6" s="77"/>
      <c r="GN6" s="77"/>
      <c r="GO6" s="77"/>
      <c r="GP6" s="77"/>
      <c r="GQ6" s="77"/>
      <c r="GR6" s="77"/>
      <c r="GS6" s="77"/>
      <c r="GT6" s="77"/>
      <c r="GU6" s="77"/>
      <c r="GV6" s="77"/>
      <c r="GW6" s="77"/>
      <c r="GX6" s="77"/>
      <c r="GY6" s="77"/>
      <c r="GZ6" s="77"/>
      <c r="HA6" s="77"/>
      <c r="HB6" s="77"/>
      <c r="HC6" s="77"/>
      <c r="HD6" s="77"/>
      <c r="HE6" s="77"/>
      <c r="HF6" s="77"/>
      <c r="HG6" s="77"/>
      <c r="HH6" s="77"/>
      <c r="HI6" s="77"/>
      <c r="HJ6" s="77"/>
      <c r="HK6" s="77"/>
      <c r="HL6" s="77">
        <v>45931</v>
      </c>
      <c r="HM6" s="77"/>
      <c r="HN6" s="77"/>
      <c r="HO6" s="77"/>
      <c r="HP6" s="77"/>
      <c r="HQ6" s="77"/>
      <c r="HR6" s="77"/>
      <c r="HS6" s="77"/>
      <c r="HT6" s="77"/>
      <c r="HU6" s="77"/>
      <c r="HV6" s="77"/>
      <c r="HW6" s="77"/>
      <c r="HX6" s="77"/>
      <c r="HY6" s="77"/>
      <c r="HZ6" s="77"/>
      <c r="IA6" s="77"/>
      <c r="IB6" s="77"/>
      <c r="IC6" s="77"/>
      <c r="ID6" s="77"/>
      <c r="IE6" s="77"/>
      <c r="IF6" s="77"/>
      <c r="IG6" s="77"/>
      <c r="IH6" s="77"/>
      <c r="II6" s="77"/>
      <c r="IJ6" s="77"/>
      <c r="IK6" s="77"/>
      <c r="IL6" s="77"/>
      <c r="IM6" s="77"/>
      <c r="IN6" s="77"/>
      <c r="IO6" s="77"/>
      <c r="IP6" s="77"/>
      <c r="IQ6" s="77">
        <v>45962</v>
      </c>
      <c r="IR6" s="77"/>
      <c r="IS6" s="77"/>
      <c r="IT6" s="77"/>
      <c r="IU6" s="77"/>
      <c r="IV6" s="77"/>
      <c r="IW6" s="77"/>
      <c r="IX6" s="77"/>
      <c r="IY6" s="77"/>
      <c r="IZ6" s="77"/>
      <c r="JA6" s="77"/>
      <c r="JB6" s="77"/>
      <c r="JC6" s="77"/>
      <c r="JD6" s="77"/>
      <c r="JE6" s="77"/>
      <c r="JF6" s="77"/>
      <c r="JG6" s="77"/>
      <c r="JH6" s="77"/>
      <c r="JI6" s="77"/>
      <c r="JJ6" s="77"/>
      <c r="JK6" s="77"/>
      <c r="JL6" s="77"/>
      <c r="JM6" s="77"/>
      <c r="JN6" s="77"/>
      <c r="JO6" s="77"/>
      <c r="JP6" s="77"/>
      <c r="JQ6" s="77"/>
      <c r="JR6" s="77"/>
      <c r="JS6" s="77"/>
      <c r="JT6" s="77"/>
      <c r="JU6" s="77"/>
      <c r="JV6" s="77">
        <v>45992</v>
      </c>
      <c r="JW6" s="77"/>
      <c r="JX6" s="77"/>
      <c r="JY6" s="77"/>
      <c r="JZ6" s="77"/>
      <c r="KA6" s="77"/>
      <c r="KB6" s="77"/>
      <c r="KC6" s="77"/>
      <c r="KD6" s="77"/>
      <c r="KE6" s="77"/>
      <c r="KF6" s="77"/>
      <c r="KG6" s="77"/>
      <c r="KH6" s="77"/>
      <c r="KI6" s="77"/>
      <c r="KJ6" s="77"/>
      <c r="KK6" s="77"/>
      <c r="KL6" s="77"/>
      <c r="KM6" s="77"/>
      <c r="KN6" s="77"/>
      <c r="KO6" s="77"/>
      <c r="KP6" s="77"/>
      <c r="KQ6" s="77"/>
      <c r="KR6" s="77"/>
      <c r="KS6" s="77"/>
      <c r="KT6" s="77"/>
      <c r="KU6" s="77"/>
      <c r="KV6" s="77"/>
      <c r="KW6" s="77"/>
      <c r="KX6" s="77"/>
    </row>
    <row r="7" spans="1:310">
      <c r="A7" s="8"/>
      <c r="B7" s="23" t="s">
        <v>307</v>
      </c>
      <c r="C7" s="25">
        <v>1</v>
      </c>
      <c r="D7" s="18"/>
      <c r="E7" s="19"/>
      <c r="F7" s="19"/>
      <c r="G7" s="19"/>
      <c r="H7" s="19"/>
      <c r="I7" s="26"/>
      <c r="J7" s="27">
        <v>45717</v>
      </c>
      <c r="K7" s="27">
        <v>45718</v>
      </c>
      <c r="L7" s="27">
        <v>45719</v>
      </c>
      <c r="M7" s="27">
        <v>45720</v>
      </c>
      <c r="N7" s="27">
        <v>45721</v>
      </c>
      <c r="O7" s="27">
        <v>45722</v>
      </c>
      <c r="P7" s="27">
        <v>45723</v>
      </c>
      <c r="Q7" s="27">
        <v>45724</v>
      </c>
      <c r="R7" s="27">
        <v>45725</v>
      </c>
      <c r="S7" s="27">
        <v>45726</v>
      </c>
      <c r="T7" s="27">
        <v>45727</v>
      </c>
      <c r="U7" s="27">
        <v>45728</v>
      </c>
      <c r="V7" s="27">
        <v>45729</v>
      </c>
      <c r="W7" s="27">
        <v>45730</v>
      </c>
      <c r="X7" s="27">
        <v>45731</v>
      </c>
      <c r="Y7" s="27">
        <v>45732</v>
      </c>
      <c r="Z7" s="27">
        <v>45733</v>
      </c>
      <c r="AA7" s="27">
        <v>45734</v>
      </c>
      <c r="AB7" s="27">
        <v>45735</v>
      </c>
      <c r="AC7" s="27">
        <v>45736</v>
      </c>
      <c r="AD7" s="27">
        <v>45737</v>
      </c>
      <c r="AE7" s="27">
        <v>45738</v>
      </c>
      <c r="AF7" s="27">
        <v>45739</v>
      </c>
      <c r="AG7" s="27">
        <v>45740</v>
      </c>
      <c r="AH7" s="27">
        <v>45741</v>
      </c>
      <c r="AI7" s="27">
        <v>45742</v>
      </c>
      <c r="AJ7" s="27">
        <v>45743</v>
      </c>
      <c r="AK7" s="27">
        <v>45744</v>
      </c>
      <c r="AL7" s="27">
        <v>45745</v>
      </c>
      <c r="AM7" s="27">
        <v>45746</v>
      </c>
      <c r="AN7" s="27">
        <v>45747</v>
      </c>
      <c r="AO7" s="27">
        <v>45748</v>
      </c>
      <c r="AP7" s="27">
        <v>45749</v>
      </c>
      <c r="AQ7" s="27">
        <v>45750</v>
      </c>
      <c r="AR7" s="27">
        <v>45751</v>
      </c>
      <c r="AS7" s="27">
        <v>45752</v>
      </c>
      <c r="AT7" s="27">
        <v>45753</v>
      </c>
      <c r="AU7" s="27">
        <v>45754</v>
      </c>
      <c r="AV7" s="27">
        <v>45755</v>
      </c>
      <c r="AW7" s="27">
        <v>45756</v>
      </c>
      <c r="AX7" s="27">
        <v>45757</v>
      </c>
      <c r="AY7" s="27">
        <v>45758</v>
      </c>
      <c r="AZ7" s="27">
        <v>45759</v>
      </c>
      <c r="BA7" s="27">
        <v>45760</v>
      </c>
      <c r="BB7" s="27">
        <v>45761</v>
      </c>
      <c r="BC7" s="27">
        <v>45762</v>
      </c>
      <c r="BD7" s="27">
        <v>45763</v>
      </c>
      <c r="BE7" s="27">
        <v>45764</v>
      </c>
      <c r="BF7" s="27">
        <v>45765</v>
      </c>
      <c r="BG7" s="27">
        <v>45766</v>
      </c>
      <c r="BH7" s="27">
        <v>45767</v>
      </c>
      <c r="BI7" s="27">
        <v>45768</v>
      </c>
      <c r="BJ7" s="27">
        <v>45769</v>
      </c>
      <c r="BK7" s="27">
        <v>45770</v>
      </c>
      <c r="BL7" s="27">
        <v>45771</v>
      </c>
      <c r="BM7" s="27">
        <v>45772</v>
      </c>
      <c r="BN7" s="27">
        <v>45773</v>
      </c>
      <c r="BO7" s="27">
        <v>45774</v>
      </c>
      <c r="BP7" s="27">
        <v>45775</v>
      </c>
      <c r="BQ7" s="27">
        <v>45776</v>
      </c>
      <c r="BR7" s="27">
        <v>45777</v>
      </c>
      <c r="BS7" s="27">
        <v>45778</v>
      </c>
      <c r="BT7" s="27">
        <v>45779</v>
      </c>
      <c r="BU7" s="27">
        <v>45780</v>
      </c>
      <c r="BV7" s="27">
        <v>45781</v>
      </c>
      <c r="BW7" s="27">
        <v>45782</v>
      </c>
      <c r="BX7" s="27">
        <v>45783</v>
      </c>
      <c r="BY7" s="27">
        <v>45784</v>
      </c>
      <c r="BZ7" s="27">
        <v>45785</v>
      </c>
      <c r="CA7" s="27">
        <v>45786</v>
      </c>
      <c r="CB7" s="27">
        <v>45787</v>
      </c>
      <c r="CC7" s="27">
        <v>45788</v>
      </c>
      <c r="CD7" s="27">
        <v>45789</v>
      </c>
      <c r="CE7" s="27">
        <v>45790</v>
      </c>
      <c r="CF7" s="27">
        <v>45791</v>
      </c>
      <c r="CG7" s="27">
        <v>45792</v>
      </c>
      <c r="CH7" s="27">
        <v>45793</v>
      </c>
      <c r="CI7" s="27">
        <v>45794</v>
      </c>
      <c r="CJ7" s="27">
        <v>45795</v>
      </c>
      <c r="CK7" s="27">
        <v>45796</v>
      </c>
      <c r="CL7" s="27">
        <v>45797</v>
      </c>
      <c r="CM7" s="27">
        <v>45798</v>
      </c>
      <c r="CN7" s="27">
        <v>45799</v>
      </c>
      <c r="CO7" s="27">
        <v>45800</v>
      </c>
      <c r="CP7" s="27">
        <v>45801</v>
      </c>
      <c r="CQ7" s="27">
        <v>45802</v>
      </c>
      <c r="CR7" s="27">
        <v>45803</v>
      </c>
      <c r="CS7" s="27">
        <v>45804</v>
      </c>
      <c r="CT7" s="27">
        <v>45805</v>
      </c>
      <c r="CU7" s="27">
        <v>45806</v>
      </c>
      <c r="CV7" s="27">
        <v>45807</v>
      </c>
      <c r="CW7" s="27">
        <v>45808</v>
      </c>
      <c r="CX7" s="27">
        <v>45809</v>
      </c>
      <c r="CY7" s="27">
        <v>45810</v>
      </c>
      <c r="CZ7" s="27">
        <v>45811</v>
      </c>
      <c r="DA7" s="27">
        <v>45812</v>
      </c>
      <c r="DB7" s="27">
        <v>45813</v>
      </c>
      <c r="DC7" s="27">
        <v>45814</v>
      </c>
      <c r="DD7" s="27">
        <v>45815</v>
      </c>
      <c r="DE7" s="27">
        <v>45816</v>
      </c>
      <c r="DF7" s="27">
        <v>45817</v>
      </c>
      <c r="DG7" s="27">
        <v>45818</v>
      </c>
      <c r="DH7" s="27">
        <v>45819</v>
      </c>
      <c r="DI7" s="27">
        <v>45820</v>
      </c>
      <c r="DJ7" s="27">
        <v>45821</v>
      </c>
      <c r="DK7" s="27">
        <v>45822</v>
      </c>
      <c r="DL7" s="27">
        <v>45823</v>
      </c>
      <c r="DM7" s="27">
        <v>45824</v>
      </c>
      <c r="DN7" s="27">
        <v>45825</v>
      </c>
      <c r="DO7" s="27">
        <v>45826</v>
      </c>
      <c r="DP7" s="27">
        <v>45827</v>
      </c>
      <c r="DQ7" s="27">
        <v>45828</v>
      </c>
      <c r="DR7" s="27">
        <v>45829</v>
      </c>
      <c r="DS7" s="27">
        <v>45830</v>
      </c>
      <c r="DT7" s="27">
        <v>45831</v>
      </c>
      <c r="DU7" s="27">
        <v>45832</v>
      </c>
      <c r="DV7" s="27">
        <v>45833</v>
      </c>
      <c r="DW7" s="27">
        <v>45834</v>
      </c>
      <c r="DX7" s="27">
        <v>45835</v>
      </c>
      <c r="DY7" s="27">
        <v>45836</v>
      </c>
      <c r="DZ7" s="27">
        <v>45837</v>
      </c>
      <c r="EA7" s="27">
        <v>45838</v>
      </c>
      <c r="EB7" s="27">
        <v>45839</v>
      </c>
      <c r="EC7" s="27">
        <v>45840</v>
      </c>
      <c r="ED7" s="27">
        <v>45841</v>
      </c>
      <c r="EE7" s="27">
        <v>45842</v>
      </c>
      <c r="EF7" s="27">
        <v>45843</v>
      </c>
      <c r="EG7" s="27">
        <v>45844</v>
      </c>
      <c r="EH7" s="27">
        <v>45845</v>
      </c>
      <c r="EI7" s="27">
        <v>45846</v>
      </c>
      <c r="EJ7" s="27">
        <v>45847</v>
      </c>
      <c r="EK7" s="27">
        <v>45848</v>
      </c>
      <c r="EL7" s="27">
        <v>45849</v>
      </c>
      <c r="EM7" s="27">
        <v>45850</v>
      </c>
      <c r="EN7" s="27">
        <v>45851</v>
      </c>
      <c r="EO7" s="27">
        <v>45852</v>
      </c>
      <c r="EP7" s="27">
        <v>45853</v>
      </c>
      <c r="EQ7" s="27">
        <v>45854</v>
      </c>
      <c r="ER7" s="27">
        <v>45855</v>
      </c>
      <c r="ES7" s="27">
        <v>45856</v>
      </c>
      <c r="ET7" s="27">
        <v>45857</v>
      </c>
      <c r="EU7" s="27">
        <v>45858</v>
      </c>
      <c r="EV7" s="27">
        <v>45859</v>
      </c>
      <c r="EW7" s="27">
        <v>45860</v>
      </c>
      <c r="EX7" s="27">
        <v>45861</v>
      </c>
      <c r="EY7" s="27">
        <v>45862</v>
      </c>
      <c r="EZ7" s="27">
        <v>45863</v>
      </c>
      <c r="FA7" s="27">
        <v>45864</v>
      </c>
      <c r="FB7" s="27">
        <v>45865</v>
      </c>
      <c r="FC7" s="27">
        <v>45866</v>
      </c>
      <c r="FD7" s="27">
        <v>45867</v>
      </c>
      <c r="FE7" s="27">
        <v>45868</v>
      </c>
      <c r="FF7" s="27">
        <v>45869</v>
      </c>
      <c r="FG7" s="27">
        <v>45870</v>
      </c>
      <c r="FH7" s="27">
        <v>45871</v>
      </c>
      <c r="FI7" s="27">
        <v>45872</v>
      </c>
      <c r="FJ7" s="27">
        <v>45873</v>
      </c>
      <c r="FK7" s="27">
        <v>45874</v>
      </c>
      <c r="FL7" s="27">
        <v>45875</v>
      </c>
      <c r="FM7" s="27">
        <v>45876</v>
      </c>
      <c r="FN7" s="27">
        <v>45877</v>
      </c>
      <c r="FO7" s="27">
        <v>45878</v>
      </c>
      <c r="FP7" s="27">
        <v>45879</v>
      </c>
      <c r="FQ7" s="27">
        <v>45880</v>
      </c>
      <c r="FR7" s="27">
        <v>45881</v>
      </c>
      <c r="FS7" s="27">
        <v>45882</v>
      </c>
      <c r="FT7" s="27">
        <v>45883</v>
      </c>
      <c r="FU7" s="27">
        <v>45884</v>
      </c>
      <c r="FV7" s="27">
        <v>45885</v>
      </c>
      <c r="FW7" s="27">
        <v>45886</v>
      </c>
      <c r="FX7" s="27">
        <v>45887</v>
      </c>
      <c r="FY7" s="27">
        <v>45888</v>
      </c>
      <c r="FZ7" s="27">
        <v>45889</v>
      </c>
      <c r="GA7" s="27">
        <v>45890</v>
      </c>
      <c r="GB7" s="27">
        <v>45891</v>
      </c>
      <c r="GC7" s="27">
        <v>45892</v>
      </c>
      <c r="GD7" s="27">
        <v>45893</v>
      </c>
      <c r="GE7" s="27">
        <v>45894</v>
      </c>
      <c r="GF7" s="27">
        <v>45895</v>
      </c>
      <c r="GG7" s="27">
        <v>45896</v>
      </c>
      <c r="GH7" s="27">
        <v>45897</v>
      </c>
      <c r="GI7" s="27">
        <v>45898</v>
      </c>
      <c r="GJ7" s="27">
        <v>45899</v>
      </c>
      <c r="GK7" s="27">
        <v>45900</v>
      </c>
      <c r="GL7" s="27">
        <v>45901</v>
      </c>
      <c r="GM7" s="27">
        <v>45902</v>
      </c>
      <c r="GN7" s="27">
        <v>45903</v>
      </c>
      <c r="GO7" s="27">
        <v>45904</v>
      </c>
      <c r="GP7" s="27">
        <v>45905</v>
      </c>
      <c r="GQ7" s="27">
        <v>45240</v>
      </c>
      <c r="GR7" s="27">
        <v>45241</v>
      </c>
      <c r="GS7" s="27">
        <v>45242</v>
      </c>
      <c r="GT7" s="27">
        <v>45243</v>
      </c>
      <c r="GU7" s="27">
        <v>45244</v>
      </c>
      <c r="GV7" s="27">
        <v>45245</v>
      </c>
      <c r="GW7" s="27">
        <v>45246</v>
      </c>
      <c r="GX7" s="27">
        <v>45247</v>
      </c>
      <c r="GY7" s="27">
        <v>45248</v>
      </c>
      <c r="GZ7" s="27">
        <v>45249</v>
      </c>
      <c r="HA7" s="27">
        <v>45250</v>
      </c>
      <c r="HB7" s="27">
        <v>45251</v>
      </c>
      <c r="HC7" s="27">
        <v>45252</v>
      </c>
      <c r="HD7" s="27">
        <v>45253</v>
      </c>
      <c r="HE7" s="27">
        <v>45254</v>
      </c>
      <c r="HF7" s="27">
        <v>45255</v>
      </c>
      <c r="HG7" s="27">
        <v>45256</v>
      </c>
      <c r="HH7" s="27">
        <v>45257</v>
      </c>
      <c r="HI7" s="27">
        <v>45258</v>
      </c>
      <c r="HJ7" s="27">
        <v>45259</v>
      </c>
      <c r="HK7" s="27">
        <v>45260</v>
      </c>
      <c r="HL7" s="27">
        <v>45261</v>
      </c>
      <c r="HM7" s="27">
        <v>45262</v>
      </c>
      <c r="HN7" s="27">
        <v>45263</v>
      </c>
      <c r="HO7" s="27">
        <v>45264</v>
      </c>
      <c r="HP7" s="27">
        <v>45265</v>
      </c>
      <c r="HQ7" s="27">
        <v>45266</v>
      </c>
      <c r="HR7" s="27">
        <v>45267</v>
      </c>
      <c r="HS7" s="27">
        <v>45268</v>
      </c>
      <c r="HT7" s="27">
        <v>45269</v>
      </c>
      <c r="HU7" s="27">
        <v>45270</v>
      </c>
      <c r="HV7" s="27">
        <v>45271</v>
      </c>
      <c r="HW7" s="27">
        <v>45272</v>
      </c>
      <c r="HX7" s="27">
        <v>45273</v>
      </c>
      <c r="HY7" s="27">
        <v>45274</v>
      </c>
      <c r="HZ7" s="27">
        <v>45275</v>
      </c>
      <c r="IA7" s="27">
        <v>45276</v>
      </c>
      <c r="IB7" s="27">
        <v>45277</v>
      </c>
      <c r="IC7" s="27">
        <v>45278</v>
      </c>
      <c r="ID7" s="27">
        <v>45279</v>
      </c>
      <c r="IE7" s="27">
        <v>45280</v>
      </c>
      <c r="IF7" s="27">
        <v>45281</v>
      </c>
      <c r="IG7" s="27">
        <v>45282</v>
      </c>
      <c r="IH7" s="27">
        <v>45283</v>
      </c>
      <c r="II7" s="27">
        <v>45284</v>
      </c>
      <c r="IJ7" s="27">
        <v>45285</v>
      </c>
      <c r="IK7" s="27">
        <v>45286</v>
      </c>
      <c r="IL7" s="27">
        <v>45287</v>
      </c>
      <c r="IM7" s="27">
        <v>45288</v>
      </c>
      <c r="IN7" s="27">
        <v>45289</v>
      </c>
      <c r="IO7" s="27">
        <v>45290</v>
      </c>
      <c r="IP7" s="27">
        <v>45291</v>
      </c>
      <c r="IQ7" s="27">
        <v>45292</v>
      </c>
      <c r="IR7" s="27">
        <v>45293</v>
      </c>
      <c r="IS7" s="27">
        <v>45294</v>
      </c>
      <c r="IT7" s="27">
        <v>45295</v>
      </c>
      <c r="IU7" s="27">
        <v>45296</v>
      </c>
      <c r="IV7" s="27">
        <v>45297</v>
      </c>
      <c r="IW7" s="27">
        <v>45298</v>
      </c>
      <c r="IX7" s="27">
        <v>45299</v>
      </c>
      <c r="IY7" s="27">
        <v>45300</v>
      </c>
      <c r="IZ7" s="27">
        <v>45301</v>
      </c>
      <c r="JA7" s="27">
        <v>45302</v>
      </c>
      <c r="JB7" s="27">
        <v>45303</v>
      </c>
      <c r="JC7" s="27">
        <v>45304</v>
      </c>
      <c r="JD7" s="27">
        <v>45305</v>
      </c>
      <c r="JE7" s="27">
        <v>45306</v>
      </c>
      <c r="JF7" s="27">
        <v>45307</v>
      </c>
      <c r="JG7" s="27">
        <v>45308</v>
      </c>
      <c r="JH7" s="27">
        <v>45309</v>
      </c>
      <c r="JI7" s="27">
        <v>45310</v>
      </c>
      <c r="JJ7" s="27">
        <v>45311</v>
      </c>
      <c r="JK7" s="27">
        <v>45312</v>
      </c>
      <c r="JL7" s="27">
        <v>45313</v>
      </c>
      <c r="JM7" s="27">
        <v>45314</v>
      </c>
      <c r="JN7" s="27">
        <v>45315</v>
      </c>
      <c r="JO7" s="27">
        <v>45316</v>
      </c>
      <c r="JP7" s="27">
        <v>45317</v>
      </c>
      <c r="JQ7" s="27">
        <v>45318</v>
      </c>
      <c r="JR7" s="27">
        <v>45319</v>
      </c>
      <c r="JS7" s="27">
        <v>45320</v>
      </c>
      <c r="JT7" s="27">
        <v>45321</v>
      </c>
      <c r="JU7" s="27">
        <v>45322</v>
      </c>
      <c r="JV7" s="27">
        <v>45323</v>
      </c>
      <c r="JW7" s="27">
        <v>45324</v>
      </c>
      <c r="JX7" s="27">
        <v>45325</v>
      </c>
      <c r="JY7" s="27">
        <v>45326</v>
      </c>
      <c r="JZ7" s="27">
        <v>45327</v>
      </c>
      <c r="KA7" s="27">
        <v>45328</v>
      </c>
      <c r="KB7" s="27">
        <v>45329</v>
      </c>
      <c r="KC7" s="27">
        <v>45330</v>
      </c>
      <c r="KD7" s="27">
        <v>45331</v>
      </c>
      <c r="KE7" s="27">
        <v>45332</v>
      </c>
      <c r="KF7" s="27">
        <v>45333</v>
      </c>
      <c r="KG7" s="27">
        <v>45334</v>
      </c>
      <c r="KH7" s="27">
        <v>45335</v>
      </c>
      <c r="KI7" s="27">
        <v>45336</v>
      </c>
      <c r="KJ7" s="27">
        <v>45337</v>
      </c>
      <c r="KK7" s="27">
        <v>45338</v>
      </c>
      <c r="KL7" s="27">
        <v>45339</v>
      </c>
      <c r="KM7" s="27">
        <v>45340</v>
      </c>
      <c r="KN7" s="27">
        <v>45341</v>
      </c>
      <c r="KO7" s="27">
        <v>45342</v>
      </c>
      <c r="KP7" s="27">
        <v>45343</v>
      </c>
      <c r="KQ7" s="27">
        <v>45344</v>
      </c>
      <c r="KR7" s="27">
        <v>45345</v>
      </c>
      <c r="KS7" s="27">
        <v>45346</v>
      </c>
      <c r="KT7" s="27">
        <v>45347</v>
      </c>
      <c r="KU7" s="27">
        <v>45348</v>
      </c>
      <c r="KV7" s="27">
        <v>45349</v>
      </c>
      <c r="KW7" s="27">
        <v>45350</v>
      </c>
      <c r="KX7" s="27">
        <v>45351</v>
      </c>
    </row>
    <row r="8" spans="1:310">
      <c r="A8" s="8"/>
      <c r="B8" s="18"/>
      <c r="C8" s="18"/>
      <c r="D8" s="18"/>
      <c r="E8" s="19"/>
      <c r="F8" s="19"/>
      <c r="G8" s="19"/>
      <c r="H8" s="19"/>
      <c r="I8" s="26"/>
      <c r="J8" s="28"/>
      <c r="K8" s="29"/>
      <c r="L8" s="29"/>
      <c r="M8" s="28"/>
      <c r="N8" s="29"/>
      <c r="O8" s="29"/>
      <c r="P8" s="28"/>
      <c r="Q8" s="29"/>
      <c r="R8" s="29"/>
      <c r="S8" s="28"/>
      <c r="T8" s="29"/>
      <c r="U8" s="29"/>
      <c r="V8" s="28"/>
      <c r="W8" s="29"/>
      <c r="X8" s="29"/>
      <c r="Y8" s="28"/>
      <c r="Z8" s="29"/>
      <c r="AA8" s="29"/>
      <c r="AB8" s="28"/>
      <c r="AC8" s="29"/>
      <c r="AD8" s="29"/>
      <c r="AE8" s="28"/>
      <c r="AF8" s="29"/>
      <c r="AG8" s="29"/>
      <c r="AH8" s="28"/>
      <c r="AI8" s="29"/>
      <c r="AJ8" s="29"/>
      <c r="AK8" s="28"/>
      <c r="AL8" s="29"/>
      <c r="AM8" s="29"/>
      <c r="AN8" s="28"/>
      <c r="AO8" s="29"/>
      <c r="AP8" s="29"/>
      <c r="AQ8" s="28"/>
      <c r="AR8" s="29"/>
      <c r="AS8" s="29"/>
      <c r="AT8" s="28"/>
      <c r="AU8" s="29"/>
      <c r="AV8" s="29"/>
      <c r="AW8" s="28"/>
      <c r="AX8" s="29"/>
      <c r="AY8" s="29"/>
      <c r="AZ8" s="28"/>
      <c r="BA8" s="29"/>
      <c r="BB8" s="29"/>
      <c r="BC8" s="28"/>
      <c r="BD8" s="29"/>
      <c r="BE8" s="29"/>
      <c r="BF8" s="28"/>
      <c r="BG8" s="29"/>
      <c r="BH8" s="29"/>
      <c r="BI8" s="28"/>
      <c r="BJ8" s="29"/>
      <c r="BK8" s="29"/>
      <c r="BL8" s="28"/>
      <c r="BM8" s="29"/>
      <c r="BN8" s="29"/>
      <c r="BO8" s="28"/>
      <c r="BP8" s="29"/>
      <c r="BQ8" s="29"/>
      <c r="BR8" s="28"/>
      <c r="BS8" s="29"/>
      <c r="BT8" s="29"/>
      <c r="BU8" s="28"/>
      <c r="BV8" s="29"/>
      <c r="BW8" s="29"/>
      <c r="BX8" s="28"/>
      <c r="BY8" s="29"/>
      <c r="BZ8" s="29"/>
      <c r="CA8" s="28"/>
      <c r="CB8" s="29"/>
      <c r="CC8" s="29"/>
      <c r="CD8" s="28"/>
      <c r="CE8" s="29"/>
      <c r="CF8" s="29"/>
      <c r="CG8" s="28"/>
      <c r="CH8" s="29"/>
      <c r="CI8" s="29"/>
      <c r="CJ8" s="28"/>
      <c r="CK8" s="29"/>
      <c r="CL8" s="29"/>
      <c r="CM8" s="28"/>
      <c r="CN8" s="29"/>
      <c r="CO8" s="29"/>
      <c r="CP8" s="28"/>
      <c r="CQ8" s="29"/>
      <c r="CR8" s="29"/>
      <c r="CS8" s="28"/>
      <c r="CT8" s="29"/>
      <c r="CU8" s="29"/>
      <c r="CV8" s="28"/>
      <c r="CW8" s="29"/>
      <c r="CX8" s="29"/>
      <c r="CY8" s="28"/>
      <c r="CZ8" s="29"/>
      <c r="DA8" s="28"/>
      <c r="DB8" s="29"/>
      <c r="DC8" s="29"/>
      <c r="DD8" s="28"/>
      <c r="DE8" s="29"/>
      <c r="DF8" s="29"/>
      <c r="DG8" s="28"/>
      <c r="DH8" s="29"/>
      <c r="DI8" s="29"/>
      <c r="DJ8" s="28"/>
      <c r="DK8" s="29"/>
      <c r="DL8" s="29"/>
      <c r="DM8" s="28"/>
      <c r="DN8" s="29"/>
      <c r="DO8" s="29"/>
      <c r="DP8" s="28"/>
      <c r="DQ8" s="29"/>
      <c r="DR8" s="29"/>
      <c r="DS8" s="28"/>
      <c r="DT8" s="29"/>
      <c r="DU8" s="29"/>
      <c r="DV8" s="28"/>
      <c r="DW8" s="29"/>
      <c r="DX8" s="29"/>
      <c r="DY8" s="28"/>
      <c r="DZ8" s="29"/>
      <c r="EA8" s="29"/>
      <c r="EB8" s="28"/>
      <c r="EC8" s="29"/>
      <c r="ED8" s="29"/>
      <c r="EE8" s="28"/>
      <c r="EF8" s="29"/>
      <c r="EG8" s="29"/>
      <c r="EH8" s="28"/>
      <c r="EI8" s="29"/>
      <c r="EJ8" s="29"/>
      <c r="EK8" s="28"/>
      <c r="EL8" s="29"/>
      <c r="EM8" s="29"/>
      <c r="EN8" s="28"/>
      <c r="EO8" s="29"/>
      <c r="EP8" s="29"/>
      <c r="EQ8" s="28"/>
      <c r="ER8" s="29"/>
      <c r="ES8" s="29"/>
      <c r="ET8" s="28"/>
      <c r="EU8" s="29"/>
      <c r="EV8" s="29"/>
      <c r="EW8" s="28"/>
      <c r="EX8" s="29"/>
      <c r="EY8" s="29"/>
      <c r="EZ8" s="28"/>
      <c r="FA8" s="29"/>
      <c r="FB8" s="29"/>
      <c r="FC8" s="28"/>
      <c r="FD8" s="29"/>
      <c r="FE8" s="29"/>
      <c r="FF8" s="28"/>
      <c r="FG8" s="29"/>
      <c r="FH8" s="29"/>
      <c r="FI8" s="28"/>
      <c r="FJ8" s="29"/>
      <c r="FK8" s="29"/>
      <c r="FL8" s="28"/>
      <c r="FM8" s="29"/>
      <c r="FN8" s="29"/>
      <c r="FO8" s="28"/>
      <c r="FP8" s="29"/>
      <c r="FQ8" s="29"/>
      <c r="FR8" s="28"/>
      <c r="FS8" s="29"/>
      <c r="FT8" s="29"/>
      <c r="FU8" s="28"/>
      <c r="FV8" s="29"/>
      <c r="FW8" s="29"/>
      <c r="FX8" s="28"/>
      <c r="FY8" s="29"/>
      <c r="FZ8" s="29"/>
      <c r="GA8" s="28"/>
      <c r="GB8" s="29"/>
      <c r="GC8" s="29"/>
      <c r="GD8" s="28"/>
      <c r="GE8" s="29"/>
      <c r="GF8" s="29"/>
      <c r="GG8" s="28"/>
      <c r="GH8" s="29"/>
      <c r="GI8" s="29"/>
      <c r="GJ8" s="28"/>
      <c r="GK8" s="29"/>
      <c r="GL8" s="29"/>
      <c r="GM8" s="28"/>
      <c r="GN8" s="29"/>
      <c r="GO8" s="29"/>
      <c r="GP8" s="28"/>
      <c r="GQ8" s="29"/>
      <c r="GR8" s="29"/>
      <c r="GS8" s="29"/>
      <c r="GT8" s="29"/>
      <c r="GU8" s="29"/>
      <c r="GV8" s="29"/>
      <c r="GW8" s="29"/>
      <c r="GX8" s="29"/>
      <c r="GY8" s="29"/>
      <c r="GZ8" s="29"/>
      <c r="HA8" s="29"/>
      <c r="HB8" s="29"/>
      <c r="HC8" s="29"/>
      <c r="HD8" s="29"/>
      <c r="HE8" s="29"/>
      <c r="HF8" s="29"/>
      <c r="HG8" s="29"/>
      <c r="HH8" s="29"/>
      <c r="HI8" s="29"/>
      <c r="HJ8" s="29"/>
      <c r="HK8" s="29"/>
      <c r="HL8" s="29"/>
      <c r="HM8" s="29"/>
      <c r="HN8" s="29"/>
      <c r="HO8" s="29"/>
      <c r="HP8" s="29"/>
      <c r="HQ8" s="29"/>
      <c r="HR8" s="29"/>
      <c r="HS8" s="29"/>
      <c r="HT8" s="29"/>
      <c r="HU8" s="29"/>
      <c r="HV8" s="29"/>
      <c r="HW8" s="29"/>
      <c r="HX8" s="29"/>
      <c r="HY8" s="29"/>
      <c r="HZ8" s="29"/>
      <c r="IA8" s="29"/>
      <c r="IB8" s="29"/>
      <c r="IC8" s="29"/>
      <c r="ID8" s="29"/>
      <c r="IE8" s="29"/>
      <c r="IF8" s="29"/>
      <c r="IG8" s="29"/>
      <c r="IH8" s="29"/>
      <c r="II8" s="29"/>
      <c r="IJ8" s="29"/>
      <c r="IK8" s="29"/>
      <c r="IL8" s="29"/>
      <c r="IM8" s="29"/>
      <c r="IN8" s="29"/>
      <c r="IO8" s="29"/>
      <c r="IP8" s="29"/>
      <c r="IQ8" s="29"/>
      <c r="IR8" s="29"/>
      <c r="IS8" s="29"/>
      <c r="IT8" s="29"/>
      <c r="IU8" s="29"/>
      <c r="IV8" s="29"/>
      <c r="IW8" s="29"/>
      <c r="IX8" s="29"/>
      <c r="IY8" s="29"/>
      <c r="IZ8" s="29"/>
      <c r="JA8" s="29"/>
      <c r="JB8" s="29"/>
      <c r="JC8" s="29"/>
      <c r="JD8" s="29"/>
      <c r="JE8" s="29"/>
      <c r="JF8" s="29"/>
      <c r="JG8" s="29"/>
      <c r="JH8" s="29"/>
      <c r="JI8" s="29"/>
      <c r="JJ8" s="29"/>
      <c r="JK8" s="29"/>
      <c r="JL8" s="29"/>
      <c r="JM8" s="29"/>
      <c r="JN8" s="29"/>
      <c r="JO8" s="29"/>
      <c r="JP8" s="29"/>
      <c r="JQ8" s="29"/>
      <c r="JR8" s="29"/>
      <c r="JS8" s="29"/>
      <c r="JT8" s="29"/>
      <c r="JU8" s="29"/>
      <c r="JV8" s="29"/>
      <c r="JW8" s="29"/>
      <c r="JX8" s="29"/>
      <c r="JY8" s="29"/>
      <c r="JZ8" s="29"/>
      <c r="KA8" s="29"/>
      <c r="KB8" s="29"/>
      <c r="KC8" s="29"/>
      <c r="KD8" s="29"/>
      <c r="KE8" s="29"/>
      <c r="KF8" s="29"/>
      <c r="KG8" s="29"/>
      <c r="KH8" s="29"/>
      <c r="KI8" s="29"/>
      <c r="KJ8" s="29"/>
      <c r="KK8" s="29"/>
      <c r="KL8" s="29"/>
      <c r="KM8" s="29"/>
      <c r="KN8" s="29"/>
      <c r="KO8" s="29"/>
      <c r="KP8" s="29"/>
      <c r="KQ8" s="29"/>
      <c r="KR8" s="29"/>
      <c r="KS8" s="29"/>
      <c r="KT8" s="29"/>
      <c r="KU8" s="29"/>
      <c r="KV8" s="29"/>
      <c r="KW8" s="29"/>
      <c r="KX8" s="29"/>
    </row>
    <row r="9" spans="1:310">
      <c r="A9" s="8"/>
      <c r="B9" s="30" t="s">
        <v>308</v>
      </c>
      <c r="C9" s="31" t="s">
        <v>309</v>
      </c>
      <c r="D9" s="31" t="s">
        <v>310</v>
      </c>
      <c r="E9" s="31" t="s">
        <v>311</v>
      </c>
      <c r="F9" s="31" t="s">
        <v>2</v>
      </c>
      <c r="G9" s="31" t="s">
        <v>3</v>
      </c>
      <c r="H9" s="31" t="s">
        <v>312</v>
      </c>
      <c r="I9" s="32"/>
      <c r="J9" s="33" t="str">
        <f t="shared" ref="J9:BU9" si="0">LEFT(TEXT(J7,"ddd"),1)</f>
        <v>s</v>
      </c>
      <c r="K9" s="33" t="str">
        <f t="shared" si="0"/>
        <v>d</v>
      </c>
      <c r="L9" s="33" t="str">
        <f t="shared" si="0"/>
        <v>l</v>
      </c>
      <c r="M9" s="33" t="str">
        <f t="shared" si="0"/>
        <v>m</v>
      </c>
      <c r="N9" s="33" t="str">
        <f t="shared" si="0"/>
        <v>m</v>
      </c>
      <c r="O9" s="33" t="str">
        <f t="shared" si="0"/>
        <v>j</v>
      </c>
      <c r="P9" s="33" t="str">
        <f t="shared" si="0"/>
        <v>v</v>
      </c>
      <c r="Q9" s="33" t="str">
        <f t="shared" si="0"/>
        <v>s</v>
      </c>
      <c r="R9" s="33" t="str">
        <f t="shared" si="0"/>
        <v>d</v>
      </c>
      <c r="S9" s="33" t="str">
        <f t="shared" si="0"/>
        <v>l</v>
      </c>
      <c r="T9" s="33" t="str">
        <f t="shared" si="0"/>
        <v>m</v>
      </c>
      <c r="U9" s="33" t="str">
        <f t="shared" si="0"/>
        <v>m</v>
      </c>
      <c r="V9" s="33" t="str">
        <f t="shared" si="0"/>
        <v>j</v>
      </c>
      <c r="W9" s="33" t="str">
        <f t="shared" si="0"/>
        <v>v</v>
      </c>
      <c r="X9" s="33" t="str">
        <f t="shared" si="0"/>
        <v>s</v>
      </c>
      <c r="Y9" s="33" t="str">
        <f t="shared" si="0"/>
        <v>d</v>
      </c>
      <c r="Z9" s="33" t="str">
        <f t="shared" si="0"/>
        <v>l</v>
      </c>
      <c r="AA9" s="33" t="str">
        <f t="shared" si="0"/>
        <v>m</v>
      </c>
      <c r="AB9" s="33" t="str">
        <f t="shared" si="0"/>
        <v>m</v>
      </c>
      <c r="AC9" s="33" t="str">
        <f t="shared" si="0"/>
        <v>j</v>
      </c>
      <c r="AD9" s="33" t="str">
        <f t="shared" si="0"/>
        <v>v</v>
      </c>
      <c r="AE9" s="33" t="str">
        <f t="shared" si="0"/>
        <v>s</v>
      </c>
      <c r="AF9" s="33" t="str">
        <f t="shared" si="0"/>
        <v>d</v>
      </c>
      <c r="AG9" s="33" t="str">
        <f t="shared" si="0"/>
        <v>l</v>
      </c>
      <c r="AH9" s="33" t="str">
        <f t="shared" si="0"/>
        <v>m</v>
      </c>
      <c r="AI9" s="33" t="str">
        <f t="shared" si="0"/>
        <v>m</v>
      </c>
      <c r="AJ9" s="33" t="str">
        <f t="shared" si="0"/>
        <v>j</v>
      </c>
      <c r="AK9" s="33" t="str">
        <f t="shared" si="0"/>
        <v>v</v>
      </c>
      <c r="AL9" s="33" t="str">
        <f t="shared" si="0"/>
        <v>s</v>
      </c>
      <c r="AM9" s="33" t="str">
        <f t="shared" si="0"/>
        <v>d</v>
      </c>
      <c r="AN9" s="33" t="str">
        <f t="shared" si="0"/>
        <v>l</v>
      </c>
      <c r="AO9" s="33" t="str">
        <f t="shared" si="0"/>
        <v>m</v>
      </c>
      <c r="AP9" s="33" t="str">
        <f t="shared" si="0"/>
        <v>m</v>
      </c>
      <c r="AQ9" s="33" t="str">
        <f t="shared" si="0"/>
        <v>j</v>
      </c>
      <c r="AR9" s="33" t="str">
        <f t="shared" si="0"/>
        <v>v</v>
      </c>
      <c r="AS9" s="33" t="str">
        <f t="shared" si="0"/>
        <v>s</v>
      </c>
      <c r="AT9" s="33" t="str">
        <f t="shared" si="0"/>
        <v>d</v>
      </c>
      <c r="AU9" s="33" t="str">
        <f t="shared" si="0"/>
        <v>l</v>
      </c>
      <c r="AV9" s="33" t="str">
        <f t="shared" si="0"/>
        <v>m</v>
      </c>
      <c r="AW9" s="33" t="str">
        <f t="shared" si="0"/>
        <v>m</v>
      </c>
      <c r="AX9" s="33" t="str">
        <f t="shared" si="0"/>
        <v>j</v>
      </c>
      <c r="AY9" s="33" t="str">
        <f t="shared" si="0"/>
        <v>v</v>
      </c>
      <c r="AZ9" s="33" t="str">
        <f t="shared" si="0"/>
        <v>s</v>
      </c>
      <c r="BA9" s="33" t="str">
        <f t="shared" si="0"/>
        <v>d</v>
      </c>
      <c r="BB9" s="33" t="str">
        <f t="shared" si="0"/>
        <v>l</v>
      </c>
      <c r="BC9" s="33" t="str">
        <f t="shared" si="0"/>
        <v>m</v>
      </c>
      <c r="BD9" s="33" t="str">
        <f t="shared" si="0"/>
        <v>m</v>
      </c>
      <c r="BE9" s="33" t="str">
        <f t="shared" si="0"/>
        <v>j</v>
      </c>
      <c r="BF9" s="33" t="str">
        <f t="shared" si="0"/>
        <v>v</v>
      </c>
      <c r="BG9" s="33" t="str">
        <f t="shared" si="0"/>
        <v>s</v>
      </c>
      <c r="BH9" s="33" t="str">
        <f t="shared" si="0"/>
        <v>d</v>
      </c>
      <c r="BI9" s="33" t="str">
        <f t="shared" si="0"/>
        <v>l</v>
      </c>
      <c r="BJ9" s="33" t="str">
        <f t="shared" si="0"/>
        <v>m</v>
      </c>
      <c r="BK9" s="33" t="str">
        <f t="shared" si="0"/>
        <v>m</v>
      </c>
      <c r="BL9" s="33" t="str">
        <f t="shared" si="0"/>
        <v>j</v>
      </c>
      <c r="BM9" s="33" t="str">
        <f t="shared" si="0"/>
        <v>v</v>
      </c>
      <c r="BN9" s="33" t="str">
        <f t="shared" si="0"/>
        <v>s</v>
      </c>
      <c r="BO9" s="33" t="str">
        <f t="shared" si="0"/>
        <v>d</v>
      </c>
      <c r="BP9" s="33" t="str">
        <f t="shared" si="0"/>
        <v>l</v>
      </c>
      <c r="BQ9" s="33" t="str">
        <f t="shared" si="0"/>
        <v>m</v>
      </c>
      <c r="BR9" s="33" t="str">
        <f t="shared" si="0"/>
        <v>m</v>
      </c>
      <c r="BS9" s="33" t="str">
        <f t="shared" si="0"/>
        <v>j</v>
      </c>
      <c r="BT9" s="33" t="str">
        <f t="shared" si="0"/>
        <v>v</v>
      </c>
      <c r="BU9" s="33" t="str">
        <f t="shared" si="0"/>
        <v>s</v>
      </c>
      <c r="BV9" s="33" t="str">
        <f t="shared" ref="BV9:EG9" si="1">LEFT(TEXT(BV7,"ddd"),1)</f>
        <v>d</v>
      </c>
      <c r="BW9" s="33" t="str">
        <f t="shared" si="1"/>
        <v>l</v>
      </c>
      <c r="BX9" s="33" t="str">
        <f t="shared" si="1"/>
        <v>m</v>
      </c>
      <c r="BY9" s="33" t="str">
        <f t="shared" si="1"/>
        <v>m</v>
      </c>
      <c r="BZ9" s="33" t="str">
        <f t="shared" si="1"/>
        <v>j</v>
      </c>
      <c r="CA9" s="33" t="str">
        <f t="shared" si="1"/>
        <v>v</v>
      </c>
      <c r="CB9" s="33" t="str">
        <f t="shared" si="1"/>
        <v>s</v>
      </c>
      <c r="CC9" s="33" t="str">
        <f t="shared" si="1"/>
        <v>d</v>
      </c>
      <c r="CD9" s="33" t="str">
        <f t="shared" si="1"/>
        <v>l</v>
      </c>
      <c r="CE9" s="33" t="str">
        <f t="shared" si="1"/>
        <v>m</v>
      </c>
      <c r="CF9" s="33" t="str">
        <f t="shared" si="1"/>
        <v>m</v>
      </c>
      <c r="CG9" s="33" t="str">
        <f t="shared" si="1"/>
        <v>j</v>
      </c>
      <c r="CH9" s="33" t="str">
        <f t="shared" si="1"/>
        <v>v</v>
      </c>
      <c r="CI9" s="33" t="str">
        <f t="shared" si="1"/>
        <v>s</v>
      </c>
      <c r="CJ9" s="33" t="str">
        <f t="shared" si="1"/>
        <v>d</v>
      </c>
      <c r="CK9" s="33" t="str">
        <f t="shared" si="1"/>
        <v>l</v>
      </c>
      <c r="CL9" s="33" t="str">
        <f t="shared" si="1"/>
        <v>m</v>
      </c>
      <c r="CM9" s="33" t="str">
        <f t="shared" si="1"/>
        <v>m</v>
      </c>
      <c r="CN9" s="33" t="str">
        <f t="shared" si="1"/>
        <v>j</v>
      </c>
      <c r="CO9" s="33" t="str">
        <f t="shared" si="1"/>
        <v>v</v>
      </c>
      <c r="CP9" s="33" t="str">
        <f t="shared" si="1"/>
        <v>s</v>
      </c>
      <c r="CQ9" s="33" t="str">
        <f t="shared" si="1"/>
        <v>d</v>
      </c>
      <c r="CR9" s="33" t="str">
        <f t="shared" si="1"/>
        <v>l</v>
      </c>
      <c r="CS9" s="33" t="str">
        <f t="shared" si="1"/>
        <v>m</v>
      </c>
      <c r="CT9" s="33" t="str">
        <f t="shared" si="1"/>
        <v>m</v>
      </c>
      <c r="CU9" s="33" t="str">
        <f t="shared" si="1"/>
        <v>j</v>
      </c>
      <c r="CV9" s="33" t="str">
        <f t="shared" si="1"/>
        <v>v</v>
      </c>
      <c r="CW9" s="33" t="str">
        <f t="shared" si="1"/>
        <v>s</v>
      </c>
      <c r="CX9" s="33" t="str">
        <f t="shared" si="1"/>
        <v>d</v>
      </c>
      <c r="CY9" s="33" t="str">
        <f t="shared" si="1"/>
        <v>l</v>
      </c>
      <c r="CZ9" s="33" t="str">
        <f t="shared" si="1"/>
        <v>m</v>
      </c>
      <c r="DA9" s="33" t="str">
        <f t="shared" si="1"/>
        <v>m</v>
      </c>
      <c r="DB9" s="33" t="str">
        <f t="shared" si="1"/>
        <v>j</v>
      </c>
      <c r="DC9" s="33" t="str">
        <f t="shared" si="1"/>
        <v>v</v>
      </c>
      <c r="DD9" s="33" t="str">
        <f t="shared" si="1"/>
        <v>s</v>
      </c>
      <c r="DE9" s="33" t="str">
        <f t="shared" si="1"/>
        <v>d</v>
      </c>
      <c r="DF9" s="33" t="str">
        <f t="shared" si="1"/>
        <v>l</v>
      </c>
      <c r="DG9" s="33" t="str">
        <f t="shared" si="1"/>
        <v>m</v>
      </c>
      <c r="DH9" s="33" t="str">
        <f t="shared" si="1"/>
        <v>m</v>
      </c>
      <c r="DI9" s="33" t="str">
        <f t="shared" si="1"/>
        <v>j</v>
      </c>
      <c r="DJ9" s="33" t="str">
        <f t="shared" si="1"/>
        <v>v</v>
      </c>
      <c r="DK9" s="33" t="str">
        <f t="shared" si="1"/>
        <v>s</v>
      </c>
      <c r="DL9" s="33" t="str">
        <f t="shared" si="1"/>
        <v>d</v>
      </c>
      <c r="DM9" s="33" t="str">
        <f t="shared" si="1"/>
        <v>l</v>
      </c>
      <c r="DN9" s="33" t="str">
        <f t="shared" si="1"/>
        <v>m</v>
      </c>
      <c r="DO9" s="33" t="str">
        <f t="shared" si="1"/>
        <v>m</v>
      </c>
      <c r="DP9" s="33" t="str">
        <f t="shared" si="1"/>
        <v>j</v>
      </c>
      <c r="DQ9" s="33" t="str">
        <f t="shared" si="1"/>
        <v>v</v>
      </c>
      <c r="DR9" s="33" t="str">
        <f t="shared" si="1"/>
        <v>s</v>
      </c>
      <c r="DS9" s="33" t="str">
        <f t="shared" si="1"/>
        <v>d</v>
      </c>
      <c r="DT9" s="33" t="str">
        <f t="shared" si="1"/>
        <v>l</v>
      </c>
      <c r="DU9" s="33" t="str">
        <f t="shared" si="1"/>
        <v>m</v>
      </c>
      <c r="DV9" s="33" t="str">
        <f t="shared" si="1"/>
        <v>m</v>
      </c>
      <c r="DW9" s="33" t="str">
        <f t="shared" si="1"/>
        <v>j</v>
      </c>
      <c r="DX9" s="33" t="str">
        <f t="shared" si="1"/>
        <v>v</v>
      </c>
      <c r="DY9" s="33" t="str">
        <f t="shared" si="1"/>
        <v>s</v>
      </c>
      <c r="DZ9" s="33" t="str">
        <f t="shared" si="1"/>
        <v>d</v>
      </c>
      <c r="EA9" s="33" t="str">
        <f t="shared" si="1"/>
        <v>l</v>
      </c>
      <c r="EB9" s="33" t="str">
        <f t="shared" si="1"/>
        <v>m</v>
      </c>
      <c r="EC9" s="33" t="str">
        <f t="shared" si="1"/>
        <v>m</v>
      </c>
      <c r="ED9" s="33" t="str">
        <f t="shared" si="1"/>
        <v>j</v>
      </c>
      <c r="EE9" s="33" t="str">
        <f t="shared" si="1"/>
        <v>v</v>
      </c>
      <c r="EF9" s="33" t="str">
        <f t="shared" si="1"/>
        <v>s</v>
      </c>
      <c r="EG9" s="33" t="str">
        <f t="shared" si="1"/>
        <v>d</v>
      </c>
      <c r="EH9" s="33" t="str">
        <f t="shared" ref="EH9:GS9" si="2">LEFT(TEXT(EH7,"ddd"),1)</f>
        <v>l</v>
      </c>
      <c r="EI9" s="33" t="str">
        <f t="shared" si="2"/>
        <v>m</v>
      </c>
      <c r="EJ9" s="33" t="str">
        <f t="shared" si="2"/>
        <v>m</v>
      </c>
      <c r="EK9" s="33" t="str">
        <f t="shared" si="2"/>
        <v>j</v>
      </c>
      <c r="EL9" s="33" t="str">
        <f t="shared" si="2"/>
        <v>v</v>
      </c>
      <c r="EM9" s="33" t="str">
        <f t="shared" si="2"/>
        <v>s</v>
      </c>
      <c r="EN9" s="33" t="str">
        <f t="shared" si="2"/>
        <v>d</v>
      </c>
      <c r="EO9" s="33" t="str">
        <f t="shared" si="2"/>
        <v>l</v>
      </c>
      <c r="EP9" s="33" t="str">
        <f t="shared" si="2"/>
        <v>m</v>
      </c>
      <c r="EQ9" s="33" t="str">
        <f t="shared" si="2"/>
        <v>m</v>
      </c>
      <c r="ER9" s="33" t="str">
        <f t="shared" si="2"/>
        <v>j</v>
      </c>
      <c r="ES9" s="33" t="str">
        <f t="shared" si="2"/>
        <v>v</v>
      </c>
      <c r="ET9" s="33" t="str">
        <f t="shared" si="2"/>
        <v>s</v>
      </c>
      <c r="EU9" s="33" t="str">
        <f t="shared" si="2"/>
        <v>d</v>
      </c>
      <c r="EV9" s="33" t="str">
        <f t="shared" si="2"/>
        <v>l</v>
      </c>
      <c r="EW9" s="33" t="str">
        <f t="shared" si="2"/>
        <v>m</v>
      </c>
      <c r="EX9" s="33" t="str">
        <f t="shared" si="2"/>
        <v>m</v>
      </c>
      <c r="EY9" s="33" t="str">
        <f t="shared" si="2"/>
        <v>j</v>
      </c>
      <c r="EZ9" s="33" t="str">
        <f t="shared" si="2"/>
        <v>v</v>
      </c>
      <c r="FA9" s="33" t="str">
        <f t="shared" si="2"/>
        <v>s</v>
      </c>
      <c r="FB9" s="33" t="str">
        <f t="shared" si="2"/>
        <v>d</v>
      </c>
      <c r="FC9" s="33" t="str">
        <f t="shared" si="2"/>
        <v>l</v>
      </c>
      <c r="FD9" s="33" t="str">
        <f t="shared" si="2"/>
        <v>m</v>
      </c>
      <c r="FE9" s="33" t="str">
        <f t="shared" si="2"/>
        <v>m</v>
      </c>
      <c r="FF9" s="33" t="str">
        <f t="shared" si="2"/>
        <v>j</v>
      </c>
      <c r="FG9" s="33" t="str">
        <f t="shared" si="2"/>
        <v>v</v>
      </c>
      <c r="FH9" s="33" t="str">
        <f t="shared" si="2"/>
        <v>s</v>
      </c>
      <c r="FI9" s="33" t="str">
        <f t="shared" si="2"/>
        <v>d</v>
      </c>
      <c r="FJ9" s="33" t="str">
        <f t="shared" si="2"/>
        <v>l</v>
      </c>
      <c r="FK9" s="33" t="str">
        <f t="shared" si="2"/>
        <v>m</v>
      </c>
      <c r="FL9" s="33" t="str">
        <f t="shared" si="2"/>
        <v>m</v>
      </c>
      <c r="FM9" s="33" t="str">
        <f t="shared" si="2"/>
        <v>j</v>
      </c>
      <c r="FN9" s="33" t="str">
        <f t="shared" si="2"/>
        <v>v</v>
      </c>
      <c r="FO9" s="33" t="str">
        <f t="shared" si="2"/>
        <v>s</v>
      </c>
      <c r="FP9" s="33" t="str">
        <f t="shared" si="2"/>
        <v>d</v>
      </c>
      <c r="FQ9" s="33" t="str">
        <f t="shared" si="2"/>
        <v>l</v>
      </c>
      <c r="FR9" s="33" t="str">
        <f t="shared" si="2"/>
        <v>m</v>
      </c>
      <c r="FS9" s="33" t="str">
        <f t="shared" si="2"/>
        <v>m</v>
      </c>
      <c r="FT9" s="33" t="str">
        <f t="shared" si="2"/>
        <v>j</v>
      </c>
      <c r="FU9" s="33" t="str">
        <f t="shared" si="2"/>
        <v>v</v>
      </c>
      <c r="FV9" s="33" t="str">
        <f t="shared" si="2"/>
        <v>s</v>
      </c>
      <c r="FW9" s="33" t="str">
        <f t="shared" si="2"/>
        <v>d</v>
      </c>
      <c r="FX9" s="33" t="str">
        <f t="shared" si="2"/>
        <v>l</v>
      </c>
      <c r="FY9" s="33" t="str">
        <f t="shared" si="2"/>
        <v>m</v>
      </c>
      <c r="FZ9" s="33" t="str">
        <f t="shared" si="2"/>
        <v>m</v>
      </c>
      <c r="GA9" s="33" t="str">
        <f t="shared" si="2"/>
        <v>j</v>
      </c>
      <c r="GB9" s="33" t="str">
        <f t="shared" si="2"/>
        <v>v</v>
      </c>
      <c r="GC9" s="33" t="str">
        <f t="shared" si="2"/>
        <v>s</v>
      </c>
      <c r="GD9" s="33" t="str">
        <f t="shared" si="2"/>
        <v>d</v>
      </c>
      <c r="GE9" s="33" t="str">
        <f t="shared" si="2"/>
        <v>l</v>
      </c>
      <c r="GF9" s="33" t="str">
        <f t="shared" si="2"/>
        <v>m</v>
      </c>
      <c r="GG9" s="33" t="str">
        <f t="shared" si="2"/>
        <v>m</v>
      </c>
      <c r="GH9" s="33" t="str">
        <f t="shared" si="2"/>
        <v>j</v>
      </c>
      <c r="GI9" s="33" t="str">
        <f t="shared" si="2"/>
        <v>v</v>
      </c>
      <c r="GJ9" s="33" t="str">
        <f t="shared" si="2"/>
        <v>s</v>
      </c>
      <c r="GK9" s="33" t="str">
        <f t="shared" si="2"/>
        <v>d</v>
      </c>
      <c r="GL9" s="33" t="str">
        <f t="shared" si="2"/>
        <v>l</v>
      </c>
      <c r="GM9" s="33" t="str">
        <f t="shared" si="2"/>
        <v>m</v>
      </c>
      <c r="GN9" s="33" t="str">
        <f t="shared" si="2"/>
        <v>m</v>
      </c>
      <c r="GO9" s="33" t="str">
        <f t="shared" si="2"/>
        <v>j</v>
      </c>
      <c r="GP9" s="33" t="str">
        <f t="shared" si="2"/>
        <v>v</v>
      </c>
      <c r="GQ9" s="33" t="str">
        <f t="shared" si="2"/>
        <v>v</v>
      </c>
      <c r="GR9" s="33" t="str">
        <f t="shared" si="2"/>
        <v>s</v>
      </c>
      <c r="GS9" s="33" t="str">
        <f t="shared" si="2"/>
        <v>d</v>
      </c>
      <c r="GT9" s="33" t="str">
        <f t="shared" ref="GT9:JE9" si="3">LEFT(TEXT(GT7,"ddd"),1)</f>
        <v>l</v>
      </c>
      <c r="GU9" s="33" t="str">
        <f t="shared" si="3"/>
        <v>m</v>
      </c>
      <c r="GV9" s="33" t="str">
        <f t="shared" si="3"/>
        <v>m</v>
      </c>
      <c r="GW9" s="33" t="str">
        <f t="shared" si="3"/>
        <v>j</v>
      </c>
      <c r="GX9" s="33" t="str">
        <f t="shared" si="3"/>
        <v>v</v>
      </c>
      <c r="GY9" s="33" t="str">
        <f t="shared" si="3"/>
        <v>s</v>
      </c>
      <c r="GZ9" s="33" t="str">
        <f t="shared" si="3"/>
        <v>d</v>
      </c>
      <c r="HA9" s="33" t="str">
        <f t="shared" si="3"/>
        <v>l</v>
      </c>
      <c r="HB9" s="33" t="str">
        <f t="shared" si="3"/>
        <v>m</v>
      </c>
      <c r="HC9" s="33" t="str">
        <f t="shared" si="3"/>
        <v>m</v>
      </c>
      <c r="HD9" s="33" t="str">
        <f t="shared" si="3"/>
        <v>j</v>
      </c>
      <c r="HE9" s="33" t="str">
        <f t="shared" si="3"/>
        <v>v</v>
      </c>
      <c r="HF9" s="33" t="str">
        <f t="shared" si="3"/>
        <v>s</v>
      </c>
      <c r="HG9" s="33" t="str">
        <f t="shared" si="3"/>
        <v>d</v>
      </c>
      <c r="HH9" s="33" t="str">
        <f t="shared" si="3"/>
        <v>l</v>
      </c>
      <c r="HI9" s="33" t="str">
        <f t="shared" si="3"/>
        <v>m</v>
      </c>
      <c r="HJ9" s="33" t="str">
        <f t="shared" si="3"/>
        <v>m</v>
      </c>
      <c r="HK9" s="33" t="str">
        <f t="shared" si="3"/>
        <v>j</v>
      </c>
      <c r="HL9" s="33" t="str">
        <f t="shared" si="3"/>
        <v>v</v>
      </c>
      <c r="HM9" s="33" t="str">
        <f t="shared" si="3"/>
        <v>s</v>
      </c>
      <c r="HN9" s="33" t="str">
        <f t="shared" si="3"/>
        <v>d</v>
      </c>
      <c r="HO9" s="33" t="str">
        <f t="shared" si="3"/>
        <v>l</v>
      </c>
      <c r="HP9" s="33" t="str">
        <f t="shared" si="3"/>
        <v>m</v>
      </c>
      <c r="HQ9" s="33" t="str">
        <f t="shared" si="3"/>
        <v>m</v>
      </c>
      <c r="HR9" s="33" t="str">
        <f t="shared" si="3"/>
        <v>j</v>
      </c>
      <c r="HS9" s="33" t="str">
        <f t="shared" si="3"/>
        <v>v</v>
      </c>
      <c r="HT9" s="33" t="str">
        <f t="shared" si="3"/>
        <v>s</v>
      </c>
      <c r="HU9" s="33" t="str">
        <f t="shared" si="3"/>
        <v>d</v>
      </c>
      <c r="HV9" s="33" t="str">
        <f t="shared" si="3"/>
        <v>l</v>
      </c>
      <c r="HW9" s="33" t="str">
        <f t="shared" si="3"/>
        <v>m</v>
      </c>
      <c r="HX9" s="33" t="str">
        <f t="shared" si="3"/>
        <v>m</v>
      </c>
      <c r="HY9" s="33" t="str">
        <f t="shared" si="3"/>
        <v>j</v>
      </c>
      <c r="HZ9" s="33" t="str">
        <f t="shared" si="3"/>
        <v>v</v>
      </c>
      <c r="IA9" s="33" t="str">
        <f t="shared" si="3"/>
        <v>s</v>
      </c>
      <c r="IB9" s="33" t="str">
        <f t="shared" si="3"/>
        <v>d</v>
      </c>
      <c r="IC9" s="33" t="str">
        <f t="shared" si="3"/>
        <v>l</v>
      </c>
      <c r="ID9" s="33" t="str">
        <f t="shared" si="3"/>
        <v>m</v>
      </c>
      <c r="IE9" s="33" t="str">
        <f t="shared" si="3"/>
        <v>m</v>
      </c>
      <c r="IF9" s="33" t="str">
        <f t="shared" si="3"/>
        <v>j</v>
      </c>
      <c r="IG9" s="33" t="str">
        <f t="shared" si="3"/>
        <v>v</v>
      </c>
      <c r="IH9" s="33" t="str">
        <f t="shared" si="3"/>
        <v>s</v>
      </c>
      <c r="II9" s="33" t="str">
        <f t="shared" si="3"/>
        <v>d</v>
      </c>
      <c r="IJ9" s="33" t="str">
        <f t="shared" si="3"/>
        <v>l</v>
      </c>
      <c r="IK9" s="33" t="str">
        <f t="shared" si="3"/>
        <v>m</v>
      </c>
      <c r="IL9" s="33" t="str">
        <f t="shared" si="3"/>
        <v>m</v>
      </c>
      <c r="IM9" s="33" t="str">
        <f t="shared" si="3"/>
        <v>j</v>
      </c>
      <c r="IN9" s="33" t="str">
        <f t="shared" si="3"/>
        <v>v</v>
      </c>
      <c r="IO9" s="33" t="str">
        <f t="shared" si="3"/>
        <v>s</v>
      </c>
      <c r="IP9" s="33" t="str">
        <f t="shared" si="3"/>
        <v>d</v>
      </c>
      <c r="IQ9" s="33" t="str">
        <f t="shared" si="3"/>
        <v>l</v>
      </c>
      <c r="IR9" s="33" t="str">
        <f t="shared" si="3"/>
        <v>m</v>
      </c>
      <c r="IS9" s="33" t="str">
        <f t="shared" si="3"/>
        <v>m</v>
      </c>
      <c r="IT9" s="33" t="str">
        <f t="shared" si="3"/>
        <v>j</v>
      </c>
      <c r="IU9" s="33" t="str">
        <f t="shared" si="3"/>
        <v>v</v>
      </c>
      <c r="IV9" s="33" t="str">
        <f t="shared" si="3"/>
        <v>s</v>
      </c>
      <c r="IW9" s="33" t="str">
        <f t="shared" si="3"/>
        <v>d</v>
      </c>
      <c r="IX9" s="33" t="str">
        <f t="shared" si="3"/>
        <v>l</v>
      </c>
      <c r="IY9" s="33" t="str">
        <f t="shared" si="3"/>
        <v>m</v>
      </c>
      <c r="IZ9" s="33" t="str">
        <f t="shared" si="3"/>
        <v>m</v>
      </c>
      <c r="JA9" s="33" t="str">
        <f t="shared" si="3"/>
        <v>j</v>
      </c>
      <c r="JB9" s="33" t="str">
        <f t="shared" si="3"/>
        <v>v</v>
      </c>
      <c r="JC9" s="33" t="str">
        <f t="shared" si="3"/>
        <v>s</v>
      </c>
      <c r="JD9" s="33" t="str">
        <f t="shared" si="3"/>
        <v>d</v>
      </c>
      <c r="JE9" s="33" t="str">
        <f t="shared" si="3"/>
        <v>l</v>
      </c>
      <c r="JF9" s="33" t="str">
        <f t="shared" ref="JF9:KX9" si="4">LEFT(TEXT(JF7,"ddd"),1)</f>
        <v>m</v>
      </c>
      <c r="JG9" s="33" t="str">
        <f t="shared" si="4"/>
        <v>m</v>
      </c>
      <c r="JH9" s="33" t="str">
        <f t="shared" si="4"/>
        <v>j</v>
      </c>
      <c r="JI9" s="33" t="str">
        <f t="shared" si="4"/>
        <v>v</v>
      </c>
      <c r="JJ9" s="33" t="str">
        <f t="shared" si="4"/>
        <v>s</v>
      </c>
      <c r="JK9" s="33" t="str">
        <f t="shared" si="4"/>
        <v>d</v>
      </c>
      <c r="JL9" s="33" t="str">
        <f t="shared" si="4"/>
        <v>l</v>
      </c>
      <c r="JM9" s="33" t="str">
        <f t="shared" si="4"/>
        <v>m</v>
      </c>
      <c r="JN9" s="33" t="str">
        <f t="shared" si="4"/>
        <v>m</v>
      </c>
      <c r="JO9" s="33" t="str">
        <f t="shared" si="4"/>
        <v>j</v>
      </c>
      <c r="JP9" s="33" t="str">
        <f t="shared" si="4"/>
        <v>v</v>
      </c>
      <c r="JQ9" s="33" t="str">
        <f t="shared" si="4"/>
        <v>s</v>
      </c>
      <c r="JR9" s="33" t="str">
        <f t="shared" si="4"/>
        <v>d</v>
      </c>
      <c r="JS9" s="33" t="str">
        <f t="shared" si="4"/>
        <v>l</v>
      </c>
      <c r="JT9" s="33" t="str">
        <f t="shared" si="4"/>
        <v>m</v>
      </c>
      <c r="JU9" s="33" t="str">
        <f t="shared" si="4"/>
        <v>m</v>
      </c>
      <c r="JV9" s="33" t="str">
        <f t="shared" si="4"/>
        <v>j</v>
      </c>
      <c r="JW9" s="33" t="str">
        <f t="shared" si="4"/>
        <v>v</v>
      </c>
      <c r="JX9" s="33" t="str">
        <f t="shared" si="4"/>
        <v>s</v>
      </c>
      <c r="JY9" s="33" t="str">
        <f t="shared" si="4"/>
        <v>d</v>
      </c>
      <c r="JZ9" s="33" t="str">
        <f t="shared" si="4"/>
        <v>l</v>
      </c>
      <c r="KA9" s="33" t="str">
        <f t="shared" si="4"/>
        <v>m</v>
      </c>
      <c r="KB9" s="33" t="str">
        <f t="shared" si="4"/>
        <v>m</v>
      </c>
      <c r="KC9" s="33" t="str">
        <f t="shared" si="4"/>
        <v>j</v>
      </c>
      <c r="KD9" s="33" t="str">
        <f t="shared" si="4"/>
        <v>v</v>
      </c>
      <c r="KE9" s="33" t="str">
        <f t="shared" si="4"/>
        <v>s</v>
      </c>
      <c r="KF9" s="33" t="str">
        <f t="shared" si="4"/>
        <v>d</v>
      </c>
      <c r="KG9" s="33" t="str">
        <f t="shared" si="4"/>
        <v>l</v>
      </c>
      <c r="KH9" s="33" t="str">
        <f t="shared" si="4"/>
        <v>m</v>
      </c>
      <c r="KI9" s="33" t="str">
        <f t="shared" si="4"/>
        <v>m</v>
      </c>
      <c r="KJ9" s="33" t="str">
        <f t="shared" si="4"/>
        <v>j</v>
      </c>
      <c r="KK9" s="33" t="str">
        <f t="shared" si="4"/>
        <v>v</v>
      </c>
      <c r="KL9" s="33" t="str">
        <f t="shared" si="4"/>
        <v>s</v>
      </c>
      <c r="KM9" s="33" t="str">
        <f t="shared" si="4"/>
        <v>d</v>
      </c>
      <c r="KN9" s="33" t="str">
        <f t="shared" si="4"/>
        <v>l</v>
      </c>
      <c r="KO9" s="33" t="str">
        <f t="shared" si="4"/>
        <v>m</v>
      </c>
      <c r="KP9" s="33" t="str">
        <f t="shared" si="4"/>
        <v>m</v>
      </c>
      <c r="KQ9" s="33" t="str">
        <f t="shared" si="4"/>
        <v>j</v>
      </c>
      <c r="KR9" s="33" t="str">
        <f t="shared" si="4"/>
        <v>v</v>
      </c>
      <c r="KS9" s="33" t="str">
        <f t="shared" si="4"/>
        <v>s</v>
      </c>
      <c r="KT9" s="33" t="str">
        <f t="shared" si="4"/>
        <v>d</v>
      </c>
      <c r="KU9" s="33" t="str">
        <f t="shared" si="4"/>
        <v>l</v>
      </c>
      <c r="KV9" s="33" t="str">
        <f t="shared" si="4"/>
        <v>m</v>
      </c>
      <c r="KW9" s="33" t="str">
        <f t="shared" si="4"/>
        <v>m</v>
      </c>
      <c r="KX9" s="33" t="str">
        <f t="shared" si="4"/>
        <v>j</v>
      </c>
    </row>
    <row r="10" spans="1:310">
      <c r="B10" s="35" t="s">
        <v>313</v>
      </c>
      <c r="C10" s="36" t="s">
        <v>303</v>
      </c>
      <c r="D10" s="37" t="s">
        <v>315</v>
      </c>
      <c r="E10" s="36">
        <f>+((E11*H11)+(E18*H18))/SUM(H11+H18)</f>
        <v>0.93500150738619237</v>
      </c>
      <c r="F10" s="38">
        <f>+F11</f>
        <v>46045</v>
      </c>
      <c r="G10" s="38">
        <f>+G18</f>
        <v>46059</v>
      </c>
      <c r="H10" s="39">
        <f>+SUM(H11+H18)</f>
        <v>53.5</v>
      </c>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DA10" s="15"/>
      <c r="DB10" s="15"/>
      <c r="DC10" s="15"/>
      <c r="DD10" s="15"/>
      <c r="DE10" s="15"/>
      <c r="DF10" s="15"/>
      <c r="DG10" s="15"/>
      <c r="DH10" s="15"/>
      <c r="DI10" s="15"/>
      <c r="DJ10" s="15"/>
      <c r="DK10" s="15"/>
      <c r="DL10" s="15"/>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5"/>
      <c r="EY10" s="15"/>
      <c r="EZ10" s="15"/>
      <c r="FA10" s="15"/>
      <c r="FB10" s="15"/>
      <c r="FC10" s="15"/>
      <c r="FD10" s="15"/>
    </row>
    <row r="11" spans="1:310">
      <c r="A11" s="40" t="s">
        <v>314</v>
      </c>
      <c r="B11" s="41" t="s">
        <v>317</v>
      </c>
      <c r="C11" s="42" t="s">
        <v>303</v>
      </c>
      <c r="D11" s="43" t="s">
        <v>315</v>
      </c>
      <c r="E11" s="42">
        <f>+((E12*H12)+(E13*H13)+(E14*H14)+(E15*H15)+(E16*H16)+(E17*H17))/SUM(H12:H17)</f>
        <v>0.81818181818181823</v>
      </c>
      <c r="F11" s="44">
        <f>+F12</f>
        <v>46045</v>
      </c>
      <c r="G11" s="44">
        <f>+G17</f>
        <v>46056</v>
      </c>
      <c r="H11" s="45">
        <f>+SUM(H12:H17)</f>
        <v>5.5</v>
      </c>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DA11" s="15"/>
      <c r="DB11" s="15"/>
      <c r="DC11" s="15"/>
      <c r="DD11" s="15"/>
      <c r="DE11" s="15"/>
      <c r="DF11" s="15"/>
      <c r="DG11" s="15"/>
      <c r="DH11" s="15"/>
      <c r="DI11" s="15"/>
      <c r="DJ11" s="15"/>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5"/>
      <c r="EY11" s="15"/>
      <c r="EZ11" s="15"/>
      <c r="FA11" s="15"/>
      <c r="FB11" s="15"/>
      <c r="FC11" s="15"/>
      <c r="FD11" s="15"/>
    </row>
    <row r="12" spans="1:310">
      <c r="B12" s="46" t="s">
        <v>347</v>
      </c>
      <c r="C12" s="47" t="s">
        <v>252</v>
      </c>
      <c r="D12" s="48" t="s">
        <v>351</v>
      </c>
      <c r="E12" s="49">
        <v>1</v>
      </c>
      <c r="F12" s="50">
        <v>46045</v>
      </c>
      <c r="G12" s="50">
        <f>+Hitos4352[[#This Row],[Inicio]]+Hitos4352[[#This Row],[Días]]</f>
        <v>46047</v>
      </c>
      <c r="H12" s="51">
        <v>2</v>
      </c>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5"/>
      <c r="EY12" s="15"/>
      <c r="EZ12" s="15"/>
      <c r="FA12" s="15"/>
      <c r="FB12" s="15"/>
      <c r="FC12" s="15"/>
      <c r="FD12" s="15"/>
    </row>
    <row r="13" spans="1:310" s="15" customFormat="1">
      <c r="A13" s="8"/>
      <c r="B13" s="46" t="s">
        <v>348</v>
      </c>
      <c r="C13" s="47" t="s">
        <v>252</v>
      </c>
      <c r="D13" s="48" t="s">
        <v>315</v>
      </c>
      <c r="E13" s="49">
        <v>1</v>
      </c>
      <c r="F13" s="50">
        <f>+G12</f>
        <v>46047</v>
      </c>
      <c r="G13" s="50">
        <f>+Hitos4352[[#This Row],[Inicio]]+Hitos4352[[#This Row],[Días]]</f>
        <v>46047.5</v>
      </c>
      <c r="H13" s="51">
        <v>0.5</v>
      </c>
      <c r="I13" s="14"/>
      <c r="J13" s="56" t="str">
        <f t="shared" ref="J13:Y19" si="5">IF(AND($C13="Objetivo",J$7&gt;=$F13,J$7&lt;=$F13+$H13-1),2,IF(AND($C13="Hito",J$7&gt;=$F13,J$7&lt;=$F13+$H13-1),1,""))</f>
        <v/>
      </c>
      <c r="K13" s="56" t="str">
        <f t="shared" si="5"/>
        <v/>
      </c>
      <c r="L13" s="56" t="str">
        <f t="shared" si="5"/>
        <v/>
      </c>
      <c r="M13" s="56" t="str">
        <f t="shared" si="5"/>
        <v/>
      </c>
      <c r="N13" s="56" t="str">
        <f t="shared" si="5"/>
        <v/>
      </c>
      <c r="O13" s="56" t="str">
        <f t="shared" si="5"/>
        <v/>
      </c>
      <c r="P13" s="56" t="str">
        <f t="shared" si="5"/>
        <v/>
      </c>
      <c r="Q13" s="56" t="str">
        <f t="shared" si="5"/>
        <v/>
      </c>
      <c r="R13" s="56" t="str">
        <f t="shared" si="5"/>
        <v/>
      </c>
      <c r="S13" s="56" t="str">
        <f t="shared" si="5"/>
        <v/>
      </c>
      <c r="T13" s="56" t="str">
        <f t="shared" si="5"/>
        <v/>
      </c>
      <c r="U13" s="56" t="str">
        <f t="shared" si="5"/>
        <v/>
      </c>
      <c r="V13" s="56" t="str">
        <f t="shared" si="5"/>
        <v/>
      </c>
      <c r="W13" s="56" t="str">
        <f t="shared" si="5"/>
        <v/>
      </c>
      <c r="X13" s="56" t="str">
        <f t="shared" si="5"/>
        <v/>
      </c>
      <c r="Y13" s="56" t="str">
        <f t="shared" si="5"/>
        <v/>
      </c>
      <c r="Z13" s="56" t="str">
        <f t="shared" ref="Z13:CK13" si="6">IF(AND($C13="Objetivo",Z$7&gt;=$F13,Z$7&lt;=$F13+$H13-1),2,IF(AND($C13="Hito",Z$7&gt;=$F13,Z$7&lt;=$F13+$H13-1),1,""))</f>
        <v/>
      </c>
      <c r="AA13" s="56" t="str">
        <f t="shared" si="6"/>
        <v/>
      </c>
      <c r="AB13" s="56" t="str">
        <f t="shared" si="6"/>
        <v/>
      </c>
      <c r="AC13" s="56" t="str">
        <f t="shared" si="6"/>
        <v/>
      </c>
      <c r="AD13" s="56" t="str">
        <f t="shared" si="6"/>
        <v/>
      </c>
      <c r="AE13" s="56" t="str">
        <f t="shared" si="6"/>
        <v/>
      </c>
      <c r="AF13" s="56" t="str">
        <f t="shared" si="6"/>
        <v/>
      </c>
      <c r="AG13" s="56" t="str">
        <f t="shared" si="6"/>
        <v/>
      </c>
      <c r="AH13" s="56" t="str">
        <f t="shared" si="6"/>
        <v/>
      </c>
      <c r="AI13" s="56" t="str">
        <f t="shared" si="6"/>
        <v/>
      </c>
      <c r="AJ13" s="56" t="str">
        <f t="shared" si="6"/>
        <v/>
      </c>
      <c r="AK13" s="56" t="str">
        <f t="shared" si="6"/>
        <v/>
      </c>
      <c r="AL13" s="56" t="str">
        <f t="shared" si="6"/>
        <v/>
      </c>
      <c r="AM13" s="56" t="str">
        <f t="shared" si="6"/>
        <v/>
      </c>
      <c r="AN13" s="56" t="str">
        <f t="shared" si="6"/>
        <v/>
      </c>
      <c r="AO13" s="56" t="str">
        <f t="shared" si="6"/>
        <v/>
      </c>
      <c r="AP13" s="56" t="str">
        <f t="shared" si="6"/>
        <v/>
      </c>
      <c r="AQ13" s="56" t="str">
        <f t="shared" si="6"/>
        <v/>
      </c>
      <c r="AR13" s="56" t="str">
        <f t="shared" si="6"/>
        <v/>
      </c>
      <c r="AS13" s="56" t="str">
        <f t="shared" si="6"/>
        <v/>
      </c>
      <c r="AT13" s="56" t="str">
        <f t="shared" si="6"/>
        <v/>
      </c>
      <c r="AU13" s="56" t="str">
        <f t="shared" si="6"/>
        <v/>
      </c>
      <c r="AV13" s="56" t="str">
        <f t="shared" si="6"/>
        <v/>
      </c>
      <c r="AW13" s="56" t="str">
        <f t="shared" si="6"/>
        <v/>
      </c>
      <c r="AX13" s="56" t="str">
        <f t="shared" si="6"/>
        <v/>
      </c>
      <c r="AY13" s="56" t="str">
        <f t="shared" si="6"/>
        <v/>
      </c>
      <c r="AZ13" s="56" t="str">
        <f t="shared" si="6"/>
        <v/>
      </c>
      <c r="BA13" s="56" t="str">
        <f t="shared" si="6"/>
        <v/>
      </c>
      <c r="BB13" s="56" t="str">
        <f t="shared" si="6"/>
        <v/>
      </c>
      <c r="BC13" s="56" t="str">
        <f t="shared" si="6"/>
        <v/>
      </c>
      <c r="BD13" s="56" t="str">
        <f t="shared" si="6"/>
        <v/>
      </c>
      <c r="BE13" s="56" t="str">
        <f t="shared" si="6"/>
        <v/>
      </c>
      <c r="BF13" s="56" t="str">
        <f t="shared" si="6"/>
        <v/>
      </c>
      <c r="BG13" s="56" t="str">
        <f t="shared" si="6"/>
        <v/>
      </c>
      <c r="BH13" s="56" t="str">
        <f t="shared" si="6"/>
        <v/>
      </c>
      <c r="BI13" s="56" t="str">
        <f t="shared" si="6"/>
        <v/>
      </c>
      <c r="BJ13" s="56" t="str">
        <f t="shared" si="6"/>
        <v/>
      </c>
      <c r="BK13" s="56" t="str">
        <f t="shared" si="6"/>
        <v/>
      </c>
      <c r="BL13" s="56" t="str">
        <f t="shared" si="6"/>
        <v/>
      </c>
      <c r="BM13" s="56" t="str">
        <f t="shared" si="6"/>
        <v/>
      </c>
      <c r="BN13" s="56" t="str">
        <f t="shared" si="6"/>
        <v/>
      </c>
      <c r="BO13" s="56" t="str">
        <f t="shared" si="6"/>
        <v/>
      </c>
      <c r="BP13" s="56" t="str">
        <f t="shared" si="6"/>
        <v/>
      </c>
      <c r="BQ13" s="56" t="str">
        <f t="shared" si="6"/>
        <v/>
      </c>
      <c r="BR13" s="56" t="str">
        <f t="shared" si="6"/>
        <v/>
      </c>
      <c r="BS13" s="56" t="str">
        <f t="shared" si="6"/>
        <v/>
      </c>
      <c r="BT13" s="56" t="str">
        <f t="shared" si="6"/>
        <v/>
      </c>
      <c r="BU13" s="56" t="str">
        <f t="shared" si="6"/>
        <v/>
      </c>
      <c r="BV13" s="56" t="str">
        <f t="shared" si="6"/>
        <v/>
      </c>
      <c r="BW13" s="56" t="str">
        <f t="shared" si="6"/>
        <v/>
      </c>
      <c r="BX13" s="56" t="str">
        <f t="shared" si="6"/>
        <v/>
      </c>
      <c r="BY13" s="56" t="str">
        <f t="shared" si="6"/>
        <v/>
      </c>
      <c r="BZ13" s="56" t="str">
        <f t="shared" si="6"/>
        <v/>
      </c>
      <c r="CA13" s="56" t="str">
        <f t="shared" si="6"/>
        <v/>
      </c>
      <c r="CB13" s="56" t="str">
        <f t="shared" si="6"/>
        <v/>
      </c>
      <c r="CC13" s="56" t="str">
        <f t="shared" si="6"/>
        <v/>
      </c>
      <c r="CD13" s="56" t="str">
        <f t="shared" si="6"/>
        <v/>
      </c>
      <c r="CE13" s="56" t="str">
        <f t="shared" si="6"/>
        <v/>
      </c>
      <c r="CF13" s="56" t="str">
        <f t="shared" si="6"/>
        <v/>
      </c>
      <c r="CG13" s="56" t="str">
        <f t="shared" si="6"/>
        <v/>
      </c>
      <c r="CH13" s="56" t="str">
        <f t="shared" si="6"/>
        <v/>
      </c>
      <c r="CI13" s="56" t="str">
        <f t="shared" si="6"/>
        <v/>
      </c>
      <c r="CJ13" s="56" t="str">
        <f t="shared" si="6"/>
        <v/>
      </c>
      <c r="CK13" s="56" t="str">
        <f t="shared" si="6"/>
        <v/>
      </c>
      <c r="CL13" s="56" t="str">
        <f t="shared" ref="CL13:EW13" si="7">IF(AND($C13="Objetivo",CL$7&gt;=$F13,CL$7&lt;=$F13+$H13-1),2,IF(AND($C13="Hito",CL$7&gt;=$F13,CL$7&lt;=$F13+$H13-1),1,""))</f>
        <v/>
      </c>
      <c r="CM13" s="56" t="str">
        <f t="shared" si="7"/>
        <v/>
      </c>
      <c r="CN13" s="56" t="str">
        <f t="shared" si="7"/>
        <v/>
      </c>
      <c r="CO13" s="56" t="str">
        <f t="shared" si="7"/>
        <v/>
      </c>
      <c r="CP13" s="56" t="str">
        <f t="shared" si="7"/>
        <v/>
      </c>
      <c r="CQ13" s="56" t="str">
        <f t="shared" si="7"/>
        <v/>
      </c>
      <c r="CR13" s="56" t="str">
        <f t="shared" si="7"/>
        <v/>
      </c>
      <c r="CS13" s="56" t="str">
        <f t="shared" si="7"/>
        <v/>
      </c>
      <c r="CT13" s="56" t="str">
        <f t="shared" si="7"/>
        <v/>
      </c>
      <c r="CU13" s="56" t="str">
        <f t="shared" si="7"/>
        <v/>
      </c>
      <c r="CV13" s="56" t="str">
        <f t="shared" si="7"/>
        <v/>
      </c>
      <c r="CW13" s="56" t="str">
        <f t="shared" si="7"/>
        <v/>
      </c>
      <c r="CX13" s="56" t="str">
        <f t="shared" si="7"/>
        <v/>
      </c>
      <c r="CY13" s="56" t="str">
        <f t="shared" si="7"/>
        <v/>
      </c>
      <c r="CZ13" s="56" t="str">
        <f t="shared" si="7"/>
        <v/>
      </c>
      <c r="DA13" s="56" t="str">
        <f t="shared" si="7"/>
        <v/>
      </c>
      <c r="DB13" s="56" t="str">
        <f t="shared" si="7"/>
        <v/>
      </c>
      <c r="DC13" s="56" t="str">
        <f t="shared" si="7"/>
        <v/>
      </c>
      <c r="DD13" s="56" t="str">
        <f t="shared" si="7"/>
        <v/>
      </c>
      <c r="DE13" s="56" t="str">
        <f t="shared" si="7"/>
        <v/>
      </c>
      <c r="DF13" s="56" t="str">
        <f t="shared" si="7"/>
        <v/>
      </c>
      <c r="DG13" s="56" t="str">
        <f t="shared" si="7"/>
        <v/>
      </c>
      <c r="DH13" s="56" t="str">
        <f t="shared" si="7"/>
        <v/>
      </c>
      <c r="DI13" s="56" t="str">
        <f t="shared" si="7"/>
        <v/>
      </c>
      <c r="DJ13" s="56" t="str">
        <f t="shared" si="7"/>
        <v/>
      </c>
      <c r="DK13" s="56" t="str">
        <f t="shared" si="7"/>
        <v/>
      </c>
      <c r="DL13" s="56" t="str">
        <f t="shared" si="7"/>
        <v/>
      </c>
      <c r="DM13" s="56" t="str">
        <f t="shared" si="7"/>
        <v/>
      </c>
      <c r="DN13" s="56" t="str">
        <f t="shared" si="7"/>
        <v/>
      </c>
      <c r="DO13" s="56" t="str">
        <f t="shared" si="7"/>
        <v/>
      </c>
      <c r="DP13" s="56" t="str">
        <f t="shared" si="7"/>
        <v/>
      </c>
      <c r="DQ13" s="56" t="str">
        <f t="shared" si="7"/>
        <v/>
      </c>
      <c r="DR13" s="56" t="str">
        <f t="shared" si="7"/>
        <v/>
      </c>
      <c r="DS13" s="56" t="str">
        <f t="shared" si="7"/>
        <v/>
      </c>
      <c r="DT13" s="56" t="str">
        <f t="shared" si="7"/>
        <v/>
      </c>
      <c r="DU13" s="56" t="str">
        <f t="shared" si="7"/>
        <v/>
      </c>
      <c r="DV13" s="56" t="str">
        <f t="shared" si="7"/>
        <v/>
      </c>
      <c r="DW13" s="56" t="str">
        <f t="shared" si="7"/>
        <v/>
      </c>
      <c r="DX13" s="56" t="str">
        <f t="shared" si="7"/>
        <v/>
      </c>
      <c r="DY13" s="56" t="str">
        <f t="shared" si="7"/>
        <v/>
      </c>
      <c r="DZ13" s="56" t="str">
        <f t="shared" si="7"/>
        <v/>
      </c>
      <c r="EA13" s="56" t="str">
        <f t="shared" si="7"/>
        <v/>
      </c>
      <c r="EB13" s="56" t="str">
        <f t="shared" si="7"/>
        <v/>
      </c>
      <c r="EC13" s="56" t="str">
        <f t="shared" si="7"/>
        <v/>
      </c>
      <c r="ED13" s="56" t="str">
        <f t="shared" si="7"/>
        <v/>
      </c>
      <c r="EE13" s="56" t="str">
        <f t="shared" si="7"/>
        <v/>
      </c>
      <c r="EF13" s="56" t="str">
        <f t="shared" si="7"/>
        <v/>
      </c>
      <c r="EG13" s="56" t="str">
        <f t="shared" si="7"/>
        <v/>
      </c>
      <c r="EH13" s="56" t="str">
        <f t="shared" si="7"/>
        <v/>
      </c>
      <c r="EI13" s="56" t="str">
        <f t="shared" si="7"/>
        <v/>
      </c>
      <c r="EJ13" s="56" t="str">
        <f t="shared" si="7"/>
        <v/>
      </c>
      <c r="EK13" s="56" t="str">
        <f t="shared" si="7"/>
        <v/>
      </c>
      <c r="EL13" s="56" t="str">
        <f t="shared" si="7"/>
        <v/>
      </c>
      <c r="EM13" s="56" t="str">
        <f t="shared" si="7"/>
        <v/>
      </c>
      <c r="EN13" s="56" t="str">
        <f t="shared" si="7"/>
        <v/>
      </c>
      <c r="EO13" s="56" t="str">
        <f t="shared" si="7"/>
        <v/>
      </c>
      <c r="EP13" s="56" t="str">
        <f t="shared" si="7"/>
        <v/>
      </c>
      <c r="EQ13" s="56" t="str">
        <f t="shared" si="7"/>
        <v/>
      </c>
      <c r="ER13" s="56" t="str">
        <f t="shared" si="7"/>
        <v/>
      </c>
      <c r="ES13" s="56" t="str">
        <f t="shared" si="7"/>
        <v/>
      </c>
      <c r="ET13" s="56" t="str">
        <f t="shared" si="7"/>
        <v/>
      </c>
      <c r="EU13" s="56" t="str">
        <f t="shared" si="7"/>
        <v/>
      </c>
      <c r="EV13" s="56" t="str">
        <f t="shared" si="7"/>
        <v/>
      </c>
      <c r="EW13" s="56" t="str">
        <f t="shared" si="7"/>
        <v/>
      </c>
      <c r="EX13" s="56" t="str">
        <f t="shared" ref="EX13:HI13" si="8">IF(AND($C13="Objetivo",EX$7&gt;=$F13,EX$7&lt;=$F13+$H13-1),2,IF(AND($C13="Hito",EX$7&gt;=$F13,EX$7&lt;=$F13+$H13-1),1,""))</f>
        <v/>
      </c>
      <c r="EY13" s="56" t="str">
        <f t="shared" si="8"/>
        <v/>
      </c>
      <c r="EZ13" s="56" t="str">
        <f t="shared" si="8"/>
        <v/>
      </c>
      <c r="FA13" s="56" t="str">
        <f t="shared" si="8"/>
        <v/>
      </c>
      <c r="FB13" s="56" t="str">
        <f t="shared" si="8"/>
        <v/>
      </c>
      <c r="FC13" s="56" t="str">
        <f t="shared" si="8"/>
        <v/>
      </c>
      <c r="FD13" s="56" t="str">
        <f t="shared" si="8"/>
        <v/>
      </c>
      <c r="FE13" s="56" t="str">
        <f t="shared" si="8"/>
        <v/>
      </c>
      <c r="FF13" s="56" t="str">
        <f t="shared" si="8"/>
        <v/>
      </c>
      <c r="FG13" s="56" t="str">
        <f t="shared" si="8"/>
        <v/>
      </c>
      <c r="FH13" s="56" t="str">
        <f t="shared" si="8"/>
        <v/>
      </c>
      <c r="FI13" s="56" t="str">
        <f t="shared" si="8"/>
        <v/>
      </c>
      <c r="FJ13" s="56" t="str">
        <f t="shared" si="8"/>
        <v/>
      </c>
      <c r="FK13" s="56" t="str">
        <f t="shared" si="8"/>
        <v/>
      </c>
      <c r="FL13" s="56" t="str">
        <f t="shared" si="8"/>
        <v/>
      </c>
      <c r="FM13" s="56" t="str">
        <f t="shared" si="8"/>
        <v/>
      </c>
      <c r="FN13" s="56" t="str">
        <f t="shared" si="8"/>
        <v/>
      </c>
      <c r="FO13" s="56" t="str">
        <f t="shared" si="8"/>
        <v/>
      </c>
      <c r="FP13" s="56" t="str">
        <f t="shared" si="8"/>
        <v/>
      </c>
      <c r="FQ13" s="56" t="str">
        <f t="shared" si="8"/>
        <v/>
      </c>
      <c r="FR13" s="56" t="str">
        <f t="shared" si="8"/>
        <v/>
      </c>
      <c r="FS13" s="56" t="str">
        <f t="shared" si="8"/>
        <v/>
      </c>
      <c r="FT13" s="56" t="str">
        <f t="shared" si="8"/>
        <v/>
      </c>
      <c r="FU13" s="56" t="str">
        <f t="shared" si="8"/>
        <v/>
      </c>
      <c r="FV13" s="56" t="str">
        <f t="shared" si="8"/>
        <v/>
      </c>
      <c r="FW13" s="56" t="str">
        <f t="shared" si="8"/>
        <v/>
      </c>
      <c r="FX13" s="56" t="str">
        <f t="shared" si="8"/>
        <v/>
      </c>
      <c r="FY13" s="56" t="str">
        <f t="shared" si="8"/>
        <v/>
      </c>
      <c r="FZ13" s="56" t="str">
        <f t="shared" si="8"/>
        <v/>
      </c>
      <c r="GA13" s="56" t="str">
        <f t="shared" si="8"/>
        <v/>
      </c>
      <c r="GB13" s="56" t="str">
        <f t="shared" si="8"/>
        <v/>
      </c>
      <c r="GC13" s="56" t="str">
        <f t="shared" si="8"/>
        <v/>
      </c>
      <c r="GD13" s="56" t="str">
        <f t="shared" si="8"/>
        <v/>
      </c>
      <c r="GE13" s="56" t="str">
        <f t="shared" si="8"/>
        <v/>
      </c>
      <c r="GF13" s="56" t="str">
        <f t="shared" si="8"/>
        <v/>
      </c>
      <c r="GG13" s="56" t="str">
        <f t="shared" si="8"/>
        <v/>
      </c>
      <c r="GH13" s="56" t="str">
        <f t="shared" si="8"/>
        <v/>
      </c>
      <c r="GI13" s="56" t="str">
        <f t="shared" si="8"/>
        <v/>
      </c>
      <c r="GJ13" s="56" t="str">
        <f t="shared" si="8"/>
        <v/>
      </c>
      <c r="GK13" s="56" t="str">
        <f t="shared" si="8"/>
        <v/>
      </c>
      <c r="GL13" s="56" t="str">
        <f t="shared" si="8"/>
        <v/>
      </c>
      <c r="GM13" s="56" t="str">
        <f t="shared" si="8"/>
        <v/>
      </c>
      <c r="GN13" s="56" t="str">
        <f t="shared" si="8"/>
        <v/>
      </c>
      <c r="GO13" s="56" t="str">
        <f t="shared" si="8"/>
        <v/>
      </c>
      <c r="GP13" s="56" t="str">
        <f t="shared" si="8"/>
        <v/>
      </c>
      <c r="GQ13" s="56" t="str">
        <f t="shared" si="8"/>
        <v/>
      </c>
      <c r="GR13" s="56" t="str">
        <f t="shared" si="8"/>
        <v/>
      </c>
      <c r="GS13" s="56" t="str">
        <f t="shared" si="8"/>
        <v/>
      </c>
      <c r="GT13" s="56" t="str">
        <f t="shared" si="8"/>
        <v/>
      </c>
      <c r="GU13" s="56" t="str">
        <f t="shared" si="8"/>
        <v/>
      </c>
      <c r="GV13" s="56" t="str">
        <f t="shared" si="8"/>
        <v/>
      </c>
      <c r="GW13" s="56" t="str">
        <f t="shared" si="8"/>
        <v/>
      </c>
      <c r="GX13" s="56" t="str">
        <f t="shared" si="8"/>
        <v/>
      </c>
      <c r="GY13" s="56" t="str">
        <f t="shared" si="8"/>
        <v/>
      </c>
      <c r="GZ13" s="56" t="str">
        <f t="shared" si="8"/>
        <v/>
      </c>
      <c r="HA13" s="56" t="str">
        <f t="shared" si="8"/>
        <v/>
      </c>
      <c r="HB13" s="56" t="str">
        <f t="shared" si="8"/>
        <v/>
      </c>
      <c r="HC13" s="56" t="str">
        <f t="shared" si="8"/>
        <v/>
      </c>
      <c r="HD13" s="56" t="str">
        <f t="shared" si="8"/>
        <v/>
      </c>
      <c r="HE13" s="56" t="str">
        <f t="shared" si="8"/>
        <v/>
      </c>
      <c r="HF13" s="56" t="str">
        <f t="shared" si="8"/>
        <v/>
      </c>
      <c r="HG13" s="56" t="str">
        <f t="shared" si="8"/>
        <v/>
      </c>
      <c r="HH13" s="56" t="str">
        <f t="shared" si="8"/>
        <v/>
      </c>
      <c r="HI13" s="56" t="str">
        <f t="shared" si="8"/>
        <v/>
      </c>
      <c r="HJ13" s="56" t="str">
        <f t="shared" ref="HJ13:JU13" si="9">IF(AND($C13="Objetivo",HJ$7&gt;=$F13,HJ$7&lt;=$F13+$H13-1),2,IF(AND($C13="Hito",HJ$7&gt;=$F13,HJ$7&lt;=$F13+$H13-1),1,""))</f>
        <v/>
      </c>
      <c r="HK13" s="56" t="str">
        <f t="shared" si="9"/>
        <v/>
      </c>
      <c r="HL13" s="56" t="str">
        <f t="shared" si="9"/>
        <v/>
      </c>
      <c r="HM13" s="56" t="str">
        <f t="shared" si="9"/>
        <v/>
      </c>
      <c r="HN13" s="56" t="str">
        <f t="shared" si="9"/>
        <v/>
      </c>
      <c r="HO13" s="56" t="str">
        <f t="shared" si="9"/>
        <v/>
      </c>
      <c r="HP13" s="56" t="str">
        <f t="shared" si="9"/>
        <v/>
      </c>
      <c r="HQ13" s="56" t="str">
        <f t="shared" si="9"/>
        <v/>
      </c>
      <c r="HR13" s="56" t="str">
        <f t="shared" si="9"/>
        <v/>
      </c>
      <c r="HS13" s="56" t="str">
        <f t="shared" si="9"/>
        <v/>
      </c>
      <c r="HT13" s="56" t="str">
        <f t="shared" si="9"/>
        <v/>
      </c>
      <c r="HU13" s="56" t="str">
        <f t="shared" si="9"/>
        <v/>
      </c>
      <c r="HV13" s="56" t="str">
        <f t="shared" si="9"/>
        <v/>
      </c>
      <c r="HW13" s="56" t="str">
        <f t="shared" si="9"/>
        <v/>
      </c>
      <c r="HX13" s="56" t="str">
        <f t="shared" si="9"/>
        <v/>
      </c>
      <c r="HY13" s="56" t="str">
        <f t="shared" si="9"/>
        <v/>
      </c>
      <c r="HZ13" s="56" t="str">
        <f t="shared" si="9"/>
        <v/>
      </c>
      <c r="IA13" s="56" t="str">
        <f t="shared" si="9"/>
        <v/>
      </c>
      <c r="IB13" s="56" t="str">
        <f t="shared" si="9"/>
        <v/>
      </c>
      <c r="IC13" s="56" t="str">
        <f t="shared" si="9"/>
        <v/>
      </c>
      <c r="ID13" s="56" t="str">
        <f t="shared" si="9"/>
        <v/>
      </c>
      <c r="IE13" s="56" t="str">
        <f t="shared" si="9"/>
        <v/>
      </c>
      <c r="IF13" s="56" t="str">
        <f t="shared" si="9"/>
        <v/>
      </c>
      <c r="IG13" s="56" t="str">
        <f t="shared" si="9"/>
        <v/>
      </c>
      <c r="IH13" s="56" t="str">
        <f t="shared" si="9"/>
        <v/>
      </c>
      <c r="II13" s="56" t="str">
        <f t="shared" si="9"/>
        <v/>
      </c>
      <c r="IJ13" s="56" t="str">
        <f t="shared" si="9"/>
        <v/>
      </c>
      <c r="IK13" s="56" t="str">
        <f t="shared" si="9"/>
        <v/>
      </c>
      <c r="IL13" s="56" t="str">
        <f t="shared" si="9"/>
        <v/>
      </c>
      <c r="IM13" s="56" t="str">
        <f t="shared" si="9"/>
        <v/>
      </c>
      <c r="IN13" s="56" t="str">
        <f t="shared" si="9"/>
        <v/>
      </c>
      <c r="IO13" s="56" t="str">
        <f t="shared" si="9"/>
        <v/>
      </c>
      <c r="IP13" s="56" t="str">
        <f t="shared" si="9"/>
        <v/>
      </c>
      <c r="IQ13" s="56" t="str">
        <f t="shared" si="9"/>
        <v/>
      </c>
      <c r="IR13" s="56" t="str">
        <f t="shared" si="9"/>
        <v/>
      </c>
      <c r="IS13" s="56" t="str">
        <f t="shared" si="9"/>
        <v/>
      </c>
      <c r="IT13" s="56" t="str">
        <f t="shared" si="9"/>
        <v/>
      </c>
      <c r="IU13" s="56" t="str">
        <f t="shared" si="9"/>
        <v/>
      </c>
      <c r="IV13" s="56" t="str">
        <f t="shared" si="9"/>
        <v/>
      </c>
      <c r="IW13" s="56" t="str">
        <f t="shared" si="9"/>
        <v/>
      </c>
      <c r="IX13" s="56" t="str">
        <f t="shared" si="9"/>
        <v/>
      </c>
      <c r="IY13" s="56" t="str">
        <f t="shared" si="9"/>
        <v/>
      </c>
      <c r="IZ13" s="56" t="str">
        <f t="shared" si="9"/>
        <v/>
      </c>
      <c r="JA13" s="56" t="str">
        <f t="shared" si="9"/>
        <v/>
      </c>
      <c r="JB13" s="56" t="str">
        <f t="shared" si="9"/>
        <v/>
      </c>
      <c r="JC13" s="56" t="str">
        <f t="shared" si="9"/>
        <v/>
      </c>
      <c r="JD13" s="56" t="str">
        <f t="shared" si="9"/>
        <v/>
      </c>
      <c r="JE13" s="56" t="str">
        <f t="shared" si="9"/>
        <v/>
      </c>
      <c r="JF13" s="56" t="str">
        <f t="shared" si="9"/>
        <v/>
      </c>
      <c r="JG13" s="56" t="str">
        <f t="shared" si="9"/>
        <v/>
      </c>
      <c r="JH13" s="56" t="str">
        <f t="shared" si="9"/>
        <v/>
      </c>
      <c r="JI13" s="56" t="str">
        <f t="shared" si="9"/>
        <v/>
      </c>
      <c r="JJ13" s="56" t="str">
        <f t="shared" si="9"/>
        <v/>
      </c>
      <c r="JK13" s="56" t="str">
        <f t="shared" si="9"/>
        <v/>
      </c>
      <c r="JL13" s="56" t="str">
        <f t="shared" si="9"/>
        <v/>
      </c>
      <c r="JM13" s="56" t="str">
        <f t="shared" si="9"/>
        <v/>
      </c>
      <c r="JN13" s="56" t="str">
        <f t="shared" si="9"/>
        <v/>
      </c>
      <c r="JO13" s="56" t="str">
        <f t="shared" si="9"/>
        <v/>
      </c>
      <c r="JP13" s="56" t="str">
        <f t="shared" si="9"/>
        <v/>
      </c>
      <c r="JQ13" s="56" t="str">
        <f t="shared" si="9"/>
        <v/>
      </c>
      <c r="JR13" s="56" t="str">
        <f t="shared" si="9"/>
        <v/>
      </c>
      <c r="JS13" s="56" t="str">
        <f t="shared" si="9"/>
        <v/>
      </c>
      <c r="JT13" s="56" t="str">
        <f t="shared" si="9"/>
        <v/>
      </c>
      <c r="JU13" s="56" t="str">
        <f t="shared" si="9"/>
        <v/>
      </c>
      <c r="JV13" s="56" t="str">
        <f t="shared" ref="JV13:KX13" si="10">IF(AND($C13="Objetivo",JV$7&gt;=$F13,JV$7&lt;=$F13+$H13-1),2,IF(AND($C13="Hito",JV$7&gt;=$F13,JV$7&lt;=$F13+$H13-1),1,""))</f>
        <v/>
      </c>
      <c r="JW13" s="56" t="str">
        <f t="shared" si="10"/>
        <v/>
      </c>
      <c r="JX13" s="56" t="str">
        <f t="shared" si="10"/>
        <v/>
      </c>
      <c r="JY13" s="56" t="str">
        <f t="shared" si="10"/>
        <v/>
      </c>
      <c r="JZ13" s="56" t="str">
        <f t="shared" si="10"/>
        <v/>
      </c>
      <c r="KA13" s="56" t="str">
        <f t="shared" si="10"/>
        <v/>
      </c>
      <c r="KB13" s="56" t="str">
        <f t="shared" si="10"/>
        <v/>
      </c>
      <c r="KC13" s="56" t="str">
        <f t="shared" si="10"/>
        <v/>
      </c>
      <c r="KD13" s="56" t="str">
        <f t="shared" si="10"/>
        <v/>
      </c>
      <c r="KE13" s="56" t="str">
        <f t="shared" si="10"/>
        <v/>
      </c>
      <c r="KF13" s="56" t="str">
        <f t="shared" si="10"/>
        <v/>
      </c>
      <c r="KG13" s="56" t="str">
        <f t="shared" si="10"/>
        <v/>
      </c>
      <c r="KH13" s="56" t="str">
        <f t="shared" si="10"/>
        <v/>
      </c>
      <c r="KI13" s="56" t="str">
        <f t="shared" si="10"/>
        <v/>
      </c>
      <c r="KJ13" s="56" t="str">
        <f t="shared" si="10"/>
        <v/>
      </c>
      <c r="KK13" s="56" t="str">
        <f t="shared" si="10"/>
        <v/>
      </c>
      <c r="KL13" s="56" t="str">
        <f t="shared" si="10"/>
        <v/>
      </c>
      <c r="KM13" s="56" t="str">
        <f t="shared" si="10"/>
        <v/>
      </c>
      <c r="KN13" s="56" t="str">
        <f t="shared" si="10"/>
        <v/>
      </c>
      <c r="KO13" s="56" t="str">
        <f t="shared" si="10"/>
        <v/>
      </c>
      <c r="KP13" s="56" t="str">
        <f t="shared" si="10"/>
        <v/>
      </c>
      <c r="KQ13" s="56" t="str">
        <f t="shared" si="10"/>
        <v/>
      </c>
      <c r="KR13" s="56" t="str">
        <f t="shared" si="10"/>
        <v/>
      </c>
      <c r="KS13" s="56" t="str">
        <f t="shared" si="10"/>
        <v/>
      </c>
      <c r="KT13" s="56" t="str">
        <f t="shared" si="10"/>
        <v/>
      </c>
      <c r="KU13" s="56" t="str">
        <f t="shared" si="10"/>
        <v/>
      </c>
      <c r="KV13" s="56" t="str">
        <f t="shared" si="10"/>
        <v/>
      </c>
      <c r="KW13" s="56" t="str">
        <f t="shared" si="10"/>
        <v/>
      </c>
      <c r="KX13" s="56" t="str">
        <f t="shared" si="10"/>
        <v/>
      </c>
    </row>
    <row r="14" spans="1:310" s="15" customFormat="1">
      <c r="A14" s="8"/>
      <c r="B14" s="46" t="s">
        <v>349</v>
      </c>
      <c r="C14" s="47" t="s">
        <v>300</v>
      </c>
      <c r="D14" s="48" t="s">
        <v>315</v>
      </c>
      <c r="E14" s="49">
        <v>1</v>
      </c>
      <c r="F14" s="50">
        <f t="shared" ref="F14:F16" si="11">+G13</f>
        <v>46047.5</v>
      </c>
      <c r="G14" s="50">
        <f>+Hitos4352[[#This Row],[Inicio]]+Hitos4352[[#This Row],[Días]]</f>
        <v>46048</v>
      </c>
      <c r="H14" s="51">
        <v>0.5</v>
      </c>
      <c r="I14" s="14"/>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c r="BQ14" s="56"/>
      <c r="BR14" s="56"/>
      <c r="BS14" s="56"/>
      <c r="BT14" s="56"/>
      <c r="BU14" s="56"/>
      <c r="BV14" s="56"/>
      <c r="BW14" s="56"/>
      <c r="BX14" s="56"/>
      <c r="BY14" s="56"/>
      <c r="BZ14" s="56"/>
      <c r="CA14" s="56"/>
      <c r="CB14" s="56"/>
      <c r="CC14" s="56"/>
      <c r="CD14" s="56"/>
      <c r="CE14" s="56"/>
      <c r="CF14" s="56"/>
      <c r="CG14" s="56"/>
      <c r="CH14" s="56"/>
      <c r="CI14" s="56"/>
      <c r="CJ14" s="56"/>
      <c r="CK14" s="56"/>
      <c r="CL14" s="56"/>
      <c r="CM14" s="56"/>
      <c r="CN14" s="56"/>
      <c r="CO14" s="56"/>
      <c r="CP14" s="56"/>
      <c r="CQ14" s="56"/>
      <c r="CR14" s="56"/>
      <c r="CS14" s="56"/>
      <c r="CT14" s="56"/>
      <c r="CU14" s="56"/>
      <c r="CV14" s="56"/>
      <c r="CW14" s="56"/>
      <c r="CX14" s="56"/>
      <c r="CY14" s="56"/>
      <c r="CZ14" s="56"/>
      <c r="DA14" s="56"/>
      <c r="DB14" s="56"/>
      <c r="DC14" s="56"/>
      <c r="DD14" s="56"/>
      <c r="DE14" s="56"/>
      <c r="DF14" s="56"/>
      <c r="DG14" s="56"/>
      <c r="DH14" s="56"/>
      <c r="DI14" s="56"/>
      <c r="DJ14" s="56"/>
      <c r="DK14" s="56"/>
      <c r="DL14" s="56"/>
      <c r="DM14" s="56"/>
      <c r="DN14" s="56"/>
      <c r="DO14" s="56"/>
      <c r="DP14" s="56"/>
      <c r="DQ14" s="56"/>
      <c r="DR14" s="56"/>
      <c r="DS14" s="56"/>
      <c r="DT14" s="56"/>
      <c r="DU14" s="56"/>
      <c r="DV14" s="56"/>
      <c r="DW14" s="56"/>
      <c r="DX14" s="56"/>
      <c r="DY14" s="56"/>
      <c r="DZ14" s="56"/>
      <c r="EA14" s="56"/>
      <c r="EB14" s="56"/>
      <c r="EC14" s="56"/>
      <c r="ED14" s="56"/>
      <c r="EE14" s="56"/>
      <c r="EF14" s="56"/>
      <c r="EG14" s="56"/>
      <c r="EH14" s="56"/>
      <c r="EI14" s="56"/>
      <c r="EJ14" s="56"/>
      <c r="EK14" s="56"/>
      <c r="EL14" s="56"/>
      <c r="EM14" s="56"/>
      <c r="EN14" s="56"/>
      <c r="EO14" s="56"/>
      <c r="EP14" s="56"/>
      <c r="EQ14" s="56"/>
      <c r="ER14" s="56"/>
      <c r="ES14" s="56"/>
      <c r="ET14" s="56"/>
      <c r="EU14" s="56"/>
      <c r="EV14" s="56"/>
      <c r="EW14" s="56"/>
      <c r="EX14" s="56"/>
      <c r="EY14" s="56"/>
      <c r="EZ14" s="56"/>
      <c r="FA14" s="56"/>
      <c r="FB14" s="56"/>
      <c r="FC14" s="56"/>
      <c r="FD14" s="56"/>
      <c r="FE14" s="56"/>
      <c r="FF14" s="56"/>
      <c r="FG14" s="56"/>
      <c r="FH14" s="56"/>
      <c r="FI14" s="56"/>
      <c r="FJ14" s="56"/>
      <c r="FK14" s="56"/>
      <c r="FL14" s="56"/>
      <c r="FM14" s="56"/>
      <c r="FN14" s="56"/>
      <c r="FO14" s="56"/>
      <c r="FP14" s="56"/>
      <c r="FQ14" s="56"/>
      <c r="FR14" s="56"/>
      <c r="FS14" s="56"/>
      <c r="FT14" s="56"/>
      <c r="FU14" s="56"/>
      <c r="FV14" s="56"/>
      <c r="FW14" s="56"/>
      <c r="FX14" s="56"/>
      <c r="FY14" s="56"/>
      <c r="FZ14" s="56"/>
      <c r="GA14" s="56"/>
      <c r="GB14" s="56"/>
      <c r="GC14" s="56"/>
      <c r="GD14" s="56"/>
      <c r="GE14" s="56"/>
      <c r="GF14" s="56"/>
      <c r="GG14" s="56"/>
      <c r="GH14" s="56"/>
      <c r="GI14" s="56"/>
      <c r="GJ14" s="56"/>
      <c r="GK14" s="56"/>
      <c r="GL14" s="56"/>
      <c r="GM14" s="56"/>
      <c r="GN14" s="56"/>
      <c r="GO14" s="56"/>
      <c r="GP14" s="56"/>
      <c r="GQ14" s="56"/>
      <c r="GR14" s="56"/>
      <c r="GS14" s="56"/>
      <c r="GT14" s="56"/>
      <c r="GU14" s="56"/>
      <c r="GV14" s="56"/>
      <c r="GW14" s="56"/>
      <c r="GX14" s="56"/>
      <c r="GY14" s="56"/>
      <c r="GZ14" s="56"/>
      <c r="HA14" s="56"/>
      <c r="HB14" s="56"/>
      <c r="HC14" s="56"/>
      <c r="HD14" s="56"/>
      <c r="HE14" s="56"/>
      <c r="HF14" s="56"/>
      <c r="HG14" s="56"/>
      <c r="HH14" s="56"/>
      <c r="HI14" s="56"/>
      <c r="HJ14" s="56"/>
      <c r="HK14" s="56"/>
      <c r="HL14" s="56"/>
      <c r="HM14" s="56"/>
      <c r="HN14" s="56"/>
      <c r="HO14" s="56"/>
      <c r="HP14" s="56"/>
      <c r="HQ14" s="56"/>
      <c r="HR14" s="56"/>
      <c r="HS14" s="56"/>
      <c r="HT14" s="56"/>
      <c r="HU14" s="56"/>
      <c r="HV14" s="56"/>
      <c r="HW14" s="56"/>
      <c r="HX14" s="56"/>
      <c r="HY14" s="56"/>
      <c r="HZ14" s="56"/>
      <c r="IA14" s="56"/>
      <c r="IB14" s="56"/>
      <c r="IC14" s="56"/>
      <c r="ID14" s="56"/>
      <c r="IE14" s="56"/>
      <c r="IF14" s="56"/>
      <c r="IG14" s="56"/>
      <c r="IH14" s="56"/>
      <c r="II14" s="56"/>
      <c r="IJ14" s="56"/>
      <c r="IK14" s="56"/>
      <c r="IL14" s="56"/>
      <c r="IM14" s="56"/>
      <c r="IN14" s="56"/>
      <c r="IO14" s="56"/>
      <c r="IP14" s="56"/>
      <c r="IQ14" s="56"/>
      <c r="IR14" s="56"/>
      <c r="IS14" s="56"/>
      <c r="IT14" s="56"/>
      <c r="IU14" s="56"/>
      <c r="IV14" s="56"/>
      <c r="IW14" s="56"/>
      <c r="IX14" s="56"/>
      <c r="IY14" s="56"/>
      <c r="IZ14" s="56"/>
      <c r="JA14" s="56"/>
      <c r="JB14" s="56"/>
      <c r="JC14" s="56"/>
      <c r="JD14" s="56"/>
      <c r="JE14" s="56"/>
      <c r="JF14" s="56"/>
      <c r="JG14" s="56"/>
      <c r="JH14" s="56"/>
      <c r="JI14" s="56"/>
      <c r="JJ14" s="56"/>
      <c r="JK14" s="56"/>
      <c r="JL14" s="56"/>
      <c r="JM14" s="56"/>
      <c r="JN14" s="56"/>
      <c r="JO14" s="56"/>
      <c r="JP14" s="56"/>
      <c r="JQ14" s="56"/>
      <c r="JR14" s="56"/>
      <c r="JS14" s="56"/>
      <c r="JT14" s="56"/>
      <c r="JU14" s="56"/>
      <c r="JV14" s="56"/>
      <c r="JW14" s="56"/>
      <c r="JX14" s="56"/>
      <c r="JY14" s="56"/>
      <c r="JZ14" s="56"/>
      <c r="KA14" s="56"/>
      <c r="KB14" s="56"/>
      <c r="KC14" s="56"/>
      <c r="KD14" s="56"/>
      <c r="KE14" s="56"/>
      <c r="KF14" s="56"/>
      <c r="KG14" s="56"/>
      <c r="KH14" s="56"/>
      <c r="KI14" s="56"/>
      <c r="KJ14" s="56"/>
      <c r="KK14" s="56"/>
      <c r="KL14" s="56"/>
      <c r="KM14" s="56"/>
      <c r="KN14" s="56"/>
      <c r="KO14" s="56"/>
      <c r="KP14" s="56"/>
      <c r="KQ14" s="56"/>
      <c r="KR14" s="56"/>
      <c r="KS14" s="56"/>
      <c r="KT14" s="56"/>
      <c r="KU14" s="56"/>
      <c r="KV14" s="56"/>
      <c r="KW14" s="56"/>
      <c r="KX14" s="56"/>
    </row>
    <row r="15" spans="1:310" s="15" customFormat="1">
      <c r="A15" s="8"/>
      <c r="B15" s="46" t="s">
        <v>318</v>
      </c>
      <c r="C15" s="47" t="s">
        <v>300</v>
      </c>
      <c r="D15" s="48" t="s">
        <v>315</v>
      </c>
      <c r="E15" s="49">
        <v>1</v>
      </c>
      <c r="F15" s="50">
        <f t="shared" si="11"/>
        <v>46048</v>
      </c>
      <c r="G15" s="50">
        <f>+Hitos4352[[#This Row],[Inicio]]+Hitos4352[[#This Row],[Días]]</f>
        <v>46048.5</v>
      </c>
      <c r="H15" s="51">
        <v>0.5</v>
      </c>
      <c r="I15" s="14"/>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c r="BZ15" s="56"/>
      <c r="CA15" s="56"/>
      <c r="CB15" s="56"/>
      <c r="CC15" s="56"/>
      <c r="CD15" s="56"/>
      <c r="CE15" s="56"/>
      <c r="CF15" s="56"/>
      <c r="CG15" s="56"/>
      <c r="CH15" s="56"/>
      <c r="CI15" s="56"/>
      <c r="CJ15" s="56"/>
      <c r="CK15" s="56"/>
      <c r="CL15" s="56"/>
      <c r="CM15" s="56"/>
      <c r="CN15" s="56"/>
      <c r="CO15" s="56"/>
      <c r="CP15" s="56"/>
      <c r="CQ15" s="56"/>
      <c r="CR15" s="56"/>
      <c r="CS15" s="56"/>
      <c r="CT15" s="56"/>
      <c r="CU15" s="56"/>
      <c r="CV15" s="56"/>
      <c r="CW15" s="56"/>
      <c r="CX15" s="56"/>
      <c r="CY15" s="56"/>
      <c r="CZ15" s="56"/>
      <c r="DA15" s="56"/>
      <c r="DB15" s="56"/>
      <c r="DC15" s="56"/>
      <c r="DD15" s="56"/>
      <c r="DE15" s="56"/>
      <c r="DF15" s="56"/>
      <c r="DG15" s="56"/>
      <c r="DH15" s="56"/>
      <c r="DI15" s="56"/>
      <c r="DJ15" s="56"/>
      <c r="DK15" s="56"/>
      <c r="DL15" s="56"/>
      <c r="DM15" s="56"/>
      <c r="DN15" s="56"/>
      <c r="DO15" s="56"/>
      <c r="DP15" s="56"/>
      <c r="DQ15" s="56"/>
      <c r="DR15" s="56"/>
      <c r="DS15" s="56"/>
      <c r="DT15" s="56"/>
      <c r="DU15" s="56"/>
      <c r="DV15" s="56"/>
      <c r="DW15" s="56"/>
      <c r="DX15" s="56"/>
      <c r="DY15" s="56"/>
      <c r="DZ15" s="56"/>
      <c r="EA15" s="56"/>
      <c r="EB15" s="56"/>
      <c r="EC15" s="56"/>
      <c r="ED15" s="56"/>
      <c r="EE15" s="56"/>
      <c r="EF15" s="56"/>
      <c r="EG15" s="56"/>
      <c r="EH15" s="56"/>
      <c r="EI15" s="56"/>
      <c r="EJ15" s="56"/>
      <c r="EK15" s="56"/>
      <c r="EL15" s="56"/>
      <c r="EM15" s="56"/>
      <c r="EN15" s="56"/>
      <c r="EO15" s="56"/>
      <c r="EP15" s="56"/>
      <c r="EQ15" s="56"/>
      <c r="ER15" s="56"/>
      <c r="ES15" s="56"/>
      <c r="ET15" s="56"/>
      <c r="EU15" s="56"/>
      <c r="EV15" s="56"/>
      <c r="EW15" s="56"/>
      <c r="EX15" s="56"/>
      <c r="EY15" s="56"/>
      <c r="EZ15" s="56"/>
      <c r="FA15" s="56"/>
      <c r="FB15" s="56"/>
      <c r="FC15" s="56"/>
      <c r="FD15" s="56"/>
      <c r="FE15" s="56"/>
      <c r="FF15" s="56"/>
      <c r="FG15" s="56"/>
      <c r="FH15" s="56"/>
      <c r="FI15" s="56"/>
      <c r="FJ15" s="56"/>
      <c r="FK15" s="56"/>
      <c r="FL15" s="56"/>
      <c r="FM15" s="56"/>
      <c r="FN15" s="56"/>
      <c r="FO15" s="56"/>
      <c r="FP15" s="56"/>
      <c r="FQ15" s="56"/>
      <c r="FR15" s="56"/>
      <c r="FS15" s="56"/>
      <c r="FT15" s="56"/>
      <c r="FU15" s="56"/>
      <c r="FV15" s="56"/>
      <c r="FW15" s="56"/>
      <c r="FX15" s="56"/>
      <c r="FY15" s="56"/>
      <c r="FZ15" s="56"/>
      <c r="GA15" s="56"/>
      <c r="GB15" s="56"/>
      <c r="GC15" s="56"/>
      <c r="GD15" s="56"/>
      <c r="GE15" s="56"/>
      <c r="GF15" s="56"/>
      <c r="GG15" s="56"/>
      <c r="GH15" s="56"/>
      <c r="GI15" s="56"/>
      <c r="GJ15" s="56"/>
      <c r="GK15" s="56"/>
      <c r="GL15" s="56"/>
      <c r="GM15" s="56"/>
      <c r="GN15" s="56"/>
      <c r="GO15" s="56"/>
      <c r="GP15" s="56"/>
      <c r="GQ15" s="56"/>
      <c r="GR15" s="56"/>
      <c r="GS15" s="56"/>
      <c r="GT15" s="56"/>
      <c r="GU15" s="56"/>
      <c r="GV15" s="56"/>
      <c r="GW15" s="56"/>
      <c r="GX15" s="56"/>
      <c r="GY15" s="56"/>
      <c r="GZ15" s="56"/>
      <c r="HA15" s="56"/>
      <c r="HB15" s="56"/>
      <c r="HC15" s="56"/>
      <c r="HD15" s="56"/>
      <c r="HE15" s="56"/>
      <c r="HF15" s="56"/>
      <c r="HG15" s="56"/>
      <c r="HH15" s="56"/>
      <c r="HI15" s="56"/>
      <c r="HJ15" s="56"/>
      <c r="HK15" s="56"/>
      <c r="HL15" s="56"/>
      <c r="HM15" s="56"/>
      <c r="HN15" s="56"/>
      <c r="HO15" s="56"/>
      <c r="HP15" s="56"/>
      <c r="HQ15" s="56"/>
      <c r="HR15" s="56"/>
      <c r="HS15" s="56"/>
      <c r="HT15" s="56"/>
      <c r="HU15" s="56"/>
      <c r="HV15" s="56"/>
      <c r="HW15" s="56"/>
      <c r="HX15" s="56"/>
      <c r="HY15" s="56"/>
      <c r="HZ15" s="56"/>
      <c r="IA15" s="56"/>
      <c r="IB15" s="56"/>
      <c r="IC15" s="56"/>
      <c r="ID15" s="56"/>
      <c r="IE15" s="56"/>
      <c r="IF15" s="56"/>
      <c r="IG15" s="56"/>
      <c r="IH15" s="56"/>
      <c r="II15" s="56"/>
      <c r="IJ15" s="56"/>
      <c r="IK15" s="56"/>
      <c r="IL15" s="56"/>
      <c r="IM15" s="56"/>
      <c r="IN15" s="56"/>
      <c r="IO15" s="56"/>
      <c r="IP15" s="56"/>
      <c r="IQ15" s="56"/>
      <c r="IR15" s="56"/>
      <c r="IS15" s="56"/>
      <c r="IT15" s="56"/>
      <c r="IU15" s="56"/>
      <c r="IV15" s="56"/>
      <c r="IW15" s="56"/>
      <c r="IX15" s="56"/>
      <c r="IY15" s="56"/>
      <c r="IZ15" s="56"/>
      <c r="JA15" s="56"/>
      <c r="JB15" s="56"/>
      <c r="JC15" s="56"/>
      <c r="JD15" s="56"/>
      <c r="JE15" s="56"/>
      <c r="JF15" s="56"/>
      <c r="JG15" s="56"/>
      <c r="JH15" s="56"/>
      <c r="JI15" s="56"/>
      <c r="JJ15" s="56"/>
      <c r="JK15" s="56"/>
      <c r="JL15" s="56"/>
      <c r="JM15" s="56"/>
      <c r="JN15" s="56"/>
      <c r="JO15" s="56"/>
      <c r="JP15" s="56"/>
      <c r="JQ15" s="56"/>
      <c r="JR15" s="56"/>
      <c r="JS15" s="56"/>
      <c r="JT15" s="56"/>
      <c r="JU15" s="56"/>
      <c r="JV15" s="56"/>
      <c r="JW15" s="56"/>
      <c r="JX15" s="56"/>
      <c r="JY15" s="56"/>
      <c r="JZ15" s="56"/>
      <c r="KA15" s="56"/>
      <c r="KB15" s="56"/>
      <c r="KC15" s="56"/>
      <c r="KD15" s="56"/>
      <c r="KE15" s="56"/>
      <c r="KF15" s="56"/>
      <c r="KG15" s="56"/>
      <c r="KH15" s="56"/>
      <c r="KI15" s="56"/>
      <c r="KJ15" s="56"/>
      <c r="KK15" s="56"/>
      <c r="KL15" s="56"/>
      <c r="KM15" s="56"/>
      <c r="KN15" s="56"/>
      <c r="KO15" s="56"/>
      <c r="KP15" s="56"/>
      <c r="KQ15" s="56"/>
      <c r="KR15" s="56"/>
      <c r="KS15" s="56"/>
      <c r="KT15" s="56"/>
      <c r="KU15" s="56"/>
      <c r="KV15" s="56"/>
      <c r="KW15" s="56"/>
      <c r="KX15" s="56"/>
    </row>
    <row r="16" spans="1:310" s="15" customFormat="1" ht="26.4">
      <c r="A16" s="8"/>
      <c r="B16" s="46" t="s">
        <v>350</v>
      </c>
      <c r="C16" s="47" t="s">
        <v>300</v>
      </c>
      <c r="D16" s="48" t="s">
        <v>315</v>
      </c>
      <c r="E16" s="49">
        <v>1</v>
      </c>
      <c r="F16" s="50">
        <f t="shared" si="11"/>
        <v>46048.5</v>
      </c>
      <c r="G16" s="50">
        <f>+Hitos4352[[#This Row],[Inicio]]+Hitos4352[[#This Row],[Días]]</f>
        <v>46049.5</v>
      </c>
      <c r="H16" s="51">
        <v>1</v>
      </c>
      <c r="I16" s="14"/>
      <c r="J16" s="56"/>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c r="CD16" s="56"/>
      <c r="CE16" s="56"/>
      <c r="CF16" s="56"/>
      <c r="CG16" s="56"/>
      <c r="CH16" s="56"/>
      <c r="CI16" s="56"/>
      <c r="CJ16" s="56"/>
      <c r="CK16" s="56"/>
      <c r="CL16" s="56"/>
      <c r="CM16" s="56"/>
      <c r="CN16" s="56"/>
      <c r="CO16" s="56"/>
      <c r="CP16" s="56"/>
      <c r="CQ16" s="56"/>
      <c r="CR16" s="56"/>
      <c r="CS16" s="56"/>
      <c r="CT16" s="56"/>
      <c r="CU16" s="56"/>
      <c r="CV16" s="56"/>
      <c r="CW16" s="56"/>
      <c r="CX16" s="56"/>
      <c r="CY16" s="56"/>
      <c r="CZ16" s="56"/>
      <c r="DA16" s="56"/>
      <c r="DB16" s="56"/>
      <c r="DC16" s="56"/>
      <c r="DD16" s="56"/>
      <c r="DE16" s="56"/>
      <c r="DF16" s="56"/>
      <c r="DG16" s="56"/>
      <c r="DH16" s="56"/>
      <c r="DI16" s="56"/>
      <c r="DJ16" s="56"/>
      <c r="DK16" s="56"/>
      <c r="DL16" s="56"/>
      <c r="DM16" s="56"/>
      <c r="DN16" s="56"/>
      <c r="DO16" s="56"/>
      <c r="DP16" s="56"/>
      <c r="DQ16" s="56"/>
      <c r="DR16" s="56"/>
      <c r="DS16" s="56"/>
      <c r="DT16" s="56"/>
      <c r="DU16" s="56"/>
      <c r="DV16" s="56"/>
      <c r="DW16" s="56"/>
      <c r="DX16" s="56"/>
      <c r="DY16" s="56"/>
      <c r="DZ16" s="56"/>
      <c r="EA16" s="56"/>
      <c r="EB16" s="56"/>
      <c r="EC16" s="56"/>
      <c r="ED16" s="56"/>
      <c r="EE16" s="56"/>
      <c r="EF16" s="56"/>
      <c r="EG16" s="56"/>
      <c r="EH16" s="56"/>
      <c r="EI16" s="56"/>
      <c r="EJ16" s="56"/>
      <c r="EK16" s="56"/>
      <c r="EL16" s="56"/>
      <c r="EM16" s="56"/>
      <c r="EN16" s="56"/>
      <c r="EO16" s="56"/>
      <c r="EP16" s="56"/>
      <c r="EQ16" s="56"/>
      <c r="ER16" s="56"/>
      <c r="ES16" s="56"/>
      <c r="ET16" s="56"/>
      <c r="EU16" s="56"/>
      <c r="EV16" s="56"/>
      <c r="EW16" s="56"/>
      <c r="EX16" s="56"/>
      <c r="EY16" s="56"/>
      <c r="EZ16" s="56"/>
      <c r="FA16" s="56"/>
      <c r="FB16" s="56"/>
      <c r="FC16" s="56"/>
      <c r="FD16" s="56"/>
      <c r="FE16" s="56"/>
      <c r="FF16" s="56"/>
      <c r="FG16" s="56"/>
      <c r="FH16" s="56"/>
      <c r="FI16" s="56"/>
      <c r="FJ16" s="56"/>
      <c r="FK16" s="56"/>
      <c r="FL16" s="56"/>
      <c r="FM16" s="56"/>
      <c r="FN16" s="56"/>
      <c r="FO16" s="56"/>
      <c r="FP16" s="56"/>
      <c r="FQ16" s="56"/>
      <c r="FR16" s="56"/>
      <c r="FS16" s="56"/>
      <c r="FT16" s="56"/>
      <c r="FU16" s="56"/>
      <c r="FV16" s="56"/>
      <c r="FW16" s="56"/>
      <c r="FX16" s="56"/>
      <c r="FY16" s="56"/>
      <c r="FZ16" s="56"/>
      <c r="GA16" s="56"/>
      <c r="GB16" s="56"/>
      <c r="GC16" s="56"/>
      <c r="GD16" s="56"/>
      <c r="GE16" s="56"/>
      <c r="GF16" s="56"/>
      <c r="GG16" s="56"/>
      <c r="GH16" s="56"/>
      <c r="GI16" s="56"/>
      <c r="GJ16" s="56"/>
      <c r="GK16" s="56"/>
      <c r="GL16" s="56"/>
      <c r="GM16" s="56"/>
      <c r="GN16" s="56"/>
      <c r="GO16" s="56"/>
      <c r="GP16" s="56"/>
      <c r="GQ16" s="56"/>
      <c r="GR16" s="56"/>
      <c r="GS16" s="56"/>
      <c r="GT16" s="56"/>
      <c r="GU16" s="56"/>
      <c r="GV16" s="56"/>
      <c r="GW16" s="56"/>
      <c r="GX16" s="56"/>
      <c r="GY16" s="56"/>
      <c r="GZ16" s="56"/>
      <c r="HA16" s="56"/>
      <c r="HB16" s="56"/>
      <c r="HC16" s="56"/>
      <c r="HD16" s="56"/>
      <c r="HE16" s="56"/>
      <c r="HF16" s="56"/>
      <c r="HG16" s="56"/>
      <c r="HH16" s="56"/>
      <c r="HI16" s="56"/>
      <c r="HJ16" s="56"/>
      <c r="HK16" s="56"/>
      <c r="HL16" s="56"/>
      <c r="HM16" s="56"/>
      <c r="HN16" s="56"/>
      <c r="HO16" s="56"/>
      <c r="HP16" s="56"/>
      <c r="HQ16" s="56"/>
      <c r="HR16" s="56"/>
      <c r="HS16" s="56"/>
      <c r="HT16" s="56"/>
      <c r="HU16" s="56"/>
      <c r="HV16" s="56"/>
      <c r="HW16" s="56"/>
      <c r="HX16" s="56"/>
      <c r="HY16" s="56"/>
      <c r="HZ16" s="56"/>
      <c r="IA16" s="56"/>
      <c r="IB16" s="56"/>
      <c r="IC16" s="56"/>
      <c r="ID16" s="56"/>
      <c r="IE16" s="56"/>
      <c r="IF16" s="56"/>
      <c r="IG16" s="56"/>
      <c r="IH16" s="56"/>
      <c r="II16" s="56"/>
      <c r="IJ16" s="56"/>
      <c r="IK16" s="56"/>
      <c r="IL16" s="56"/>
      <c r="IM16" s="56"/>
      <c r="IN16" s="56"/>
      <c r="IO16" s="56"/>
      <c r="IP16" s="56"/>
      <c r="IQ16" s="56"/>
      <c r="IR16" s="56"/>
      <c r="IS16" s="56"/>
      <c r="IT16" s="56"/>
      <c r="IU16" s="56"/>
      <c r="IV16" s="56"/>
      <c r="IW16" s="56"/>
      <c r="IX16" s="56"/>
      <c r="IY16" s="56"/>
      <c r="IZ16" s="56"/>
      <c r="JA16" s="56"/>
      <c r="JB16" s="56"/>
      <c r="JC16" s="56"/>
      <c r="JD16" s="56"/>
      <c r="JE16" s="56"/>
      <c r="JF16" s="56"/>
      <c r="JG16" s="56"/>
      <c r="JH16" s="56"/>
      <c r="JI16" s="56"/>
      <c r="JJ16" s="56"/>
      <c r="JK16" s="56"/>
      <c r="JL16" s="56"/>
      <c r="JM16" s="56"/>
      <c r="JN16" s="56"/>
      <c r="JO16" s="56"/>
      <c r="JP16" s="56"/>
      <c r="JQ16" s="56"/>
      <c r="JR16" s="56"/>
      <c r="JS16" s="56"/>
      <c r="JT16" s="56"/>
      <c r="JU16" s="56"/>
      <c r="JV16" s="56"/>
      <c r="JW16" s="56"/>
      <c r="JX16" s="56"/>
      <c r="JY16" s="56"/>
      <c r="JZ16" s="56"/>
      <c r="KA16" s="56"/>
      <c r="KB16" s="56"/>
      <c r="KC16" s="56"/>
      <c r="KD16" s="56"/>
      <c r="KE16" s="56"/>
      <c r="KF16" s="56"/>
      <c r="KG16" s="56"/>
      <c r="KH16" s="56"/>
      <c r="KI16" s="56"/>
      <c r="KJ16" s="56"/>
      <c r="KK16" s="56"/>
      <c r="KL16" s="56"/>
      <c r="KM16" s="56"/>
      <c r="KN16" s="56"/>
      <c r="KO16" s="56"/>
      <c r="KP16" s="56"/>
      <c r="KQ16" s="56"/>
      <c r="KR16" s="56"/>
      <c r="KS16" s="56"/>
      <c r="KT16" s="56"/>
      <c r="KU16" s="56"/>
      <c r="KV16" s="56"/>
      <c r="KW16" s="56"/>
      <c r="KX16" s="56"/>
    </row>
    <row r="17" spans="1:310" s="15" customFormat="1">
      <c r="A17" s="8"/>
      <c r="B17" s="46" t="s">
        <v>354</v>
      </c>
      <c r="C17" s="47" t="s">
        <v>300</v>
      </c>
      <c r="D17" s="48" t="s">
        <v>361</v>
      </c>
      <c r="E17" s="49">
        <v>0</v>
      </c>
      <c r="F17" s="50">
        <v>46055</v>
      </c>
      <c r="G17" s="50">
        <f>+Hitos4352[[#This Row],[Inicio]]+Hitos4352[[#This Row],[Días]]</f>
        <v>46056</v>
      </c>
      <c r="H17" s="51">
        <v>1</v>
      </c>
      <c r="I17" s="14"/>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C17" s="56"/>
      <c r="CD17" s="56"/>
      <c r="CE17" s="56"/>
      <c r="CF17" s="56"/>
      <c r="CG17" s="56"/>
      <c r="CH17" s="56"/>
      <c r="CI17" s="56"/>
      <c r="CJ17" s="56"/>
      <c r="CK17" s="56"/>
      <c r="CL17" s="56"/>
      <c r="CM17" s="56"/>
      <c r="CN17" s="56"/>
      <c r="CO17" s="56"/>
      <c r="CP17" s="56"/>
      <c r="CQ17" s="56"/>
      <c r="CR17" s="56"/>
      <c r="CS17" s="56"/>
      <c r="CT17" s="56"/>
      <c r="CU17" s="56"/>
      <c r="CV17" s="56"/>
      <c r="CW17" s="56"/>
      <c r="CX17" s="56"/>
      <c r="CY17" s="56"/>
      <c r="CZ17" s="56"/>
      <c r="DA17" s="56"/>
      <c r="DB17" s="56"/>
      <c r="DC17" s="56"/>
      <c r="DD17" s="56"/>
      <c r="DE17" s="56"/>
      <c r="DF17" s="56"/>
      <c r="DG17" s="56"/>
      <c r="DH17" s="56"/>
      <c r="DI17" s="56"/>
      <c r="DJ17" s="56"/>
      <c r="DK17" s="56"/>
      <c r="DL17" s="56"/>
      <c r="DM17" s="56"/>
      <c r="DN17" s="56"/>
      <c r="DO17" s="56"/>
      <c r="DP17" s="56"/>
      <c r="DQ17" s="56"/>
      <c r="DR17" s="56"/>
      <c r="DS17" s="56"/>
      <c r="DT17" s="56"/>
      <c r="DU17" s="56"/>
      <c r="DV17" s="56"/>
      <c r="DW17" s="56"/>
      <c r="DX17" s="56"/>
      <c r="DY17" s="56"/>
      <c r="DZ17" s="56"/>
      <c r="EA17" s="56"/>
      <c r="EB17" s="56"/>
      <c r="EC17" s="56"/>
      <c r="ED17" s="56"/>
      <c r="EE17" s="56"/>
      <c r="EF17" s="56"/>
      <c r="EG17" s="56"/>
      <c r="EH17" s="56"/>
      <c r="EI17" s="56"/>
      <c r="EJ17" s="56"/>
      <c r="EK17" s="56"/>
      <c r="EL17" s="56"/>
      <c r="EM17" s="56"/>
      <c r="EN17" s="56"/>
      <c r="EO17" s="56"/>
      <c r="EP17" s="56"/>
      <c r="EQ17" s="56"/>
      <c r="ER17" s="56"/>
      <c r="ES17" s="56"/>
      <c r="ET17" s="56"/>
      <c r="EU17" s="56"/>
      <c r="EV17" s="56"/>
      <c r="EW17" s="56"/>
      <c r="EX17" s="56"/>
      <c r="EY17" s="56"/>
      <c r="EZ17" s="56"/>
      <c r="FA17" s="56"/>
      <c r="FB17" s="56"/>
      <c r="FC17" s="56"/>
      <c r="FD17" s="56"/>
      <c r="FE17" s="56"/>
      <c r="FF17" s="56"/>
      <c r="FG17" s="56"/>
      <c r="FH17" s="56"/>
      <c r="FI17" s="56"/>
      <c r="FJ17" s="56"/>
      <c r="FK17" s="56"/>
      <c r="FL17" s="56"/>
      <c r="FM17" s="56"/>
      <c r="FN17" s="56"/>
      <c r="FO17" s="56"/>
      <c r="FP17" s="56"/>
      <c r="FQ17" s="56"/>
      <c r="FR17" s="56"/>
      <c r="FS17" s="56"/>
      <c r="FT17" s="56"/>
      <c r="FU17" s="56"/>
      <c r="FV17" s="56"/>
      <c r="FW17" s="56"/>
      <c r="FX17" s="56"/>
      <c r="FY17" s="56"/>
      <c r="FZ17" s="56"/>
      <c r="GA17" s="56"/>
      <c r="GB17" s="56"/>
      <c r="GC17" s="56"/>
      <c r="GD17" s="56"/>
      <c r="GE17" s="56"/>
      <c r="GF17" s="56"/>
      <c r="GG17" s="56"/>
      <c r="GH17" s="56"/>
      <c r="GI17" s="56"/>
      <c r="GJ17" s="56"/>
      <c r="GK17" s="56"/>
      <c r="GL17" s="56"/>
      <c r="GM17" s="56"/>
      <c r="GN17" s="56"/>
      <c r="GO17" s="56"/>
      <c r="GP17" s="56"/>
      <c r="GQ17" s="56"/>
      <c r="GR17" s="56"/>
      <c r="GS17" s="56"/>
      <c r="GT17" s="56"/>
      <c r="GU17" s="56"/>
      <c r="GV17" s="56"/>
      <c r="GW17" s="56"/>
      <c r="GX17" s="56"/>
      <c r="GY17" s="56"/>
      <c r="GZ17" s="56"/>
      <c r="HA17" s="56"/>
      <c r="HB17" s="56"/>
      <c r="HC17" s="56"/>
      <c r="HD17" s="56"/>
      <c r="HE17" s="56"/>
      <c r="HF17" s="56"/>
      <c r="HG17" s="56"/>
      <c r="HH17" s="56"/>
      <c r="HI17" s="56"/>
      <c r="HJ17" s="56"/>
      <c r="HK17" s="56"/>
      <c r="HL17" s="56"/>
      <c r="HM17" s="56"/>
      <c r="HN17" s="56"/>
      <c r="HO17" s="56"/>
      <c r="HP17" s="56"/>
      <c r="HQ17" s="56"/>
      <c r="HR17" s="56"/>
      <c r="HS17" s="56"/>
      <c r="HT17" s="56"/>
      <c r="HU17" s="56"/>
      <c r="HV17" s="56"/>
      <c r="HW17" s="56"/>
      <c r="HX17" s="56"/>
      <c r="HY17" s="56"/>
      <c r="HZ17" s="56"/>
      <c r="IA17" s="56"/>
      <c r="IB17" s="56"/>
      <c r="IC17" s="56"/>
      <c r="ID17" s="56"/>
      <c r="IE17" s="56"/>
      <c r="IF17" s="56"/>
      <c r="IG17" s="56"/>
      <c r="IH17" s="56"/>
      <c r="II17" s="56"/>
      <c r="IJ17" s="56"/>
      <c r="IK17" s="56"/>
      <c r="IL17" s="56"/>
      <c r="IM17" s="56"/>
      <c r="IN17" s="56"/>
      <c r="IO17" s="56"/>
      <c r="IP17" s="56"/>
      <c r="IQ17" s="56"/>
      <c r="IR17" s="56"/>
      <c r="IS17" s="56"/>
      <c r="IT17" s="56"/>
      <c r="IU17" s="56"/>
      <c r="IV17" s="56"/>
      <c r="IW17" s="56"/>
      <c r="IX17" s="56"/>
      <c r="IY17" s="56"/>
      <c r="IZ17" s="56"/>
      <c r="JA17" s="56"/>
      <c r="JB17" s="56"/>
      <c r="JC17" s="56"/>
      <c r="JD17" s="56"/>
      <c r="JE17" s="56"/>
      <c r="JF17" s="56"/>
      <c r="JG17" s="56"/>
      <c r="JH17" s="56"/>
      <c r="JI17" s="56"/>
      <c r="JJ17" s="56"/>
      <c r="JK17" s="56"/>
      <c r="JL17" s="56"/>
      <c r="JM17" s="56"/>
      <c r="JN17" s="56"/>
      <c r="JO17" s="56"/>
      <c r="JP17" s="56"/>
      <c r="JQ17" s="56"/>
      <c r="JR17" s="56"/>
      <c r="JS17" s="56"/>
      <c r="JT17" s="56"/>
      <c r="JU17" s="56"/>
      <c r="JV17" s="56"/>
      <c r="JW17" s="56"/>
      <c r="JX17" s="56"/>
      <c r="JY17" s="56"/>
      <c r="JZ17" s="56"/>
      <c r="KA17" s="56"/>
      <c r="KB17" s="56"/>
      <c r="KC17" s="56"/>
      <c r="KD17" s="56"/>
      <c r="KE17" s="56"/>
      <c r="KF17" s="56"/>
      <c r="KG17" s="56"/>
      <c r="KH17" s="56"/>
      <c r="KI17" s="56"/>
      <c r="KJ17" s="56"/>
      <c r="KK17" s="56"/>
      <c r="KL17" s="56"/>
      <c r="KM17" s="56"/>
      <c r="KN17" s="56"/>
      <c r="KO17" s="56"/>
      <c r="KP17" s="56"/>
      <c r="KQ17" s="56"/>
      <c r="KR17" s="56"/>
      <c r="KS17" s="56"/>
      <c r="KT17" s="56"/>
      <c r="KU17" s="56"/>
      <c r="KV17" s="56"/>
      <c r="KW17" s="56"/>
      <c r="KX17" s="56"/>
    </row>
    <row r="18" spans="1:310" s="15" customFormat="1">
      <c r="A18" s="40" t="s">
        <v>314</v>
      </c>
      <c r="B18" s="41" t="s">
        <v>319</v>
      </c>
      <c r="C18" s="42" t="s">
        <v>303</v>
      </c>
      <c r="D18" s="43" t="s">
        <v>315</v>
      </c>
      <c r="E18" s="42">
        <f>+((E19*H19))/SUM(H19)</f>
        <v>0.94838709677419353</v>
      </c>
      <c r="F18" s="44">
        <f>+F19</f>
        <v>46050</v>
      </c>
      <c r="G18" s="44">
        <f>+G19</f>
        <v>46059</v>
      </c>
      <c r="H18" s="45">
        <f>+SUM(H19)</f>
        <v>48</v>
      </c>
      <c r="I18" s="14"/>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M18" s="56"/>
      <c r="CN18" s="56"/>
      <c r="CO18" s="56"/>
      <c r="CP18" s="56"/>
      <c r="CQ18" s="56"/>
      <c r="CR18" s="56"/>
      <c r="CS18" s="56"/>
      <c r="CT18" s="56"/>
      <c r="CU18" s="56"/>
      <c r="CV18" s="56"/>
      <c r="CW18" s="56"/>
      <c r="CX18" s="56"/>
      <c r="CY18" s="56"/>
      <c r="CZ18" s="56"/>
      <c r="DA18" s="56"/>
      <c r="DB18" s="56"/>
      <c r="DC18" s="56"/>
      <c r="DD18" s="56"/>
      <c r="DE18" s="56"/>
      <c r="DF18" s="56"/>
      <c r="DG18" s="56"/>
      <c r="DH18" s="56"/>
      <c r="DI18" s="56"/>
      <c r="DJ18" s="56"/>
      <c r="DK18" s="56"/>
      <c r="DL18" s="56"/>
      <c r="DM18" s="56"/>
      <c r="DN18" s="56"/>
      <c r="DO18" s="56"/>
      <c r="DP18" s="56"/>
      <c r="DQ18" s="56"/>
      <c r="DR18" s="56"/>
      <c r="DS18" s="56"/>
      <c r="DT18" s="56"/>
      <c r="DU18" s="56"/>
      <c r="DV18" s="56"/>
      <c r="DW18" s="56"/>
      <c r="DX18" s="56"/>
      <c r="DY18" s="56"/>
      <c r="DZ18" s="56"/>
      <c r="EA18" s="56"/>
      <c r="EB18" s="56"/>
      <c r="EC18" s="56"/>
      <c r="ED18" s="56"/>
      <c r="EE18" s="56"/>
      <c r="EF18" s="56"/>
      <c r="EG18" s="56"/>
      <c r="EH18" s="56"/>
      <c r="EI18" s="56"/>
      <c r="EJ18" s="56"/>
      <c r="EK18" s="56"/>
      <c r="EL18" s="56"/>
      <c r="EM18" s="56"/>
      <c r="EN18" s="56"/>
      <c r="EO18" s="56"/>
      <c r="EP18" s="56"/>
      <c r="EQ18" s="56"/>
      <c r="ER18" s="56"/>
      <c r="ES18" s="56"/>
      <c r="ET18" s="56"/>
      <c r="EU18" s="56"/>
      <c r="EV18" s="56"/>
      <c r="EW18" s="56"/>
      <c r="EX18" s="56"/>
      <c r="EY18" s="56"/>
      <c r="EZ18" s="56"/>
      <c r="FA18" s="56"/>
      <c r="FB18" s="56"/>
      <c r="FC18" s="56"/>
      <c r="FD18" s="56"/>
      <c r="FE18" s="56"/>
      <c r="FF18" s="56"/>
      <c r="FG18" s="56"/>
      <c r="FH18" s="56"/>
      <c r="FI18" s="56"/>
      <c r="FJ18" s="56"/>
      <c r="FK18" s="56"/>
      <c r="FL18" s="56"/>
      <c r="FM18" s="56"/>
      <c r="FN18" s="56"/>
      <c r="FO18" s="56"/>
      <c r="FP18" s="56"/>
      <c r="FQ18" s="56"/>
      <c r="FR18" s="56"/>
      <c r="FS18" s="56"/>
      <c r="FT18" s="56"/>
      <c r="FU18" s="56"/>
      <c r="FV18" s="56"/>
      <c r="FW18" s="56"/>
      <c r="FX18" s="56"/>
      <c r="FY18" s="56"/>
      <c r="FZ18" s="56"/>
      <c r="GA18" s="56"/>
      <c r="GB18" s="56"/>
      <c r="GC18" s="56"/>
      <c r="GD18" s="56"/>
      <c r="GE18" s="56"/>
      <c r="GF18" s="56"/>
      <c r="GG18" s="56"/>
      <c r="GH18" s="56"/>
      <c r="GI18" s="56"/>
      <c r="GJ18" s="56"/>
      <c r="GK18" s="56"/>
      <c r="GL18" s="56"/>
      <c r="GM18" s="56"/>
      <c r="GN18" s="56"/>
      <c r="GO18" s="56"/>
      <c r="GP18" s="56"/>
      <c r="GQ18" s="56"/>
      <c r="GR18" s="56"/>
      <c r="GS18" s="56"/>
      <c r="GT18" s="56"/>
      <c r="GU18" s="56"/>
      <c r="GV18" s="56"/>
      <c r="GW18" s="56"/>
      <c r="GX18" s="56"/>
      <c r="GY18" s="56"/>
      <c r="GZ18" s="56"/>
      <c r="HA18" s="56"/>
      <c r="HB18" s="56"/>
      <c r="HC18" s="56"/>
      <c r="HD18" s="56"/>
      <c r="HE18" s="56"/>
      <c r="HF18" s="56"/>
      <c r="HG18" s="56"/>
      <c r="HH18" s="56"/>
      <c r="HI18" s="56"/>
      <c r="HJ18" s="56"/>
      <c r="HK18" s="56"/>
      <c r="HL18" s="56"/>
      <c r="HM18" s="56"/>
      <c r="HN18" s="56"/>
      <c r="HO18" s="56"/>
      <c r="HP18" s="56"/>
      <c r="HQ18" s="56"/>
      <c r="HR18" s="56"/>
      <c r="HS18" s="56"/>
      <c r="HT18" s="56"/>
      <c r="HU18" s="56"/>
      <c r="HV18" s="56"/>
      <c r="HW18" s="56"/>
      <c r="HX18" s="56"/>
      <c r="HY18" s="56"/>
      <c r="HZ18" s="56"/>
      <c r="IA18" s="56"/>
      <c r="IB18" s="56"/>
      <c r="IC18" s="56"/>
      <c r="ID18" s="56"/>
      <c r="IE18" s="56"/>
      <c r="IF18" s="56"/>
      <c r="IG18" s="56"/>
      <c r="IH18" s="56"/>
      <c r="II18" s="56"/>
      <c r="IJ18" s="56"/>
      <c r="IK18" s="56"/>
      <c r="IL18" s="56"/>
      <c r="IM18" s="56"/>
      <c r="IN18" s="56"/>
      <c r="IO18" s="56"/>
      <c r="IP18" s="56"/>
      <c r="IQ18" s="56"/>
      <c r="IR18" s="56"/>
      <c r="IS18" s="56"/>
      <c r="IT18" s="56"/>
      <c r="IU18" s="56"/>
      <c r="IV18" s="56"/>
      <c r="IW18" s="56"/>
      <c r="IX18" s="56"/>
      <c r="IY18" s="56"/>
      <c r="IZ18" s="56"/>
      <c r="JA18" s="56"/>
      <c r="JB18" s="56"/>
      <c r="JC18" s="56"/>
      <c r="JD18" s="56"/>
      <c r="JE18" s="56"/>
      <c r="JF18" s="56"/>
      <c r="JG18" s="56"/>
      <c r="JH18" s="56"/>
      <c r="JI18" s="56"/>
      <c r="JJ18" s="56"/>
      <c r="JK18" s="56"/>
      <c r="JL18" s="56"/>
      <c r="JM18" s="56"/>
      <c r="JN18" s="56"/>
      <c r="JO18" s="56"/>
      <c r="JP18" s="56"/>
      <c r="JQ18" s="56"/>
      <c r="JR18" s="56"/>
      <c r="JS18" s="56"/>
      <c r="JT18" s="56"/>
      <c r="JU18" s="56"/>
      <c r="JV18" s="56"/>
      <c r="JW18" s="56"/>
      <c r="JX18" s="56"/>
      <c r="JY18" s="56"/>
      <c r="JZ18" s="56"/>
      <c r="KA18" s="56"/>
      <c r="KB18" s="56"/>
      <c r="KC18" s="56"/>
      <c r="KD18" s="56"/>
      <c r="KE18" s="56"/>
      <c r="KF18" s="56"/>
      <c r="KG18" s="56"/>
      <c r="KH18" s="56"/>
      <c r="KI18" s="56"/>
      <c r="KJ18" s="56"/>
      <c r="KK18" s="56"/>
      <c r="KL18" s="56"/>
      <c r="KM18" s="56"/>
      <c r="KN18" s="56"/>
      <c r="KO18" s="56"/>
      <c r="KP18" s="56"/>
      <c r="KQ18" s="56"/>
      <c r="KR18" s="56"/>
      <c r="KS18" s="56"/>
      <c r="KT18" s="56"/>
      <c r="KU18" s="56"/>
      <c r="KV18" s="56"/>
      <c r="KW18" s="56"/>
      <c r="KX18" s="56"/>
    </row>
    <row r="19" spans="1:310" s="15" customFormat="1">
      <c r="A19" s="8"/>
      <c r="B19" s="46" t="s">
        <v>352</v>
      </c>
      <c r="C19" s="47" t="s">
        <v>302</v>
      </c>
      <c r="D19" s="48" t="s">
        <v>315</v>
      </c>
      <c r="E19" s="60">
        <f>+((E20*H20)+(E21*H21)+(E22*H22)+(E23*H23)+(E24*H24)+(E25*H25)+(E26*H26)+(E27*H27)+(E28*H28)+(E29*H29))/SUM(H20:H29)</f>
        <v>0.94838709677419353</v>
      </c>
      <c r="F19" s="50">
        <f>+F20</f>
        <v>46050</v>
      </c>
      <c r="G19" s="50">
        <f>+G28</f>
        <v>46059</v>
      </c>
      <c r="H19" s="51">
        <f>+SUM(H20:H32)</f>
        <v>48</v>
      </c>
      <c r="I19" s="14"/>
      <c r="J19" s="56" t="str">
        <f t="shared" si="5"/>
        <v/>
      </c>
      <c r="K19" s="56" t="str">
        <f t="shared" si="5"/>
        <v/>
      </c>
      <c r="L19" s="56" t="str">
        <f t="shared" si="5"/>
        <v/>
      </c>
      <c r="M19" s="56" t="str">
        <f t="shared" si="5"/>
        <v/>
      </c>
      <c r="N19" s="56" t="str">
        <f t="shared" si="5"/>
        <v/>
      </c>
      <c r="O19" s="56" t="str">
        <f t="shared" si="5"/>
        <v/>
      </c>
      <c r="P19" s="56" t="str">
        <f t="shared" si="5"/>
        <v/>
      </c>
      <c r="Q19" s="56" t="str">
        <f t="shared" si="5"/>
        <v/>
      </c>
      <c r="R19" s="56" t="str">
        <f t="shared" si="5"/>
        <v/>
      </c>
      <c r="S19" s="56" t="str">
        <f t="shared" si="5"/>
        <v/>
      </c>
      <c r="T19" s="56" t="str">
        <f t="shared" si="5"/>
        <v/>
      </c>
      <c r="U19" s="56" t="str">
        <f t="shared" si="5"/>
        <v/>
      </c>
      <c r="V19" s="56" t="str">
        <f t="shared" si="5"/>
        <v/>
      </c>
      <c r="W19" s="56" t="str">
        <f t="shared" si="5"/>
        <v/>
      </c>
      <c r="X19" s="56" t="str">
        <f t="shared" si="5"/>
        <v/>
      </c>
      <c r="Y19" s="56" t="str">
        <f t="shared" si="5"/>
        <v/>
      </c>
      <c r="Z19" s="56" t="str">
        <f t="shared" ref="Z19:AO19" si="12">IF(AND($C19="Objetivo",Z$7&gt;=$F19,Z$7&lt;=$F19+$H19-1),2,IF(AND($C19="Hito",Z$7&gt;=$F19,Z$7&lt;=$F19+$H19-1),1,""))</f>
        <v/>
      </c>
      <c r="AA19" s="56" t="str">
        <f t="shared" si="12"/>
        <v/>
      </c>
      <c r="AB19" s="56" t="str">
        <f t="shared" si="12"/>
        <v/>
      </c>
      <c r="AC19" s="56" t="str">
        <f t="shared" si="12"/>
        <v/>
      </c>
      <c r="AD19" s="56" t="str">
        <f t="shared" si="12"/>
        <v/>
      </c>
      <c r="AE19" s="56" t="str">
        <f t="shared" si="12"/>
        <v/>
      </c>
      <c r="AF19" s="56" t="str">
        <f t="shared" si="12"/>
        <v/>
      </c>
      <c r="AG19" s="56" t="str">
        <f t="shared" si="12"/>
        <v/>
      </c>
      <c r="AH19" s="56" t="str">
        <f t="shared" si="12"/>
        <v/>
      </c>
      <c r="AI19" s="56" t="str">
        <f t="shared" si="12"/>
        <v/>
      </c>
      <c r="AJ19" s="56" t="str">
        <f t="shared" si="12"/>
        <v/>
      </c>
      <c r="AK19" s="56" t="str">
        <f t="shared" si="12"/>
        <v/>
      </c>
      <c r="AL19" s="56" t="str">
        <f t="shared" si="12"/>
        <v/>
      </c>
      <c r="AM19" s="56" t="str">
        <f t="shared" si="12"/>
        <v/>
      </c>
      <c r="AN19" s="56" t="str">
        <f t="shared" si="12"/>
        <v/>
      </c>
      <c r="AO19" s="56" t="str">
        <f t="shared" si="12"/>
        <v/>
      </c>
      <c r="AP19" s="56" t="str">
        <f t="shared" ref="AP19:BE19" si="13">IF(AND($C19="Objetivo",AP$7&gt;=$F19,AP$7&lt;=$F19+$H19-1),2,IF(AND($C19="Hito",AP$7&gt;=$F19,AP$7&lt;=$F19+$H19-1),1,""))</f>
        <v/>
      </c>
      <c r="AQ19" s="56" t="str">
        <f t="shared" si="13"/>
        <v/>
      </c>
      <c r="AR19" s="56" t="str">
        <f t="shared" si="13"/>
        <v/>
      </c>
      <c r="AS19" s="56" t="str">
        <f t="shared" si="13"/>
        <v/>
      </c>
      <c r="AT19" s="56" t="str">
        <f t="shared" si="13"/>
        <v/>
      </c>
      <c r="AU19" s="56" t="str">
        <f t="shared" si="13"/>
        <v/>
      </c>
      <c r="AV19" s="56" t="str">
        <f t="shared" si="13"/>
        <v/>
      </c>
      <c r="AW19" s="56" t="str">
        <f t="shared" si="13"/>
        <v/>
      </c>
      <c r="AX19" s="56" t="str">
        <f t="shared" si="13"/>
        <v/>
      </c>
      <c r="AY19" s="56" t="str">
        <f t="shared" si="13"/>
        <v/>
      </c>
      <c r="AZ19" s="56" t="str">
        <f t="shared" si="13"/>
        <v/>
      </c>
      <c r="BA19" s="56" t="str">
        <f t="shared" si="13"/>
        <v/>
      </c>
      <c r="BB19" s="56" t="str">
        <f t="shared" si="13"/>
        <v/>
      </c>
      <c r="BC19" s="56" t="str">
        <f t="shared" si="13"/>
        <v/>
      </c>
      <c r="BD19" s="56" t="str">
        <f t="shared" si="13"/>
        <v/>
      </c>
      <c r="BE19" s="56" t="str">
        <f t="shared" si="13"/>
        <v/>
      </c>
      <c r="BF19" s="56" t="str">
        <f t="shared" ref="BF19:BU19" si="14">IF(AND($C19="Objetivo",BF$7&gt;=$F19,BF$7&lt;=$F19+$H19-1),2,IF(AND($C19="Hito",BF$7&gt;=$F19,BF$7&lt;=$F19+$H19-1),1,""))</f>
        <v/>
      </c>
      <c r="BG19" s="56" t="str">
        <f t="shared" si="14"/>
        <v/>
      </c>
      <c r="BH19" s="56" t="str">
        <f t="shared" si="14"/>
        <v/>
      </c>
      <c r="BI19" s="56" t="str">
        <f t="shared" si="14"/>
        <v/>
      </c>
      <c r="BJ19" s="56" t="str">
        <f t="shared" si="14"/>
        <v/>
      </c>
      <c r="BK19" s="56" t="str">
        <f t="shared" si="14"/>
        <v/>
      </c>
      <c r="BL19" s="56" t="str">
        <f t="shared" si="14"/>
        <v/>
      </c>
      <c r="BM19" s="56" t="str">
        <f t="shared" si="14"/>
        <v/>
      </c>
      <c r="BN19" s="56" t="str">
        <f t="shared" si="14"/>
        <v/>
      </c>
      <c r="BO19" s="56" t="str">
        <f t="shared" si="14"/>
        <v/>
      </c>
      <c r="BP19" s="56" t="str">
        <f t="shared" si="14"/>
        <v/>
      </c>
      <c r="BQ19" s="56" t="str">
        <f t="shared" si="14"/>
        <v/>
      </c>
      <c r="BR19" s="56" t="str">
        <f t="shared" si="14"/>
        <v/>
      </c>
      <c r="BS19" s="56" t="str">
        <f t="shared" si="14"/>
        <v/>
      </c>
      <c r="BT19" s="56" t="str">
        <f t="shared" si="14"/>
        <v/>
      </c>
      <c r="BU19" s="56" t="str">
        <f t="shared" si="14"/>
        <v/>
      </c>
      <c r="BV19" s="56" t="str">
        <f t="shared" ref="BV19:CK19" si="15">IF(AND($C19="Objetivo",BV$7&gt;=$F19,BV$7&lt;=$F19+$H19-1),2,IF(AND($C19="Hito",BV$7&gt;=$F19,BV$7&lt;=$F19+$H19-1),1,""))</f>
        <v/>
      </c>
      <c r="BW19" s="56" t="str">
        <f t="shared" si="15"/>
        <v/>
      </c>
      <c r="BX19" s="56" t="str">
        <f t="shared" si="15"/>
        <v/>
      </c>
      <c r="BY19" s="56" t="str">
        <f t="shared" si="15"/>
        <v/>
      </c>
      <c r="BZ19" s="56" t="str">
        <f t="shared" si="15"/>
        <v/>
      </c>
      <c r="CA19" s="56" t="str">
        <f t="shared" si="15"/>
        <v/>
      </c>
      <c r="CB19" s="56" t="str">
        <f t="shared" si="15"/>
        <v/>
      </c>
      <c r="CC19" s="56" t="str">
        <f t="shared" si="15"/>
        <v/>
      </c>
      <c r="CD19" s="56" t="str">
        <f t="shared" si="15"/>
        <v/>
      </c>
      <c r="CE19" s="56" t="str">
        <f t="shared" si="15"/>
        <v/>
      </c>
      <c r="CF19" s="56" t="str">
        <f t="shared" si="15"/>
        <v/>
      </c>
      <c r="CG19" s="56" t="str">
        <f t="shared" si="15"/>
        <v/>
      </c>
      <c r="CH19" s="56" t="str">
        <f t="shared" si="15"/>
        <v/>
      </c>
      <c r="CI19" s="56" t="str">
        <f t="shared" si="15"/>
        <v/>
      </c>
      <c r="CJ19" s="56" t="str">
        <f t="shared" si="15"/>
        <v/>
      </c>
      <c r="CK19" s="56" t="str">
        <f t="shared" si="15"/>
        <v/>
      </c>
      <c r="CL19" s="56" t="str">
        <f t="shared" ref="CL19:DA19" si="16">IF(AND($C19="Objetivo",CL$7&gt;=$F19,CL$7&lt;=$F19+$H19-1),2,IF(AND($C19="Hito",CL$7&gt;=$F19,CL$7&lt;=$F19+$H19-1),1,""))</f>
        <v/>
      </c>
      <c r="CM19" s="56" t="str">
        <f t="shared" si="16"/>
        <v/>
      </c>
      <c r="CN19" s="56" t="str">
        <f t="shared" si="16"/>
        <v/>
      </c>
      <c r="CO19" s="56" t="str">
        <f t="shared" si="16"/>
        <v/>
      </c>
      <c r="CP19" s="56" t="str">
        <f t="shared" si="16"/>
        <v/>
      </c>
      <c r="CQ19" s="56" t="str">
        <f t="shared" si="16"/>
        <v/>
      </c>
      <c r="CR19" s="56" t="str">
        <f t="shared" si="16"/>
        <v/>
      </c>
      <c r="CS19" s="56" t="str">
        <f t="shared" si="16"/>
        <v/>
      </c>
      <c r="CT19" s="56" t="str">
        <f t="shared" si="16"/>
        <v/>
      </c>
      <c r="CU19" s="56" t="str">
        <f t="shared" si="16"/>
        <v/>
      </c>
      <c r="CV19" s="56" t="str">
        <f t="shared" si="16"/>
        <v/>
      </c>
      <c r="CW19" s="56" t="str">
        <f t="shared" si="16"/>
        <v/>
      </c>
      <c r="CX19" s="56" t="str">
        <f t="shared" si="16"/>
        <v/>
      </c>
      <c r="CY19" s="56" t="str">
        <f t="shared" si="16"/>
        <v/>
      </c>
      <c r="CZ19" s="56" t="str">
        <f t="shared" si="16"/>
        <v/>
      </c>
      <c r="DA19" s="56" t="str">
        <f t="shared" si="16"/>
        <v/>
      </c>
      <c r="DB19" s="56" t="str">
        <f t="shared" ref="DB19:DQ19" si="17">IF(AND($C19="Objetivo",DB$7&gt;=$F19,DB$7&lt;=$F19+$H19-1),2,IF(AND($C19="Hito",DB$7&gt;=$F19,DB$7&lt;=$F19+$H19-1),1,""))</f>
        <v/>
      </c>
      <c r="DC19" s="56" t="str">
        <f t="shared" si="17"/>
        <v/>
      </c>
      <c r="DD19" s="56" t="str">
        <f t="shared" si="17"/>
        <v/>
      </c>
      <c r="DE19" s="56" t="str">
        <f t="shared" si="17"/>
        <v/>
      </c>
      <c r="DF19" s="56" t="str">
        <f t="shared" si="17"/>
        <v/>
      </c>
      <c r="DG19" s="56" t="str">
        <f t="shared" si="17"/>
        <v/>
      </c>
      <c r="DH19" s="56" t="str">
        <f t="shared" si="17"/>
        <v/>
      </c>
      <c r="DI19" s="56" t="str">
        <f t="shared" si="17"/>
        <v/>
      </c>
      <c r="DJ19" s="56" t="str">
        <f t="shared" si="17"/>
        <v/>
      </c>
      <c r="DK19" s="56" t="str">
        <f t="shared" si="17"/>
        <v/>
      </c>
      <c r="DL19" s="56" t="str">
        <f t="shared" si="17"/>
        <v/>
      </c>
      <c r="DM19" s="56" t="str">
        <f t="shared" si="17"/>
        <v/>
      </c>
      <c r="DN19" s="56" t="str">
        <f t="shared" si="17"/>
        <v/>
      </c>
      <c r="DO19" s="56" t="str">
        <f t="shared" si="17"/>
        <v/>
      </c>
      <c r="DP19" s="56" t="str">
        <f t="shared" si="17"/>
        <v/>
      </c>
      <c r="DQ19" s="56" t="str">
        <f t="shared" si="17"/>
        <v/>
      </c>
      <c r="DR19" s="56" t="str">
        <f t="shared" ref="DR19:EG19" si="18">IF(AND($C19="Objetivo",DR$7&gt;=$F19,DR$7&lt;=$F19+$H19-1),2,IF(AND($C19="Hito",DR$7&gt;=$F19,DR$7&lt;=$F19+$H19-1),1,""))</f>
        <v/>
      </c>
      <c r="DS19" s="56" t="str">
        <f t="shared" si="18"/>
        <v/>
      </c>
      <c r="DT19" s="56" t="str">
        <f t="shared" si="18"/>
        <v/>
      </c>
      <c r="DU19" s="56" t="str">
        <f t="shared" si="18"/>
        <v/>
      </c>
      <c r="DV19" s="56" t="str">
        <f t="shared" si="18"/>
        <v/>
      </c>
      <c r="DW19" s="56" t="str">
        <f t="shared" si="18"/>
        <v/>
      </c>
      <c r="DX19" s="56" t="str">
        <f t="shared" si="18"/>
        <v/>
      </c>
      <c r="DY19" s="56" t="str">
        <f t="shared" si="18"/>
        <v/>
      </c>
      <c r="DZ19" s="56" t="str">
        <f t="shared" si="18"/>
        <v/>
      </c>
      <c r="EA19" s="56" t="str">
        <f t="shared" si="18"/>
        <v/>
      </c>
      <c r="EB19" s="56" t="str">
        <f t="shared" si="18"/>
        <v/>
      </c>
      <c r="EC19" s="56" t="str">
        <f t="shared" si="18"/>
        <v/>
      </c>
      <c r="ED19" s="56" t="str">
        <f t="shared" si="18"/>
        <v/>
      </c>
      <c r="EE19" s="56" t="str">
        <f t="shared" si="18"/>
        <v/>
      </c>
      <c r="EF19" s="56" t="str">
        <f t="shared" si="18"/>
        <v/>
      </c>
      <c r="EG19" s="56" t="str">
        <f t="shared" si="18"/>
        <v/>
      </c>
      <c r="EH19" s="56" t="str">
        <f t="shared" ref="EH19:EW19" si="19">IF(AND($C19="Objetivo",EH$7&gt;=$F19,EH$7&lt;=$F19+$H19-1),2,IF(AND($C19="Hito",EH$7&gt;=$F19,EH$7&lt;=$F19+$H19-1),1,""))</f>
        <v/>
      </c>
      <c r="EI19" s="56" t="str">
        <f t="shared" si="19"/>
        <v/>
      </c>
      <c r="EJ19" s="56" t="str">
        <f t="shared" si="19"/>
        <v/>
      </c>
      <c r="EK19" s="56" t="str">
        <f t="shared" si="19"/>
        <v/>
      </c>
      <c r="EL19" s="56" t="str">
        <f t="shared" si="19"/>
        <v/>
      </c>
      <c r="EM19" s="56" t="str">
        <f t="shared" si="19"/>
        <v/>
      </c>
      <c r="EN19" s="56" t="str">
        <f t="shared" si="19"/>
        <v/>
      </c>
      <c r="EO19" s="56" t="str">
        <f t="shared" si="19"/>
        <v/>
      </c>
      <c r="EP19" s="56" t="str">
        <f t="shared" si="19"/>
        <v/>
      </c>
      <c r="EQ19" s="56" t="str">
        <f t="shared" si="19"/>
        <v/>
      </c>
      <c r="ER19" s="56" t="str">
        <f t="shared" si="19"/>
        <v/>
      </c>
      <c r="ES19" s="56" t="str">
        <f t="shared" si="19"/>
        <v/>
      </c>
      <c r="ET19" s="56" t="str">
        <f t="shared" si="19"/>
        <v/>
      </c>
      <c r="EU19" s="56" t="str">
        <f t="shared" si="19"/>
        <v/>
      </c>
      <c r="EV19" s="56" t="str">
        <f t="shared" si="19"/>
        <v/>
      </c>
      <c r="EW19" s="56" t="str">
        <f t="shared" si="19"/>
        <v/>
      </c>
      <c r="EX19" s="56" t="str">
        <f t="shared" ref="EX19:FM19" si="20">IF(AND($C19="Objetivo",EX$7&gt;=$F19,EX$7&lt;=$F19+$H19-1),2,IF(AND($C19="Hito",EX$7&gt;=$F19,EX$7&lt;=$F19+$H19-1),1,""))</f>
        <v/>
      </c>
      <c r="EY19" s="56" t="str">
        <f t="shared" si="20"/>
        <v/>
      </c>
      <c r="EZ19" s="56" t="str">
        <f t="shared" si="20"/>
        <v/>
      </c>
      <c r="FA19" s="56" t="str">
        <f t="shared" si="20"/>
        <v/>
      </c>
      <c r="FB19" s="56" t="str">
        <f t="shared" si="20"/>
        <v/>
      </c>
      <c r="FC19" s="56" t="str">
        <f t="shared" si="20"/>
        <v/>
      </c>
      <c r="FD19" s="56" t="str">
        <f t="shared" si="20"/>
        <v/>
      </c>
      <c r="FE19" s="56" t="str">
        <f t="shared" si="20"/>
        <v/>
      </c>
      <c r="FF19" s="56" t="str">
        <f t="shared" si="20"/>
        <v/>
      </c>
      <c r="FG19" s="56" t="str">
        <f t="shared" si="20"/>
        <v/>
      </c>
      <c r="FH19" s="56" t="str">
        <f t="shared" si="20"/>
        <v/>
      </c>
      <c r="FI19" s="56" t="str">
        <f t="shared" si="20"/>
        <v/>
      </c>
      <c r="FJ19" s="56" t="str">
        <f t="shared" si="20"/>
        <v/>
      </c>
      <c r="FK19" s="56" t="str">
        <f t="shared" si="20"/>
        <v/>
      </c>
      <c r="FL19" s="56" t="str">
        <f t="shared" si="20"/>
        <v/>
      </c>
      <c r="FM19" s="56" t="str">
        <f t="shared" si="20"/>
        <v/>
      </c>
      <c r="FN19" s="56" t="str">
        <f t="shared" ref="FN19:GC19" si="21">IF(AND($C19="Objetivo",FN$7&gt;=$F19,FN$7&lt;=$F19+$H19-1),2,IF(AND($C19="Hito",FN$7&gt;=$F19,FN$7&lt;=$F19+$H19-1),1,""))</f>
        <v/>
      </c>
      <c r="FO19" s="56" t="str">
        <f t="shared" si="21"/>
        <v/>
      </c>
      <c r="FP19" s="56" t="str">
        <f t="shared" si="21"/>
        <v/>
      </c>
      <c r="FQ19" s="56" t="str">
        <f t="shared" si="21"/>
        <v/>
      </c>
      <c r="FR19" s="56" t="str">
        <f t="shared" si="21"/>
        <v/>
      </c>
      <c r="FS19" s="56" t="str">
        <f t="shared" si="21"/>
        <v/>
      </c>
      <c r="FT19" s="56" t="str">
        <f t="shared" si="21"/>
        <v/>
      </c>
      <c r="FU19" s="56" t="str">
        <f t="shared" si="21"/>
        <v/>
      </c>
      <c r="FV19" s="56" t="str">
        <f t="shared" si="21"/>
        <v/>
      </c>
      <c r="FW19" s="56" t="str">
        <f t="shared" si="21"/>
        <v/>
      </c>
      <c r="FX19" s="56" t="str">
        <f t="shared" si="21"/>
        <v/>
      </c>
      <c r="FY19" s="56" t="str">
        <f t="shared" si="21"/>
        <v/>
      </c>
      <c r="FZ19" s="56" t="str">
        <f t="shared" si="21"/>
        <v/>
      </c>
      <c r="GA19" s="56" t="str">
        <f t="shared" si="21"/>
        <v/>
      </c>
      <c r="GB19" s="56" t="str">
        <f t="shared" si="21"/>
        <v/>
      </c>
      <c r="GC19" s="56" t="str">
        <f t="shared" si="21"/>
        <v/>
      </c>
      <c r="GD19" s="56" t="str">
        <f t="shared" ref="GD19:GS19" si="22">IF(AND($C19="Objetivo",GD$7&gt;=$F19,GD$7&lt;=$F19+$H19-1),2,IF(AND($C19="Hito",GD$7&gt;=$F19,GD$7&lt;=$F19+$H19-1),1,""))</f>
        <v/>
      </c>
      <c r="GE19" s="56" t="str">
        <f t="shared" si="22"/>
        <v/>
      </c>
      <c r="GF19" s="56" t="str">
        <f t="shared" si="22"/>
        <v/>
      </c>
      <c r="GG19" s="56" t="str">
        <f t="shared" si="22"/>
        <v/>
      </c>
      <c r="GH19" s="56" t="str">
        <f t="shared" si="22"/>
        <v/>
      </c>
      <c r="GI19" s="56" t="str">
        <f t="shared" si="22"/>
        <v/>
      </c>
      <c r="GJ19" s="56" t="str">
        <f t="shared" si="22"/>
        <v/>
      </c>
      <c r="GK19" s="56" t="str">
        <f t="shared" si="22"/>
        <v/>
      </c>
      <c r="GL19" s="56" t="str">
        <f t="shared" si="22"/>
        <v/>
      </c>
      <c r="GM19" s="56" t="str">
        <f t="shared" si="22"/>
        <v/>
      </c>
      <c r="GN19" s="56" t="str">
        <f t="shared" si="22"/>
        <v/>
      </c>
      <c r="GO19" s="56" t="str">
        <f t="shared" si="22"/>
        <v/>
      </c>
      <c r="GP19" s="56" t="str">
        <f t="shared" si="22"/>
        <v/>
      </c>
      <c r="GQ19" s="56" t="str">
        <f t="shared" si="22"/>
        <v/>
      </c>
      <c r="GR19" s="56" t="str">
        <f t="shared" si="22"/>
        <v/>
      </c>
      <c r="GS19" s="56" t="str">
        <f t="shared" si="22"/>
        <v/>
      </c>
      <c r="GT19" s="56" t="str">
        <f t="shared" ref="GT19:HI19" si="23">IF(AND($C19="Objetivo",GT$7&gt;=$F19,GT$7&lt;=$F19+$H19-1),2,IF(AND($C19="Hito",GT$7&gt;=$F19,GT$7&lt;=$F19+$H19-1),1,""))</f>
        <v/>
      </c>
      <c r="GU19" s="56" t="str">
        <f t="shared" si="23"/>
        <v/>
      </c>
      <c r="GV19" s="56" t="str">
        <f t="shared" si="23"/>
        <v/>
      </c>
      <c r="GW19" s="56" t="str">
        <f t="shared" si="23"/>
        <v/>
      </c>
      <c r="GX19" s="56" t="str">
        <f t="shared" si="23"/>
        <v/>
      </c>
      <c r="GY19" s="56" t="str">
        <f t="shared" si="23"/>
        <v/>
      </c>
      <c r="GZ19" s="56" t="str">
        <f t="shared" si="23"/>
        <v/>
      </c>
      <c r="HA19" s="56" t="str">
        <f t="shared" si="23"/>
        <v/>
      </c>
      <c r="HB19" s="56" t="str">
        <f t="shared" si="23"/>
        <v/>
      </c>
      <c r="HC19" s="56" t="str">
        <f t="shared" si="23"/>
        <v/>
      </c>
      <c r="HD19" s="56" t="str">
        <f t="shared" si="23"/>
        <v/>
      </c>
      <c r="HE19" s="56" t="str">
        <f t="shared" si="23"/>
        <v/>
      </c>
      <c r="HF19" s="56" t="str">
        <f t="shared" si="23"/>
        <v/>
      </c>
      <c r="HG19" s="56" t="str">
        <f t="shared" si="23"/>
        <v/>
      </c>
      <c r="HH19" s="56" t="str">
        <f t="shared" si="23"/>
        <v/>
      </c>
      <c r="HI19" s="56" t="str">
        <f t="shared" si="23"/>
        <v/>
      </c>
      <c r="HJ19" s="56" t="str">
        <f t="shared" ref="HJ19:HY19" si="24">IF(AND($C19="Objetivo",HJ$7&gt;=$F19,HJ$7&lt;=$F19+$H19-1),2,IF(AND($C19="Hito",HJ$7&gt;=$F19,HJ$7&lt;=$F19+$H19-1),1,""))</f>
        <v/>
      </c>
      <c r="HK19" s="56" t="str">
        <f t="shared" si="24"/>
        <v/>
      </c>
      <c r="HL19" s="56" t="str">
        <f t="shared" si="24"/>
        <v/>
      </c>
      <c r="HM19" s="56" t="str">
        <f t="shared" si="24"/>
        <v/>
      </c>
      <c r="HN19" s="56" t="str">
        <f t="shared" si="24"/>
        <v/>
      </c>
      <c r="HO19" s="56" t="str">
        <f t="shared" si="24"/>
        <v/>
      </c>
      <c r="HP19" s="56" t="str">
        <f t="shared" si="24"/>
        <v/>
      </c>
      <c r="HQ19" s="56" t="str">
        <f t="shared" si="24"/>
        <v/>
      </c>
      <c r="HR19" s="56" t="str">
        <f t="shared" si="24"/>
        <v/>
      </c>
      <c r="HS19" s="56" t="str">
        <f t="shared" si="24"/>
        <v/>
      </c>
      <c r="HT19" s="56" t="str">
        <f t="shared" si="24"/>
        <v/>
      </c>
      <c r="HU19" s="56" t="str">
        <f t="shared" si="24"/>
        <v/>
      </c>
      <c r="HV19" s="56" t="str">
        <f t="shared" si="24"/>
        <v/>
      </c>
      <c r="HW19" s="56" t="str">
        <f t="shared" si="24"/>
        <v/>
      </c>
      <c r="HX19" s="56" t="str">
        <f t="shared" si="24"/>
        <v/>
      </c>
      <c r="HY19" s="56" t="str">
        <f t="shared" si="24"/>
        <v/>
      </c>
      <c r="HZ19" s="56" t="str">
        <f t="shared" ref="HZ19:IO19" si="25">IF(AND($C19="Objetivo",HZ$7&gt;=$F19,HZ$7&lt;=$F19+$H19-1),2,IF(AND($C19="Hito",HZ$7&gt;=$F19,HZ$7&lt;=$F19+$H19-1),1,""))</f>
        <v/>
      </c>
      <c r="IA19" s="56" t="str">
        <f t="shared" si="25"/>
        <v/>
      </c>
      <c r="IB19" s="56" t="str">
        <f t="shared" si="25"/>
        <v/>
      </c>
      <c r="IC19" s="56" t="str">
        <f t="shared" si="25"/>
        <v/>
      </c>
      <c r="ID19" s="56" t="str">
        <f t="shared" si="25"/>
        <v/>
      </c>
      <c r="IE19" s="56" t="str">
        <f t="shared" si="25"/>
        <v/>
      </c>
      <c r="IF19" s="56" t="str">
        <f t="shared" si="25"/>
        <v/>
      </c>
      <c r="IG19" s="56" t="str">
        <f t="shared" si="25"/>
        <v/>
      </c>
      <c r="IH19" s="56" t="str">
        <f t="shared" si="25"/>
        <v/>
      </c>
      <c r="II19" s="56" t="str">
        <f t="shared" si="25"/>
        <v/>
      </c>
      <c r="IJ19" s="56" t="str">
        <f t="shared" si="25"/>
        <v/>
      </c>
      <c r="IK19" s="56" t="str">
        <f t="shared" si="25"/>
        <v/>
      </c>
      <c r="IL19" s="56" t="str">
        <f t="shared" si="25"/>
        <v/>
      </c>
      <c r="IM19" s="56" t="str">
        <f t="shared" si="25"/>
        <v/>
      </c>
      <c r="IN19" s="56" t="str">
        <f t="shared" si="25"/>
        <v/>
      </c>
      <c r="IO19" s="56" t="str">
        <f t="shared" si="25"/>
        <v/>
      </c>
      <c r="IP19" s="56" t="str">
        <f t="shared" ref="IP19:JE19" si="26">IF(AND($C19="Objetivo",IP$7&gt;=$F19,IP$7&lt;=$F19+$H19-1),2,IF(AND($C19="Hito",IP$7&gt;=$F19,IP$7&lt;=$F19+$H19-1),1,""))</f>
        <v/>
      </c>
      <c r="IQ19" s="56" t="str">
        <f t="shared" si="26"/>
        <v/>
      </c>
      <c r="IR19" s="56" t="str">
        <f t="shared" si="26"/>
        <v/>
      </c>
      <c r="IS19" s="56" t="str">
        <f t="shared" si="26"/>
        <v/>
      </c>
      <c r="IT19" s="56" t="str">
        <f t="shared" si="26"/>
        <v/>
      </c>
      <c r="IU19" s="56" t="str">
        <f t="shared" si="26"/>
        <v/>
      </c>
      <c r="IV19" s="56" t="str">
        <f t="shared" si="26"/>
        <v/>
      </c>
      <c r="IW19" s="56" t="str">
        <f t="shared" si="26"/>
        <v/>
      </c>
      <c r="IX19" s="56" t="str">
        <f t="shared" si="26"/>
        <v/>
      </c>
      <c r="IY19" s="56" t="str">
        <f t="shared" si="26"/>
        <v/>
      </c>
      <c r="IZ19" s="56" t="str">
        <f t="shared" si="26"/>
        <v/>
      </c>
      <c r="JA19" s="56" t="str">
        <f t="shared" si="26"/>
        <v/>
      </c>
      <c r="JB19" s="56" t="str">
        <f t="shared" si="26"/>
        <v/>
      </c>
      <c r="JC19" s="56" t="str">
        <f t="shared" si="26"/>
        <v/>
      </c>
      <c r="JD19" s="56" t="str">
        <f t="shared" si="26"/>
        <v/>
      </c>
      <c r="JE19" s="56" t="str">
        <f t="shared" si="26"/>
        <v/>
      </c>
      <c r="JF19" s="56" t="str">
        <f t="shared" ref="JF19:JU19" si="27">IF(AND($C19="Objetivo",JF$7&gt;=$F19,JF$7&lt;=$F19+$H19-1),2,IF(AND($C19="Hito",JF$7&gt;=$F19,JF$7&lt;=$F19+$H19-1),1,""))</f>
        <v/>
      </c>
      <c r="JG19" s="56" t="str">
        <f t="shared" si="27"/>
        <v/>
      </c>
      <c r="JH19" s="56" t="str">
        <f t="shared" si="27"/>
        <v/>
      </c>
      <c r="JI19" s="56" t="str">
        <f t="shared" si="27"/>
        <v/>
      </c>
      <c r="JJ19" s="56" t="str">
        <f t="shared" si="27"/>
        <v/>
      </c>
      <c r="JK19" s="56" t="str">
        <f t="shared" si="27"/>
        <v/>
      </c>
      <c r="JL19" s="56" t="str">
        <f t="shared" si="27"/>
        <v/>
      </c>
      <c r="JM19" s="56" t="str">
        <f t="shared" si="27"/>
        <v/>
      </c>
      <c r="JN19" s="56" t="str">
        <f t="shared" si="27"/>
        <v/>
      </c>
      <c r="JO19" s="56" t="str">
        <f t="shared" si="27"/>
        <v/>
      </c>
      <c r="JP19" s="56" t="str">
        <f t="shared" si="27"/>
        <v/>
      </c>
      <c r="JQ19" s="56" t="str">
        <f t="shared" si="27"/>
        <v/>
      </c>
      <c r="JR19" s="56" t="str">
        <f t="shared" si="27"/>
        <v/>
      </c>
      <c r="JS19" s="56" t="str">
        <f t="shared" si="27"/>
        <v/>
      </c>
      <c r="JT19" s="56" t="str">
        <f t="shared" si="27"/>
        <v/>
      </c>
      <c r="JU19" s="56" t="str">
        <f t="shared" si="27"/>
        <v/>
      </c>
      <c r="JV19" s="56" t="str">
        <f t="shared" ref="JV19:KK19" si="28">IF(AND($C19="Objetivo",JV$7&gt;=$F19,JV$7&lt;=$F19+$H19-1),2,IF(AND($C19="Hito",JV$7&gt;=$F19,JV$7&lt;=$F19+$H19-1),1,""))</f>
        <v/>
      </c>
      <c r="JW19" s="56" t="str">
        <f t="shared" si="28"/>
        <v/>
      </c>
      <c r="JX19" s="56" t="str">
        <f t="shared" si="28"/>
        <v/>
      </c>
      <c r="JY19" s="56" t="str">
        <f t="shared" si="28"/>
        <v/>
      </c>
      <c r="JZ19" s="56" t="str">
        <f t="shared" si="28"/>
        <v/>
      </c>
      <c r="KA19" s="56" t="str">
        <f t="shared" si="28"/>
        <v/>
      </c>
      <c r="KB19" s="56" t="str">
        <f t="shared" si="28"/>
        <v/>
      </c>
      <c r="KC19" s="56" t="str">
        <f t="shared" si="28"/>
        <v/>
      </c>
      <c r="KD19" s="56" t="str">
        <f t="shared" si="28"/>
        <v/>
      </c>
      <c r="KE19" s="56" t="str">
        <f t="shared" si="28"/>
        <v/>
      </c>
      <c r="KF19" s="56" t="str">
        <f t="shared" si="28"/>
        <v/>
      </c>
      <c r="KG19" s="56" t="str">
        <f t="shared" si="28"/>
        <v/>
      </c>
      <c r="KH19" s="56" t="str">
        <f t="shared" si="28"/>
        <v/>
      </c>
      <c r="KI19" s="56" t="str">
        <f t="shared" si="28"/>
        <v/>
      </c>
      <c r="KJ19" s="56" t="str">
        <f t="shared" si="28"/>
        <v/>
      </c>
      <c r="KK19" s="56" t="str">
        <f t="shared" si="28"/>
        <v/>
      </c>
      <c r="KL19" s="56" t="str">
        <f t="shared" ref="KL19:KX19" si="29">IF(AND($C19="Objetivo",KL$7&gt;=$F19,KL$7&lt;=$F19+$H19-1),2,IF(AND($C19="Hito",KL$7&gt;=$F19,KL$7&lt;=$F19+$H19-1),1,""))</f>
        <v/>
      </c>
      <c r="KM19" s="56" t="str">
        <f t="shared" si="29"/>
        <v/>
      </c>
      <c r="KN19" s="56" t="str">
        <f t="shared" si="29"/>
        <v/>
      </c>
      <c r="KO19" s="56" t="str">
        <f t="shared" si="29"/>
        <v/>
      </c>
      <c r="KP19" s="56" t="str">
        <f t="shared" si="29"/>
        <v/>
      </c>
      <c r="KQ19" s="56" t="str">
        <f t="shared" si="29"/>
        <v/>
      </c>
      <c r="KR19" s="56" t="str">
        <f t="shared" si="29"/>
        <v/>
      </c>
      <c r="KS19" s="56" t="str">
        <f t="shared" si="29"/>
        <v/>
      </c>
      <c r="KT19" s="56" t="str">
        <f t="shared" si="29"/>
        <v/>
      </c>
      <c r="KU19" s="56" t="str">
        <f t="shared" si="29"/>
        <v/>
      </c>
      <c r="KV19" s="56" t="str">
        <f t="shared" si="29"/>
        <v/>
      </c>
      <c r="KW19" s="56" t="str">
        <f t="shared" si="29"/>
        <v/>
      </c>
      <c r="KX19" s="56" t="str">
        <f t="shared" si="29"/>
        <v/>
      </c>
    </row>
    <row r="20" spans="1:310" s="15" customFormat="1">
      <c r="A20" s="8"/>
      <c r="B20" s="52" t="s">
        <v>359</v>
      </c>
      <c r="C20" s="53" t="s">
        <v>252</v>
      </c>
      <c r="D20" s="22" t="s">
        <v>353</v>
      </c>
      <c r="E20" s="54">
        <v>0.9</v>
      </c>
      <c r="F20" s="55">
        <v>46050</v>
      </c>
      <c r="G20" s="57">
        <f>+Hitos4352[[#This Row],[Inicio]]+Hitos4352[[#This Row],[Días]]</f>
        <v>46056</v>
      </c>
      <c r="H20" s="58">
        <v>6</v>
      </c>
      <c r="I20" s="14"/>
      <c r="J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c r="CJ20" s="56"/>
      <c r="CK20" s="56"/>
      <c r="CL20" s="56"/>
      <c r="CM20" s="56"/>
      <c r="CN20" s="56"/>
      <c r="CO20" s="56"/>
      <c r="CP20" s="56"/>
      <c r="CQ20" s="56"/>
      <c r="CR20" s="56"/>
      <c r="CS20" s="56"/>
      <c r="CT20" s="56"/>
      <c r="CU20" s="56"/>
      <c r="CV20" s="56"/>
      <c r="CW20" s="56"/>
      <c r="CX20" s="56"/>
      <c r="CY20" s="56"/>
      <c r="CZ20" s="56"/>
      <c r="DA20" s="56"/>
      <c r="DB20" s="56"/>
      <c r="DC20" s="56"/>
      <c r="DD20" s="56"/>
      <c r="DE20" s="56"/>
      <c r="DF20" s="56"/>
      <c r="DG20" s="56"/>
      <c r="DH20" s="56"/>
      <c r="DI20" s="56"/>
      <c r="DJ20" s="56"/>
      <c r="DK20" s="56"/>
      <c r="DL20" s="56"/>
      <c r="DM20" s="56"/>
      <c r="DN20" s="56"/>
      <c r="DO20" s="56"/>
      <c r="DP20" s="56"/>
      <c r="DQ20" s="56"/>
      <c r="DR20" s="56"/>
      <c r="DS20" s="56"/>
      <c r="DT20" s="56"/>
      <c r="DU20" s="56"/>
      <c r="DV20" s="56"/>
      <c r="DW20" s="56"/>
      <c r="DX20" s="56"/>
      <c r="DY20" s="56"/>
      <c r="DZ20" s="56"/>
      <c r="EA20" s="56"/>
      <c r="EB20" s="56"/>
      <c r="EC20" s="56"/>
      <c r="ED20" s="56"/>
      <c r="EE20" s="56"/>
      <c r="EF20" s="56"/>
      <c r="EG20" s="56"/>
      <c r="EH20" s="56"/>
      <c r="EI20" s="56"/>
      <c r="EJ20" s="56"/>
      <c r="EK20" s="56"/>
      <c r="EL20" s="56"/>
      <c r="EM20" s="56"/>
      <c r="EN20" s="56"/>
      <c r="EO20" s="56"/>
      <c r="EP20" s="56"/>
      <c r="EQ20" s="56"/>
      <c r="ER20" s="56"/>
      <c r="ES20" s="56"/>
      <c r="ET20" s="56"/>
      <c r="EU20" s="56"/>
      <c r="EV20" s="56"/>
      <c r="EW20" s="56"/>
      <c r="EX20" s="56"/>
      <c r="EY20" s="56"/>
      <c r="EZ20" s="56"/>
      <c r="FA20" s="56"/>
      <c r="FB20" s="56"/>
      <c r="FC20" s="56"/>
      <c r="FD20" s="56"/>
      <c r="FE20" s="56"/>
      <c r="FF20" s="56"/>
      <c r="FG20" s="56"/>
      <c r="FH20" s="56"/>
      <c r="FI20" s="56"/>
      <c r="FJ20" s="56"/>
      <c r="FK20" s="56"/>
      <c r="FL20" s="56"/>
      <c r="FM20" s="56"/>
      <c r="FN20" s="56"/>
      <c r="FO20" s="56"/>
      <c r="FP20" s="56"/>
      <c r="FQ20" s="56"/>
      <c r="FR20" s="56"/>
      <c r="FS20" s="56"/>
      <c r="FT20" s="56"/>
      <c r="FU20" s="56"/>
      <c r="FV20" s="56"/>
      <c r="FW20" s="56"/>
      <c r="FX20" s="56"/>
      <c r="FY20" s="56"/>
      <c r="FZ20" s="56"/>
      <c r="GA20" s="56"/>
      <c r="GB20" s="56"/>
      <c r="GC20" s="56"/>
      <c r="GD20" s="56"/>
      <c r="GE20" s="56"/>
      <c r="GF20" s="56"/>
      <c r="GG20" s="56"/>
      <c r="GH20" s="56"/>
      <c r="GI20" s="56"/>
      <c r="GJ20" s="56"/>
      <c r="GK20" s="56"/>
      <c r="GL20" s="56"/>
      <c r="GM20" s="56"/>
      <c r="GN20" s="56"/>
      <c r="GO20" s="56"/>
      <c r="GP20" s="56"/>
      <c r="GQ20" s="56"/>
      <c r="GR20" s="56"/>
      <c r="GS20" s="56"/>
      <c r="GT20" s="56"/>
      <c r="GU20" s="56"/>
      <c r="GV20" s="56"/>
      <c r="GW20" s="56"/>
      <c r="GX20" s="56"/>
      <c r="GY20" s="56"/>
      <c r="GZ20" s="56"/>
      <c r="HA20" s="56"/>
      <c r="HB20" s="56"/>
      <c r="HC20" s="56"/>
      <c r="HD20" s="56"/>
      <c r="HE20" s="56"/>
      <c r="HF20" s="56"/>
      <c r="HG20" s="56"/>
      <c r="HH20" s="56"/>
      <c r="HI20" s="56"/>
      <c r="HJ20" s="56"/>
      <c r="HK20" s="56"/>
      <c r="HL20" s="56"/>
      <c r="HM20" s="56"/>
      <c r="HN20" s="56"/>
      <c r="HO20" s="56"/>
      <c r="HP20" s="56"/>
      <c r="HQ20" s="56"/>
      <c r="HR20" s="56"/>
      <c r="HS20" s="56"/>
      <c r="HT20" s="56"/>
      <c r="HU20" s="56"/>
      <c r="HV20" s="56"/>
      <c r="HW20" s="56"/>
      <c r="HX20" s="56"/>
      <c r="HY20" s="56"/>
      <c r="HZ20" s="56"/>
      <c r="IA20" s="56"/>
      <c r="IB20" s="56"/>
      <c r="IC20" s="56"/>
      <c r="ID20" s="56"/>
      <c r="IE20" s="56"/>
      <c r="IF20" s="56"/>
      <c r="IG20" s="56"/>
      <c r="IH20" s="56"/>
      <c r="II20" s="56"/>
      <c r="IJ20" s="56"/>
      <c r="IK20" s="56"/>
      <c r="IL20" s="56"/>
      <c r="IM20" s="56"/>
      <c r="IN20" s="56"/>
      <c r="IO20" s="56"/>
      <c r="IP20" s="56"/>
      <c r="IQ20" s="56"/>
      <c r="IR20" s="56"/>
      <c r="IS20" s="56"/>
      <c r="IT20" s="56"/>
      <c r="IU20" s="56"/>
      <c r="IV20" s="56"/>
      <c r="IW20" s="56"/>
      <c r="IX20" s="56"/>
      <c r="IY20" s="56"/>
      <c r="IZ20" s="56"/>
      <c r="JA20" s="56"/>
      <c r="JB20" s="56"/>
      <c r="JC20" s="56"/>
      <c r="JD20" s="56"/>
      <c r="JE20" s="56"/>
      <c r="JF20" s="56"/>
      <c r="JG20" s="56"/>
      <c r="JH20" s="56"/>
      <c r="JI20" s="56"/>
      <c r="JJ20" s="56"/>
      <c r="JK20" s="56"/>
      <c r="JL20" s="56"/>
      <c r="JM20" s="56"/>
      <c r="JN20" s="56"/>
      <c r="JO20" s="56"/>
      <c r="JP20" s="56"/>
      <c r="JQ20" s="56"/>
      <c r="JR20" s="56"/>
      <c r="JS20" s="56"/>
      <c r="JT20" s="56"/>
      <c r="JU20" s="56"/>
      <c r="JV20" s="56"/>
      <c r="JW20" s="56"/>
      <c r="JX20" s="56"/>
      <c r="JY20" s="56"/>
      <c r="JZ20" s="56"/>
      <c r="KA20" s="56"/>
      <c r="KB20" s="56"/>
      <c r="KC20" s="56"/>
      <c r="KD20" s="56"/>
      <c r="KE20" s="56"/>
      <c r="KF20" s="56"/>
      <c r="KG20" s="56"/>
      <c r="KH20" s="56"/>
      <c r="KI20" s="56"/>
      <c r="KJ20" s="56"/>
      <c r="KK20" s="56"/>
      <c r="KL20" s="56"/>
      <c r="KM20" s="56"/>
      <c r="KN20" s="56"/>
      <c r="KO20" s="56"/>
      <c r="KP20" s="56"/>
      <c r="KQ20" s="56"/>
      <c r="KR20" s="56"/>
      <c r="KS20" s="56"/>
      <c r="KT20" s="56"/>
      <c r="KU20" s="56"/>
      <c r="KV20" s="56"/>
      <c r="KW20" s="56"/>
      <c r="KX20" s="56"/>
    </row>
    <row r="21" spans="1:310" s="15" customFormat="1">
      <c r="A21" s="8"/>
      <c r="B21" s="52" t="s">
        <v>355</v>
      </c>
      <c r="C21" s="53" t="s">
        <v>252</v>
      </c>
      <c r="D21" s="22" t="s">
        <v>315</v>
      </c>
      <c r="E21" s="54">
        <v>1</v>
      </c>
      <c r="F21" s="55">
        <v>46048</v>
      </c>
      <c r="G21" s="57">
        <f>+Hitos4352[[#This Row],[Inicio]]+Hitos4352[[#This Row],[Días]]</f>
        <v>46049</v>
      </c>
      <c r="H21" s="58">
        <v>1</v>
      </c>
      <c r="I21" s="14"/>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U21" s="56"/>
      <c r="BV21" s="56"/>
      <c r="BW21" s="56"/>
      <c r="BX21" s="56"/>
      <c r="BY21" s="56"/>
      <c r="BZ21" s="56"/>
      <c r="CA21" s="56"/>
      <c r="CB21" s="56"/>
      <c r="CC21" s="56"/>
      <c r="CD21" s="56"/>
      <c r="CE21" s="56"/>
      <c r="CF21" s="56"/>
      <c r="CG21" s="56"/>
      <c r="CH21" s="56"/>
      <c r="CI21" s="56"/>
      <c r="CJ21" s="56"/>
      <c r="CK21" s="56"/>
      <c r="CL21" s="56"/>
      <c r="CM21" s="56"/>
      <c r="CN21" s="56"/>
      <c r="CO21" s="56"/>
      <c r="CP21" s="56"/>
      <c r="CQ21" s="56"/>
      <c r="CR21" s="56"/>
      <c r="CS21" s="56"/>
      <c r="CT21" s="56"/>
      <c r="CU21" s="56"/>
      <c r="CV21" s="56"/>
      <c r="CW21" s="56"/>
      <c r="CX21" s="56"/>
      <c r="CY21" s="56"/>
      <c r="CZ21" s="56"/>
      <c r="DA21" s="56"/>
      <c r="DB21" s="56"/>
      <c r="DC21" s="56"/>
      <c r="DD21" s="56"/>
      <c r="DE21" s="56"/>
      <c r="DF21" s="56"/>
      <c r="DG21" s="56"/>
      <c r="DH21" s="56"/>
      <c r="DI21" s="56"/>
      <c r="DJ21" s="56"/>
      <c r="DK21" s="56"/>
      <c r="DL21" s="56"/>
      <c r="DM21" s="56"/>
      <c r="DN21" s="56"/>
      <c r="DO21" s="56"/>
      <c r="DP21" s="56"/>
      <c r="DQ21" s="56"/>
      <c r="DR21" s="56"/>
      <c r="DS21" s="56"/>
      <c r="DT21" s="56"/>
      <c r="DU21" s="56"/>
      <c r="DV21" s="56"/>
      <c r="DW21" s="56"/>
      <c r="DX21" s="56"/>
      <c r="DY21" s="56"/>
      <c r="DZ21" s="56"/>
      <c r="EA21" s="56"/>
      <c r="EB21" s="56"/>
      <c r="EC21" s="56"/>
      <c r="ED21" s="56"/>
      <c r="EE21" s="56"/>
      <c r="EF21" s="56"/>
      <c r="EG21" s="56"/>
      <c r="EH21" s="56"/>
      <c r="EI21" s="56"/>
      <c r="EJ21" s="56"/>
      <c r="EK21" s="56"/>
      <c r="EL21" s="56"/>
      <c r="EM21" s="56"/>
      <c r="EN21" s="56"/>
      <c r="EO21" s="56"/>
      <c r="EP21" s="56"/>
      <c r="EQ21" s="56"/>
      <c r="ER21" s="56"/>
      <c r="ES21" s="56"/>
      <c r="ET21" s="56"/>
      <c r="EU21" s="56"/>
      <c r="EV21" s="56"/>
      <c r="EW21" s="56"/>
      <c r="EX21" s="56"/>
      <c r="EY21" s="56"/>
      <c r="EZ21" s="56"/>
      <c r="FA21" s="56"/>
      <c r="FB21" s="56"/>
      <c r="FC21" s="56"/>
      <c r="FD21" s="56"/>
      <c r="FE21" s="56"/>
      <c r="FF21" s="56"/>
      <c r="FG21" s="56"/>
      <c r="FH21" s="56"/>
      <c r="FI21" s="56"/>
      <c r="FJ21" s="56"/>
      <c r="FK21" s="56"/>
      <c r="FL21" s="56"/>
      <c r="FM21" s="56"/>
      <c r="FN21" s="56"/>
      <c r="FO21" s="56"/>
      <c r="FP21" s="56"/>
      <c r="FQ21" s="56"/>
      <c r="FR21" s="56"/>
      <c r="FS21" s="56"/>
      <c r="FT21" s="56"/>
      <c r="FU21" s="56"/>
      <c r="FV21" s="56"/>
      <c r="FW21" s="56"/>
      <c r="FX21" s="56"/>
      <c r="FY21" s="56"/>
      <c r="FZ21" s="56"/>
      <c r="GA21" s="56"/>
      <c r="GB21" s="56"/>
      <c r="GC21" s="56"/>
      <c r="GD21" s="56"/>
      <c r="GE21" s="56"/>
      <c r="GF21" s="56"/>
      <c r="GG21" s="56"/>
      <c r="GH21" s="56"/>
      <c r="GI21" s="56"/>
      <c r="GJ21" s="56"/>
      <c r="GK21" s="56"/>
      <c r="GL21" s="56"/>
      <c r="GM21" s="56"/>
      <c r="GN21" s="56"/>
      <c r="GO21" s="56"/>
      <c r="GP21" s="56"/>
      <c r="GQ21" s="56"/>
      <c r="GR21" s="56"/>
      <c r="GS21" s="56"/>
      <c r="GT21" s="56"/>
      <c r="GU21" s="56"/>
      <c r="GV21" s="56"/>
      <c r="GW21" s="56"/>
      <c r="GX21" s="56"/>
      <c r="GY21" s="56"/>
      <c r="GZ21" s="56"/>
      <c r="HA21" s="56"/>
      <c r="HB21" s="56"/>
      <c r="HC21" s="56"/>
      <c r="HD21" s="56"/>
      <c r="HE21" s="56"/>
      <c r="HF21" s="56"/>
      <c r="HG21" s="56"/>
      <c r="HH21" s="56"/>
      <c r="HI21" s="56"/>
      <c r="HJ21" s="56"/>
      <c r="HK21" s="56"/>
      <c r="HL21" s="56"/>
      <c r="HM21" s="56"/>
      <c r="HN21" s="56"/>
      <c r="HO21" s="56"/>
      <c r="HP21" s="56"/>
      <c r="HQ21" s="56"/>
      <c r="HR21" s="56"/>
      <c r="HS21" s="56"/>
      <c r="HT21" s="56"/>
      <c r="HU21" s="56"/>
      <c r="HV21" s="56"/>
      <c r="HW21" s="56"/>
      <c r="HX21" s="56"/>
      <c r="HY21" s="56"/>
      <c r="HZ21" s="56"/>
      <c r="IA21" s="56"/>
      <c r="IB21" s="56"/>
      <c r="IC21" s="56"/>
      <c r="ID21" s="56"/>
      <c r="IE21" s="56"/>
      <c r="IF21" s="56"/>
      <c r="IG21" s="56"/>
      <c r="IH21" s="56"/>
      <c r="II21" s="56"/>
      <c r="IJ21" s="56"/>
      <c r="IK21" s="56"/>
      <c r="IL21" s="56"/>
      <c r="IM21" s="56"/>
      <c r="IN21" s="56"/>
      <c r="IO21" s="56"/>
      <c r="IP21" s="56"/>
      <c r="IQ21" s="56"/>
      <c r="IR21" s="56"/>
      <c r="IS21" s="56"/>
      <c r="IT21" s="56"/>
      <c r="IU21" s="56"/>
      <c r="IV21" s="56"/>
      <c r="IW21" s="56"/>
      <c r="IX21" s="56"/>
      <c r="IY21" s="56"/>
      <c r="IZ21" s="56"/>
      <c r="JA21" s="56"/>
      <c r="JB21" s="56"/>
      <c r="JC21" s="56"/>
      <c r="JD21" s="56"/>
      <c r="JE21" s="56"/>
      <c r="JF21" s="56"/>
      <c r="JG21" s="56"/>
      <c r="JH21" s="56"/>
      <c r="JI21" s="56"/>
      <c r="JJ21" s="56"/>
      <c r="JK21" s="56"/>
      <c r="JL21" s="56"/>
      <c r="JM21" s="56"/>
      <c r="JN21" s="56"/>
      <c r="JO21" s="56"/>
      <c r="JP21" s="56"/>
      <c r="JQ21" s="56"/>
      <c r="JR21" s="56"/>
      <c r="JS21" s="56"/>
      <c r="JT21" s="56"/>
      <c r="JU21" s="56"/>
      <c r="JV21" s="56"/>
      <c r="JW21" s="56"/>
      <c r="JX21" s="56"/>
      <c r="JY21" s="56"/>
      <c r="JZ21" s="56"/>
      <c r="KA21" s="56"/>
      <c r="KB21" s="56"/>
      <c r="KC21" s="56"/>
      <c r="KD21" s="56"/>
      <c r="KE21" s="56"/>
      <c r="KF21" s="56"/>
      <c r="KG21" s="56"/>
      <c r="KH21" s="56"/>
      <c r="KI21" s="56"/>
      <c r="KJ21" s="56"/>
      <c r="KK21" s="56"/>
      <c r="KL21" s="56"/>
      <c r="KM21" s="56"/>
      <c r="KN21" s="56"/>
      <c r="KO21" s="56"/>
      <c r="KP21" s="56"/>
      <c r="KQ21" s="56"/>
      <c r="KR21" s="56"/>
      <c r="KS21" s="56"/>
      <c r="KT21" s="56"/>
      <c r="KU21" s="56"/>
      <c r="KV21" s="56"/>
      <c r="KW21" s="56"/>
      <c r="KX21" s="56"/>
    </row>
    <row r="22" spans="1:310" s="15" customFormat="1">
      <c r="A22" s="8"/>
      <c r="B22" s="52" t="s">
        <v>356</v>
      </c>
      <c r="C22" s="53" t="s">
        <v>300</v>
      </c>
      <c r="D22" s="22" t="s">
        <v>315</v>
      </c>
      <c r="E22" s="54">
        <v>1</v>
      </c>
      <c r="F22" s="55">
        <f>+G21</f>
        <v>46049</v>
      </c>
      <c r="G22" s="57">
        <f>+Hitos4352[[#This Row],[Inicio]]+Hitos4352[[#This Row],[Días]]</f>
        <v>46050</v>
      </c>
      <c r="H22" s="58">
        <v>1</v>
      </c>
      <c r="I22" s="14"/>
      <c r="J22" s="56"/>
      <c r="K22" s="56"/>
      <c r="L22" s="56"/>
      <c r="M22" s="56"/>
      <c r="N22" s="56"/>
      <c r="O22" s="56"/>
      <c r="P22" s="56"/>
      <c r="Q22" s="56"/>
      <c r="R22" s="56"/>
      <c r="S22" s="56"/>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M22" s="56"/>
      <c r="CN22" s="56"/>
      <c r="CO22" s="56"/>
      <c r="CP22" s="56"/>
      <c r="CQ22" s="56"/>
      <c r="CR22" s="56"/>
      <c r="CS22" s="56"/>
      <c r="CT22" s="56"/>
      <c r="CU22" s="56"/>
      <c r="CV22" s="56"/>
      <c r="CW22" s="56"/>
      <c r="CX22" s="56"/>
      <c r="CY22" s="56"/>
      <c r="CZ22" s="56"/>
      <c r="DA22" s="56"/>
      <c r="DB22" s="56"/>
      <c r="DC22" s="56"/>
      <c r="DD22" s="56"/>
      <c r="DE22" s="56"/>
      <c r="DF22" s="56"/>
      <c r="DG22" s="56"/>
      <c r="DH22" s="56"/>
      <c r="DI22" s="56"/>
      <c r="DJ22" s="56"/>
      <c r="DK22" s="56"/>
      <c r="DL22" s="56"/>
      <c r="DM22" s="56"/>
      <c r="DN22" s="56"/>
      <c r="DO22" s="56"/>
      <c r="DP22" s="56"/>
      <c r="DQ22" s="56"/>
      <c r="DR22" s="56"/>
      <c r="DS22" s="56"/>
      <c r="DT22" s="56"/>
      <c r="DU22" s="56"/>
      <c r="DV22" s="56"/>
      <c r="DW22" s="56"/>
      <c r="DX22" s="56"/>
      <c r="DY22" s="56"/>
      <c r="DZ22" s="56"/>
      <c r="EA22" s="56"/>
      <c r="EB22" s="56"/>
      <c r="EC22" s="56"/>
      <c r="ED22" s="56"/>
      <c r="EE22" s="56"/>
      <c r="EF22" s="56"/>
      <c r="EG22" s="56"/>
      <c r="EH22" s="56"/>
      <c r="EI22" s="56"/>
      <c r="EJ22" s="56"/>
      <c r="EK22" s="56"/>
      <c r="EL22" s="56"/>
      <c r="EM22" s="56"/>
      <c r="EN22" s="56"/>
      <c r="EO22" s="56"/>
      <c r="EP22" s="56"/>
      <c r="EQ22" s="56"/>
      <c r="ER22" s="56"/>
      <c r="ES22" s="56"/>
      <c r="ET22" s="56"/>
      <c r="EU22" s="56"/>
      <c r="EV22" s="56"/>
      <c r="EW22" s="56"/>
      <c r="EX22" s="56"/>
      <c r="EY22" s="56"/>
      <c r="EZ22" s="56"/>
      <c r="FA22" s="56"/>
      <c r="FB22" s="56"/>
      <c r="FC22" s="56"/>
      <c r="FD22" s="56"/>
      <c r="FE22" s="56"/>
      <c r="FF22" s="56"/>
      <c r="FG22" s="56"/>
      <c r="FH22" s="56"/>
      <c r="FI22" s="56"/>
      <c r="FJ22" s="56"/>
      <c r="FK22" s="56"/>
      <c r="FL22" s="56"/>
      <c r="FM22" s="56"/>
      <c r="FN22" s="56"/>
      <c r="FO22" s="56"/>
      <c r="FP22" s="56"/>
      <c r="FQ22" s="56"/>
      <c r="FR22" s="56"/>
      <c r="FS22" s="56"/>
      <c r="FT22" s="56"/>
      <c r="FU22" s="56"/>
      <c r="FV22" s="56"/>
      <c r="FW22" s="56"/>
      <c r="FX22" s="56"/>
      <c r="FY22" s="56"/>
      <c r="FZ22" s="56"/>
      <c r="GA22" s="56"/>
      <c r="GB22" s="56"/>
      <c r="GC22" s="56"/>
      <c r="GD22" s="56"/>
      <c r="GE22" s="56"/>
      <c r="GF22" s="56"/>
      <c r="GG22" s="56"/>
      <c r="GH22" s="56"/>
      <c r="GI22" s="56"/>
      <c r="GJ22" s="56"/>
      <c r="GK22" s="56"/>
      <c r="GL22" s="56"/>
      <c r="GM22" s="56"/>
      <c r="GN22" s="56"/>
      <c r="GO22" s="56"/>
      <c r="GP22" s="56"/>
      <c r="GQ22" s="56"/>
      <c r="GR22" s="56"/>
      <c r="GS22" s="56"/>
      <c r="GT22" s="56"/>
      <c r="GU22" s="56"/>
      <c r="GV22" s="56"/>
      <c r="GW22" s="56"/>
      <c r="GX22" s="56"/>
      <c r="GY22" s="56"/>
      <c r="GZ22" s="56"/>
      <c r="HA22" s="56"/>
      <c r="HB22" s="56"/>
      <c r="HC22" s="56"/>
      <c r="HD22" s="56"/>
      <c r="HE22" s="56"/>
      <c r="HF22" s="56"/>
      <c r="HG22" s="56"/>
      <c r="HH22" s="56"/>
      <c r="HI22" s="56"/>
      <c r="HJ22" s="56"/>
      <c r="HK22" s="56"/>
      <c r="HL22" s="56"/>
      <c r="HM22" s="56"/>
      <c r="HN22" s="56"/>
      <c r="HO22" s="56"/>
      <c r="HP22" s="56"/>
      <c r="HQ22" s="56"/>
      <c r="HR22" s="56"/>
      <c r="HS22" s="56"/>
      <c r="HT22" s="56"/>
      <c r="HU22" s="56"/>
      <c r="HV22" s="56"/>
      <c r="HW22" s="56"/>
      <c r="HX22" s="56"/>
      <c r="HY22" s="56"/>
      <c r="HZ22" s="56"/>
      <c r="IA22" s="56"/>
      <c r="IB22" s="56"/>
      <c r="IC22" s="56"/>
      <c r="ID22" s="56"/>
      <c r="IE22" s="56"/>
      <c r="IF22" s="56"/>
      <c r="IG22" s="56"/>
      <c r="IH22" s="56"/>
      <c r="II22" s="56"/>
      <c r="IJ22" s="56"/>
      <c r="IK22" s="56"/>
      <c r="IL22" s="56"/>
      <c r="IM22" s="56"/>
      <c r="IN22" s="56"/>
      <c r="IO22" s="56"/>
      <c r="IP22" s="56"/>
      <c r="IQ22" s="56"/>
      <c r="IR22" s="56"/>
      <c r="IS22" s="56"/>
      <c r="IT22" s="56"/>
      <c r="IU22" s="56"/>
      <c r="IV22" s="56"/>
      <c r="IW22" s="56"/>
      <c r="IX22" s="56"/>
      <c r="IY22" s="56"/>
      <c r="IZ22" s="56"/>
      <c r="JA22" s="56"/>
      <c r="JB22" s="56"/>
      <c r="JC22" s="56"/>
      <c r="JD22" s="56"/>
      <c r="JE22" s="56"/>
      <c r="JF22" s="56"/>
      <c r="JG22" s="56"/>
      <c r="JH22" s="56"/>
      <c r="JI22" s="56"/>
      <c r="JJ22" s="56"/>
      <c r="JK22" s="56"/>
      <c r="JL22" s="56"/>
      <c r="JM22" s="56"/>
      <c r="JN22" s="56"/>
      <c r="JO22" s="56"/>
      <c r="JP22" s="56"/>
      <c r="JQ22" s="56"/>
      <c r="JR22" s="56"/>
      <c r="JS22" s="56"/>
      <c r="JT22" s="56"/>
      <c r="JU22" s="56"/>
      <c r="JV22" s="56"/>
      <c r="JW22" s="56"/>
      <c r="JX22" s="56"/>
      <c r="JY22" s="56"/>
      <c r="JZ22" s="56"/>
      <c r="KA22" s="56"/>
      <c r="KB22" s="56"/>
      <c r="KC22" s="56"/>
      <c r="KD22" s="56"/>
      <c r="KE22" s="56"/>
      <c r="KF22" s="56"/>
      <c r="KG22" s="56"/>
      <c r="KH22" s="56"/>
      <c r="KI22" s="56"/>
      <c r="KJ22" s="56"/>
      <c r="KK22" s="56"/>
      <c r="KL22" s="56"/>
      <c r="KM22" s="56"/>
      <c r="KN22" s="56"/>
      <c r="KO22" s="56"/>
      <c r="KP22" s="56"/>
      <c r="KQ22" s="56"/>
      <c r="KR22" s="56"/>
      <c r="KS22" s="56"/>
      <c r="KT22" s="56"/>
      <c r="KU22" s="56"/>
      <c r="KV22" s="56"/>
      <c r="KW22" s="56"/>
      <c r="KX22" s="56"/>
    </row>
    <row r="23" spans="1:310" s="15" customFormat="1" ht="26.4">
      <c r="A23" s="8"/>
      <c r="B23" s="52" t="s">
        <v>366</v>
      </c>
      <c r="C23" s="53" t="s">
        <v>300</v>
      </c>
      <c r="D23" s="22" t="s">
        <v>315</v>
      </c>
      <c r="E23" s="54">
        <v>1</v>
      </c>
      <c r="F23" s="55">
        <f>+G22</f>
        <v>46050</v>
      </c>
      <c r="G23" s="57">
        <f>+Hitos4352[[#This Row],[Inicio]]+Hitos4352[[#This Row],[Días]]</f>
        <v>46058</v>
      </c>
      <c r="H23" s="58">
        <v>8</v>
      </c>
      <c r="I23" s="14"/>
      <c r="J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6"/>
      <c r="CO23" s="56"/>
      <c r="CP23" s="56"/>
      <c r="CQ23" s="56"/>
      <c r="CR23" s="56"/>
      <c r="CS23" s="56"/>
      <c r="CT23" s="56"/>
      <c r="CU23" s="56"/>
      <c r="CV23" s="56"/>
      <c r="CW23" s="56"/>
      <c r="CX23" s="56"/>
      <c r="CY23" s="56"/>
      <c r="CZ23" s="56"/>
      <c r="DA23" s="56"/>
      <c r="DB23" s="56"/>
      <c r="DC23" s="56"/>
      <c r="DD23" s="56"/>
      <c r="DE23" s="56"/>
      <c r="DF23" s="56"/>
      <c r="DG23" s="56"/>
      <c r="DH23" s="56"/>
      <c r="DI23" s="56"/>
      <c r="DJ23" s="56"/>
      <c r="DK23" s="56"/>
      <c r="DL23" s="56"/>
      <c r="DM23" s="56"/>
      <c r="DN23" s="56"/>
      <c r="DO23" s="56"/>
      <c r="DP23" s="56"/>
      <c r="DQ23" s="56"/>
      <c r="DR23" s="56"/>
      <c r="DS23" s="56"/>
      <c r="DT23" s="56"/>
      <c r="DU23" s="56"/>
      <c r="DV23" s="56"/>
      <c r="DW23" s="56"/>
      <c r="DX23" s="56"/>
      <c r="DY23" s="56"/>
      <c r="DZ23" s="56"/>
      <c r="EA23" s="56"/>
      <c r="EB23" s="56"/>
      <c r="EC23" s="56"/>
      <c r="ED23" s="56"/>
      <c r="EE23" s="56"/>
      <c r="EF23" s="56"/>
      <c r="EG23" s="56"/>
      <c r="EH23" s="56"/>
      <c r="EI23" s="56"/>
      <c r="EJ23" s="56"/>
      <c r="EK23" s="56"/>
      <c r="EL23" s="56"/>
      <c r="EM23" s="56"/>
      <c r="EN23" s="56"/>
      <c r="EO23" s="56"/>
      <c r="EP23" s="56"/>
      <c r="EQ23" s="56"/>
      <c r="ER23" s="56"/>
      <c r="ES23" s="56"/>
      <c r="ET23" s="56"/>
      <c r="EU23" s="56"/>
      <c r="EV23" s="56"/>
      <c r="EW23" s="56"/>
      <c r="EX23" s="56"/>
      <c r="EY23" s="56"/>
      <c r="EZ23" s="56"/>
      <c r="FA23" s="56"/>
      <c r="FB23" s="56"/>
      <c r="FC23" s="56"/>
      <c r="FD23" s="56"/>
      <c r="FE23" s="56"/>
      <c r="FF23" s="56"/>
      <c r="FG23" s="56"/>
      <c r="FH23" s="56"/>
      <c r="FI23" s="56"/>
      <c r="FJ23" s="56"/>
      <c r="FK23" s="56"/>
      <c r="FL23" s="56"/>
      <c r="FM23" s="56"/>
      <c r="FN23" s="56"/>
      <c r="FO23" s="56"/>
      <c r="FP23" s="56"/>
      <c r="FQ23" s="56"/>
      <c r="FR23" s="56"/>
      <c r="FS23" s="56"/>
      <c r="FT23" s="56"/>
      <c r="FU23" s="56"/>
      <c r="FV23" s="56"/>
      <c r="FW23" s="56"/>
      <c r="FX23" s="56"/>
      <c r="FY23" s="56"/>
      <c r="FZ23" s="56"/>
      <c r="GA23" s="56"/>
      <c r="GB23" s="56"/>
      <c r="GC23" s="56"/>
      <c r="GD23" s="56"/>
      <c r="GE23" s="56"/>
      <c r="GF23" s="56"/>
      <c r="GG23" s="56"/>
      <c r="GH23" s="56"/>
      <c r="GI23" s="56"/>
      <c r="GJ23" s="56"/>
      <c r="GK23" s="56"/>
      <c r="GL23" s="56"/>
      <c r="GM23" s="56"/>
      <c r="GN23" s="56"/>
      <c r="GO23" s="56"/>
      <c r="GP23" s="56"/>
      <c r="GQ23" s="56"/>
      <c r="GR23" s="56"/>
      <c r="GS23" s="56"/>
      <c r="GT23" s="56"/>
      <c r="GU23" s="56"/>
      <c r="GV23" s="56"/>
      <c r="GW23" s="56"/>
      <c r="GX23" s="56"/>
      <c r="GY23" s="56"/>
      <c r="GZ23" s="56"/>
      <c r="HA23" s="56"/>
      <c r="HB23" s="56"/>
      <c r="HC23" s="56"/>
      <c r="HD23" s="56"/>
      <c r="HE23" s="56"/>
      <c r="HF23" s="56"/>
      <c r="HG23" s="56"/>
      <c r="HH23" s="56"/>
      <c r="HI23" s="56"/>
      <c r="HJ23" s="56"/>
      <c r="HK23" s="56"/>
      <c r="HL23" s="56"/>
      <c r="HM23" s="56"/>
      <c r="HN23" s="56"/>
      <c r="HO23" s="56"/>
      <c r="HP23" s="56"/>
      <c r="HQ23" s="56"/>
      <c r="HR23" s="56"/>
      <c r="HS23" s="56"/>
      <c r="HT23" s="56"/>
      <c r="HU23" s="56"/>
      <c r="HV23" s="56"/>
      <c r="HW23" s="56"/>
      <c r="HX23" s="56"/>
      <c r="HY23" s="56"/>
      <c r="HZ23" s="56"/>
      <c r="IA23" s="56"/>
      <c r="IB23" s="56"/>
      <c r="IC23" s="56"/>
      <c r="ID23" s="56"/>
      <c r="IE23" s="56"/>
      <c r="IF23" s="56"/>
      <c r="IG23" s="56"/>
      <c r="IH23" s="56"/>
      <c r="II23" s="56"/>
      <c r="IJ23" s="56"/>
      <c r="IK23" s="56"/>
      <c r="IL23" s="56"/>
      <c r="IM23" s="56"/>
      <c r="IN23" s="56"/>
      <c r="IO23" s="56"/>
      <c r="IP23" s="56"/>
      <c r="IQ23" s="56"/>
      <c r="IR23" s="56"/>
      <c r="IS23" s="56"/>
      <c r="IT23" s="56"/>
      <c r="IU23" s="56"/>
      <c r="IV23" s="56"/>
      <c r="IW23" s="56"/>
      <c r="IX23" s="56"/>
      <c r="IY23" s="56"/>
      <c r="IZ23" s="56"/>
      <c r="JA23" s="56"/>
      <c r="JB23" s="56"/>
      <c r="JC23" s="56"/>
      <c r="JD23" s="56"/>
      <c r="JE23" s="56"/>
      <c r="JF23" s="56"/>
      <c r="JG23" s="56"/>
      <c r="JH23" s="56"/>
      <c r="JI23" s="56"/>
      <c r="JJ23" s="56"/>
      <c r="JK23" s="56"/>
      <c r="JL23" s="56"/>
      <c r="JM23" s="56"/>
      <c r="JN23" s="56"/>
      <c r="JO23" s="56"/>
      <c r="JP23" s="56"/>
      <c r="JQ23" s="56"/>
      <c r="JR23" s="56"/>
      <c r="JS23" s="56"/>
      <c r="JT23" s="56"/>
      <c r="JU23" s="56"/>
      <c r="JV23" s="56"/>
      <c r="JW23" s="56"/>
      <c r="JX23" s="56"/>
      <c r="JY23" s="56"/>
      <c r="JZ23" s="56"/>
      <c r="KA23" s="56"/>
      <c r="KB23" s="56"/>
      <c r="KC23" s="56"/>
      <c r="KD23" s="56"/>
      <c r="KE23" s="56"/>
      <c r="KF23" s="56"/>
      <c r="KG23" s="56"/>
      <c r="KH23" s="56"/>
      <c r="KI23" s="56"/>
      <c r="KJ23" s="56"/>
      <c r="KK23" s="56"/>
      <c r="KL23" s="56"/>
      <c r="KM23" s="56"/>
      <c r="KN23" s="56"/>
      <c r="KO23" s="56"/>
      <c r="KP23" s="56"/>
      <c r="KQ23" s="56"/>
      <c r="KR23" s="56"/>
      <c r="KS23" s="56"/>
      <c r="KT23" s="56"/>
      <c r="KU23" s="56"/>
      <c r="KV23" s="56"/>
      <c r="KW23" s="56"/>
      <c r="KX23" s="56"/>
    </row>
    <row r="24" spans="1:310" s="15" customFormat="1" ht="26.4">
      <c r="A24" s="8"/>
      <c r="B24" s="52" t="s">
        <v>357</v>
      </c>
      <c r="C24" s="53" t="s">
        <v>300</v>
      </c>
      <c r="D24" s="22" t="s">
        <v>351</v>
      </c>
      <c r="E24" s="54">
        <v>0</v>
      </c>
      <c r="F24" s="55">
        <v>46057</v>
      </c>
      <c r="G24" s="57">
        <f>+Hitos4352[[#This Row],[Inicio]]+Hitos4352[[#This Row],[Días]]</f>
        <v>46058</v>
      </c>
      <c r="H24" s="58">
        <v>1</v>
      </c>
      <c r="I24" s="14"/>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M24" s="56"/>
      <c r="CN24" s="56"/>
      <c r="CO24" s="56"/>
      <c r="CP24" s="56"/>
      <c r="CQ24" s="56"/>
      <c r="CR24" s="56"/>
      <c r="CS24" s="56"/>
      <c r="CT24" s="56"/>
      <c r="CU24" s="56"/>
      <c r="CV24" s="56"/>
      <c r="CW24" s="56"/>
      <c r="CX24" s="56"/>
      <c r="CY24" s="56"/>
      <c r="CZ24" s="56"/>
      <c r="DA24" s="56"/>
      <c r="DB24" s="56"/>
      <c r="DC24" s="56"/>
      <c r="DD24" s="56"/>
      <c r="DE24" s="56"/>
      <c r="DF24" s="56"/>
      <c r="DG24" s="56"/>
      <c r="DH24" s="56"/>
      <c r="DI24" s="56"/>
      <c r="DJ24" s="56"/>
      <c r="DK24" s="56"/>
      <c r="DL24" s="56"/>
      <c r="DM24" s="56"/>
      <c r="DN24" s="56"/>
      <c r="DO24" s="56"/>
      <c r="DP24" s="56"/>
      <c r="DQ24" s="56"/>
      <c r="DR24" s="56"/>
      <c r="DS24" s="56"/>
      <c r="DT24" s="56"/>
      <c r="DU24" s="56"/>
      <c r="DV24" s="56"/>
      <c r="DW24" s="56"/>
      <c r="DX24" s="56"/>
      <c r="DY24" s="56"/>
      <c r="DZ24" s="56"/>
      <c r="EA24" s="56"/>
      <c r="EB24" s="56"/>
      <c r="EC24" s="56"/>
      <c r="ED24" s="56"/>
      <c r="EE24" s="56"/>
      <c r="EF24" s="56"/>
      <c r="EG24" s="56"/>
      <c r="EH24" s="56"/>
      <c r="EI24" s="56"/>
      <c r="EJ24" s="56"/>
      <c r="EK24" s="56"/>
      <c r="EL24" s="56"/>
      <c r="EM24" s="56"/>
      <c r="EN24" s="56"/>
      <c r="EO24" s="56"/>
      <c r="EP24" s="56"/>
      <c r="EQ24" s="56"/>
      <c r="ER24" s="56"/>
      <c r="ES24" s="56"/>
      <c r="ET24" s="56"/>
      <c r="EU24" s="56"/>
      <c r="EV24" s="56"/>
      <c r="EW24" s="56"/>
      <c r="EX24" s="56"/>
      <c r="EY24" s="56"/>
      <c r="EZ24" s="56"/>
      <c r="FA24" s="56"/>
      <c r="FB24" s="56"/>
      <c r="FC24" s="56"/>
      <c r="FD24" s="56"/>
      <c r="FE24" s="56"/>
      <c r="FF24" s="56"/>
      <c r="FG24" s="56"/>
      <c r="FH24" s="56"/>
      <c r="FI24" s="56"/>
      <c r="FJ24" s="56"/>
      <c r="FK24" s="56"/>
      <c r="FL24" s="56"/>
      <c r="FM24" s="56"/>
      <c r="FN24" s="56"/>
      <c r="FO24" s="56"/>
      <c r="FP24" s="56"/>
      <c r="FQ24" s="56"/>
      <c r="FR24" s="56"/>
      <c r="FS24" s="56"/>
      <c r="FT24" s="56"/>
      <c r="FU24" s="56"/>
      <c r="FV24" s="56"/>
      <c r="FW24" s="56"/>
      <c r="FX24" s="56"/>
      <c r="FY24" s="56"/>
      <c r="FZ24" s="56"/>
      <c r="GA24" s="56"/>
      <c r="GB24" s="56"/>
      <c r="GC24" s="56"/>
      <c r="GD24" s="56"/>
      <c r="GE24" s="56"/>
      <c r="GF24" s="56"/>
      <c r="GG24" s="56"/>
      <c r="GH24" s="56"/>
      <c r="GI24" s="56"/>
      <c r="GJ24" s="56"/>
      <c r="GK24" s="56"/>
      <c r="GL24" s="56"/>
      <c r="GM24" s="56"/>
      <c r="GN24" s="56"/>
      <c r="GO24" s="56"/>
      <c r="GP24" s="56"/>
      <c r="GQ24" s="56"/>
      <c r="GR24" s="56"/>
      <c r="GS24" s="56"/>
      <c r="GT24" s="56"/>
      <c r="GU24" s="56"/>
      <c r="GV24" s="56"/>
      <c r="GW24" s="56"/>
      <c r="GX24" s="56"/>
      <c r="GY24" s="56"/>
      <c r="GZ24" s="56"/>
      <c r="HA24" s="56"/>
      <c r="HB24" s="56"/>
      <c r="HC24" s="56"/>
      <c r="HD24" s="56"/>
      <c r="HE24" s="56"/>
      <c r="HF24" s="56"/>
      <c r="HG24" s="56"/>
      <c r="HH24" s="56"/>
      <c r="HI24" s="56"/>
      <c r="HJ24" s="56"/>
      <c r="HK24" s="56"/>
      <c r="HL24" s="56"/>
      <c r="HM24" s="56"/>
      <c r="HN24" s="56"/>
      <c r="HO24" s="56"/>
      <c r="HP24" s="56"/>
      <c r="HQ24" s="56"/>
      <c r="HR24" s="56"/>
      <c r="HS24" s="56"/>
      <c r="HT24" s="56"/>
      <c r="HU24" s="56"/>
      <c r="HV24" s="56"/>
      <c r="HW24" s="56"/>
      <c r="HX24" s="56"/>
      <c r="HY24" s="56"/>
      <c r="HZ24" s="56"/>
      <c r="IA24" s="56"/>
      <c r="IB24" s="56"/>
      <c r="IC24" s="56"/>
      <c r="ID24" s="56"/>
      <c r="IE24" s="56"/>
      <c r="IF24" s="56"/>
      <c r="IG24" s="56"/>
      <c r="IH24" s="56"/>
      <c r="II24" s="56"/>
      <c r="IJ24" s="56"/>
      <c r="IK24" s="56"/>
      <c r="IL24" s="56"/>
      <c r="IM24" s="56"/>
      <c r="IN24" s="56"/>
      <c r="IO24" s="56"/>
      <c r="IP24" s="56"/>
      <c r="IQ24" s="56"/>
      <c r="IR24" s="56"/>
      <c r="IS24" s="56"/>
      <c r="IT24" s="56"/>
      <c r="IU24" s="56"/>
      <c r="IV24" s="56"/>
      <c r="IW24" s="56"/>
      <c r="IX24" s="56"/>
      <c r="IY24" s="56"/>
      <c r="IZ24" s="56"/>
      <c r="JA24" s="56"/>
      <c r="JB24" s="56"/>
      <c r="JC24" s="56"/>
      <c r="JD24" s="56"/>
      <c r="JE24" s="56"/>
      <c r="JF24" s="56"/>
      <c r="JG24" s="56"/>
      <c r="JH24" s="56"/>
      <c r="JI24" s="56"/>
      <c r="JJ24" s="56"/>
      <c r="JK24" s="56"/>
      <c r="JL24" s="56"/>
      <c r="JM24" s="56"/>
      <c r="JN24" s="56"/>
      <c r="JO24" s="56"/>
      <c r="JP24" s="56"/>
      <c r="JQ24" s="56"/>
      <c r="JR24" s="56"/>
      <c r="JS24" s="56"/>
      <c r="JT24" s="56"/>
      <c r="JU24" s="56"/>
      <c r="JV24" s="56"/>
      <c r="JW24" s="56"/>
      <c r="JX24" s="56"/>
      <c r="JY24" s="56"/>
      <c r="JZ24" s="56"/>
      <c r="KA24" s="56"/>
      <c r="KB24" s="56"/>
      <c r="KC24" s="56"/>
      <c r="KD24" s="56"/>
      <c r="KE24" s="56"/>
      <c r="KF24" s="56"/>
      <c r="KG24" s="56"/>
      <c r="KH24" s="56"/>
      <c r="KI24" s="56"/>
      <c r="KJ24" s="56"/>
      <c r="KK24" s="56"/>
      <c r="KL24" s="56"/>
      <c r="KM24" s="56"/>
      <c r="KN24" s="56"/>
      <c r="KO24" s="56"/>
      <c r="KP24" s="56"/>
      <c r="KQ24" s="56"/>
      <c r="KR24" s="56"/>
      <c r="KS24" s="56"/>
      <c r="KT24" s="56"/>
      <c r="KU24" s="56"/>
      <c r="KV24" s="56"/>
      <c r="KW24" s="56"/>
      <c r="KX24" s="56"/>
    </row>
    <row r="25" spans="1:310" s="15" customFormat="1">
      <c r="A25" s="8"/>
      <c r="B25" s="52" t="s">
        <v>362</v>
      </c>
      <c r="C25" s="53" t="s">
        <v>300</v>
      </c>
      <c r="D25" s="22" t="s">
        <v>315</v>
      </c>
      <c r="E25" s="54">
        <v>1</v>
      </c>
      <c r="F25" s="55">
        <v>46055</v>
      </c>
      <c r="G25" s="57">
        <f>+Hitos4352[[#This Row],[Inicio]]+Hitos4352[[#This Row],[Días]]</f>
        <v>46056</v>
      </c>
      <c r="H25" s="58">
        <v>1</v>
      </c>
      <c r="I25" s="14"/>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c r="CD25" s="56"/>
      <c r="CE25" s="56"/>
      <c r="CF25" s="56"/>
      <c r="CG25" s="56"/>
      <c r="CH25" s="56"/>
      <c r="CI25" s="56"/>
      <c r="CJ25" s="56"/>
      <c r="CK25" s="56"/>
      <c r="CL25" s="56"/>
      <c r="CM25" s="56"/>
      <c r="CN25" s="56"/>
      <c r="CO25" s="56"/>
      <c r="CP25" s="56"/>
      <c r="CQ25" s="56"/>
      <c r="CR25" s="56"/>
      <c r="CS25" s="56"/>
      <c r="CT25" s="56"/>
      <c r="CU25" s="56"/>
      <c r="CV25" s="56"/>
      <c r="CW25" s="56"/>
      <c r="CX25" s="56"/>
      <c r="CY25" s="56"/>
      <c r="CZ25" s="56"/>
      <c r="DA25" s="56"/>
      <c r="DB25" s="56"/>
      <c r="DC25" s="56"/>
      <c r="DD25" s="56"/>
      <c r="DE25" s="56"/>
      <c r="DF25" s="56"/>
      <c r="DG25" s="56"/>
      <c r="DH25" s="56"/>
      <c r="DI25" s="56"/>
      <c r="DJ25" s="56"/>
      <c r="DK25" s="56"/>
      <c r="DL25" s="56"/>
      <c r="DM25" s="56"/>
      <c r="DN25" s="56"/>
      <c r="DO25" s="56"/>
      <c r="DP25" s="56"/>
      <c r="DQ25" s="56"/>
      <c r="DR25" s="56"/>
      <c r="DS25" s="56"/>
      <c r="DT25" s="56"/>
      <c r="DU25" s="56"/>
      <c r="DV25" s="56"/>
      <c r="DW25" s="56"/>
      <c r="DX25" s="56"/>
      <c r="DY25" s="56"/>
      <c r="DZ25" s="56"/>
      <c r="EA25" s="56"/>
      <c r="EB25" s="56"/>
      <c r="EC25" s="56"/>
      <c r="ED25" s="56"/>
      <c r="EE25" s="56"/>
      <c r="EF25" s="56"/>
      <c r="EG25" s="56"/>
      <c r="EH25" s="56"/>
      <c r="EI25" s="56"/>
      <c r="EJ25" s="56"/>
      <c r="EK25" s="56"/>
      <c r="EL25" s="56"/>
      <c r="EM25" s="56"/>
      <c r="EN25" s="56"/>
      <c r="EO25" s="56"/>
      <c r="EP25" s="56"/>
      <c r="EQ25" s="56"/>
      <c r="ER25" s="56"/>
      <c r="ES25" s="56"/>
      <c r="ET25" s="56"/>
      <c r="EU25" s="56"/>
      <c r="EV25" s="56"/>
      <c r="EW25" s="56"/>
      <c r="EX25" s="56"/>
      <c r="EY25" s="56"/>
      <c r="EZ25" s="56"/>
      <c r="FA25" s="56"/>
      <c r="FB25" s="56"/>
      <c r="FC25" s="56"/>
      <c r="FD25" s="56"/>
      <c r="FE25" s="56"/>
      <c r="FF25" s="56"/>
      <c r="FG25" s="56"/>
      <c r="FH25" s="56"/>
      <c r="FI25" s="56"/>
      <c r="FJ25" s="56"/>
      <c r="FK25" s="56"/>
      <c r="FL25" s="56"/>
      <c r="FM25" s="56"/>
      <c r="FN25" s="56"/>
      <c r="FO25" s="56"/>
      <c r="FP25" s="56"/>
      <c r="FQ25" s="56"/>
      <c r="FR25" s="56"/>
      <c r="FS25" s="56"/>
      <c r="FT25" s="56"/>
      <c r="FU25" s="56"/>
      <c r="FV25" s="56"/>
      <c r="FW25" s="56"/>
      <c r="FX25" s="56"/>
      <c r="FY25" s="56"/>
      <c r="FZ25" s="56"/>
      <c r="GA25" s="56"/>
      <c r="GB25" s="56"/>
      <c r="GC25" s="56"/>
      <c r="GD25" s="56"/>
      <c r="GE25" s="56"/>
      <c r="GF25" s="56"/>
      <c r="GG25" s="56"/>
      <c r="GH25" s="56"/>
      <c r="GI25" s="56"/>
      <c r="GJ25" s="56"/>
      <c r="GK25" s="56"/>
      <c r="GL25" s="56"/>
      <c r="GM25" s="56"/>
      <c r="GN25" s="56"/>
      <c r="GO25" s="56"/>
      <c r="GP25" s="56"/>
      <c r="GQ25" s="56"/>
      <c r="GR25" s="56"/>
      <c r="GS25" s="56"/>
      <c r="GT25" s="56"/>
      <c r="GU25" s="56"/>
      <c r="GV25" s="56"/>
      <c r="GW25" s="56"/>
      <c r="GX25" s="56"/>
      <c r="GY25" s="56"/>
      <c r="GZ25" s="56"/>
      <c r="HA25" s="56"/>
      <c r="HB25" s="56"/>
      <c r="HC25" s="56"/>
      <c r="HD25" s="56"/>
      <c r="HE25" s="56"/>
      <c r="HF25" s="56"/>
      <c r="HG25" s="56"/>
      <c r="HH25" s="56"/>
      <c r="HI25" s="56"/>
      <c r="HJ25" s="56"/>
      <c r="HK25" s="56"/>
      <c r="HL25" s="56"/>
      <c r="HM25" s="56"/>
      <c r="HN25" s="56"/>
      <c r="HO25" s="56"/>
      <c r="HP25" s="56"/>
      <c r="HQ25" s="56"/>
      <c r="HR25" s="56"/>
      <c r="HS25" s="56"/>
      <c r="HT25" s="56"/>
      <c r="HU25" s="56"/>
      <c r="HV25" s="56"/>
      <c r="HW25" s="56"/>
      <c r="HX25" s="56"/>
      <c r="HY25" s="56"/>
      <c r="HZ25" s="56"/>
      <c r="IA25" s="56"/>
      <c r="IB25" s="56"/>
      <c r="IC25" s="56"/>
      <c r="ID25" s="56"/>
      <c r="IE25" s="56"/>
      <c r="IF25" s="56"/>
      <c r="IG25" s="56"/>
      <c r="IH25" s="56"/>
      <c r="II25" s="56"/>
      <c r="IJ25" s="56"/>
      <c r="IK25" s="56"/>
      <c r="IL25" s="56"/>
      <c r="IM25" s="56"/>
      <c r="IN25" s="56"/>
      <c r="IO25" s="56"/>
      <c r="IP25" s="56"/>
      <c r="IQ25" s="56"/>
      <c r="IR25" s="56"/>
      <c r="IS25" s="56"/>
      <c r="IT25" s="56"/>
      <c r="IU25" s="56"/>
      <c r="IV25" s="56"/>
      <c r="IW25" s="56"/>
      <c r="IX25" s="56"/>
      <c r="IY25" s="56"/>
      <c r="IZ25" s="56"/>
      <c r="JA25" s="56"/>
      <c r="JB25" s="56"/>
      <c r="JC25" s="56"/>
      <c r="JD25" s="56"/>
      <c r="JE25" s="56"/>
      <c r="JF25" s="56"/>
      <c r="JG25" s="56"/>
      <c r="JH25" s="56"/>
      <c r="JI25" s="56"/>
      <c r="JJ25" s="56"/>
      <c r="JK25" s="56"/>
      <c r="JL25" s="56"/>
      <c r="JM25" s="56"/>
      <c r="JN25" s="56"/>
      <c r="JO25" s="56"/>
      <c r="JP25" s="56"/>
      <c r="JQ25" s="56"/>
      <c r="JR25" s="56"/>
      <c r="JS25" s="56"/>
      <c r="JT25" s="56"/>
      <c r="JU25" s="56"/>
      <c r="JV25" s="56"/>
      <c r="JW25" s="56"/>
      <c r="JX25" s="56"/>
      <c r="JY25" s="56"/>
      <c r="JZ25" s="56"/>
      <c r="KA25" s="56"/>
      <c r="KB25" s="56"/>
      <c r="KC25" s="56"/>
      <c r="KD25" s="56"/>
      <c r="KE25" s="56"/>
      <c r="KF25" s="56"/>
      <c r="KG25" s="56"/>
      <c r="KH25" s="56"/>
      <c r="KI25" s="56"/>
      <c r="KJ25" s="56"/>
      <c r="KK25" s="56"/>
      <c r="KL25" s="56"/>
      <c r="KM25" s="56"/>
      <c r="KN25" s="56"/>
      <c r="KO25" s="56"/>
      <c r="KP25" s="56"/>
      <c r="KQ25" s="56"/>
      <c r="KR25" s="56"/>
      <c r="KS25" s="56"/>
      <c r="KT25" s="56"/>
      <c r="KU25" s="56"/>
      <c r="KV25" s="56"/>
      <c r="KW25" s="56"/>
      <c r="KX25" s="56"/>
    </row>
    <row r="26" spans="1:310" s="15" customFormat="1">
      <c r="A26" s="8"/>
      <c r="B26" s="52" t="s">
        <v>363</v>
      </c>
      <c r="C26" s="53" t="s">
        <v>300</v>
      </c>
      <c r="D26" s="22" t="s">
        <v>315</v>
      </c>
      <c r="E26" s="54">
        <v>1</v>
      </c>
      <c r="F26" s="55">
        <f>+G25</f>
        <v>46056</v>
      </c>
      <c r="G26" s="57">
        <f>+Hitos4352[[#This Row],[Inicio]]+Hitos4352[[#This Row],[Días]]</f>
        <v>46057</v>
      </c>
      <c r="H26" s="58">
        <v>1</v>
      </c>
      <c r="I26" s="14"/>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c r="BV26" s="56"/>
      <c r="BW26" s="56"/>
      <c r="BX26" s="56"/>
      <c r="BY26" s="56"/>
      <c r="BZ26" s="56"/>
      <c r="CA26" s="56"/>
      <c r="CB26" s="56"/>
      <c r="CC26" s="56"/>
      <c r="CD26" s="56"/>
      <c r="CE26" s="56"/>
      <c r="CF26" s="56"/>
      <c r="CG26" s="56"/>
      <c r="CH26" s="56"/>
      <c r="CI26" s="56"/>
      <c r="CJ26" s="56"/>
      <c r="CK26" s="56"/>
      <c r="CL26" s="56"/>
      <c r="CM26" s="56"/>
      <c r="CN26" s="56"/>
      <c r="CO26" s="56"/>
      <c r="CP26" s="56"/>
      <c r="CQ26" s="56"/>
      <c r="CR26" s="56"/>
      <c r="CS26" s="56"/>
      <c r="CT26" s="56"/>
      <c r="CU26" s="56"/>
      <c r="CV26" s="56"/>
      <c r="CW26" s="56"/>
      <c r="CX26" s="56"/>
      <c r="CY26" s="56"/>
      <c r="CZ26" s="56"/>
      <c r="DA26" s="56"/>
      <c r="DB26" s="56"/>
      <c r="DC26" s="56"/>
      <c r="DD26" s="56"/>
      <c r="DE26" s="56"/>
      <c r="DF26" s="56"/>
      <c r="DG26" s="56"/>
      <c r="DH26" s="56"/>
      <c r="DI26" s="56"/>
      <c r="DJ26" s="56"/>
      <c r="DK26" s="56"/>
      <c r="DL26" s="56"/>
      <c r="DM26" s="56"/>
      <c r="DN26" s="56"/>
      <c r="DO26" s="56"/>
      <c r="DP26" s="56"/>
      <c r="DQ26" s="56"/>
      <c r="DR26" s="56"/>
      <c r="DS26" s="56"/>
      <c r="DT26" s="56"/>
      <c r="DU26" s="56"/>
      <c r="DV26" s="56"/>
      <c r="DW26" s="56"/>
      <c r="DX26" s="56"/>
      <c r="DY26" s="56"/>
      <c r="DZ26" s="56"/>
      <c r="EA26" s="56"/>
      <c r="EB26" s="56"/>
      <c r="EC26" s="56"/>
      <c r="ED26" s="56"/>
      <c r="EE26" s="56"/>
      <c r="EF26" s="56"/>
      <c r="EG26" s="56"/>
      <c r="EH26" s="56"/>
      <c r="EI26" s="56"/>
      <c r="EJ26" s="56"/>
      <c r="EK26" s="56"/>
      <c r="EL26" s="56"/>
      <c r="EM26" s="56"/>
      <c r="EN26" s="56"/>
      <c r="EO26" s="56"/>
      <c r="EP26" s="56"/>
      <c r="EQ26" s="56"/>
      <c r="ER26" s="56"/>
      <c r="ES26" s="56"/>
      <c r="ET26" s="56"/>
      <c r="EU26" s="56"/>
      <c r="EV26" s="56"/>
      <c r="EW26" s="56"/>
      <c r="EX26" s="56"/>
      <c r="EY26" s="56"/>
      <c r="EZ26" s="56"/>
      <c r="FA26" s="56"/>
      <c r="FB26" s="56"/>
      <c r="FC26" s="56"/>
      <c r="FD26" s="56"/>
      <c r="FE26" s="56"/>
      <c r="FF26" s="56"/>
      <c r="FG26" s="56"/>
      <c r="FH26" s="56"/>
      <c r="FI26" s="56"/>
      <c r="FJ26" s="56"/>
      <c r="FK26" s="56"/>
      <c r="FL26" s="56"/>
      <c r="FM26" s="56"/>
      <c r="FN26" s="56"/>
      <c r="FO26" s="56"/>
      <c r="FP26" s="56"/>
      <c r="FQ26" s="56"/>
      <c r="FR26" s="56"/>
      <c r="FS26" s="56"/>
      <c r="FT26" s="56"/>
      <c r="FU26" s="56"/>
      <c r="FV26" s="56"/>
      <c r="FW26" s="56"/>
      <c r="FX26" s="56"/>
      <c r="FY26" s="56"/>
      <c r="FZ26" s="56"/>
      <c r="GA26" s="56"/>
      <c r="GB26" s="56"/>
      <c r="GC26" s="56"/>
      <c r="GD26" s="56"/>
      <c r="GE26" s="56"/>
      <c r="GF26" s="56"/>
      <c r="GG26" s="56"/>
      <c r="GH26" s="56"/>
      <c r="GI26" s="56"/>
      <c r="GJ26" s="56"/>
      <c r="GK26" s="56"/>
      <c r="GL26" s="56"/>
      <c r="GM26" s="56"/>
      <c r="GN26" s="56"/>
      <c r="GO26" s="56"/>
      <c r="GP26" s="56"/>
      <c r="GQ26" s="56"/>
      <c r="GR26" s="56"/>
      <c r="GS26" s="56"/>
      <c r="GT26" s="56"/>
      <c r="GU26" s="56"/>
      <c r="GV26" s="56"/>
      <c r="GW26" s="56"/>
      <c r="GX26" s="56"/>
      <c r="GY26" s="56"/>
      <c r="GZ26" s="56"/>
      <c r="HA26" s="56"/>
      <c r="HB26" s="56"/>
      <c r="HC26" s="56"/>
      <c r="HD26" s="56"/>
      <c r="HE26" s="56"/>
      <c r="HF26" s="56"/>
      <c r="HG26" s="56"/>
      <c r="HH26" s="56"/>
      <c r="HI26" s="56"/>
      <c r="HJ26" s="56"/>
      <c r="HK26" s="56"/>
      <c r="HL26" s="56"/>
      <c r="HM26" s="56"/>
      <c r="HN26" s="56"/>
      <c r="HO26" s="56"/>
      <c r="HP26" s="56"/>
      <c r="HQ26" s="56"/>
      <c r="HR26" s="56"/>
      <c r="HS26" s="56"/>
      <c r="HT26" s="56"/>
      <c r="HU26" s="56"/>
      <c r="HV26" s="56"/>
      <c r="HW26" s="56"/>
      <c r="HX26" s="56"/>
      <c r="HY26" s="56"/>
      <c r="HZ26" s="56"/>
      <c r="IA26" s="56"/>
      <c r="IB26" s="56"/>
      <c r="IC26" s="56"/>
      <c r="ID26" s="56"/>
      <c r="IE26" s="56"/>
      <c r="IF26" s="56"/>
      <c r="IG26" s="56"/>
      <c r="IH26" s="56"/>
      <c r="II26" s="56"/>
      <c r="IJ26" s="56"/>
      <c r="IK26" s="56"/>
      <c r="IL26" s="56"/>
      <c r="IM26" s="56"/>
      <c r="IN26" s="56"/>
      <c r="IO26" s="56"/>
      <c r="IP26" s="56"/>
      <c r="IQ26" s="56"/>
      <c r="IR26" s="56"/>
      <c r="IS26" s="56"/>
      <c r="IT26" s="56"/>
      <c r="IU26" s="56"/>
      <c r="IV26" s="56"/>
      <c r="IW26" s="56"/>
      <c r="IX26" s="56"/>
      <c r="IY26" s="56"/>
      <c r="IZ26" s="56"/>
      <c r="JA26" s="56"/>
      <c r="JB26" s="56"/>
      <c r="JC26" s="56"/>
      <c r="JD26" s="56"/>
      <c r="JE26" s="56"/>
      <c r="JF26" s="56"/>
      <c r="JG26" s="56"/>
      <c r="JH26" s="56"/>
      <c r="JI26" s="56"/>
      <c r="JJ26" s="56"/>
      <c r="JK26" s="56"/>
      <c r="JL26" s="56"/>
      <c r="JM26" s="56"/>
      <c r="JN26" s="56"/>
      <c r="JO26" s="56"/>
      <c r="JP26" s="56"/>
      <c r="JQ26" s="56"/>
      <c r="JR26" s="56"/>
      <c r="JS26" s="56"/>
      <c r="JT26" s="56"/>
      <c r="JU26" s="56"/>
      <c r="JV26" s="56"/>
      <c r="JW26" s="56"/>
      <c r="JX26" s="56"/>
      <c r="JY26" s="56"/>
      <c r="JZ26" s="56"/>
      <c r="KA26" s="56"/>
      <c r="KB26" s="56"/>
      <c r="KC26" s="56"/>
      <c r="KD26" s="56"/>
      <c r="KE26" s="56"/>
      <c r="KF26" s="56"/>
      <c r="KG26" s="56"/>
      <c r="KH26" s="56"/>
      <c r="KI26" s="56"/>
      <c r="KJ26" s="56"/>
      <c r="KK26" s="56"/>
      <c r="KL26" s="56"/>
      <c r="KM26" s="56"/>
      <c r="KN26" s="56"/>
      <c r="KO26" s="56"/>
      <c r="KP26" s="56"/>
      <c r="KQ26" s="56"/>
      <c r="KR26" s="56"/>
      <c r="KS26" s="56"/>
      <c r="KT26" s="56"/>
      <c r="KU26" s="56"/>
      <c r="KV26" s="56"/>
      <c r="KW26" s="56"/>
      <c r="KX26" s="56"/>
    </row>
    <row r="27" spans="1:310" s="15" customFormat="1">
      <c r="A27" s="8"/>
      <c r="B27" s="52" t="s">
        <v>364</v>
      </c>
      <c r="C27" s="53" t="s">
        <v>300</v>
      </c>
      <c r="D27" s="22" t="s">
        <v>315</v>
      </c>
      <c r="E27" s="54">
        <v>1</v>
      </c>
      <c r="F27" s="55">
        <f>+G26</f>
        <v>46057</v>
      </c>
      <c r="G27" s="57">
        <f>+Hitos4352[[#This Row],[Inicio]]+Hitos4352[[#This Row],[Días]]</f>
        <v>46058</v>
      </c>
      <c r="H27" s="58">
        <v>1</v>
      </c>
      <c r="I27" s="14"/>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56"/>
      <c r="ED27" s="56"/>
      <c r="EE27" s="56"/>
      <c r="EF27" s="56"/>
      <c r="EG27" s="56"/>
      <c r="EH27" s="56"/>
      <c r="EI27" s="56"/>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c r="FS27" s="56"/>
      <c r="FT27" s="56"/>
      <c r="FU27" s="56"/>
      <c r="FV27" s="56"/>
      <c r="FW27" s="56"/>
      <c r="FX27" s="56"/>
      <c r="FY27" s="56"/>
      <c r="FZ27" s="56"/>
      <c r="GA27" s="56"/>
      <c r="GB27" s="56"/>
      <c r="GC27" s="56"/>
      <c r="GD27" s="56"/>
      <c r="GE27" s="56"/>
      <c r="GF27" s="56"/>
      <c r="GG27" s="56"/>
      <c r="GH27" s="56"/>
      <c r="GI27" s="56"/>
      <c r="GJ27" s="56"/>
      <c r="GK27" s="56"/>
      <c r="GL27" s="56"/>
      <c r="GM27" s="56"/>
      <c r="GN27" s="56"/>
      <c r="GO27" s="56"/>
      <c r="GP27" s="56"/>
      <c r="GQ27" s="56"/>
      <c r="GR27" s="56"/>
      <c r="GS27" s="56"/>
      <c r="GT27" s="56"/>
      <c r="GU27" s="56"/>
      <c r="GV27" s="56"/>
      <c r="GW27" s="56"/>
      <c r="GX27" s="56"/>
      <c r="GY27" s="56"/>
      <c r="GZ27" s="56"/>
      <c r="HA27" s="56"/>
      <c r="HB27" s="56"/>
      <c r="HC27" s="56"/>
      <c r="HD27" s="56"/>
      <c r="HE27" s="56"/>
      <c r="HF27" s="56"/>
      <c r="HG27" s="56"/>
      <c r="HH27" s="56"/>
      <c r="HI27" s="56"/>
      <c r="HJ27" s="56"/>
      <c r="HK27" s="56"/>
      <c r="HL27" s="56"/>
      <c r="HM27" s="56"/>
      <c r="HN27" s="56"/>
      <c r="HO27" s="56"/>
      <c r="HP27" s="56"/>
      <c r="HQ27" s="56"/>
      <c r="HR27" s="56"/>
      <c r="HS27" s="56"/>
      <c r="HT27" s="56"/>
      <c r="HU27" s="56"/>
      <c r="HV27" s="56"/>
      <c r="HW27" s="56"/>
      <c r="HX27" s="56"/>
      <c r="HY27" s="56"/>
      <c r="HZ27" s="56"/>
      <c r="IA27" s="56"/>
      <c r="IB27" s="56"/>
      <c r="IC27" s="56"/>
      <c r="ID27" s="56"/>
      <c r="IE27" s="56"/>
      <c r="IF27" s="56"/>
      <c r="IG27" s="56"/>
      <c r="IH27" s="56"/>
      <c r="II27" s="56"/>
      <c r="IJ27" s="56"/>
      <c r="IK27" s="56"/>
      <c r="IL27" s="56"/>
      <c r="IM27" s="56"/>
      <c r="IN27" s="56"/>
      <c r="IO27" s="56"/>
      <c r="IP27" s="56"/>
      <c r="IQ27" s="56"/>
      <c r="IR27" s="56"/>
      <c r="IS27" s="56"/>
      <c r="IT27" s="56"/>
      <c r="IU27" s="56"/>
      <c r="IV27" s="56"/>
      <c r="IW27" s="56"/>
      <c r="IX27" s="56"/>
      <c r="IY27" s="56"/>
      <c r="IZ27" s="56"/>
      <c r="JA27" s="56"/>
      <c r="JB27" s="56"/>
      <c r="JC27" s="56"/>
      <c r="JD27" s="56"/>
      <c r="JE27" s="56"/>
      <c r="JF27" s="56"/>
      <c r="JG27" s="56"/>
      <c r="JH27" s="56"/>
      <c r="JI27" s="56"/>
      <c r="JJ27" s="56"/>
      <c r="JK27" s="56"/>
      <c r="JL27" s="56"/>
      <c r="JM27" s="56"/>
      <c r="JN27" s="56"/>
      <c r="JO27" s="56"/>
      <c r="JP27" s="56"/>
      <c r="JQ27" s="56"/>
      <c r="JR27" s="56"/>
      <c r="JS27" s="56"/>
      <c r="JT27" s="56"/>
      <c r="JU27" s="56"/>
      <c r="JV27" s="56"/>
      <c r="JW27" s="56"/>
      <c r="JX27" s="56"/>
      <c r="JY27" s="56"/>
      <c r="JZ27" s="56"/>
      <c r="KA27" s="56"/>
      <c r="KB27" s="56"/>
      <c r="KC27" s="56"/>
      <c r="KD27" s="56"/>
      <c r="KE27" s="56"/>
      <c r="KF27" s="56"/>
      <c r="KG27" s="56"/>
      <c r="KH27" s="56"/>
      <c r="KI27" s="56"/>
      <c r="KJ27" s="56"/>
      <c r="KK27" s="56"/>
      <c r="KL27" s="56"/>
      <c r="KM27" s="56"/>
      <c r="KN27" s="56"/>
      <c r="KO27" s="56"/>
      <c r="KP27" s="56"/>
      <c r="KQ27" s="56"/>
      <c r="KR27" s="56"/>
      <c r="KS27" s="56"/>
      <c r="KT27" s="56"/>
      <c r="KU27" s="56"/>
      <c r="KV27" s="56"/>
      <c r="KW27" s="56"/>
      <c r="KX27" s="56"/>
    </row>
    <row r="28" spans="1:310" s="15" customFormat="1">
      <c r="A28" s="8"/>
      <c r="B28" s="52" t="s">
        <v>365</v>
      </c>
      <c r="C28" s="53" t="s">
        <v>300</v>
      </c>
      <c r="D28" s="22" t="s">
        <v>315</v>
      </c>
      <c r="E28" s="54">
        <v>1</v>
      </c>
      <c r="F28" s="55">
        <f>+G27</f>
        <v>46058</v>
      </c>
      <c r="G28" s="57">
        <f>+Hitos4352[[#This Row],[Inicio]]+Hitos4352[[#This Row],[Días]]</f>
        <v>46059</v>
      </c>
      <c r="H28" s="58">
        <v>1</v>
      </c>
      <c r="I28" s="14"/>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c r="FU28" s="56"/>
      <c r="FV28" s="56"/>
      <c r="FW28" s="56"/>
      <c r="FX28" s="56"/>
      <c r="FY28" s="56"/>
      <c r="FZ28" s="56"/>
      <c r="GA28" s="56"/>
      <c r="GB28" s="56"/>
      <c r="GC28" s="56"/>
      <c r="GD28" s="56"/>
      <c r="GE28" s="56"/>
      <c r="GF28" s="56"/>
      <c r="GG28" s="56"/>
      <c r="GH28" s="56"/>
      <c r="GI28" s="56"/>
      <c r="GJ28" s="56"/>
      <c r="GK28" s="56"/>
      <c r="GL28" s="56"/>
      <c r="GM28" s="56"/>
      <c r="GN28" s="56"/>
      <c r="GO28" s="56"/>
      <c r="GP28" s="56"/>
      <c r="GQ28" s="56"/>
      <c r="GR28" s="56"/>
      <c r="GS28" s="56"/>
      <c r="GT28" s="56"/>
      <c r="GU28" s="56"/>
      <c r="GV28" s="56"/>
      <c r="GW28" s="56"/>
      <c r="GX28" s="56"/>
      <c r="GY28" s="56"/>
      <c r="GZ28" s="56"/>
      <c r="HA28" s="56"/>
      <c r="HB28" s="56"/>
      <c r="HC28" s="56"/>
      <c r="HD28" s="56"/>
      <c r="HE28" s="56"/>
      <c r="HF28" s="56"/>
      <c r="HG28" s="56"/>
      <c r="HH28" s="56"/>
      <c r="HI28" s="56"/>
      <c r="HJ28" s="56"/>
      <c r="HK28" s="56"/>
      <c r="HL28" s="56"/>
      <c r="HM28" s="56"/>
      <c r="HN28" s="56"/>
      <c r="HO28" s="56"/>
      <c r="HP28" s="56"/>
      <c r="HQ28" s="56"/>
      <c r="HR28" s="56"/>
      <c r="HS28" s="56"/>
      <c r="HT28" s="56"/>
      <c r="HU28" s="56"/>
      <c r="HV28" s="56"/>
      <c r="HW28" s="56"/>
      <c r="HX28" s="56"/>
      <c r="HY28" s="56"/>
      <c r="HZ28" s="56"/>
      <c r="IA28" s="56"/>
      <c r="IB28" s="56"/>
      <c r="IC28" s="56"/>
      <c r="ID28" s="56"/>
      <c r="IE28" s="56"/>
      <c r="IF28" s="56"/>
      <c r="IG28" s="56"/>
      <c r="IH28" s="56"/>
      <c r="II28" s="56"/>
      <c r="IJ28" s="56"/>
      <c r="IK28" s="56"/>
      <c r="IL28" s="56"/>
      <c r="IM28" s="56"/>
      <c r="IN28" s="56"/>
      <c r="IO28" s="56"/>
      <c r="IP28" s="56"/>
      <c r="IQ28" s="56"/>
      <c r="IR28" s="56"/>
      <c r="IS28" s="56"/>
      <c r="IT28" s="56"/>
      <c r="IU28" s="56"/>
      <c r="IV28" s="56"/>
      <c r="IW28" s="56"/>
      <c r="IX28" s="56"/>
      <c r="IY28" s="56"/>
      <c r="IZ28" s="56"/>
      <c r="JA28" s="56"/>
      <c r="JB28" s="56"/>
      <c r="JC28" s="56"/>
      <c r="JD28" s="56"/>
      <c r="JE28" s="56"/>
      <c r="JF28" s="56"/>
      <c r="JG28" s="56"/>
      <c r="JH28" s="56"/>
      <c r="JI28" s="56"/>
      <c r="JJ28" s="56"/>
      <c r="JK28" s="56"/>
      <c r="JL28" s="56"/>
      <c r="JM28" s="56"/>
      <c r="JN28" s="56"/>
      <c r="JO28" s="56"/>
      <c r="JP28" s="56"/>
      <c r="JQ28" s="56"/>
      <c r="JR28" s="56"/>
      <c r="JS28" s="56"/>
      <c r="JT28" s="56"/>
      <c r="JU28" s="56"/>
      <c r="JV28" s="56"/>
      <c r="JW28" s="56"/>
      <c r="JX28" s="56"/>
      <c r="JY28" s="56"/>
      <c r="JZ28" s="56"/>
      <c r="KA28" s="56"/>
      <c r="KB28" s="56"/>
      <c r="KC28" s="56"/>
      <c r="KD28" s="56"/>
      <c r="KE28" s="56"/>
      <c r="KF28" s="56"/>
      <c r="KG28" s="56"/>
      <c r="KH28" s="56"/>
      <c r="KI28" s="56"/>
      <c r="KJ28" s="56"/>
      <c r="KK28" s="56"/>
      <c r="KL28" s="56"/>
      <c r="KM28" s="56"/>
      <c r="KN28" s="56"/>
      <c r="KO28" s="56"/>
      <c r="KP28" s="56"/>
      <c r="KQ28" s="56"/>
      <c r="KR28" s="56"/>
      <c r="KS28" s="56"/>
      <c r="KT28" s="56"/>
      <c r="KU28" s="56"/>
      <c r="KV28" s="56"/>
      <c r="KW28" s="56"/>
      <c r="KX28" s="56"/>
    </row>
    <row r="29" spans="1:310">
      <c r="B29" s="52" t="s">
        <v>360</v>
      </c>
      <c r="C29" s="53" t="s">
        <v>300</v>
      </c>
      <c r="D29" s="22" t="s">
        <v>358</v>
      </c>
      <c r="E29" s="54">
        <v>1</v>
      </c>
      <c r="F29" s="71">
        <v>46048</v>
      </c>
      <c r="G29" s="70">
        <f>+F29+H29</f>
        <v>46058</v>
      </c>
      <c r="H29" s="58">
        <v>10</v>
      </c>
    </row>
    <row r="30" spans="1:310">
      <c r="B30" s="52" t="s">
        <v>371</v>
      </c>
      <c r="C30" s="53" t="s">
        <v>300</v>
      </c>
      <c r="D30" s="22" t="s">
        <v>358</v>
      </c>
      <c r="E30" s="54">
        <v>1</v>
      </c>
      <c r="F30" s="71">
        <v>46048</v>
      </c>
      <c r="G30" s="70">
        <f>+F30+H30</f>
        <v>46058</v>
      </c>
      <c r="H30" s="58">
        <v>10</v>
      </c>
    </row>
    <row r="31" spans="1:310">
      <c r="B31" s="52" t="s">
        <v>367</v>
      </c>
      <c r="C31" s="53" t="s">
        <v>300</v>
      </c>
      <c r="D31" s="22" t="s">
        <v>358</v>
      </c>
      <c r="E31" s="54">
        <v>0.5</v>
      </c>
      <c r="F31" s="71">
        <v>46059</v>
      </c>
      <c r="G31" s="70">
        <f>+F31+H31</f>
        <v>46061</v>
      </c>
      <c r="H31" s="58">
        <v>2</v>
      </c>
    </row>
    <row r="32" spans="1:310">
      <c r="B32" s="52" t="s">
        <v>368</v>
      </c>
      <c r="C32" s="53" t="s">
        <v>300</v>
      </c>
      <c r="D32" s="22" t="s">
        <v>358</v>
      </c>
      <c r="E32" s="54">
        <v>0.5</v>
      </c>
      <c r="F32" s="71">
        <v>46062</v>
      </c>
      <c r="G32" s="70">
        <f>+F32+H32</f>
        <v>46067</v>
      </c>
      <c r="H32" s="58">
        <v>5</v>
      </c>
    </row>
    <row r="33" spans="2:8">
      <c r="B33" s="52" t="s">
        <v>370</v>
      </c>
      <c r="C33" s="53" t="s">
        <v>300</v>
      </c>
      <c r="D33" s="22" t="s">
        <v>358</v>
      </c>
      <c r="E33" s="54">
        <v>0</v>
      </c>
      <c r="F33" s="71">
        <v>46062</v>
      </c>
      <c r="G33" s="70">
        <f>+F33+H33</f>
        <v>46067</v>
      </c>
      <c r="H33" s="58">
        <v>5</v>
      </c>
    </row>
    <row r="35" spans="2:8">
      <c r="C35" s="10">
        <f>800*0.3</f>
        <v>240</v>
      </c>
      <c r="D35" s="10">
        <f>+C35*30</f>
        <v>7200</v>
      </c>
      <c r="E35" s="10">
        <f>+D35/60</f>
        <v>120</v>
      </c>
      <c r="F35" s="59">
        <f>+E35/60</f>
        <v>2</v>
      </c>
    </row>
  </sheetData>
  <mergeCells count="18">
    <mergeCell ref="JV6:KX6"/>
    <mergeCell ref="Y4:AB4"/>
    <mergeCell ref="AD4:AG4"/>
    <mergeCell ref="J6:AN6"/>
    <mergeCell ref="AO6:BR6"/>
    <mergeCell ref="BS6:CW6"/>
    <mergeCell ref="CX6:EA6"/>
    <mergeCell ref="EB6:FF6"/>
    <mergeCell ref="FG6:GK6"/>
    <mergeCell ref="GL6:HK6"/>
    <mergeCell ref="HL6:IP6"/>
    <mergeCell ref="IQ6:JU6"/>
    <mergeCell ref="B2:I2"/>
    <mergeCell ref="J2:O2"/>
    <mergeCell ref="P2:U2"/>
    <mergeCell ref="J4:M4"/>
    <mergeCell ref="O4:R4"/>
    <mergeCell ref="T4:W4"/>
  </mergeCells>
  <conditionalFormatting sqref="E9:E33">
    <cfRule type="dataBar" priority="41">
      <dataBar>
        <cfvo type="num" val="0"/>
        <cfvo type="num" val="1"/>
        <color theme="6"/>
      </dataBar>
      <extLst>
        <ext xmlns:x14="http://schemas.microsoft.com/office/spreadsheetml/2009/9/main" uri="{B025F937-C7B1-47D3-B67F-A62EFF666E3E}">
          <x14:id>{66013752-E5EC-41E1-A749-FD2F141AA930}</x14:id>
        </ext>
      </extLst>
    </cfRule>
  </conditionalFormatting>
  <conditionalFormatting sqref="J6">
    <cfRule type="expression" dxfId="36" priority="39">
      <formula>AND(J$7&lt;=EOMONTH($J$7,1),J$7&gt;EOMONTH($J$7,0))</formula>
    </cfRule>
    <cfRule type="expression" dxfId="35" priority="40">
      <formula>J$7&lt;=EOMONTH($J$7,0)</formula>
    </cfRule>
  </conditionalFormatting>
  <conditionalFormatting sqref="J10:BM12 DA10:FD12 J13:KX28">
    <cfRule type="expression" dxfId="34" priority="123" stopIfTrue="1">
      <formula>AND($C10="Riesgo bajo",J$7&gt;=$F10,J$7&lt;=$F10+$H10-1)</formula>
    </cfRule>
    <cfRule type="expression" dxfId="33" priority="124" stopIfTrue="1">
      <formula>AND($C10="Riesgo alto",J$7&gt;=$F10,J$7&lt;=$F10+$H10-1)</formula>
    </cfRule>
    <cfRule type="expression" dxfId="32" priority="125" stopIfTrue="1">
      <formula>AND($C10="Según lo previsto",J$7&gt;=$F10,J$7&lt;=$F10+$H10-1)</formula>
    </cfRule>
    <cfRule type="expression" dxfId="31" priority="126" stopIfTrue="1">
      <formula>AND($C10="Riesgo medio",J$7&gt;=$F10,J$7&lt;=$F10+$H10-1)</formula>
    </cfRule>
    <cfRule type="expression" dxfId="30" priority="127" stopIfTrue="1">
      <formula>AND(LEN($C10)=0,J$7&gt;=$F10,J$7&lt;=$F10+$H10-1)</formula>
    </cfRule>
  </conditionalFormatting>
  <conditionalFormatting sqref="J7:KW9 J10:BL12 DA10:FC12 J13:KW28">
    <cfRule type="expression" dxfId="29" priority="38">
      <formula>AND(TODAY()&gt;=J$7,TODAY()&lt;K$7)</formula>
    </cfRule>
  </conditionalFormatting>
  <conditionalFormatting sqref="AO6">
    <cfRule type="expression" dxfId="28" priority="25">
      <formula>AP$7&lt;=EOMONTH($J$7,0)</formula>
    </cfRule>
    <cfRule type="expression" dxfId="27" priority="26">
      <formula>AND(AP$7&lt;=EOMONTH($J$7,1),AP$7&gt;EOMONTH($J$7,0))</formula>
    </cfRule>
    <cfRule type="expression" dxfId="26" priority="27">
      <formula>AND(AP$7&lt;=EOMONTH($J$7,2),AP$7&gt;EOMONTH($J$7,0),AP$7&gt;EOMONTH($J$7,1))</formula>
    </cfRule>
  </conditionalFormatting>
  <conditionalFormatting sqref="BM10:BM12 FD10:FD12 KX13:KX28">
    <cfRule type="expression" dxfId="25" priority="43">
      <formula>AND(TODAY()&gt;=BM$7,TODAY()&lt;#REF!)</formula>
    </cfRule>
  </conditionalFormatting>
  <conditionalFormatting sqref="BS6">
    <cfRule type="expression" dxfId="24" priority="22">
      <formula>BT$7&lt;=EOMONTH($J$7,0)</formula>
    </cfRule>
    <cfRule type="expression" dxfId="23" priority="23">
      <formula>AND(BT$7&lt;=EOMONTH($J$7,1),BT$7&gt;EOMONTH($J$7,0))</formula>
    </cfRule>
    <cfRule type="expression" dxfId="22" priority="24">
      <formula>AND(BT$7&lt;=EOMONTH($J$7,2),BT$7&gt;EOMONTH($J$7,0),BT$7&gt;EOMONTH($J$7,1))</formula>
    </cfRule>
  </conditionalFormatting>
  <conditionalFormatting sqref="CX6">
    <cfRule type="expression" dxfId="21" priority="19">
      <formula>CY$7&lt;=EOMONTH($J$7,0)</formula>
    </cfRule>
    <cfRule type="expression" dxfId="20" priority="20">
      <formula>AND(CY$7&lt;=EOMONTH($J$7,1),CY$7&gt;EOMONTH($J$7,0))</formula>
    </cfRule>
    <cfRule type="expression" dxfId="19" priority="21">
      <formula>AND(CY$7&lt;=EOMONTH($J$7,2),CY$7&gt;EOMONTH($J$7,0),CY$7&gt;EOMONTH($J$7,1))</formula>
    </cfRule>
  </conditionalFormatting>
  <conditionalFormatting sqref="EB6">
    <cfRule type="expression" dxfId="18" priority="16">
      <formula>EC$7&lt;=EOMONTH($J$7,0)</formula>
    </cfRule>
    <cfRule type="expression" dxfId="17" priority="17">
      <formula>AND(EC$7&lt;=EOMONTH($J$7,1),EC$7&gt;EOMONTH($J$7,0))</formula>
    </cfRule>
    <cfRule type="expression" dxfId="16" priority="18">
      <formula>AND(EC$7&lt;=EOMONTH($J$7,2),EC$7&gt;EOMONTH($J$7,0),EC$7&gt;EOMONTH($J$7,1))</formula>
    </cfRule>
  </conditionalFormatting>
  <conditionalFormatting sqref="FG6">
    <cfRule type="expression" dxfId="15" priority="13">
      <formula>FH$7&lt;=EOMONTH($J$7,0)</formula>
    </cfRule>
    <cfRule type="expression" dxfId="14" priority="14">
      <formula>AND(FH$7&lt;=EOMONTH($J$7,1),FH$7&gt;EOMONTH($J$7,0))</formula>
    </cfRule>
    <cfRule type="expression" dxfId="13" priority="15">
      <formula>AND(FH$7&lt;=EOMONTH($J$7,2),FH$7&gt;EOMONTH($J$7,0),FH$7&gt;EOMONTH($J$7,1))</formula>
    </cfRule>
  </conditionalFormatting>
  <conditionalFormatting sqref="GL6">
    <cfRule type="expression" dxfId="12" priority="10">
      <formula>GM$7&lt;=EOMONTH($J$7,0)</formula>
    </cfRule>
    <cfRule type="expression" dxfId="11" priority="11">
      <formula>AND(GM$7&lt;=EOMONTH($J$7,1),GM$7&gt;EOMONTH($J$7,0))</formula>
    </cfRule>
    <cfRule type="expression" dxfId="10" priority="12">
      <formula>AND(GM$7&lt;=EOMONTH($J$7,2),GM$7&gt;EOMONTH($J$7,0),GM$7&gt;EOMONTH($J$7,1))</formula>
    </cfRule>
  </conditionalFormatting>
  <conditionalFormatting sqref="HL6">
    <cfRule type="expression" dxfId="9" priority="7">
      <formula>HM$7&lt;=EOMONTH($J$7,0)</formula>
    </cfRule>
    <cfRule type="expression" dxfId="8" priority="8">
      <formula>AND(HM$7&lt;=EOMONTH($J$7,1),HM$7&gt;EOMONTH($J$7,0))</formula>
    </cfRule>
    <cfRule type="expression" dxfId="7" priority="9">
      <formula>AND(HM$7&lt;=EOMONTH($J$7,2),HM$7&gt;EOMONTH($J$7,0),HM$7&gt;EOMONTH($J$7,1))</formula>
    </cfRule>
  </conditionalFormatting>
  <conditionalFormatting sqref="IQ6">
    <cfRule type="expression" dxfId="6" priority="4">
      <formula>IR$7&lt;=EOMONTH($J$7,0)</formula>
    </cfRule>
    <cfRule type="expression" dxfId="5" priority="5">
      <formula>AND(IR$7&lt;=EOMONTH($J$7,1),IR$7&gt;EOMONTH($J$7,0))</formula>
    </cfRule>
    <cfRule type="expression" dxfId="4" priority="6">
      <formula>AND(IR$7&lt;=EOMONTH($J$7,2),IR$7&gt;EOMONTH($J$7,0),IR$7&gt;EOMONTH($J$7,1))</formula>
    </cfRule>
  </conditionalFormatting>
  <conditionalFormatting sqref="JV6">
    <cfRule type="expression" dxfId="3" priority="1">
      <formula>JW$7&lt;=EOMONTH($J$7,0)</formula>
    </cfRule>
    <cfRule type="expression" dxfId="2" priority="2">
      <formula>AND(JW$7&lt;=EOMONTH($J$7,1),JW$7&gt;EOMONTH($J$7,0))</formula>
    </cfRule>
    <cfRule type="expression" dxfId="1" priority="3">
      <formula>AND(JW$7&lt;=EOMONTH($J$7,2),JW$7&gt;EOMONTH($J$7,0),JW$7&gt;EOMONTH($J$7,1))</formula>
    </cfRule>
  </conditionalFormatting>
  <conditionalFormatting sqref="KX7:KX9">
    <cfRule type="expression" dxfId="0" priority="69">
      <formula>AND(TODAY()&gt;=KX$7,TODAY()&lt;#REF!)</formula>
    </cfRule>
  </conditionalFormatting>
  <dataValidations count="9">
    <dataValidation allowBlank="1" showInputMessage="1" showErrorMessage="1" prompt="La fila tiene encabezados de la programación del proyecto. Hay información de la programación entre B9 y G9. Las celdas I9 a BL9 tienen la primera letra de los días de la fecha anterior al encabezado._x000a_Los gráficos de escala de tiempo se autogeneran." sqref="A9" xr:uid="{284734FA-D9B6-470C-815E-321FF1203CEE}"/>
    <dataValidation allowBlank="1" showInputMessage="1" showErrorMessage="1" prompt="Hay una barra de desplazamiento entre las celdas I8 y BL8. _x000a_Para avanzar o retroceder en la escala de tiempo, escriba un valor de 0 o superior en la celda C7._x000a_El valor 0 le lleva al principio del gráfico." sqref="A8" xr:uid="{21BE658D-EADD-4AE0-ADDA-1488F02D0E97}"/>
    <dataValidation allowBlank="1" showInputMessage="1" showErrorMessage="1" prompt="Las celdas I9 a BL9 contienen el día del mes representado en el bloque de celdas, encima de cada celda de fecha, y se calculan automáticamente._x000a_No modifique estas celdas._x000a_" sqref="A7" xr:uid="{6D8EAE53-B2BC-4533-B7A1-E3F9265C3D07}"/>
    <dataValidation allowBlank="1" showInputMessage="1" showErrorMessage="1" prompt="Un incremento de desplazamiento en la celda C7. _x000a_Los meses para las fechas de la fila 7 se muestran entre las celdas I6 y BL6._x000a_No modifique estas celdas. Se actualizan automáticamente según la fecha de inicio del proyecto en la celda F6." sqref="A6" xr:uid="{F6E77343-C348-48BB-B536-1B1FA81638EA}"/>
    <dataValidation allowBlank="1" showInputMessage="1" showErrorMessage="1" prompt="Escriba el jefe de proyecto en la celda B5. Escriba la fecha de inicio en la C6 o permita que la fórmula de ejemplo busque el valor de fecha más pequeño de la tabla de datos de Gantt._x000a_Fecha de Inicio de proyecto: la etiqueta está en la celda B6." sqref="A5" xr:uid="{6DDD71AD-CF0D-4171-B5F9-357F75F390F6}"/>
    <dataValidation allowBlank="1" showInputMessage="1" showErrorMessage="1" prompt="Escriba el nombre de la empresa en B4._x000a_Figura una leyenda entre las celdas I4 y AC4. La etiqueta de leyenda está en la celda G4." sqref="A4" xr:uid="{EF831851-994B-40F2-9502-93F5110E03E2}"/>
    <dataValidation allowBlank="1" showInputMessage="1" showErrorMessage="1" promptTitle="Crear un diagrama de Gantt " prompt="Introduzca el título del proyecto en la celda B2. _x000a_La hoja Información contiene información de uso de la hoja, instrucciones para lectores de pantalla y el autor del libro._x000a_Siga bajando por la columna A para obtener más instrucciones." sqref="A2" xr:uid="{D44B3DB0-E78E-4042-9365-E93E77560BE3}"/>
    <dataValidation type="whole" operator="greaterThanOrEqual" allowBlank="1" showInputMessage="1" promptTitle="Incremento de desplazamiento" prompt="Al cambiar este número, se desplazará la vista del diagrama de Gantt." sqref="C7" xr:uid="{A1D0DADD-C845-4DC8-9274-EAB815D3C8D7}">
      <formula1>0</formula1>
    </dataValidation>
    <dataValidation type="list" allowBlank="1" showInputMessage="1" showErrorMessage="1" sqref="C10:C33" xr:uid="{7F977F1F-93F6-415D-AAD6-06E0733D37A8}">
      <formula1>"Objetivo,Hito,Según lo previsto, Riesgo bajo, Riesgo medio, Riesgo alto"</formula1>
    </dataValidation>
  </dataValidations>
  <printOptions horizontalCentered="1"/>
  <pageMargins left="0.25" right="0.25" top="0.5" bottom="0.5" header="0.3" footer="0.3"/>
  <pageSetup paperSize="9" scale="41" fitToHeight="0" orientation="landscape" r:id="rId1"/>
  <headerFooter differentFirst="1" scaleWithDoc="0">
    <oddFooter>Page &amp;P of &amp;N</oddFooter>
  </headerFooter>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66013752-E5EC-41E1-A749-FD2F141AA930}">
            <x14:dataBar minLength="0" maxLength="100" gradient="0">
              <x14:cfvo type="num">
                <xm:f>0</xm:f>
              </x14:cfvo>
              <x14:cfvo type="num">
                <xm:f>1</xm:f>
              </x14:cfvo>
              <x14:negativeFillColor rgb="FFFF0000"/>
              <x14:axisColor rgb="FF000000"/>
            </x14:dataBar>
          </x14:cfRule>
          <xm:sqref>E9:E33</xm:sqref>
        </x14:conditionalFormatting>
        <x14:conditionalFormatting xmlns:xm="http://schemas.microsoft.com/office/excel/2006/main">
          <x14:cfRule type="iconSet" priority="122" id="{DE3B5527-A0CE-4A00-91EB-1A8BA8901D26}">
            <x14:iconSet iconSet="3Stars" showValue="0" custom="1">
              <x14:cfvo type="percent">
                <xm:f>0</xm:f>
              </x14:cfvo>
              <x14:cfvo type="num">
                <xm:f>1</xm:f>
              </x14:cfvo>
              <x14:cfvo type="num">
                <xm:f>2</xm:f>
              </x14:cfvo>
              <x14:cfIcon iconSet="NoIcons" iconId="0"/>
              <x14:cfIcon iconSet="3Flags" iconId="1"/>
              <x14:cfIcon iconSet="3Signs" iconId="0"/>
            </x14:iconSet>
          </x14:cfRule>
          <xm:sqref>J10:BM12 DA10:FD12 J13:KX28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50051-4D63-457C-96AD-CA1E01A23817}">
  <dimension ref="B3:D9"/>
  <sheetViews>
    <sheetView workbookViewId="0">
      <selection activeCell="D37" sqref="D37"/>
    </sheetView>
  </sheetViews>
  <sheetFormatPr baseColWidth="10" defaultRowHeight="14.4"/>
  <cols>
    <col min="1" max="1" width="6.109375" customWidth="1"/>
    <col min="2" max="2" width="10.5546875" bestFit="1" customWidth="1"/>
    <col min="3" max="3" width="35.33203125" bestFit="1" customWidth="1"/>
    <col min="4" max="4" width="59.6640625" bestFit="1" customWidth="1"/>
  </cols>
  <sheetData>
    <row r="3" spans="2:4">
      <c r="B3" s="1" t="s">
        <v>52</v>
      </c>
      <c r="C3" s="1" t="s">
        <v>53</v>
      </c>
      <c r="D3" s="1" t="s">
        <v>54</v>
      </c>
    </row>
    <row r="4" spans="2:4">
      <c r="B4" s="2" t="s">
        <v>55</v>
      </c>
      <c r="C4" s="2" t="s">
        <v>56</v>
      </c>
      <c r="D4" s="2" t="s">
        <v>57</v>
      </c>
    </row>
    <row r="5" spans="2:4">
      <c r="B5" s="2" t="s">
        <v>55</v>
      </c>
      <c r="C5" s="2" t="s">
        <v>58</v>
      </c>
      <c r="D5" s="2" t="s">
        <v>59</v>
      </c>
    </row>
    <row r="6" spans="2:4">
      <c r="B6" s="2" t="s">
        <v>55</v>
      </c>
      <c r="C6" s="2" t="s">
        <v>60</v>
      </c>
      <c r="D6" s="2" t="s">
        <v>61</v>
      </c>
    </row>
    <row r="7" spans="2:4">
      <c r="B7" s="2" t="s">
        <v>55</v>
      </c>
      <c r="C7" s="2" t="s">
        <v>62</v>
      </c>
      <c r="D7" s="2" t="s">
        <v>63</v>
      </c>
    </row>
    <row r="8" spans="2:4">
      <c r="B8" s="2" t="s">
        <v>55</v>
      </c>
      <c r="C8" s="2" t="s">
        <v>64</v>
      </c>
      <c r="D8" s="2" t="s">
        <v>65</v>
      </c>
    </row>
    <row r="9" spans="2:4">
      <c r="B9" s="2" t="s">
        <v>55</v>
      </c>
      <c r="C9" s="2" t="s">
        <v>66</v>
      </c>
      <c r="D9" s="2" t="s">
        <v>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CAE6F-474A-4899-8D88-89596FCBEB0E}">
  <dimension ref="A1:J36"/>
  <sheetViews>
    <sheetView zoomScale="90" workbookViewId="0">
      <selection activeCell="A12" sqref="A12:A29"/>
    </sheetView>
  </sheetViews>
  <sheetFormatPr baseColWidth="10" defaultRowHeight="14.4"/>
  <cols>
    <col min="1" max="1" width="25.44140625" bestFit="1" customWidth="1"/>
    <col min="2" max="2" width="6.6640625" bestFit="1" customWidth="1"/>
    <col min="3" max="3" width="27.6640625" bestFit="1" customWidth="1"/>
    <col min="4" max="4" width="13.6640625" bestFit="1" customWidth="1"/>
    <col min="5" max="5" width="26.6640625" bestFit="1" customWidth="1"/>
    <col min="6" max="6" width="21.44140625" bestFit="1" customWidth="1"/>
    <col min="7" max="7" width="118.109375" bestFit="1" customWidth="1"/>
    <col min="8" max="8" width="7.5546875" bestFit="1" customWidth="1"/>
    <col min="9" max="9" width="12.6640625" bestFit="1" customWidth="1"/>
    <col min="10" max="10" width="19.109375" bestFit="1" customWidth="1"/>
    <col min="11" max="11" width="12.44140625" bestFit="1" customWidth="1"/>
  </cols>
  <sheetData>
    <row r="1" spans="1:10">
      <c r="A1" s="67" t="s">
        <v>320</v>
      </c>
    </row>
    <row r="2" spans="1:10">
      <c r="A2" s="68" t="s">
        <v>321</v>
      </c>
    </row>
    <row r="4" spans="1:10" ht="30" customHeight="1">
      <c r="A4" s="3" t="s">
        <v>101</v>
      </c>
      <c r="B4" s="3" t="s">
        <v>102</v>
      </c>
      <c r="C4" s="3" t="s">
        <v>68</v>
      </c>
      <c r="D4" s="3" t="s">
        <v>103</v>
      </c>
      <c r="E4" s="3" t="s">
        <v>104</v>
      </c>
      <c r="F4" s="3" t="s">
        <v>105</v>
      </c>
      <c r="G4" s="3" t="s">
        <v>106</v>
      </c>
      <c r="H4" s="3" t="s">
        <v>69</v>
      </c>
      <c r="I4" s="3" t="s">
        <v>5</v>
      </c>
    </row>
    <row r="5" spans="1:10" ht="30" customHeight="1">
      <c r="A5" s="4" t="s">
        <v>107</v>
      </c>
      <c r="B5" s="4" t="s">
        <v>70</v>
      </c>
      <c r="C5" s="5" t="s">
        <v>108</v>
      </c>
      <c r="D5" s="5" t="s">
        <v>109</v>
      </c>
      <c r="E5" s="5" t="s">
        <v>110</v>
      </c>
      <c r="F5" s="5" t="s">
        <v>111</v>
      </c>
      <c r="G5" s="5" t="s">
        <v>275</v>
      </c>
      <c r="H5" s="5" t="s">
        <v>71</v>
      </c>
      <c r="I5" s="5" t="s">
        <v>72</v>
      </c>
    </row>
    <row r="6" spans="1:10" ht="30" customHeight="1">
      <c r="A6" s="4" t="s">
        <v>107</v>
      </c>
      <c r="B6" s="4" t="s">
        <v>73</v>
      </c>
      <c r="C6" s="5" t="s">
        <v>112</v>
      </c>
      <c r="D6" s="5" t="s">
        <v>109</v>
      </c>
      <c r="E6" s="5" t="s">
        <v>113</v>
      </c>
      <c r="F6" s="5" t="s">
        <v>114</v>
      </c>
      <c r="G6" s="5" t="s">
        <v>276</v>
      </c>
      <c r="H6" s="5" t="s">
        <v>74</v>
      </c>
      <c r="I6" s="5" t="s">
        <v>72</v>
      </c>
    </row>
    <row r="7" spans="1:10" ht="30" customHeight="1">
      <c r="A7" s="4" t="s">
        <v>107</v>
      </c>
      <c r="B7" s="4" t="s">
        <v>75</v>
      </c>
      <c r="C7" s="5" t="s">
        <v>76</v>
      </c>
      <c r="D7" s="5" t="s">
        <v>115</v>
      </c>
      <c r="E7" s="5" t="s">
        <v>116</v>
      </c>
      <c r="F7" s="5" t="s">
        <v>117</v>
      </c>
      <c r="G7" s="5" t="s">
        <v>277</v>
      </c>
      <c r="H7" s="5" t="s">
        <v>74</v>
      </c>
      <c r="I7" s="5" t="s">
        <v>72</v>
      </c>
    </row>
    <row r="8" spans="1:10" ht="30" customHeight="1">
      <c r="A8" s="4" t="s">
        <v>107</v>
      </c>
      <c r="B8" s="4" t="s">
        <v>77</v>
      </c>
      <c r="C8" s="5" t="s">
        <v>78</v>
      </c>
      <c r="D8" s="5" t="s">
        <v>118</v>
      </c>
      <c r="E8" s="5" t="s">
        <v>119</v>
      </c>
      <c r="F8" s="5" t="s">
        <v>120</v>
      </c>
      <c r="G8" s="5" t="s">
        <v>278</v>
      </c>
      <c r="H8" s="5" t="s">
        <v>74</v>
      </c>
      <c r="I8" s="5" t="s">
        <v>72</v>
      </c>
    </row>
    <row r="9" spans="1:10" ht="30" customHeight="1">
      <c r="A9" s="4" t="s">
        <v>121</v>
      </c>
      <c r="B9" s="4" t="s">
        <v>79</v>
      </c>
      <c r="C9" s="5" t="s">
        <v>122</v>
      </c>
      <c r="D9" s="5" t="s">
        <v>109</v>
      </c>
      <c r="E9" s="5" t="s">
        <v>123</v>
      </c>
      <c r="F9" s="5" t="s">
        <v>124</v>
      </c>
      <c r="G9" s="5" t="s">
        <v>279</v>
      </c>
      <c r="H9" s="5" t="s">
        <v>71</v>
      </c>
      <c r="I9" s="5" t="s">
        <v>72</v>
      </c>
    </row>
    <row r="10" spans="1:10" ht="30" customHeight="1">
      <c r="A10" s="4" t="s">
        <v>121</v>
      </c>
      <c r="B10" s="4" t="s">
        <v>80</v>
      </c>
      <c r="C10" s="5" t="s">
        <v>81</v>
      </c>
      <c r="D10" s="5" t="s">
        <v>125</v>
      </c>
      <c r="E10" s="5" t="s">
        <v>126</v>
      </c>
      <c r="F10" s="5" t="s">
        <v>127</v>
      </c>
      <c r="G10" s="5" t="s">
        <v>280</v>
      </c>
      <c r="H10" s="5" t="s">
        <v>71</v>
      </c>
      <c r="I10" s="5" t="s">
        <v>72</v>
      </c>
      <c r="J10" s="66"/>
    </row>
    <row r="11" spans="1:10" ht="30" customHeight="1">
      <c r="A11" s="4" t="s">
        <v>121</v>
      </c>
      <c r="B11" s="4" t="s">
        <v>82</v>
      </c>
      <c r="C11" s="5" t="s">
        <v>128</v>
      </c>
      <c r="D11" s="5" t="s">
        <v>129</v>
      </c>
      <c r="E11" s="5" t="s">
        <v>130</v>
      </c>
      <c r="F11" s="5" t="s">
        <v>131</v>
      </c>
      <c r="G11" s="5" t="s">
        <v>281</v>
      </c>
      <c r="H11" s="5" t="s">
        <v>90</v>
      </c>
      <c r="I11" s="5" t="s">
        <v>72</v>
      </c>
    </row>
    <row r="12" spans="1:10" ht="30" customHeight="1">
      <c r="A12" s="61" t="s">
        <v>132</v>
      </c>
      <c r="B12" s="61" t="s">
        <v>83</v>
      </c>
      <c r="C12" s="62" t="s">
        <v>133</v>
      </c>
      <c r="D12" s="62" t="s">
        <v>134</v>
      </c>
      <c r="E12" s="62" t="s">
        <v>135</v>
      </c>
      <c r="F12" s="62" t="s">
        <v>136</v>
      </c>
      <c r="G12" s="62" t="s">
        <v>282</v>
      </c>
      <c r="H12" s="62" t="s">
        <v>71</v>
      </c>
      <c r="I12" s="61" t="s">
        <v>72</v>
      </c>
      <c r="J12" s="65" t="s">
        <v>343</v>
      </c>
    </row>
    <row r="13" spans="1:10" ht="30" customHeight="1">
      <c r="A13" s="61" t="s">
        <v>132</v>
      </c>
      <c r="B13" s="61" t="s">
        <v>84</v>
      </c>
      <c r="C13" s="62" t="s">
        <v>340</v>
      </c>
      <c r="D13" s="62" t="s">
        <v>134</v>
      </c>
      <c r="E13" s="62" t="s">
        <v>137</v>
      </c>
      <c r="F13" s="62" t="s">
        <v>138</v>
      </c>
      <c r="G13" s="62" t="s">
        <v>283</v>
      </c>
      <c r="H13" s="62" t="s">
        <v>71</v>
      </c>
      <c r="I13" s="61" t="s">
        <v>72</v>
      </c>
      <c r="J13" s="65"/>
    </row>
    <row r="14" spans="1:10" ht="30" customHeight="1">
      <c r="A14" s="61" t="s">
        <v>132</v>
      </c>
      <c r="B14" s="61" t="s">
        <v>85</v>
      </c>
      <c r="C14" s="62" t="s">
        <v>322</v>
      </c>
      <c r="D14" s="62" t="s">
        <v>134</v>
      </c>
      <c r="E14" s="62" t="s">
        <v>137</v>
      </c>
      <c r="F14" s="62" t="s">
        <v>136</v>
      </c>
      <c r="G14" s="62" t="s">
        <v>325</v>
      </c>
      <c r="H14" s="62" t="s">
        <v>71</v>
      </c>
      <c r="I14" s="62" t="s">
        <v>72</v>
      </c>
      <c r="J14" s="65"/>
    </row>
    <row r="15" spans="1:10" ht="30" customHeight="1">
      <c r="A15" s="61" t="s">
        <v>132</v>
      </c>
      <c r="B15" s="61" t="s">
        <v>253</v>
      </c>
      <c r="C15" s="62" t="s">
        <v>323</v>
      </c>
      <c r="D15" s="62" t="s">
        <v>134</v>
      </c>
      <c r="E15" s="62" t="s">
        <v>137</v>
      </c>
      <c r="F15" s="62" t="s">
        <v>138</v>
      </c>
      <c r="G15" s="62" t="s">
        <v>324</v>
      </c>
      <c r="H15" s="62" t="s">
        <v>71</v>
      </c>
      <c r="I15" s="62" t="s">
        <v>72</v>
      </c>
      <c r="J15" s="65"/>
    </row>
    <row r="16" spans="1:10" ht="30" customHeight="1">
      <c r="A16" s="63" t="s">
        <v>132</v>
      </c>
      <c r="B16" s="63" t="s">
        <v>257</v>
      </c>
      <c r="C16" s="64" t="s">
        <v>326</v>
      </c>
      <c r="D16" s="64" t="s">
        <v>134</v>
      </c>
      <c r="E16" s="64" t="s">
        <v>137</v>
      </c>
      <c r="F16" s="64" t="s">
        <v>136</v>
      </c>
      <c r="G16" s="69" t="s">
        <v>325</v>
      </c>
      <c r="H16" s="64" t="s">
        <v>71</v>
      </c>
      <c r="I16" s="64" t="s">
        <v>72</v>
      </c>
      <c r="J16" s="65"/>
    </row>
    <row r="17" spans="1:10" ht="30" customHeight="1">
      <c r="A17" s="4" t="s">
        <v>132</v>
      </c>
      <c r="B17" s="4" t="s">
        <v>261</v>
      </c>
      <c r="C17" s="5" t="s">
        <v>327</v>
      </c>
      <c r="D17" s="5" t="s">
        <v>134</v>
      </c>
      <c r="E17" s="5" t="s">
        <v>137</v>
      </c>
      <c r="F17" s="5" t="s">
        <v>138</v>
      </c>
      <c r="G17" s="5" t="s">
        <v>324</v>
      </c>
      <c r="H17" s="5" t="s">
        <v>71</v>
      </c>
      <c r="I17" s="5" t="s">
        <v>72</v>
      </c>
      <c r="J17" s="65"/>
    </row>
    <row r="18" spans="1:10" ht="30" customHeight="1">
      <c r="A18" s="4" t="s">
        <v>132</v>
      </c>
      <c r="B18" s="4" t="s">
        <v>266</v>
      </c>
      <c r="C18" s="5" t="s">
        <v>329</v>
      </c>
      <c r="D18" s="5" t="s">
        <v>134</v>
      </c>
      <c r="E18" s="5" t="s">
        <v>137</v>
      </c>
      <c r="F18" s="5" t="s">
        <v>136</v>
      </c>
      <c r="G18" s="5" t="s">
        <v>325</v>
      </c>
      <c r="H18" s="5" t="s">
        <v>71</v>
      </c>
      <c r="I18" s="5" t="s">
        <v>72</v>
      </c>
      <c r="J18" s="65"/>
    </row>
    <row r="19" spans="1:10" ht="30" customHeight="1">
      <c r="A19" s="4" t="s">
        <v>132</v>
      </c>
      <c r="B19" s="4" t="s">
        <v>270</v>
      </c>
      <c r="C19" s="5" t="s">
        <v>328</v>
      </c>
      <c r="D19" s="5" t="s">
        <v>134</v>
      </c>
      <c r="E19" s="5" t="s">
        <v>137</v>
      </c>
      <c r="F19" s="5" t="s">
        <v>138</v>
      </c>
      <c r="G19" s="5" t="s">
        <v>324</v>
      </c>
      <c r="H19" s="5" t="s">
        <v>71</v>
      </c>
      <c r="I19" s="5" t="s">
        <v>72</v>
      </c>
      <c r="J19" s="65"/>
    </row>
    <row r="20" spans="1:10" ht="30" customHeight="1">
      <c r="A20" s="4" t="s">
        <v>132</v>
      </c>
      <c r="B20" s="4" t="s">
        <v>332</v>
      </c>
      <c r="C20" s="5" t="s">
        <v>344</v>
      </c>
      <c r="D20" s="5" t="s">
        <v>134</v>
      </c>
      <c r="E20" s="5" t="s">
        <v>137</v>
      </c>
      <c r="F20" s="5" t="s">
        <v>136</v>
      </c>
      <c r="G20" s="5" t="s">
        <v>325</v>
      </c>
      <c r="H20" s="5" t="s">
        <v>71</v>
      </c>
      <c r="I20" s="5" t="s">
        <v>72</v>
      </c>
      <c r="J20" s="65"/>
    </row>
    <row r="21" spans="1:10" ht="30" customHeight="1">
      <c r="A21" s="4" t="s">
        <v>132</v>
      </c>
      <c r="B21" s="4" t="s">
        <v>87</v>
      </c>
      <c r="C21" s="5" t="s">
        <v>345</v>
      </c>
      <c r="D21" s="5" t="s">
        <v>134</v>
      </c>
      <c r="E21" s="5" t="s">
        <v>137</v>
      </c>
      <c r="F21" s="5" t="s">
        <v>138</v>
      </c>
      <c r="G21" s="5" t="s">
        <v>324</v>
      </c>
      <c r="H21" s="5" t="s">
        <v>71</v>
      </c>
      <c r="I21" s="5" t="s">
        <v>72</v>
      </c>
      <c r="J21" s="65"/>
    </row>
    <row r="22" spans="1:10" ht="30" customHeight="1">
      <c r="A22" s="63" t="s">
        <v>132</v>
      </c>
      <c r="B22" s="63" t="s">
        <v>88</v>
      </c>
      <c r="C22" s="64" t="s">
        <v>330</v>
      </c>
      <c r="D22" s="64" t="s">
        <v>134</v>
      </c>
      <c r="E22" s="64" t="s">
        <v>137</v>
      </c>
      <c r="F22" s="64" t="s">
        <v>138</v>
      </c>
      <c r="G22" s="64" t="s">
        <v>331</v>
      </c>
      <c r="H22" s="64" t="s">
        <v>71</v>
      </c>
      <c r="I22" s="64" t="s">
        <v>72</v>
      </c>
      <c r="J22" s="65"/>
    </row>
    <row r="23" spans="1:10" ht="30" customHeight="1">
      <c r="A23" s="61" t="s">
        <v>132</v>
      </c>
      <c r="B23" s="61" t="s">
        <v>333</v>
      </c>
      <c r="C23" s="62" t="s">
        <v>139</v>
      </c>
      <c r="D23" s="62" t="s">
        <v>140</v>
      </c>
      <c r="E23" s="62" t="s">
        <v>141</v>
      </c>
      <c r="F23" s="62" t="s">
        <v>142</v>
      </c>
      <c r="G23" s="62" t="s">
        <v>346</v>
      </c>
      <c r="H23" s="62" t="s">
        <v>74</v>
      </c>
      <c r="I23" s="61" t="s">
        <v>86</v>
      </c>
    </row>
    <row r="24" spans="1:10" ht="30" customHeight="1">
      <c r="A24" s="61" t="s">
        <v>132</v>
      </c>
      <c r="B24" s="61" t="s">
        <v>334</v>
      </c>
      <c r="C24" s="62" t="s">
        <v>254</v>
      </c>
      <c r="D24" s="62" t="s">
        <v>7</v>
      </c>
      <c r="E24" s="62" t="s">
        <v>255</v>
      </c>
      <c r="F24" s="62" t="s">
        <v>256</v>
      </c>
      <c r="G24" s="62" t="s">
        <v>293</v>
      </c>
      <c r="H24" s="62" t="s">
        <v>71</v>
      </c>
      <c r="I24" s="61" t="s">
        <v>7</v>
      </c>
    </row>
    <row r="25" spans="1:10" ht="30" customHeight="1">
      <c r="A25" s="61" t="s">
        <v>132</v>
      </c>
      <c r="B25" s="61" t="s">
        <v>335</v>
      </c>
      <c r="C25" s="62" t="s">
        <v>258</v>
      </c>
      <c r="D25" s="62" t="s">
        <v>86</v>
      </c>
      <c r="E25" s="62" t="s">
        <v>274</v>
      </c>
      <c r="F25" s="62" t="s">
        <v>259</v>
      </c>
      <c r="G25" s="62" t="s">
        <v>292</v>
      </c>
      <c r="H25" s="62" t="s">
        <v>71</v>
      </c>
      <c r="I25" s="61" t="s">
        <v>260</v>
      </c>
    </row>
    <row r="26" spans="1:10" ht="30" customHeight="1">
      <c r="A26" s="63" t="s">
        <v>132</v>
      </c>
      <c r="B26" s="63" t="s">
        <v>336</v>
      </c>
      <c r="C26" s="64" t="s">
        <v>262</v>
      </c>
      <c r="D26" s="64" t="s">
        <v>263</v>
      </c>
      <c r="E26" s="64" t="s">
        <v>264</v>
      </c>
      <c r="F26" s="64" t="s">
        <v>265</v>
      </c>
      <c r="G26" s="64" t="s">
        <v>294</v>
      </c>
      <c r="H26" s="64" t="s">
        <v>74</v>
      </c>
      <c r="I26" s="64" t="s">
        <v>72</v>
      </c>
    </row>
    <row r="27" spans="1:10" ht="30" customHeight="1">
      <c r="A27" s="63" t="s">
        <v>132</v>
      </c>
      <c r="B27" s="63" t="s">
        <v>341</v>
      </c>
      <c r="C27" s="64" t="s">
        <v>267</v>
      </c>
      <c r="D27" s="64" t="s">
        <v>86</v>
      </c>
      <c r="E27" s="64" t="s">
        <v>268</v>
      </c>
      <c r="F27" s="64" t="s">
        <v>269</v>
      </c>
      <c r="G27" s="64" t="s">
        <v>295</v>
      </c>
      <c r="H27" s="64" t="s">
        <v>74</v>
      </c>
      <c r="I27" s="64" t="s">
        <v>86</v>
      </c>
    </row>
    <row r="28" spans="1:10" ht="30" customHeight="1">
      <c r="A28" s="63" t="s">
        <v>132</v>
      </c>
      <c r="B28" s="63" t="s">
        <v>342</v>
      </c>
      <c r="C28" s="64" t="s">
        <v>271</v>
      </c>
      <c r="D28" s="64" t="s">
        <v>7</v>
      </c>
      <c r="E28" s="64" t="s">
        <v>272</v>
      </c>
      <c r="F28" s="64" t="s">
        <v>273</v>
      </c>
      <c r="G28" s="64" t="s">
        <v>296</v>
      </c>
      <c r="H28" s="64" t="s">
        <v>74</v>
      </c>
      <c r="I28" s="63" t="s">
        <v>7</v>
      </c>
    </row>
    <row r="29" spans="1:10" ht="30" customHeight="1">
      <c r="A29" s="63" t="s">
        <v>143</v>
      </c>
      <c r="B29" s="63" t="s">
        <v>91</v>
      </c>
      <c r="C29" s="64" t="s">
        <v>144</v>
      </c>
      <c r="D29" s="64" t="s">
        <v>145</v>
      </c>
      <c r="E29" s="64" t="s">
        <v>146</v>
      </c>
      <c r="F29" s="64" t="s">
        <v>147</v>
      </c>
      <c r="G29" s="64" t="s">
        <v>284</v>
      </c>
      <c r="H29" s="64" t="s">
        <v>71</v>
      </c>
      <c r="I29" s="64" t="s">
        <v>72</v>
      </c>
    </row>
    <row r="30" spans="1:10" ht="30" customHeight="1">
      <c r="A30" s="63" t="s">
        <v>143</v>
      </c>
      <c r="B30" s="63" t="s">
        <v>93</v>
      </c>
      <c r="C30" s="64" t="s">
        <v>89</v>
      </c>
      <c r="D30" s="64" t="s">
        <v>148</v>
      </c>
      <c r="E30" s="64" t="s">
        <v>149</v>
      </c>
      <c r="F30" s="64" t="s">
        <v>150</v>
      </c>
      <c r="G30" s="64" t="s">
        <v>285</v>
      </c>
      <c r="H30" s="64" t="s">
        <v>90</v>
      </c>
      <c r="I30" s="64" t="s">
        <v>72</v>
      </c>
    </row>
    <row r="31" spans="1:10" ht="30" customHeight="1">
      <c r="A31" s="4" t="s">
        <v>151</v>
      </c>
      <c r="B31" s="4" t="s">
        <v>96</v>
      </c>
      <c r="C31" s="5" t="s">
        <v>92</v>
      </c>
      <c r="D31" s="5" t="s">
        <v>109</v>
      </c>
      <c r="E31" s="5" t="s">
        <v>152</v>
      </c>
      <c r="F31" s="5" t="s">
        <v>153</v>
      </c>
      <c r="G31" s="5" t="s">
        <v>286</v>
      </c>
      <c r="H31" s="5" t="s">
        <v>74</v>
      </c>
      <c r="I31" s="5" t="s">
        <v>72</v>
      </c>
    </row>
    <row r="32" spans="1:10" ht="30" customHeight="1">
      <c r="A32" s="4" t="s">
        <v>151</v>
      </c>
      <c r="B32" s="4" t="s">
        <v>97</v>
      </c>
      <c r="C32" s="5" t="s">
        <v>94</v>
      </c>
      <c r="D32" s="5" t="s">
        <v>154</v>
      </c>
      <c r="E32" s="5" t="s">
        <v>155</v>
      </c>
      <c r="F32" s="5" t="s">
        <v>156</v>
      </c>
      <c r="G32" s="5" t="s">
        <v>287</v>
      </c>
      <c r="H32" s="5" t="s">
        <v>74</v>
      </c>
      <c r="I32" s="5" t="s">
        <v>72</v>
      </c>
    </row>
    <row r="33" spans="1:9" ht="30" customHeight="1">
      <c r="A33" s="4" t="s">
        <v>151</v>
      </c>
      <c r="B33" s="4" t="s">
        <v>99</v>
      </c>
      <c r="C33" s="5" t="s">
        <v>95</v>
      </c>
      <c r="D33" s="5" t="s">
        <v>157</v>
      </c>
      <c r="E33" s="5" t="s">
        <v>168</v>
      </c>
      <c r="F33" s="5" t="s">
        <v>158</v>
      </c>
      <c r="G33" s="5" t="s">
        <v>288</v>
      </c>
      <c r="H33" s="5" t="s">
        <v>90</v>
      </c>
      <c r="I33" s="5" t="s">
        <v>72</v>
      </c>
    </row>
    <row r="34" spans="1:9" ht="30" customHeight="1">
      <c r="A34" s="63" t="s">
        <v>159</v>
      </c>
      <c r="B34" s="63" t="s">
        <v>337</v>
      </c>
      <c r="C34" s="64" t="s">
        <v>160</v>
      </c>
      <c r="D34" s="64" t="s">
        <v>161</v>
      </c>
      <c r="E34" s="64" t="s">
        <v>162</v>
      </c>
      <c r="F34" s="64" t="s">
        <v>163</v>
      </c>
      <c r="G34" s="64" t="s">
        <v>289</v>
      </c>
      <c r="H34" s="64" t="s">
        <v>71</v>
      </c>
      <c r="I34" s="64" t="s">
        <v>72</v>
      </c>
    </row>
    <row r="35" spans="1:9" ht="30" customHeight="1">
      <c r="A35" s="4" t="s">
        <v>159</v>
      </c>
      <c r="B35" s="4" t="s">
        <v>338</v>
      </c>
      <c r="C35" s="5" t="s">
        <v>98</v>
      </c>
      <c r="D35" s="5" t="s">
        <v>164</v>
      </c>
      <c r="E35" s="5" t="s">
        <v>169</v>
      </c>
      <c r="F35" s="5" t="s">
        <v>165</v>
      </c>
      <c r="G35" s="5" t="s">
        <v>290</v>
      </c>
      <c r="H35" s="5" t="s">
        <v>74</v>
      </c>
      <c r="I35" s="4" t="s">
        <v>7</v>
      </c>
    </row>
    <row r="36" spans="1:9" ht="30" customHeight="1">
      <c r="A36" s="4" t="s">
        <v>159</v>
      </c>
      <c r="B36" s="4" t="s">
        <v>339</v>
      </c>
      <c r="C36" s="5" t="s">
        <v>100</v>
      </c>
      <c r="D36" s="5" t="s">
        <v>7</v>
      </c>
      <c r="E36" s="5" t="s">
        <v>166</v>
      </c>
      <c r="F36" s="5" t="s">
        <v>167</v>
      </c>
      <c r="G36" s="5" t="s">
        <v>291</v>
      </c>
      <c r="H36" s="5" t="s">
        <v>90</v>
      </c>
      <c r="I36" s="4" t="s">
        <v>7</v>
      </c>
    </row>
  </sheetData>
  <phoneticPr fontId="27" type="noConversion"/>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HABLAVAO_cronograma_PMBAgil</vt:lpstr>
      <vt:lpstr>Gantt</vt:lpstr>
      <vt:lpstr>Epics</vt:lpstr>
      <vt:lpstr>Backlog</vt:lpstr>
      <vt:lpstr>Gantt!Incremento_de_desplazamiento</vt:lpstr>
      <vt:lpstr>Gantt!Inicio_del_proyecto</vt:lpstr>
      <vt:lpstr>Gantt!Títulos_a_imprimir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Zuniga</dc:creator>
  <cp:lastModifiedBy>u201823368 (Zuñiga Cordova, Johan Poul Hugo)</cp:lastModifiedBy>
  <dcterms:created xsi:type="dcterms:W3CDTF">2025-11-07T15:19:11Z</dcterms:created>
  <dcterms:modified xsi:type="dcterms:W3CDTF">2026-02-06T15:36:05Z</dcterms:modified>
</cp:coreProperties>
</file>