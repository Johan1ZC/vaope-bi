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HAN\Desktop\"/>
    </mc:Choice>
  </mc:AlternateContent>
  <xr:revisionPtr revIDLastSave="0" documentId="13_ncr:1_{FE28D3EA-E78C-4A11-9EE4-80150D51BDD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s" sheetId="3" r:id="rId1"/>
    <sheet name="Proyectos" sheetId="1" r:id="rId2"/>
    <sheet name="Guía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13" i="1"/>
  <c r="A10" i="1"/>
  <c r="A21" i="1"/>
  <c r="A24" i="1"/>
  <c r="A12" i="1"/>
  <c r="A11" i="1"/>
  <c r="A18" i="1"/>
  <c r="A8" i="1"/>
  <c r="A26" i="1"/>
  <c r="A23" i="1"/>
  <c r="A20" i="1"/>
  <c r="A9" i="1"/>
  <c r="A17" i="1"/>
  <c r="A4" i="1"/>
  <c r="A6" i="1"/>
  <c r="A3" i="1"/>
  <c r="A28" i="1"/>
  <c r="A22" i="1"/>
  <c r="A19" i="1"/>
  <c r="A25" i="1"/>
  <c r="A16" i="1"/>
  <c r="A5" i="1"/>
  <c r="A2" i="1"/>
  <c r="A14" i="1"/>
  <c r="A27" i="1"/>
</calcChain>
</file>

<file path=xl/sharedStrings.xml><?xml version="1.0" encoding="utf-8"?>
<sst xmlns="http://schemas.openxmlformats.org/spreadsheetml/2006/main" count="318" uniqueCount="127">
  <si>
    <t>Nro</t>
  </si>
  <si>
    <t>Nombre proyecto</t>
  </si>
  <si>
    <t>Descripción</t>
  </si>
  <si>
    <t>Estado</t>
  </si>
  <si>
    <t>Pendientes</t>
  </si>
  <si>
    <t>De que area o puesto depende</t>
  </si>
  <si>
    <t>Area usuaria final</t>
  </si>
  <si>
    <t>Ruta del proyecto</t>
  </si>
  <si>
    <t>Responsable</t>
  </si>
  <si>
    <t>Mantenimiento/expansión del Data Warehouse (dimfecha, dimhora, dimusuario, dimeventos, dimorganizadores, dimlocalevento, dimubicacion, factventasweb, etc.).</t>
  </si>
  <si>
    <t>En curso</t>
  </si>
  <si>
    <t>Gerencia/Finanzas/Comercial</t>
  </si>
  <si>
    <t>BI</t>
  </si>
  <si>
    <t>Data Engineer</t>
  </si>
  <si>
    <t>Power BI - Dashboard Ventas &amp; Gastos (Factura y Operativo)</t>
  </si>
  <si>
    <t>Modelo y medidas DAX para ventas/egresos, comparativos y KPIs (crecimiento, ventas mes anterior, etc.).</t>
  </si>
  <si>
    <t>Tablero para identificar compra por evento de productos (Venta web, impresos, pauta, contenido, validadores) y sugerencia de venta inmediata.</t>
  </si>
  <si>
    <t>Crear flags por producto sin romper montos; resolver medida 'Recaudación total confirmado'; completar 'Validadores total (Organizador)'.</t>
  </si>
  <si>
    <t>Finanzas/BI</t>
  </si>
  <si>
    <t>Documentación técnica - Data &amp; BI (Confluence/Git)</t>
  </si>
  <si>
    <t>Equipo Data/BI</t>
  </si>
  <si>
    <t>Guía rápida</t>
  </si>
  <si>
    <t>• Completa las columnas de 'Nombre proyecto' en adelante.</t>
  </si>
  <si>
    <t>• La columna 'Nro' se autocompleta cuando hay nombre de proyecto.</t>
  </si>
  <si>
    <t>• 'Estado' tiene lista desplegable (Idea, En análisis, En curso, etc.).</t>
  </si>
  <si>
    <t>• Usa 'Ruta del proyecto' para pegar un link o ruta de carpeta.</t>
  </si>
  <si>
    <t>Tip: Si necesitas exportar/compartir, puedes guardar una copia en Google Drive/SharePoint y mantener esta tabla como maestro.</t>
  </si>
  <si>
    <t>Completado</t>
  </si>
  <si>
    <t>DWH VAOPE FINANZAS ODOO (Modelo estrella: Dim/Fact)</t>
  </si>
  <si>
    <t>-</t>
  </si>
  <si>
    <t>Data/BI (Data Engineer)</t>
  </si>
  <si>
    <t>Johan Zuñiga Cordova</t>
  </si>
  <si>
    <t>DWH VAOPE BACKOFFICE (Modelo estrella: Dim/Fact)</t>
  </si>
  <si>
    <t>Agregar tabla fact_product_liquidation_operations</t>
  </si>
  <si>
    <t>DWH VAOPE BO CROSS-SELLING (Modelo estrella: Dim/Fact)</t>
  </si>
  <si>
    <t>Data/BI (Data Engineer)/ Desarrollo ETL</t>
  </si>
  <si>
    <t>Gerencia/Finanzas/Comercial/Cross-Selling</t>
  </si>
  <si>
    <t>https://github.com/Johan1ZC/vaope-bi/tree/dev/3_Modelamiento%20de%20Arquitectura%20de%20Datos/Creacion%20arquitectura%20datos</t>
  </si>
  <si>
    <t>Pendiente ingesta de datos ETL desde API Odoo</t>
  </si>
  <si>
    <t>DWH VAOPE RRHH (Modelo estrella: Dim/Fact)</t>
  </si>
  <si>
    <t>DWH VAOPE INCIDENCIAS (Modelo estrella: Dim/Fact)</t>
  </si>
  <si>
    <t>DWH VAOPE POSICIONAMIENTO Y TENDENCIAS (Modelo estrella: Dim/Fact)</t>
  </si>
  <si>
    <t>- Arquitectura de datos completada
- Pendiente ingesta de datos ETL desde API Odoo</t>
  </si>
  <si>
    <t>Medidas DAX para ventas personal y conteos de organizadores asociados a eventos.</t>
  </si>
  <si>
    <t>Power BI - Página Web (Ventas  web / Organizadores / Eventos)</t>
  </si>
  <si>
    <t>Power BI - Eventos Zona (Ventas  web / Organizadores / Eventos)</t>
  </si>
  <si>
    <t>Medidas DAX para  Eventos pasados, futuros por locales, zonas, categoria y artistas</t>
  </si>
  <si>
    <t>Categoría</t>
  </si>
  <si>
    <t>functional analyst</t>
  </si>
  <si>
    <t>Desarrollador Python</t>
  </si>
  <si>
    <t>https://github.com/Johan1ZC/vaope-bi/tree/dev/6_Visualizacion/Pruebas_Vaope_v1/InformeVentas_Gastos</t>
  </si>
  <si>
    <t>https://github.com/Johan1ZC/vaope-bi/tree/dev/6_Visualizacion/Pruebas_Vaope_v1/InformeWeb</t>
  </si>
  <si>
    <t>https://github.com/Johan1ZC/vaope-bi/tree/dev/6_Visualizacion/Pruebas_Vaope_v1/Informe_CrossSelling</t>
  </si>
  <si>
    <t>https://github.com/Johan1ZC/vaope-bi/tree/dev/6_Visualizacion/Pruebas_Vaope_v1/InformeEventos</t>
  </si>
  <si>
    <t>https://github.com/Johan1ZC/vaope-bi/tree/dev/12_Desarrollo/Proyecto_HablaVao/Dashboard</t>
  </si>
  <si>
    <t>Power BI - Incidencias</t>
  </si>
  <si>
    <t>Reporte trazabilidad de incidencias</t>
  </si>
  <si>
    <t>Completado el modelo, pendiente la ingesta de datos desde Odoo</t>
  </si>
  <si>
    <t>https://github.com/Johan1ZC/vaope-bi/tree/dev/6_Visualizacion/Pruebas_Vaope_v1/InformeIncidencias</t>
  </si>
  <si>
    <t>https://github.com/Johan1ZC/vaope-bi/tree/dev/6_Visualizacion/Pruebas_Vaope_v1/InformePosicionamiento%2BTendencias</t>
  </si>
  <si>
    <t>Power BI - Posicionamiento y Tendencias</t>
  </si>
  <si>
    <t>Reporte trazabilidad de Redes sociales, evolutivo y margenes monetarios</t>
  </si>
  <si>
    <t>Completado el modelo, pendiente la ingesta de datos desde source creado para marketing</t>
  </si>
  <si>
    <t>https://github.com/Johan1ZC/vaope-bi/tree/dev/6_Visualizacion/Pruebas_Vaope_v1/InformeRRHH</t>
  </si>
  <si>
    <t>Power BI - RRHH</t>
  </si>
  <si>
    <t>Reporte control de asistencias, rotacion, etc</t>
  </si>
  <si>
    <t>https://github.com/Johan1ZC/vaope-bi/tree/dev/14_Funcional</t>
  </si>
  <si>
    <t>Proceso Devoluciones</t>
  </si>
  <si>
    <t>Diagrama TO-BE proceso devoluciones y documentacion de Requerimiento funcional</t>
  </si>
  <si>
    <t>Desarrollo TI</t>
  </si>
  <si>
    <t>Proceso Descuentos Odoo</t>
  </si>
  <si>
    <t>https://github.com/Johan1ZC/vaope-bi/tree/dev/14_Funcional/Proceso%20Descuentos</t>
  </si>
  <si>
    <t>Manual de proceso de descuentos por item y global</t>
  </si>
  <si>
    <t>https://github.com/Johan1ZC/vaope-bi/tree/dev/12_Desarrollo/Proyecto_HablaVao</t>
  </si>
  <si>
    <t>Backend HablaVao Python</t>
  </si>
  <si>
    <t>Servicio de scraping crawling, loader ETL hacia DWH HablaVao</t>
  </si>
  <si>
    <t>Pendiente automatizar ejecución del servicio</t>
  </si>
  <si>
    <t>Analisis de datos Vaope</t>
  </si>
  <si>
    <t>Registros de analisis de datos</t>
  </si>
  <si>
    <t>https://github.com/Johan1ZC/vaope-bi/tree/dev/0_OtrasTareas</t>
  </si>
  <si>
    <t>https://github.com/Johan1ZC/vaope-bi/tree/dev/10_rrhh</t>
  </si>
  <si>
    <t>Control de horas gestión de recursos externos</t>
  </si>
  <si>
    <t>Desarrollador</t>
  </si>
  <si>
    <t>RPA</t>
  </si>
  <si>
    <t>Desarrollo de RPA para el proceso de conciliaciones</t>
  </si>
  <si>
    <t>Pendiente desarrollar RPA, avance hasta el diseño de flujo de gestión</t>
  </si>
  <si>
    <t>https://github.com/Johan1ZC/vaope-bi/tree/dev/12_Desarrollo/Proyecto_RPA</t>
  </si>
  <si>
    <t>Data Modeler</t>
  </si>
  <si>
    <t>https://github.com/Johan1ZC/vaope-bi/tree/dev/2_Prototipado%20Logico%20y%20Fisico</t>
  </si>
  <si>
    <t>Modelamiento de datos de la DWH Vaope (Ventas y gastos Odoo, Backoffice, Cross-Selling, HablaVao, RRHH, Incidencias, posicionamiento y tendencias, HablaVao Scraping)</t>
  </si>
  <si>
    <t>DWH VAOPE HABLA-VAO SCRAPING (Modelo estrella: Dim/Fact)</t>
  </si>
  <si>
    <t>Power BI - HablaVao Scraping (Cronograma de Eventos pasados, futuros por locales, zonas, categoria y artistas)</t>
  </si>
  <si>
    <t>- Arquitectura de datos completada
- Pendiente de que marketing registra data de redes sociales en el source</t>
  </si>
  <si>
    <t>Validaciones de Proyectos</t>
  </si>
  <si>
    <t>Validaciones de proyectos DWH Vaope (Ventas y gastos Odoo, Backoffice, Cross-Selling, HablaVao, RRHH, Incidencias, posicionamiento y tendencias, HablaVao Scraping)</t>
  </si>
  <si>
    <t>https://github.com/Johan1ZC/vaope-bi/tree/dev/4_Validaciones</t>
  </si>
  <si>
    <t>Medidas DAX BI</t>
  </si>
  <si>
    <t>Configuracion de medidas DAX para los reportes BI</t>
  </si>
  <si>
    <t>https://github.com/Johan1ZC/vaope-bi/tree/dev/6_Visualizacion</t>
  </si>
  <si>
    <t>https://github.com/Johan1ZC/vaope-bi/tree/dev/9_Documentacion</t>
  </si>
  <si>
    <t>Nombre Entregable</t>
  </si>
  <si>
    <t>Ventas y Gastos Odoo</t>
  </si>
  <si>
    <t>Backoffice</t>
  </si>
  <si>
    <t>Incidencias</t>
  </si>
  <si>
    <t>Cross-Selling</t>
  </si>
  <si>
    <t>Habla Vao Scraping</t>
  </si>
  <si>
    <t>RRHH</t>
  </si>
  <si>
    <t>Posicionamiento y Tendencias</t>
  </si>
  <si>
    <t>Modelamiento DWH</t>
  </si>
  <si>
    <t>General</t>
  </si>
  <si>
    <t>Devoluciones</t>
  </si>
  <si>
    <t>Descuentos Odoo</t>
  </si>
  <si>
    <t>RPA Conciliaciones</t>
  </si>
  <si>
    <t>Documentar repos, ramas (dev/test/main), procesos, diccionario de datos, y guías de refresh/reportes para Backoffice, Cross-Selling, RPA conciliaciones, Ventas y gastos Odoo, Habla Vao Scraping. Instalacion de gateway en servidor, entre otros</t>
  </si>
  <si>
    <t>https://github.com/Johan1ZC/vaope-bi/tree/dev/9_Documentacion/Proyecto_CrossSelling</t>
  </si>
  <si>
    <t>Gestión Cross-selling</t>
  </si>
  <si>
    <t>Power BI - Cross-selling</t>
  </si>
  <si>
    <t>Gantt del avance del proyecto Cross-Selling por fecha, horas de trabajo y responsable</t>
  </si>
  <si>
    <t>- Pendiente arranque de gestión con las herramientas construidas
- Manual de uso del CRM</t>
  </si>
  <si>
    <t>Configuración del servidor con Gateway para actualización automatica de PowerBI Service</t>
  </si>
  <si>
    <t>Configuración del servidor con Gateway</t>
  </si>
  <si>
    <t>Lider de proyecto</t>
  </si>
  <si>
    <t>Total general</t>
  </si>
  <si>
    <t>Cuenta de Nro</t>
  </si>
  <si>
    <t>Cuenta de Nro2</t>
  </si>
  <si>
    <t>Categoría_</t>
  </si>
  <si>
    <t>Nombre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</si>
</sst>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7"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alignment horizontal="lef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73.534794791667" createdVersion="8" refreshedVersion="8" minRefreshableVersion="3" recordCount="27" xr:uid="{29FE3412-7FEA-4DAE-BA68-66773B6438F6}">
  <cacheSource type="worksheet">
    <worksheetSource name="TablaProyectos"/>
  </cacheSource>
  <cacheFields count="11">
    <cacheField name="Nro" numFmtId="1">
      <sharedItems containsSemiMixedTypes="0" containsString="0" containsNumber="1" containsInteger="1" minValue="1" maxValue="27"/>
    </cacheField>
    <cacheField name="Categoría" numFmtId="1">
      <sharedItems count="7">
        <s v="Data Engineer"/>
        <s v="BI"/>
        <s v="Lider de proyecto"/>
        <s v="functional analyst"/>
        <s v="Desarrollador Python"/>
        <s v="Data Modeler"/>
        <s v="Desarrollador"/>
      </sharedItems>
    </cacheField>
    <cacheField name="Nombre Entregable" numFmtId="0">
      <sharedItems/>
    </cacheField>
    <cacheField name="Descripción" numFmtId="0">
      <sharedItems/>
    </cacheField>
    <cacheField name="Estado" numFmtId="0">
      <sharedItems count="2">
        <s v="Completado"/>
        <s v="En curso"/>
      </sharedItems>
    </cacheField>
    <cacheField name="Pendientes" numFmtId="0">
      <sharedItems count="12">
        <s v="-"/>
        <s v="Agregar tabla fact_product_liquidation_operations"/>
        <s v="Crear flags por producto sin romper montos; resolver medida 'Recaudación total confirmado'; completar 'Validadores total (Organizador)'."/>
        <s v="- Pendiente arranque de gestión con las herramientas construidas_x000a_- Manual de uso del CRM"/>
        <s v="Pendiente automatizar ejecución del servicio"/>
        <s v="- Arquitectura de datos completada_x000a_- Pendiente ingesta de datos ETL desde API Odoo"/>
        <s v="Completado el modelo, pendiente la ingesta de datos desde Odoo"/>
        <s v="- Arquitectura de datos completada_x000a_- Pendiente de que marketing registra data de redes sociales en el source"/>
        <s v="Completado el modelo, pendiente la ingesta de datos desde source creado para marketing"/>
        <s v="Pendiente desarrollar RPA, avance hasta el diseño de flujo de gestión"/>
        <s v="Pendiente ingesta de datos ETL desde API Odoo"/>
        <s v="Completado" u="1"/>
      </sharedItems>
    </cacheField>
    <cacheField name="De que area o puesto depende" numFmtId="0">
      <sharedItems/>
    </cacheField>
    <cacheField name="Area usuaria final" numFmtId="0">
      <sharedItems/>
    </cacheField>
    <cacheField name="Nombre proyecto" numFmtId="0">
      <sharedItems count="12">
        <s v="Backoffice"/>
        <s v="Cross-Selling"/>
        <s v="Descuentos Odoo"/>
        <s v="Devoluciones"/>
        <s v="General"/>
        <s v="Habla Vao Scraping"/>
        <s v="Incidencias"/>
        <s v="Modelamiento DWH"/>
        <s v="Posicionamiento y Tendencias"/>
        <s v="RPA Conciliaciones"/>
        <s v="RRHH"/>
        <s v="Ventas y Gastos Odoo"/>
      </sharedItems>
    </cacheField>
    <cacheField name="Ruta del proyecto" numFmtId="0">
      <sharedItems/>
    </cacheField>
    <cacheField name="Responsab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1"/>
    <x v="0"/>
    <s v="DWH VAOPE BACKOFFICE (Modelo estrella: Dim/Fact)"/>
    <s v="Mantenimiento/expansión del Data Warehouse (dimfecha, dimhora, dimusuario, dimeventos, dimorganizadores, dimlocalevento, dimubicacion, factventasweb, etc.)."/>
    <x v="0"/>
    <x v="0"/>
    <s v="Data/BI (Data Engineer)"/>
    <s v="Gerencia/Finanzas/Comercial"/>
    <x v="0"/>
    <s v="https://github.com/Johan1ZC/vaope-bi/tree/dev/3_Modelamiento%20de%20Arquitectura%20de%20Datos/Creacion%20arquitectura%20datos"/>
    <s v="Johan Zuñiga Cordova"/>
  </r>
  <r>
    <n v="2"/>
    <x v="1"/>
    <s v="Power BI - Página Web (Ventas  web / Organizadores / Eventos)"/>
    <s v="Medidas DAX para ventas personal y conteos de organizadores asociados a eventos."/>
    <x v="0"/>
    <x v="0"/>
    <s v="Data/BI (Data Engineer)"/>
    <s v="Gerencia/Finanzas/Comercial"/>
    <x v="0"/>
    <s v="https://github.com/Johan1ZC/vaope-bi/tree/dev/6_Visualizacion/Pruebas_Vaope_v1/InformeWeb"/>
    <s v="Johan Zuñiga Cordova"/>
  </r>
  <r>
    <n v="3"/>
    <x v="1"/>
    <s v="Power BI - Eventos Zona (Ventas  web / Organizadores / Eventos)"/>
    <s v="Medidas DAX para ventas personal y conteos de organizadores asociados a eventos."/>
    <x v="0"/>
    <x v="0"/>
    <s v="Data/BI (Data Engineer)"/>
    <s v="Gerencia/Finanzas/Comercial"/>
    <x v="0"/>
    <s v="https://github.com/Johan1ZC/vaope-bi/tree/dev/6_Visualizacion/Pruebas_Vaope_v1/InformeEventos"/>
    <s v="Johan Zuñiga Cordova"/>
  </r>
  <r>
    <n v="4"/>
    <x v="0"/>
    <s v="DWH VAOPE BO CROSS-SELLING (Modelo estrella: Dim/Fact)"/>
    <s v="Mantenimiento/expansión del Data Warehouse (dimfecha, dimhora, dimusuario, dimeventos, dimorganizadores, dimlocalevento, dimubicacion, factventasweb, etc.)."/>
    <x v="1"/>
    <x v="1"/>
    <s v="Data/BI (Data Engineer)/ Desarrollo ETL"/>
    <s v="Gerencia/Finanzas/Comercial/Cross-Selling"/>
    <x v="1"/>
    <s v="https://github.com/Johan1ZC/vaope-bi/tree/dev/3_Modelamiento%20de%20Arquitectura%20de%20Datos/Creacion%20arquitectura%20datos"/>
    <s v="Johan Zuñiga Cordova"/>
  </r>
  <r>
    <n v="5"/>
    <x v="1"/>
    <s v="Power BI - Cross-selling"/>
    <s v="Tablero para identificar compra por evento de productos (Venta web, impresos, pauta, contenido, validadores) y sugerencia de venta inmediata."/>
    <x v="1"/>
    <x v="2"/>
    <s v="Data/BI (Data Engineer)"/>
    <s v="Gerencia/Finanzas/Comercial"/>
    <x v="1"/>
    <s v="https://github.com/Johan1ZC/vaope-bi/tree/dev/6_Visualizacion/Pruebas_Vaope_v1/Informe_CrossSelling"/>
    <s v="Johan Zuñiga Cordova"/>
  </r>
  <r>
    <n v="6"/>
    <x v="2"/>
    <s v="Gestión Cross-selling"/>
    <s v="Gantt del avance del proyecto Cross-Selling por fecha, horas de trabajo y responsable"/>
    <x v="1"/>
    <x v="3"/>
    <s v="Data/BI (Data Engineer)"/>
    <s v="Gerencia/Finanzas/Comercial"/>
    <x v="1"/>
    <s v="https://github.com/Johan1ZC/vaope-bi/tree/dev/9_Documentacion/Proyecto_CrossSelling"/>
    <s v="Johan Zuñiga Cordova"/>
  </r>
  <r>
    <n v="7"/>
    <x v="3"/>
    <s v="Proceso Descuentos Odoo"/>
    <s v="Manual de proceso de descuentos por item y global"/>
    <x v="0"/>
    <x v="0"/>
    <s v="Data/BI (Data Engineer)"/>
    <s v="Finanzas/BI"/>
    <x v="2"/>
    <s v="https://github.com/Johan1ZC/vaope-bi/tree/dev/14_Funcional/Proceso%20Descuentos"/>
    <s v="Johan Zuñiga Cordova"/>
  </r>
  <r>
    <n v="8"/>
    <x v="3"/>
    <s v="Proceso Devoluciones"/>
    <s v="Diagrama TO-BE proceso devoluciones y documentacion de Requerimiento funcional"/>
    <x v="0"/>
    <x v="0"/>
    <s v="Data/BI (Data Engineer)"/>
    <s v="Desarrollo TI"/>
    <x v="3"/>
    <s v="https://github.com/Johan1ZC/vaope-bi/tree/dev/14_Funcional"/>
    <s v="Johan Zuñiga Cordova"/>
  </r>
  <r>
    <n v="9"/>
    <x v="1"/>
    <s v="Validaciones de Proyectos"/>
    <s v="Validaciones de proyectos DWH Vaope (Ventas y gastos Odoo, Backoffice, Cross-Selling, HablaVao, RRHH, Incidencias, posicionamiento y tendencias, HablaVao Scraping)"/>
    <x v="0"/>
    <x v="0"/>
    <s v="Data/BI (Data Engineer)"/>
    <s v="BI"/>
    <x v="4"/>
    <s v="https://github.com/Johan1ZC/vaope-bi/tree/dev/4_Validaciones"/>
    <s v="Johan Zuñiga Cordova"/>
  </r>
  <r>
    <n v="10"/>
    <x v="1"/>
    <s v="Analisis de datos Vaope"/>
    <s v="Registros de analisis de datos"/>
    <x v="0"/>
    <x v="0"/>
    <s v="Data/BI (Data Engineer)"/>
    <s v="BI"/>
    <x v="4"/>
    <s v="https://github.com/Johan1ZC/vaope-bi/tree/dev/0_OtrasTareas"/>
    <s v="Johan Zuñiga Cordova"/>
  </r>
  <r>
    <n v="11"/>
    <x v="1"/>
    <s v="Control de horas gestión de recursos externos"/>
    <s v="Control de horas gestión de recursos externos"/>
    <x v="0"/>
    <x v="0"/>
    <s v="Data/BI (Data Engineer)"/>
    <s v="BI"/>
    <x v="4"/>
    <s v="https://github.com/Johan1ZC/vaope-bi/tree/dev/10_rrhh"/>
    <s v="Johan Zuñiga Cordova"/>
  </r>
  <r>
    <n v="12"/>
    <x v="1"/>
    <s v="Medidas DAX BI"/>
    <s v="Configuracion de medidas DAX para los reportes BI"/>
    <x v="0"/>
    <x v="0"/>
    <s v="Data/BI (Data Engineer)"/>
    <s v="BI"/>
    <x v="4"/>
    <s v="https://github.com/Johan1ZC/vaope-bi/tree/dev/6_Visualizacion"/>
    <s v="Johan Zuñiga Cordova"/>
  </r>
  <r>
    <n v="13"/>
    <x v="1"/>
    <s v="Documentación técnica - Data &amp; BI (Confluence/Git)"/>
    <s v="Documentar repos, ramas (dev/test/main), procesos, diccionario de datos, y guías de refresh/reportes para Backoffice, Cross-Selling, RPA conciliaciones, Ventas y gastos Odoo, Habla Vao Scraping. Instalacion de gateway en servidor, entre otros"/>
    <x v="0"/>
    <x v="0"/>
    <s v="Data/BI (Data Engineer)"/>
    <s v="Equipo Data/BI"/>
    <x v="4"/>
    <s v="https://github.com/Johan1ZC/vaope-bi/tree/dev/9_Documentacion"/>
    <s v="Johan Zuñiga Cordova"/>
  </r>
  <r>
    <n v="14"/>
    <x v="1"/>
    <s v="Configuración del servidor con Gateway"/>
    <s v="Configuración del servidor con Gateway para actualización automatica de PowerBI Service"/>
    <x v="0"/>
    <x v="0"/>
    <s v="Data/BI (Data Engineer)"/>
    <s v="BI"/>
    <x v="4"/>
    <s v="https://github.com/Johan1ZC/vaope-bi/tree/dev/9_Documentacion"/>
    <s v="Johan Zuñiga Cordova"/>
  </r>
  <r>
    <n v="15"/>
    <x v="0"/>
    <s v="DWH VAOPE HABLA-VAO SCRAPING (Modelo estrella: Dim/Fact)"/>
    <s v="Mantenimiento/expansión del Data Warehouse (dimfecha, dimhora, dimusuario, dimeventos, dimorganizadores, dimlocalevento, dimubicacion, factventasweb, etc.)."/>
    <x v="0"/>
    <x v="0"/>
    <s v="Data/BI (Data Engineer)"/>
    <s v="Gerencia/Finanzas/Comercial"/>
    <x v="5"/>
    <s v="https://github.com/Johan1ZC/vaope-bi/tree/dev/3_Modelamiento%20de%20Arquitectura%20de%20Datos/Creacion%20arquitectura%20datos"/>
    <s v="Johan Zuñiga Cordova"/>
  </r>
  <r>
    <n v="16"/>
    <x v="1"/>
    <s v="Power BI - HablaVao Scraping (Cronograma de Eventos pasados, futuros por locales, zonas, categoria y artistas)"/>
    <s v="Medidas DAX para  Eventos pasados, futuros por locales, zonas, categoria y artistas"/>
    <x v="0"/>
    <x v="0"/>
    <s v="Data/BI (Data Engineer)"/>
    <s v="Gerencia/Finanzas/Comercial"/>
    <x v="5"/>
    <s v="https://github.com/Johan1ZC/vaope-bi/tree/dev/12_Desarrollo/Proyecto_HablaVao/Dashboard"/>
    <s v="Johan Zuñiga Cordova"/>
  </r>
  <r>
    <n v="17"/>
    <x v="4"/>
    <s v="Backend HablaVao Python"/>
    <s v="Servicio de scraping crawling, loader ETL hacia DWH HablaVao"/>
    <x v="1"/>
    <x v="4"/>
    <s v="Data/BI (Data Engineer)"/>
    <s v="Gerencia/Finanzas/Comercial"/>
    <x v="5"/>
    <s v="https://github.com/Johan1ZC/vaope-bi/tree/dev/12_Desarrollo/Proyecto_HablaVao"/>
    <s v="Johan Zuñiga Cordova"/>
  </r>
  <r>
    <n v="18"/>
    <x v="0"/>
    <s v="DWH VAOPE INCIDENCIAS (Modelo estrella: Dim/Fact)"/>
    <s v="Mantenimiento/expansión del Data Warehouse (dimfecha, dimhora, dimusuario, dimeventos, dimorganizadores, dimlocalevento, dimubicacion, factventasweb, etc.)."/>
    <x v="1"/>
    <x v="5"/>
    <s v="Data/BI (Data Engineer)"/>
    <s v="Gerencia/Finanzas/Comercial/Cross-Selling"/>
    <x v="6"/>
    <s v="https://github.com/Johan1ZC/vaope-bi/tree/dev/3_Modelamiento%20de%20Arquitectura%20de%20Datos/Creacion%20arquitectura%20datos"/>
    <s v="Johan Zuñiga Cordova"/>
  </r>
  <r>
    <n v="19"/>
    <x v="1"/>
    <s v="Power BI - Incidencias"/>
    <s v="Reporte trazabilidad de incidencias"/>
    <x v="1"/>
    <x v="6"/>
    <s v="Data/BI (Data Engineer)"/>
    <s v="Gerencia/Finanzas/Comercial"/>
    <x v="6"/>
    <s v="https://github.com/Johan1ZC/vaope-bi/tree/dev/6_Visualizacion/Pruebas_Vaope_v1/InformeIncidencias"/>
    <s v="Johan Zuñiga Cordova"/>
  </r>
  <r>
    <n v="20"/>
    <x v="5"/>
    <s v="Modelamiento de datos de la DWH Vaope (Ventas y gastos Odoo, Backoffice, Cross-Selling, HablaVao, RRHH, Incidencias, posicionamiento y tendencias, HablaVao Scraping)"/>
    <s v="Modelamiento de datos de la DWH Vaope (Ventas y gastos Odoo, Backoffice, Cross-Selling, HablaVao, RRHH, Incidencias, posicionamiento y tendencias, HablaVao Scraping)"/>
    <x v="0"/>
    <x v="0"/>
    <s v="Data/BI (Data Engineer)"/>
    <s v="Gerencia/Finanzas/Comercial"/>
    <x v="7"/>
    <s v="https://github.com/Johan1ZC/vaope-bi/tree/dev/2_Prototipado%20Logico%20y%20Fisico"/>
    <s v="Johan Zuñiga Cordova"/>
  </r>
  <r>
    <n v="21"/>
    <x v="0"/>
    <s v="DWH VAOPE POSICIONAMIENTO Y TENDENCIAS (Modelo estrella: Dim/Fact)"/>
    <s v="Mantenimiento/expansión del Data Warehouse (dimfecha, dimhora, dimusuario, dimeventos, dimorganizadores, dimlocalevento, dimubicacion, factventasweb, etc.)."/>
    <x v="1"/>
    <x v="7"/>
    <s v="Data/BI (Data Engineer)"/>
    <s v="Gerencia/Finanzas/Comercial/Cross-Selling"/>
    <x v="8"/>
    <s v="https://github.com/Johan1ZC/vaope-bi/tree/dev/3_Modelamiento%20de%20Arquitectura%20de%20Datos/Creacion%20arquitectura%20datos"/>
    <s v="Johan Zuñiga Cordova"/>
  </r>
  <r>
    <n v="22"/>
    <x v="1"/>
    <s v="Power BI - Posicionamiento y Tendencias"/>
    <s v="Reporte trazabilidad de Redes sociales, evolutivo y margenes monetarios"/>
    <x v="1"/>
    <x v="8"/>
    <s v="Data/BI (Data Engineer)"/>
    <s v="Gerencia/Finanzas/Comercial"/>
    <x v="8"/>
    <s v="https://github.com/Johan1ZC/vaope-bi/tree/dev/6_Visualizacion/Pruebas_Vaope_v1/InformePosicionamiento%2BTendencias"/>
    <s v="Johan Zuñiga Cordova"/>
  </r>
  <r>
    <n v="23"/>
    <x v="6"/>
    <s v="RPA"/>
    <s v="Desarrollo de RPA para el proceso de conciliaciones"/>
    <x v="1"/>
    <x v="9"/>
    <s v="Data/BI (Data Engineer)"/>
    <s v="Gerencia/Finanzas/Comercial"/>
    <x v="9"/>
    <s v="https://github.com/Johan1ZC/vaope-bi/tree/dev/12_Desarrollo/Proyecto_RPA"/>
    <s v="Johan Zuñiga Cordova"/>
  </r>
  <r>
    <n v="24"/>
    <x v="0"/>
    <s v="DWH VAOPE RRHH (Modelo estrella: Dim/Fact)"/>
    <s v="Mantenimiento/expansión del Data Warehouse (dimfecha, dimhora, dimusuario, dimeventos, dimorganizadores, dimlocalevento, dimubicacion, factventasweb, etc.)."/>
    <x v="1"/>
    <x v="10"/>
    <s v="Data/BI (Data Engineer)"/>
    <s v="Gerencia/Finanzas/Comercial/Cross-Selling"/>
    <x v="10"/>
    <s v="https://github.com/Johan1ZC/vaope-bi/tree/dev/3_Modelamiento%20de%20Arquitectura%20de%20Datos/Creacion%20arquitectura%20datos"/>
    <s v="Johan Zuñiga Cordova"/>
  </r>
  <r>
    <n v="25"/>
    <x v="1"/>
    <s v="Power BI - RRHH"/>
    <s v="Reporte control de asistencias, rotacion, etc"/>
    <x v="1"/>
    <x v="6"/>
    <s v="Data/BI (Data Engineer)"/>
    <s v="Gerencia/Finanzas/Comercial"/>
    <x v="10"/>
    <s v="https://github.com/Johan1ZC/vaope-bi/tree/dev/6_Visualizacion/Pruebas_Vaope_v1/InformeRRHH"/>
    <s v="Johan Zuñiga Cordova"/>
  </r>
  <r>
    <n v="26"/>
    <x v="0"/>
    <s v="DWH VAOPE FINANZAS ODOO (Modelo estrella: Dim/Fact)"/>
    <s v="Mantenimiento/expansión del Data Warehouse (dimfecha, dimhora, dimusuario, dimeventos, dimorganizadores, dimlocalevento, dimubicacion, factventasweb, etc.)."/>
    <x v="0"/>
    <x v="0"/>
    <s v="Data/BI (Data Engineer)"/>
    <s v="Gerencia/Finanzas/Comercial"/>
    <x v="11"/>
    <s v="https://github.com/Johan1ZC/vaope-bi/tree/dev/3_Modelamiento%20de%20Arquitectura%20de%20Datos/Creacion%20arquitectura%20datos"/>
    <s v="Johan Zuñiga Cordova"/>
  </r>
  <r>
    <n v="27"/>
    <x v="1"/>
    <s v="Power BI - Dashboard Ventas &amp; Gastos (Factura y Operativo)"/>
    <s v="Modelo y medidas DAX para ventas/egresos, comparativos y KPIs (crecimiento, ventas mes anterior, etc.)."/>
    <x v="0"/>
    <x v="0"/>
    <s v="Data/BI (Data Engineer)"/>
    <s v="Gerencia/Finanzas/Comercial"/>
    <x v="11"/>
    <s v="https://github.com/Johan1ZC/vaope-bi/tree/dev/6_Visualizacion/Pruebas_Vaope_v1/InformeVentas_Gastos"/>
    <s v="Johan Zuñiga Cordo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68749-5E73-4896-8903-361B70D7E4B5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">
  <location ref="H3:J6" firstHeaderRow="0" firstDataRow="1" firstDataCol="1"/>
  <pivotFields count="11">
    <pivotField dataField="1" numFmtId="1"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axis="axisRow" showAll="0">
      <items count="13">
        <item x="0"/>
        <item x="7"/>
        <item x="5"/>
        <item x="3"/>
        <item x="1"/>
        <item m="1" x="11"/>
        <item x="6"/>
        <item x="8"/>
        <item x="2"/>
        <item x="4"/>
        <item x="9"/>
        <item x="10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2">
    <field x="4"/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Nro" fld="0" subtotal="count" baseField="1" baseItem="0"/>
    <dataField name="Cuenta de Nro2" fld="0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F6E4-F8D7-4615-941B-76688030AADF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ombre Proyectos">
  <location ref="E3:F16" firstHeaderRow="1" firstDataRow="1" firstDataCol="1"/>
  <pivotFields count="11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13">
    <i>
      <x v="4"/>
    </i>
    <i>
      <x/>
    </i>
    <i>
      <x v="1"/>
    </i>
    <i>
      <x v="5"/>
    </i>
    <i>
      <x v="8"/>
    </i>
    <i>
      <x v="11"/>
    </i>
    <i>
      <x v="10"/>
    </i>
    <i>
      <x v="6"/>
    </i>
    <i>
      <x v="9"/>
    </i>
    <i>
      <x v="3"/>
    </i>
    <i>
      <x v="2"/>
    </i>
    <i>
      <x v="7"/>
    </i>
    <i t="grand">
      <x/>
    </i>
  </rowItems>
  <colItems count="1">
    <i/>
  </colItems>
  <dataFields count="1">
    <dataField name="Cuenta de Nro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723B2-4739-429B-9651-0215E378A80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ategoría_">
  <location ref="B3:C11" firstHeaderRow="1" firstDataRow="1" firstDataCol="1"/>
  <pivotFields count="11">
    <pivotField dataField="1" numFmtId="1" showAll="0"/>
    <pivotField axis="axisRow" showAll="0">
      <items count="8">
        <item x="1"/>
        <item x="0"/>
        <item x="5"/>
        <item x="6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ro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yectos" displayName="TablaProyectos" ref="A1:K28">
  <autoFilter ref="A1:K28" xr:uid="{00000000-000C-0000-FFFF-FFFF00000000}"/>
  <sortState xmlns:xlrd2="http://schemas.microsoft.com/office/spreadsheetml/2017/richdata2" ref="A2:K28">
    <sortCondition ref="I1:I28"/>
  </sortState>
  <tableColumns count="11">
    <tableColumn id="1" xr3:uid="{00000000-0010-0000-0000-000001000000}" name="Nro"/>
    <tableColumn id="10" xr3:uid="{C8DE19D6-C95B-4F0D-8807-54AD2A729952}" name="Categoría" dataDxfId="16"/>
    <tableColumn id="2" xr3:uid="{00000000-0010-0000-0000-000002000000}" name="Nombre Entregable"/>
    <tableColumn id="3" xr3:uid="{00000000-0010-0000-0000-000003000000}" name="Descripción"/>
    <tableColumn id="4" xr3:uid="{00000000-0010-0000-0000-000004000000}" name="Estado"/>
    <tableColumn id="5" xr3:uid="{00000000-0010-0000-0000-000005000000}" name="Pendientes"/>
    <tableColumn id="6" xr3:uid="{00000000-0010-0000-0000-000006000000}" name="De que area o puesto depende"/>
    <tableColumn id="7" xr3:uid="{00000000-0010-0000-0000-000007000000}" name="Area usuaria final"/>
    <tableColumn id="12" xr3:uid="{CE6CA7C1-85EF-49C3-9F90-6764C61683AE}" name="Nombre proyecto" dataDxfId="15"/>
    <tableColumn id="8" xr3:uid="{00000000-0010-0000-0000-000008000000}" name="Ruta del proyecto"/>
    <tableColumn id="9" xr3:uid="{00000000-0010-0000-0000-000009000000}" name="Responsab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819F-2C05-426F-A415-7174765F1725}">
  <dimension ref="B3:J16"/>
  <sheetViews>
    <sheetView workbookViewId="0">
      <selection activeCell="I5" sqref="I5"/>
    </sheetView>
  </sheetViews>
  <sheetFormatPr baseColWidth="10" defaultRowHeight="14.4" x14ac:dyDescent="0.3"/>
  <cols>
    <col min="1" max="1" width="5" customWidth="1"/>
    <col min="2" max="2" width="19.33203125" bestFit="1" customWidth="1"/>
    <col min="3" max="3" width="13.33203125" bestFit="1" customWidth="1"/>
    <col min="4" max="4" width="6.5546875" customWidth="1"/>
    <col min="5" max="5" width="27.33203125" bestFit="1" customWidth="1"/>
    <col min="6" max="6" width="13.33203125" bestFit="1" customWidth="1"/>
    <col min="7" max="7" width="6.77734375" customWidth="1"/>
    <col min="8" max="9" width="13.33203125" bestFit="1" customWidth="1"/>
    <col min="10" max="10" width="14.33203125" bestFit="1" customWidth="1"/>
  </cols>
  <sheetData>
    <row r="3" spans="2:10" x14ac:dyDescent="0.3">
      <c r="B3" s="10" t="s">
        <v>125</v>
      </c>
      <c r="C3" t="s">
        <v>123</v>
      </c>
      <c r="E3" s="10" t="s">
        <v>126</v>
      </c>
      <c r="F3" t="s">
        <v>123</v>
      </c>
      <c r="H3" s="10" t="s">
        <v>3</v>
      </c>
      <c r="I3" t="s">
        <v>123</v>
      </c>
      <c r="J3" t="s">
        <v>124</v>
      </c>
    </row>
    <row r="4" spans="2:10" x14ac:dyDescent="0.3">
      <c r="B4" s="11" t="s">
        <v>12</v>
      </c>
      <c r="C4">
        <v>14</v>
      </c>
      <c r="E4" s="11" t="s">
        <v>109</v>
      </c>
      <c r="F4">
        <v>6</v>
      </c>
      <c r="H4" s="11" t="s">
        <v>27</v>
      </c>
      <c r="I4">
        <v>16</v>
      </c>
      <c r="J4" s="12">
        <v>0.59259259259259256</v>
      </c>
    </row>
    <row r="5" spans="2:10" x14ac:dyDescent="0.3">
      <c r="B5" s="11" t="s">
        <v>13</v>
      </c>
      <c r="C5">
        <v>7</v>
      </c>
      <c r="E5" s="11" t="s">
        <v>102</v>
      </c>
      <c r="F5">
        <v>3</v>
      </c>
      <c r="H5" s="11" t="s">
        <v>10</v>
      </c>
      <c r="I5">
        <v>11</v>
      </c>
      <c r="J5" s="12">
        <v>0.40740740740740738</v>
      </c>
    </row>
    <row r="6" spans="2:10" x14ac:dyDescent="0.3">
      <c r="B6" s="11" t="s">
        <v>87</v>
      </c>
      <c r="C6">
        <v>1</v>
      </c>
      <c r="E6" s="11" t="s">
        <v>104</v>
      </c>
      <c r="F6">
        <v>3</v>
      </c>
      <c r="H6" s="11" t="s">
        <v>122</v>
      </c>
      <c r="I6">
        <v>27</v>
      </c>
      <c r="J6" s="12">
        <v>1</v>
      </c>
    </row>
    <row r="7" spans="2:10" x14ac:dyDescent="0.3">
      <c r="B7" s="11" t="s">
        <v>82</v>
      </c>
      <c r="C7">
        <v>1</v>
      </c>
      <c r="E7" s="11" t="s">
        <v>105</v>
      </c>
      <c r="F7">
        <v>3</v>
      </c>
    </row>
    <row r="8" spans="2:10" x14ac:dyDescent="0.3">
      <c r="B8" s="11" t="s">
        <v>49</v>
      </c>
      <c r="C8">
        <v>1</v>
      </c>
      <c r="E8" s="11" t="s">
        <v>107</v>
      </c>
      <c r="F8">
        <v>2</v>
      </c>
    </row>
    <row r="9" spans="2:10" x14ac:dyDescent="0.3">
      <c r="B9" s="11" t="s">
        <v>48</v>
      </c>
      <c r="C9">
        <v>2</v>
      </c>
      <c r="E9" s="11" t="s">
        <v>101</v>
      </c>
      <c r="F9">
        <v>2</v>
      </c>
    </row>
    <row r="10" spans="2:10" x14ac:dyDescent="0.3">
      <c r="B10" s="11" t="s">
        <v>121</v>
      </c>
      <c r="C10">
        <v>1</v>
      </c>
      <c r="E10" s="11" t="s">
        <v>106</v>
      </c>
      <c r="F10">
        <v>2</v>
      </c>
    </row>
    <row r="11" spans="2:10" x14ac:dyDescent="0.3">
      <c r="B11" s="11" t="s">
        <v>122</v>
      </c>
      <c r="C11">
        <v>27</v>
      </c>
      <c r="E11" s="11" t="s">
        <v>103</v>
      </c>
      <c r="F11">
        <v>2</v>
      </c>
    </row>
    <row r="12" spans="2:10" x14ac:dyDescent="0.3">
      <c r="E12" s="11" t="s">
        <v>112</v>
      </c>
      <c r="F12">
        <v>1</v>
      </c>
    </row>
    <row r="13" spans="2:10" x14ac:dyDescent="0.3">
      <c r="E13" s="11" t="s">
        <v>110</v>
      </c>
      <c r="F13">
        <v>1</v>
      </c>
    </row>
    <row r="14" spans="2:10" x14ac:dyDescent="0.3">
      <c r="E14" s="11" t="s">
        <v>111</v>
      </c>
      <c r="F14">
        <v>1</v>
      </c>
    </row>
    <row r="15" spans="2:10" x14ac:dyDescent="0.3">
      <c r="E15" s="11" t="s">
        <v>108</v>
      </c>
      <c r="F15">
        <v>1</v>
      </c>
    </row>
    <row r="16" spans="2:10" x14ac:dyDescent="0.3">
      <c r="E16" s="11" t="s">
        <v>122</v>
      </c>
      <c r="F16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6" customWidth="1"/>
    <col min="2" max="2" width="13.5546875" bestFit="1" customWidth="1"/>
    <col min="3" max="3" width="28" customWidth="1"/>
    <col min="4" max="4" width="40" customWidth="1"/>
    <col min="5" max="5" width="14" customWidth="1"/>
    <col min="6" max="6" width="32" customWidth="1"/>
    <col min="7" max="7" width="26" customWidth="1"/>
    <col min="8" max="9" width="22" customWidth="1"/>
    <col min="10" max="10" width="34" customWidth="1"/>
    <col min="11" max="11" width="20" customWidth="1"/>
  </cols>
  <sheetData>
    <row r="1" spans="1:11" ht="24" customHeight="1" x14ac:dyDescent="0.3">
      <c r="A1" s="1" t="s">
        <v>0</v>
      </c>
      <c r="B1" s="7" t="s">
        <v>47</v>
      </c>
      <c r="C1" s="7" t="s">
        <v>100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7" t="s">
        <v>1</v>
      </c>
      <c r="J1" s="1" t="s">
        <v>7</v>
      </c>
      <c r="K1" s="1" t="s">
        <v>8</v>
      </c>
    </row>
    <row r="2" spans="1:11" ht="42" customHeight="1" x14ac:dyDescent="0.3">
      <c r="A2" s="2">
        <f t="shared" ref="A2:A28" si="0">IF(C2&lt;&gt;"",ROW()-1,"")</f>
        <v>1</v>
      </c>
      <c r="B2" s="2" t="s">
        <v>13</v>
      </c>
      <c r="C2" s="3" t="s">
        <v>32</v>
      </c>
      <c r="D2" s="3" t="s">
        <v>9</v>
      </c>
      <c r="E2" s="3" t="s">
        <v>27</v>
      </c>
      <c r="F2" s="3" t="s">
        <v>29</v>
      </c>
      <c r="G2" s="3" t="s">
        <v>30</v>
      </c>
      <c r="H2" s="3" t="s">
        <v>11</v>
      </c>
      <c r="I2" s="3" t="s">
        <v>102</v>
      </c>
      <c r="J2" s="3" t="s">
        <v>37</v>
      </c>
      <c r="K2" s="3" t="s">
        <v>31</v>
      </c>
    </row>
    <row r="3" spans="1:11" ht="42" customHeight="1" x14ac:dyDescent="0.3">
      <c r="A3" s="2">
        <f t="shared" si="0"/>
        <v>2</v>
      </c>
      <c r="B3" s="2" t="s">
        <v>12</v>
      </c>
      <c r="C3" s="3" t="s">
        <v>44</v>
      </c>
      <c r="D3" s="3" t="s">
        <v>43</v>
      </c>
      <c r="E3" s="3" t="s">
        <v>27</v>
      </c>
      <c r="F3" s="3" t="s">
        <v>29</v>
      </c>
      <c r="G3" s="3" t="s">
        <v>30</v>
      </c>
      <c r="H3" s="3" t="s">
        <v>11</v>
      </c>
      <c r="I3" s="3" t="s">
        <v>102</v>
      </c>
      <c r="J3" s="3" t="s">
        <v>51</v>
      </c>
      <c r="K3" s="3" t="s">
        <v>31</v>
      </c>
    </row>
    <row r="4" spans="1:11" ht="42" customHeight="1" x14ac:dyDescent="0.3">
      <c r="A4" s="2">
        <f t="shared" si="0"/>
        <v>3</v>
      </c>
      <c r="B4" s="2" t="s">
        <v>12</v>
      </c>
      <c r="C4" s="3" t="s">
        <v>45</v>
      </c>
      <c r="D4" s="3" t="s">
        <v>43</v>
      </c>
      <c r="E4" s="3" t="s">
        <v>27</v>
      </c>
      <c r="F4" s="3" t="s">
        <v>29</v>
      </c>
      <c r="G4" s="3" t="s">
        <v>30</v>
      </c>
      <c r="H4" s="3" t="s">
        <v>11</v>
      </c>
      <c r="I4" s="3" t="s">
        <v>102</v>
      </c>
      <c r="J4" s="3" t="s">
        <v>53</v>
      </c>
      <c r="K4" s="3" t="s">
        <v>31</v>
      </c>
    </row>
    <row r="5" spans="1:11" ht="42" customHeight="1" x14ac:dyDescent="0.3">
      <c r="A5" s="2">
        <f t="shared" si="0"/>
        <v>4</v>
      </c>
      <c r="B5" s="2" t="s">
        <v>13</v>
      </c>
      <c r="C5" s="3" t="s">
        <v>34</v>
      </c>
      <c r="D5" s="3" t="s">
        <v>9</v>
      </c>
      <c r="E5" s="3" t="s">
        <v>10</v>
      </c>
      <c r="F5" s="3" t="s">
        <v>33</v>
      </c>
      <c r="G5" s="3" t="s">
        <v>35</v>
      </c>
      <c r="H5" s="3" t="s">
        <v>36</v>
      </c>
      <c r="I5" s="3" t="s">
        <v>104</v>
      </c>
      <c r="J5" s="3" t="s">
        <v>37</v>
      </c>
      <c r="K5" s="3" t="s">
        <v>31</v>
      </c>
    </row>
    <row r="6" spans="1:11" ht="42" customHeight="1" x14ac:dyDescent="0.3">
      <c r="A6" s="2">
        <f t="shared" si="0"/>
        <v>5</v>
      </c>
      <c r="B6" s="2" t="s">
        <v>12</v>
      </c>
      <c r="C6" s="3" t="s">
        <v>116</v>
      </c>
      <c r="D6" s="3" t="s">
        <v>16</v>
      </c>
      <c r="E6" s="3" t="s">
        <v>10</v>
      </c>
      <c r="F6" s="3" t="s">
        <v>17</v>
      </c>
      <c r="G6" s="3" t="s">
        <v>30</v>
      </c>
      <c r="H6" s="3" t="s">
        <v>11</v>
      </c>
      <c r="I6" s="3" t="s">
        <v>104</v>
      </c>
      <c r="J6" s="3" t="s">
        <v>52</v>
      </c>
      <c r="K6" s="3" t="s">
        <v>31</v>
      </c>
    </row>
    <row r="7" spans="1:11" ht="42" customHeight="1" x14ac:dyDescent="0.3">
      <c r="A7" s="2">
        <f t="shared" si="0"/>
        <v>6</v>
      </c>
      <c r="B7" s="2" t="s">
        <v>121</v>
      </c>
      <c r="C7" s="3" t="s">
        <v>115</v>
      </c>
      <c r="D7" s="3" t="s">
        <v>117</v>
      </c>
      <c r="E7" s="3" t="s">
        <v>10</v>
      </c>
      <c r="F7" s="6" t="s">
        <v>118</v>
      </c>
      <c r="G7" s="3" t="s">
        <v>30</v>
      </c>
      <c r="H7" s="3" t="s">
        <v>11</v>
      </c>
      <c r="I7" s="3" t="s">
        <v>104</v>
      </c>
      <c r="J7" s="3" t="s">
        <v>114</v>
      </c>
      <c r="K7" s="3" t="s">
        <v>31</v>
      </c>
    </row>
    <row r="8" spans="1:11" ht="42" customHeight="1" x14ac:dyDescent="0.3">
      <c r="A8" s="2">
        <f t="shared" si="0"/>
        <v>7</v>
      </c>
      <c r="B8" s="2" t="s">
        <v>48</v>
      </c>
      <c r="C8" s="3" t="s">
        <v>70</v>
      </c>
      <c r="D8" s="3" t="s">
        <v>72</v>
      </c>
      <c r="E8" s="3" t="s">
        <v>27</v>
      </c>
      <c r="F8" s="6" t="s">
        <v>29</v>
      </c>
      <c r="G8" s="3" t="s">
        <v>30</v>
      </c>
      <c r="H8" s="3" t="s">
        <v>18</v>
      </c>
      <c r="I8" s="3" t="s">
        <v>111</v>
      </c>
      <c r="J8" s="3" t="s">
        <v>71</v>
      </c>
      <c r="K8" s="3" t="s">
        <v>31</v>
      </c>
    </row>
    <row r="9" spans="1:11" ht="42" customHeight="1" x14ac:dyDescent="0.3">
      <c r="A9" s="2">
        <f t="shared" si="0"/>
        <v>8</v>
      </c>
      <c r="B9" s="2" t="s">
        <v>48</v>
      </c>
      <c r="C9" s="3" t="s">
        <v>67</v>
      </c>
      <c r="D9" s="3" t="s">
        <v>68</v>
      </c>
      <c r="E9" s="3" t="s">
        <v>27</v>
      </c>
      <c r="F9" s="6" t="s">
        <v>29</v>
      </c>
      <c r="G9" s="3" t="s">
        <v>30</v>
      </c>
      <c r="H9" s="3" t="s">
        <v>69</v>
      </c>
      <c r="I9" s="3" t="s">
        <v>110</v>
      </c>
      <c r="J9" s="3" t="s">
        <v>66</v>
      </c>
      <c r="K9" s="3" t="s">
        <v>31</v>
      </c>
    </row>
    <row r="10" spans="1:11" ht="42" customHeight="1" x14ac:dyDescent="0.3">
      <c r="A10" s="2">
        <f t="shared" si="0"/>
        <v>9</v>
      </c>
      <c r="B10" s="2" t="s">
        <v>12</v>
      </c>
      <c r="C10" s="3" t="s">
        <v>93</v>
      </c>
      <c r="D10" s="3" t="s">
        <v>94</v>
      </c>
      <c r="E10" s="3" t="s">
        <v>27</v>
      </c>
      <c r="F10" s="6" t="s">
        <v>29</v>
      </c>
      <c r="G10" s="3" t="s">
        <v>30</v>
      </c>
      <c r="H10" s="3" t="s">
        <v>12</v>
      </c>
      <c r="I10" s="3" t="s">
        <v>109</v>
      </c>
      <c r="J10" s="3" t="s">
        <v>95</v>
      </c>
      <c r="K10" s="3" t="s">
        <v>31</v>
      </c>
    </row>
    <row r="11" spans="1:11" ht="42" customHeight="1" x14ac:dyDescent="0.3">
      <c r="A11" s="2">
        <f t="shared" si="0"/>
        <v>10</v>
      </c>
      <c r="B11" s="2" t="s">
        <v>12</v>
      </c>
      <c r="C11" s="3" t="s">
        <v>77</v>
      </c>
      <c r="D11" s="3" t="s">
        <v>78</v>
      </c>
      <c r="E11" s="3" t="s">
        <v>27</v>
      </c>
      <c r="F11" s="6" t="s">
        <v>29</v>
      </c>
      <c r="G11" s="3" t="s">
        <v>30</v>
      </c>
      <c r="H11" s="3" t="s">
        <v>12</v>
      </c>
      <c r="I11" s="3" t="s">
        <v>109</v>
      </c>
      <c r="J11" s="3" t="s">
        <v>79</v>
      </c>
      <c r="K11" s="3" t="s">
        <v>31</v>
      </c>
    </row>
    <row r="12" spans="1:11" ht="42" customHeight="1" x14ac:dyDescent="0.3">
      <c r="A12" s="2">
        <f t="shared" si="0"/>
        <v>11</v>
      </c>
      <c r="B12" s="2" t="s">
        <v>12</v>
      </c>
      <c r="C12" s="3" t="s">
        <v>81</v>
      </c>
      <c r="D12" s="3" t="s">
        <v>81</v>
      </c>
      <c r="E12" s="3" t="s">
        <v>27</v>
      </c>
      <c r="F12" s="3" t="s">
        <v>29</v>
      </c>
      <c r="G12" s="3" t="s">
        <v>30</v>
      </c>
      <c r="H12" s="3" t="s">
        <v>12</v>
      </c>
      <c r="I12" s="3" t="s">
        <v>109</v>
      </c>
      <c r="J12" s="3" t="s">
        <v>80</v>
      </c>
      <c r="K12" s="3" t="s">
        <v>31</v>
      </c>
    </row>
    <row r="13" spans="1:11" ht="42" customHeight="1" x14ac:dyDescent="0.3">
      <c r="A13" s="2">
        <f t="shared" si="0"/>
        <v>12</v>
      </c>
      <c r="B13" s="2" t="s">
        <v>12</v>
      </c>
      <c r="C13" s="3" t="s">
        <v>96</v>
      </c>
      <c r="D13" s="3" t="s">
        <v>97</v>
      </c>
      <c r="E13" s="3" t="s">
        <v>27</v>
      </c>
      <c r="F13" s="3" t="s">
        <v>29</v>
      </c>
      <c r="G13" s="3" t="s">
        <v>30</v>
      </c>
      <c r="H13" s="3" t="s">
        <v>12</v>
      </c>
      <c r="I13" s="3" t="s">
        <v>109</v>
      </c>
      <c r="J13" s="3" t="s">
        <v>98</v>
      </c>
      <c r="K13" s="3" t="s">
        <v>31</v>
      </c>
    </row>
    <row r="14" spans="1:11" ht="42" customHeight="1" x14ac:dyDescent="0.3">
      <c r="A14" s="2">
        <f t="shared" si="0"/>
        <v>13</v>
      </c>
      <c r="B14" s="2" t="s">
        <v>12</v>
      </c>
      <c r="C14" s="3" t="s">
        <v>19</v>
      </c>
      <c r="D14" s="3" t="s">
        <v>113</v>
      </c>
      <c r="E14" s="3" t="s">
        <v>27</v>
      </c>
      <c r="F14" s="3" t="s">
        <v>29</v>
      </c>
      <c r="G14" s="3" t="s">
        <v>30</v>
      </c>
      <c r="H14" s="3" t="s">
        <v>20</v>
      </c>
      <c r="I14" s="3" t="s">
        <v>109</v>
      </c>
      <c r="J14" s="3" t="s">
        <v>99</v>
      </c>
      <c r="K14" s="3" t="s">
        <v>31</v>
      </c>
    </row>
    <row r="15" spans="1:11" ht="42" customHeight="1" x14ac:dyDescent="0.3">
      <c r="A15" s="2">
        <f t="shared" si="0"/>
        <v>14</v>
      </c>
      <c r="B15" s="2" t="s">
        <v>12</v>
      </c>
      <c r="C15" s="3" t="s">
        <v>120</v>
      </c>
      <c r="D15" s="3" t="s">
        <v>119</v>
      </c>
      <c r="E15" s="3" t="s">
        <v>27</v>
      </c>
      <c r="F15" s="3" t="s">
        <v>29</v>
      </c>
      <c r="G15" s="3" t="s">
        <v>30</v>
      </c>
      <c r="H15" s="3" t="s">
        <v>12</v>
      </c>
      <c r="I15" s="3" t="s">
        <v>109</v>
      </c>
      <c r="J15" s="3" t="s">
        <v>99</v>
      </c>
      <c r="K15" s="3" t="s">
        <v>31</v>
      </c>
    </row>
    <row r="16" spans="1:11" ht="42" customHeight="1" x14ac:dyDescent="0.3">
      <c r="A16" s="2">
        <f t="shared" si="0"/>
        <v>15</v>
      </c>
      <c r="B16" s="2" t="s">
        <v>13</v>
      </c>
      <c r="C16" s="3" t="s">
        <v>90</v>
      </c>
      <c r="D16" s="3" t="s">
        <v>9</v>
      </c>
      <c r="E16" s="3" t="s">
        <v>27</v>
      </c>
      <c r="F16" s="3" t="s">
        <v>29</v>
      </c>
      <c r="G16" s="3" t="s">
        <v>30</v>
      </c>
      <c r="H16" s="3" t="s">
        <v>11</v>
      </c>
      <c r="I16" s="3" t="s">
        <v>105</v>
      </c>
      <c r="J16" s="3" t="s">
        <v>37</v>
      </c>
      <c r="K16" s="3" t="s">
        <v>31</v>
      </c>
    </row>
    <row r="17" spans="1:11" ht="42" customHeight="1" x14ac:dyDescent="0.3">
      <c r="A17" s="2">
        <f t="shared" si="0"/>
        <v>16</v>
      </c>
      <c r="B17" s="2" t="s">
        <v>12</v>
      </c>
      <c r="C17" s="3" t="s">
        <v>91</v>
      </c>
      <c r="D17" s="3" t="s">
        <v>46</v>
      </c>
      <c r="E17" s="3" t="s">
        <v>27</v>
      </c>
      <c r="F17" s="3" t="s">
        <v>29</v>
      </c>
      <c r="G17" s="3" t="s">
        <v>30</v>
      </c>
      <c r="H17" s="3" t="s">
        <v>11</v>
      </c>
      <c r="I17" s="3" t="s">
        <v>105</v>
      </c>
      <c r="J17" s="3" t="s">
        <v>54</v>
      </c>
      <c r="K17" s="3" t="s">
        <v>31</v>
      </c>
    </row>
    <row r="18" spans="1:11" ht="42" customHeight="1" x14ac:dyDescent="0.3">
      <c r="A18" s="2">
        <f t="shared" si="0"/>
        <v>17</v>
      </c>
      <c r="B18" s="2" t="s">
        <v>49</v>
      </c>
      <c r="C18" s="3" t="s">
        <v>74</v>
      </c>
      <c r="D18" s="3" t="s">
        <v>75</v>
      </c>
      <c r="E18" s="3" t="s">
        <v>10</v>
      </c>
      <c r="F18" s="6" t="s">
        <v>76</v>
      </c>
      <c r="G18" s="3" t="s">
        <v>30</v>
      </c>
      <c r="H18" s="3" t="s">
        <v>11</v>
      </c>
      <c r="I18" s="3" t="s">
        <v>105</v>
      </c>
      <c r="J18" s="3" t="s">
        <v>73</v>
      </c>
      <c r="K18" s="3" t="s">
        <v>31</v>
      </c>
    </row>
    <row r="19" spans="1:11" ht="42" customHeight="1" x14ac:dyDescent="0.3">
      <c r="A19" s="2">
        <f t="shared" si="0"/>
        <v>18</v>
      </c>
      <c r="B19" s="2" t="s">
        <v>13</v>
      </c>
      <c r="C19" s="3" t="s">
        <v>40</v>
      </c>
      <c r="D19" s="3" t="s">
        <v>9</v>
      </c>
      <c r="E19" s="3" t="s">
        <v>10</v>
      </c>
      <c r="F19" s="6" t="s">
        <v>42</v>
      </c>
      <c r="G19" s="3" t="s">
        <v>30</v>
      </c>
      <c r="H19" s="3" t="s">
        <v>36</v>
      </c>
      <c r="I19" s="3" t="s">
        <v>103</v>
      </c>
      <c r="J19" s="3" t="s">
        <v>37</v>
      </c>
      <c r="K19" s="3" t="s">
        <v>31</v>
      </c>
    </row>
    <row r="20" spans="1:11" ht="42" customHeight="1" x14ac:dyDescent="0.3">
      <c r="A20" s="2">
        <f t="shared" si="0"/>
        <v>19</v>
      </c>
      <c r="B20" s="2" t="s">
        <v>12</v>
      </c>
      <c r="C20" s="3" t="s">
        <v>55</v>
      </c>
      <c r="D20" s="3" t="s">
        <v>56</v>
      </c>
      <c r="E20" s="3" t="s">
        <v>10</v>
      </c>
      <c r="F20" s="3" t="s">
        <v>57</v>
      </c>
      <c r="G20" s="3" t="s">
        <v>30</v>
      </c>
      <c r="H20" s="3" t="s">
        <v>11</v>
      </c>
      <c r="I20" s="3" t="s">
        <v>103</v>
      </c>
      <c r="J20" s="3" t="s">
        <v>58</v>
      </c>
      <c r="K20" s="3" t="s">
        <v>31</v>
      </c>
    </row>
    <row r="21" spans="1:11" ht="42" customHeight="1" x14ac:dyDescent="0.3">
      <c r="A21" s="2">
        <f t="shared" si="0"/>
        <v>20</v>
      </c>
      <c r="B21" s="2" t="s">
        <v>87</v>
      </c>
      <c r="C21" s="3" t="s">
        <v>89</v>
      </c>
      <c r="D21" s="3" t="s">
        <v>89</v>
      </c>
      <c r="E21" s="3" t="s">
        <v>27</v>
      </c>
      <c r="F21" s="6" t="s">
        <v>29</v>
      </c>
      <c r="G21" s="3" t="s">
        <v>30</v>
      </c>
      <c r="H21" s="3" t="s">
        <v>11</v>
      </c>
      <c r="I21" s="3" t="s">
        <v>108</v>
      </c>
      <c r="J21" s="3" t="s">
        <v>88</v>
      </c>
      <c r="K21" s="3" t="s">
        <v>31</v>
      </c>
    </row>
    <row r="22" spans="1:11" ht="42" customHeight="1" x14ac:dyDescent="0.3">
      <c r="A22" s="2">
        <f t="shared" si="0"/>
        <v>21</v>
      </c>
      <c r="B22" s="2" t="s">
        <v>13</v>
      </c>
      <c r="C22" s="3" t="s">
        <v>41</v>
      </c>
      <c r="D22" s="3" t="s">
        <v>9</v>
      </c>
      <c r="E22" s="3" t="s">
        <v>10</v>
      </c>
      <c r="F22" s="6" t="s">
        <v>92</v>
      </c>
      <c r="G22" s="3" t="s">
        <v>30</v>
      </c>
      <c r="H22" s="3" t="s">
        <v>36</v>
      </c>
      <c r="I22" s="3" t="s">
        <v>107</v>
      </c>
      <c r="J22" s="3" t="s">
        <v>37</v>
      </c>
      <c r="K22" s="3" t="s">
        <v>31</v>
      </c>
    </row>
    <row r="23" spans="1:11" ht="42" customHeight="1" x14ac:dyDescent="0.3">
      <c r="A23" s="2">
        <f t="shared" si="0"/>
        <v>22</v>
      </c>
      <c r="B23" s="2" t="s">
        <v>12</v>
      </c>
      <c r="C23" s="3" t="s">
        <v>60</v>
      </c>
      <c r="D23" s="3" t="s">
        <v>61</v>
      </c>
      <c r="E23" s="3" t="s">
        <v>10</v>
      </c>
      <c r="F23" s="3" t="s">
        <v>62</v>
      </c>
      <c r="G23" s="3" t="s">
        <v>30</v>
      </c>
      <c r="H23" s="3" t="s">
        <v>11</v>
      </c>
      <c r="I23" s="3" t="s">
        <v>107</v>
      </c>
      <c r="J23" s="3" t="s">
        <v>59</v>
      </c>
      <c r="K23" s="3" t="s">
        <v>31</v>
      </c>
    </row>
    <row r="24" spans="1:11" ht="42" customHeight="1" x14ac:dyDescent="0.3">
      <c r="A24" s="2">
        <f t="shared" si="0"/>
        <v>23</v>
      </c>
      <c r="B24" s="2" t="s">
        <v>82</v>
      </c>
      <c r="C24" s="3" t="s">
        <v>83</v>
      </c>
      <c r="D24" s="3" t="s">
        <v>84</v>
      </c>
      <c r="E24" s="3" t="s">
        <v>10</v>
      </c>
      <c r="F24" s="6" t="s">
        <v>85</v>
      </c>
      <c r="G24" s="3" t="s">
        <v>30</v>
      </c>
      <c r="H24" s="3" t="s">
        <v>11</v>
      </c>
      <c r="I24" s="3" t="s">
        <v>112</v>
      </c>
      <c r="J24" s="3" t="s">
        <v>86</v>
      </c>
      <c r="K24" s="3" t="s">
        <v>31</v>
      </c>
    </row>
    <row r="25" spans="1:11" ht="42" customHeight="1" x14ac:dyDescent="0.3">
      <c r="A25" s="2">
        <f t="shared" si="0"/>
        <v>24</v>
      </c>
      <c r="B25" s="2" t="s">
        <v>13</v>
      </c>
      <c r="C25" s="3" t="s">
        <v>39</v>
      </c>
      <c r="D25" s="3" t="s">
        <v>9</v>
      </c>
      <c r="E25" s="3" t="s">
        <v>10</v>
      </c>
      <c r="F25" s="3" t="s">
        <v>38</v>
      </c>
      <c r="G25" s="3" t="s">
        <v>30</v>
      </c>
      <c r="H25" s="3" t="s">
        <v>36</v>
      </c>
      <c r="I25" s="3" t="s">
        <v>106</v>
      </c>
      <c r="J25" s="3" t="s">
        <v>37</v>
      </c>
      <c r="K25" s="3" t="s">
        <v>31</v>
      </c>
    </row>
    <row r="26" spans="1:11" ht="42" customHeight="1" x14ac:dyDescent="0.3">
      <c r="A26" s="2">
        <f t="shared" si="0"/>
        <v>25</v>
      </c>
      <c r="B26" s="2" t="s">
        <v>12</v>
      </c>
      <c r="C26" s="3" t="s">
        <v>64</v>
      </c>
      <c r="D26" s="3" t="s">
        <v>65</v>
      </c>
      <c r="E26" s="3" t="s">
        <v>10</v>
      </c>
      <c r="F26" s="3" t="s">
        <v>57</v>
      </c>
      <c r="G26" s="3" t="s">
        <v>30</v>
      </c>
      <c r="H26" s="3" t="s">
        <v>11</v>
      </c>
      <c r="I26" s="3" t="s">
        <v>106</v>
      </c>
      <c r="J26" s="3" t="s">
        <v>63</v>
      </c>
      <c r="K26" s="3" t="s">
        <v>31</v>
      </c>
    </row>
    <row r="27" spans="1:11" ht="42" customHeight="1" x14ac:dyDescent="0.3">
      <c r="A27" s="2">
        <f t="shared" si="0"/>
        <v>26</v>
      </c>
      <c r="B27" s="2" t="s">
        <v>13</v>
      </c>
      <c r="C27" s="3" t="s">
        <v>28</v>
      </c>
      <c r="D27" s="3" t="s">
        <v>9</v>
      </c>
      <c r="E27" s="3" t="s">
        <v>27</v>
      </c>
      <c r="F27" s="3" t="s">
        <v>29</v>
      </c>
      <c r="G27" s="3" t="s">
        <v>30</v>
      </c>
      <c r="H27" s="3" t="s">
        <v>11</v>
      </c>
      <c r="I27" s="3" t="s">
        <v>101</v>
      </c>
      <c r="J27" s="3" t="s">
        <v>37</v>
      </c>
      <c r="K27" s="3" t="s">
        <v>31</v>
      </c>
    </row>
    <row r="28" spans="1:11" ht="43.2" x14ac:dyDescent="0.3">
      <c r="A28" s="8">
        <f t="shared" si="0"/>
        <v>27</v>
      </c>
      <c r="B28" s="8" t="s">
        <v>12</v>
      </c>
      <c r="C28" s="9" t="s">
        <v>14</v>
      </c>
      <c r="D28" s="9" t="s">
        <v>15</v>
      </c>
      <c r="E28" s="9" t="s">
        <v>27</v>
      </c>
      <c r="F28" s="9" t="s">
        <v>29</v>
      </c>
      <c r="G28" s="9" t="s">
        <v>30</v>
      </c>
      <c r="H28" s="9" t="s">
        <v>11</v>
      </c>
      <c r="I28" s="9" t="s">
        <v>101</v>
      </c>
      <c r="J28" s="9" t="s">
        <v>50</v>
      </c>
      <c r="K28" s="9" t="s">
        <v>31</v>
      </c>
    </row>
  </sheetData>
  <conditionalFormatting sqref="A2:K28">
    <cfRule type="expression" dxfId="14" priority="10">
      <formula>$E2="Bloqueado"</formula>
    </cfRule>
    <cfRule type="expression" dxfId="13" priority="11">
      <formula>$E2="En pausa"</formula>
    </cfRule>
    <cfRule type="expression" dxfId="12" priority="12">
      <formula>$E2="Finalizado"</formula>
    </cfRule>
  </conditionalFormatting>
  <conditionalFormatting sqref="A28:K28">
    <cfRule type="expression" dxfId="11" priority="1">
      <formula>$E28="Bloqueado"</formula>
    </cfRule>
    <cfRule type="expression" dxfId="10" priority="2">
      <formula>$E28="En pausa"</formula>
    </cfRule>
    <cfRule type="expression" dxfId="9" priority="3">
      <formula>$E28="Finalizado"</formula>
    </cfRule>
  </conditionalFormatting>
  <conditionalFormatting sqref="B22:B23">
    <cfRule type="expression" dxfId="8" priority="16">
      <formula>$E21="Bloqueado"</formula>
    </cfRule>
    <cfRule type="expression" dxfId="7" priority="17">
      <formula>$E21="En pausa"</formula>
    </cfRule>
    <cfRule type="expression" dxfId="6" priority="18">
      <formula>$E21="Finalizado"</formula>
    </cfRule>
  </conditionalFormatting>
  <conditionalFormatting sqref="G22:G23">
    <cfRule type="expression" dxfId="5" priority="7">
      <formula>$E21="Bloqueado"</formula>
    </cfRule>
    <cfRule type="expression" dxfId="4" priority="8">
      <formula>$E21="En pausa"</formula>
    </cfRule>
    <cfRule type="expression" dxfId="3" priority="9">
      <formula>$E21="Finalizado"</formula>
    </cfRule>
  </conditionalFormatting>
  <conditionalFormatting sqref="G23">
    <cfRule type="expression" dxfId="2" priority="4">
      <formula>$E22="Bloqueado"</formula>
    </cfRule>
    <cfRule type="expression" dxfId="1" priority="5">
      <formula>$E22="En pausa"</formula>
    </cfRule>
    <cfRule type="expression" dxfId="0" priority="6">
      <formula>$E22="Finalizado"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9.95" customHeight="1" x14ac:dyDescent="0.35">
      <c r="A1" s="4" t="s">
        <v>21</v>
      </c>
    </row>
    <row r="2" spans="1:1" ht="19.95" customHeight="1" x14ac:dyDescent="0.3"/>
    <row r="3" spans="1:1" ht="19.95" customHeight="1" x14ac:dyDescent="0.3">
      <c r="A3" s="5" t="s">
        <v>22</v>
      </c>
    </row>
    <row r="4" spans="1:1" ht="19.95" customHeight="1" x14ac:dyDescent="0.3">
      <c r="A4" s="5" t="s">
        <v>23</v>
      </c>
    </row>
    <row r="5" spans="1:1" ht="19.95" customHeight="1" x14ac:dyDescent="0.3">
      <c r="A5" s="5" t="s">
        <v>24</v>
      </c>
    </row>
    <row r="6" spans="1:1" ht="19.95" customHeight="1" x14ac:dyDescent="0.3">
      <c r="A6" s="5" t="s">
        <v>25</v>
      </c>
    </row>
    <row r="7" spans="1:1" ht="19.95" customHeight="1" x14ac:dyDescent="0.3">
      <c r="A7" s="5"/>
    </row>
    <row r="8" spans="1:1" ht="19.95" customHeight="1" x14ac:dyDescent="0.3">
      <c r="A8" s="5" t="s">
        <v>26</v>
      </c>
    </row>
    <row r="9" spans="1:1" ht="19.95" customHeight="1" x14ac:dyDescent="0.3">
      <c r="A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</vt:lpstr>
      <vt:lpstr>Proyectos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Zuñiga Cordova</cp:lastModifiedBy>
  <dcterms:created xsi:type="dcterms:W3CDTF">2026-02-20T14:53:48Z</dcterms:created>
  <dcterms:modified xsi:type="dcterms:W3CDTF">2026-02-20T21:13:00Z</dcterms:modified>
</cp:coreProperties>
</file>